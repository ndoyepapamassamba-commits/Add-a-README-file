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ableau de bord" sheetId="1" r:id="rId1"/>
    <sheet name="_graph" sheetId="2" state="hidden" r:id="rId2"/>
    <sheet name="Plan d'actions" sheetId="3" r:id="rId3"/>
    <sheet name="Retours gestionnaires" sheetId="4" r:id="rId4"/>
    <sheet name="Promesses vs bascules" sheetId="5" r:id="rId5"/>
    <sheet name="Contrôle qualité" sheetId="6" r:id="rId6"/>
    <sheet name="Méthodologie TypeSafe" sheetId="7" r:id="rId7"/>
    <sheet name="_TYPESAFE" sheetId="8" state="hidden" r:id="rId8"/>
  </sheets>
  <calcPr calcId="124519" fullCalcOnLoad="1"/>
</workbook>
</file>

<file path=xl/sharedStrings.xml><?xml version="1.0" encoding="utf-8"?>
<sst xmlns="http://schemas.openxmlformats.org/spreadsheetml/2006/main" count="1954" uniqueCount="379">
  <si>
    <t>IMPAYÉS 30-90J · RETOURS GESTIONNAIRES · COUCHE TYPESAFE</t>
  </si>
  <si>
    <t>Arrêté du 29/09/2026 · copie anonymisée de démonstration · chiffres calculés par le code, jugements TypeSafe (jev-latest)</t>
  </si>
  <si>
    <t>Tableau de bord</t>
  </si>
  <si>
    <t>Plan d'actions</t>
  </si>
  <si>
    <t>Retours gestionnaires</t>
  </si>
  <si>
    <t>Promesses vs bascules</t>
  </si>
  <si>
    <t>Contrôle qualité</t>
  </si>
  <si>
    <t>Méthodologie TypeSafe</t>
  </si>
  <si>
    <t>DOSSIERS</t>
  </si>
  <si>
    <t>IMPAYÉ TOTAL (XOF)</t>
  </si>
  <si>
    <t>AVEC COMMENTAIRE</t>
  </si>
  <si>
    <t>REVUE ANALYSTE</t>
  </si>
  <si>
    <t>PROMESSE APRÈS BASCULE</t>
  </si>
  <si>
    <t>PUBLIC / PARAPUBLIC</t>
  </si>
  <si>
    <t>Motif</t>
  </si>
  <si>
    <t>Retard technique</t>
  </si>
  <si>
    <t>Tension de trésorerie</t>
  </si>
  <si>
    <t>Aucun motif</t>
  </si>
  <si>
    <t>Perte de revenus</t>
  </si>
  <si>
    <t>Sans retour</t>
  </si>
  <si>
    <t>Client injoignable</t>
  </si>
  <si>
    <t>Régularisation annoncée</t>
  </si>
  <si>
    <t>Santé / décès</t>
  </si>
  <si>
    <t>Litige juridique</t>
  </si>
  <si>
    <t>Fraude / détournement</t>
  </si>
  <si>
    <t>Classe</t>
  </si>
  <si>
    <t>Sensible 31-60j</t>
  </si>
  <si>
    <t>Sensible 61-90j</t>
  </si>
  <si>
    <t>Statut</t>
  </si>
  <si>
    <t>Revue analyste</t>
  </si>
  <si>
    <t>Promesse de règlement</t>
  </si>
  <si>
    <t>À faire</t>
  </si>
  <si>
    <t>En cours</t>
  </si>
  <si>
    <t>Restructuration</t>
  </si>
  <si>
    <t>Escalade contentieux</t>
  </si>
  <si>
    <t>Position</t>
  </si>
  <si>
    <t>Avant la bascule</t>
  </si>
  <si>
    <t>Après la bascule</t>
  </si>
  <si>
    <t>Sans date</t>
  </si>
  <si>
    <t>Nature</t>
  </si>
  <si>
    <t>Publique</t>
  </si>
  <si>
    <t>Parapublique</t>
  </si>
  <si>
    <t>Privée</t>
  </si>
  <si>
    <t>Particulier</t>
  </si>
  <si>
    <t>Crédibilité</t>
  </si>
  <si>
    <t>Nulle</t>
  </si>
  <si>
    <t>Faible</t>
  </si>
  <si>
    <t>Moyenne</t>
  </si>
  <si>
    <t>Bonne</t>
  </si>
  <si>
    <t>Très bonne</t>
  </si>
  <si>
    <t>Lecture</t>
  </si>
  <si>
    <t>• 27 dossiers sur 30 ont un commentaire gestionnaire ; 3 restent sans retour.</t>
  </si>
  <si>
    <t>• 10 dossiers partent en revue analyste (confiance faible ou incohérence) : aucune décision automatique.</t>
  </si>
  <si>
    <t>• 3 promesses de règlement tombent après la date de bascule en douteux.</t>
  </si>
  <si>
    <t>• 2 contrepartie(s) intra-groupe et 4 segment(s) douteux signalés au vu des noms.</t>
  </si>
  <si>
    <t>PLAN D'ACTIONS · IMPAYÉS 30-90J · ENRICHI TYPESAFE</t>
  </si>
  <si>
    <t>Colonnes TypeSafe à droite ; le statut retenu vaut « Revue analyste » quand la confiance est faible.</t>
  </si>
  <si>
    <t>Réf LD</t>
  </si>
  <si>
    <t>Client</t>
  </si>
  <si>
    <t>Segment</t>
  </si>
  <si>
    <t>Gestion-naire</t>
  </si>
  <si>
    <t>Encours (XOF)</t>
  </si>
  <si>
    <t>Impayé (XOF)</t>
  </si>
  <si>
    <t>Jours d'impayés</t>
  </si>
  <si>
    <t>Date de bascule</t>
  </si>
  <si>
    <t>Commentaire du gestionnaire</t>
  </si>
  <si>
    <t>Statut du suivi (fichier)</t>
  </si>
  <si>
    <t>Statut proposé TypeSafe</t>
  </si>
  <si>
    <t>Statut retenu</t>
  </si>
  <si>
    <t>Motif (TypeSafe)</t>
  </si>
  <si>
    <t>LD9000001</t>
  </si>
  <si>
    <t>SOCIETE NATIONALE DES EAUX DU KAYOR</t>
  </si>
  <si>
    <t>Corporate</t>
  </si>
  <si>
    <t>GEST-05</t>
  </si>
  <si>
    <t>Le client a transmis l'ordre de virement ce matin, règlement prévu le 03/10/2026.</t>
  </si>
  <si>
    <t>LD9000002</t>
  </si>
  <si>
    <t>MINISTERE DE L'HYDRAULIQUE ET DE L'ASSAINISSEMENT</t>
  </si>
  <si>
    <t>Public Sector</t>
  </si>
  <si>
    <t>GEST-01</t>
  </si>
  <si>
    <t>Retard de paiement de l'État sur le marché de fournitures. Le mandat est visé au Trésor, encaissement attendu fin octobre.</t>
  </si>
  <si>
    <t>LD9000003</t>
  </si>
  <si>
    <t>COMMUNE DE TAMBA-NORD</t>
  </si>
  <si>
    <t>GEST-06</t>
  </si>
  <si>
    <t>Client injoignable depuis trois semaines, le magasin est fermé. Visite prévue avec le recouvrement.</t>
  </si>
  <si>
    <t>LD9000004</t>
  </si>
  <si>
    <t>AGENCE DE DEVELOPPEMENT DES PORTS FLUVIAUX</t>
  </si>
  <si>
    <t>Commercial</t>
  </si>
  <si>
    <t>GEST-07</t>
  </si>
  <si>
    <t>Régularisé.</t>
  </si>
  <si>
    <t>Régularisé (à vérifier)</t>
  </si>
  <si>
    <t>commentaire incohérent avec les jours d'impayés</t>
  </si>
  <si>
    <t>LD9000005</t>
  </si>
  <si>
    <t>ECOBANK FOUNDATION SENEGAL</t>
  </si>
  <si>
    <t>GEST-04</t>
  </si>
  <si>
    <t>Le salaire n'est plus domicilié chez nous depuis son changement d'employeur. Il promet de payer le 15.</t>
  </si>
  <si>
    <t>LD9000006</t>
  </si>
  <si>
    <t>EBI SA PARIS</t>
  </si>
  <si>
    <t>Perte du contrat principal avec le client minier, baisse forte du chiffre d'affaires. Le DG demande un rééchelonnement sur 24 mois.</t>
  </si>
  <si>
    <t>LD9000007</t>
  </si>
  <si>
    <t>DIALLO AMADOU</t>
  </si>
  <si>
    <t>Promesse de règlement d'ici 10 jours, pas d'autre information.</t>
  </si>
  <si>
    <t>nature de l'entité incertaine (0.47)</t>
  </si>
  <si>
    <t>LD9000008</t>
  </si>
  <si>
    <t>NDIAYE FATOU</t>
  </si>
  <si>
    <t>Consumer</t>
  </si>
  <si>
    <t>GEST-03</t>
  </si>
  <si>
    <t>Le compte est bloqué par un avis à tiers détenteur des impôts. Le client conteste le redressement.</t>
  </si>
  <si>
    <t>LD9000009</t>
  </si>
  <si>
    <t>SOW MOUSTAPHA</t>
  </si>
  <si>
    <t>GEST-08</t>
  </si>
  <si>
    <t>Décès du gérant le mois dernier, la succession est en cours. Les héritiers n'ont pas encore été reçus.</t>
  </si>
  <si>
    <t>statut incertain (0.44)</t>
  </si>
  <si>
    <t>LD9000010</t>
  </si>
  <si>
    <t>BOULANGERIE DU PLATEAU SARL</t>
  </si>
  <si>
    <t>Tension de trésorerie liée au retard de paiement de ses clients distributeurs. Le client apporte un chèque de 40 % fin novembre et le solde en décembre.</t>
  </si>
  <si>
    <t>LD9000011</t>
  </si>
  <si>
    <t>SENEGAL LOGISTIQUE ET TRANSIT SA</t>
  </si>
  <si>
    <t>RAS</t>
  </si>
  <si>
    <t>LD9000012</t>
  </si>
  <si>
    <t>CISSE AWA</t>
  </si>
  <si>
    <t>Client à jour, aucun impayé sur le compte.</t>
  </si>
  <si>
    <t>LD9000013</t>
  </si>
  <si>
    <t>SOCIETE AFRICAINE DE CIMENT DU SINE SA</t>
  </si>
  <si>
    <t>Les factures présentées pour l'escompte semblent fictives, le débiteur cédé ne les reconnaît pas.</t>
  </si>
  <si>
    <t>LD9000014</t>
  </si>
  <si>
    <t>OFFICE NATIONAL DES SEMENCES</t>
  </si>
  <si>
    <t>Relance faite par téléphone, le client dit qu'il passera à l'agence la semaine prochaine.</t>
  </si>
  <si>
    <t>statut incertain (0.50)</t>
  </si>
  <si>
    <t>LD9000015</t>
  </si>
  <si>
    <t>GIE DES MARAICHERS DE NIAYES</t>
  </si>
  <si>
    <t>Hospitalisation du client, reprise du travail prévue en novembre. L'épouse s'engage à verser le 20 octobre.</t>
  </si>
  <si>
    <t>crédibilité incertaine (0.31)</t>
  </si>
  <si>
    <t>LD9000016</t>
  </si>
  <si>
    <t>FALL IBRAHIMA</t>
  </si>
  <si>
    <t>Domiciliation de la subvention annuelle confirmée par la tutelle, virement attendu cette semaine.</t>
  </si>
  <si>
    <t>statut incertain (0.37)</t>
  </si>
  <si>
    <t>LD9000017</t>
  </si>
  <si>
    <t>BA MARIAMA</t>
  </si>
  <si>
    <t>GEST-02</t>
  </si>
  <si>
    <t>Le client a demandé une restructuration avec allongement de 12 mois, dossier transmis au crédit.</t>
  </si>
  <si>
    <t>LD9000018</t>
  </si>
  <si>
    <t>HOTEL TERANGA BLEU SA</t>
  </si>
  <si>
    <t>Prélèvement rejeté pour un problème de RIB après la migration du compte, régularisation technique en cours.</t>
  </si>
  <si>
    <t>LD9000019</t>
  </si>
  <si>
    <t>SOCIETE DE TRANSPORT URBAIN DE THIES</t>
  </si>
  <si>
    <t>Le client attend le paiement d'une créance sur une société du groupe. Aucune date donnée.</t>
  </si>
  <si>
    <t>motif incertain (0.36)</t>
  </si>
  <si>
    <t>LD9000020</t>
  </si>
  <si>
    <t>CENTRE HOSPITALIER REGIONAL DE KOLDA</t>
  </si>
  <si>
    <t>—</t>
  </si>
  <si>
    <t>LD9000021</t>
  </si>
  <si>
    <t>GUEYE CHEIKH</t>
  </si>
  <si>
    <t>LD9000022</t>
  </si>
  <si>
    <t>IMPRIMERIE DU FLEUVE SUARL</t>
  </si>
  <si>
    <t>LD9000023</t>
  </si>
  <si>
    <t>SECK ADAMA</t>
  </si>
  <si>
    <t>Paiement prévu le 28/12/2026 après l'encaissement de la campagne arachidière.</t>
  </si>
  <si>
    <t>LD9000024</t>
  </si>
  <si>
    <t>ECOBANK TOGO</t>
  </si>
  <si>
    <t>Échanges avec le DAF : virement intra-groupe en attente de validation à Lomé, attendu le 08/10/2026.</t>
  </si>
  <si>
    <t>LD9000025</t>
  </si>
  <si>
    <t>AGRO-INDUSTRIES DU SALOUM SA</t>
  </si>
  <si>
    <t>LD9000026</t>
  </si>
  <si>
    <t>FAYE OUMAR</t>
  </si>
  <si>
    <t>LD9000027</t>
  </si>
  <si>
    <t>KANE KHADY</t>
  </si>
  <si>
    <t>LD9000028</t>
  </si>
  <si>
    <t>CAISSE DE SECURITE SOCIALE DU PERSONNEL MUNICIPAL</t>
  </si>
  <si>
    <t>LD9000029</t>
  </si>
  <si>
    <t>QUINCAILLERIE MODERNE DE PIKINE</t>
  </si>
  <si>
    <t>LD9000030</t>
  </si>
  <si>
    <t>MBAYE ALIOUNE</t>
  </si>
  <si>
    <t>RETOURS GESTIONNAIRES · LECTURE TYPESAFE DES COMMENTAIRES</t>
  </si>
  <si>
    <t>Une ligne par dossier commenté. Probabilités et confiances brutes conservées dans _TYPESAFE.</t>
  </si>
  <si>
    <t>Confiance motif</t>
  </si>
  <si>
    <t>Promesse datée (proba.)</t>
  </si>
  <si>
    <t>Confiance crédibilité</t>
  </si>
  <si>
    <t>Incohérence (proba.)</t>
  </si>
  <si>
    <t>Statut proposé</t>
  </si>
  <si>
    <t>Confiance statut</t>
  </si>
  <si>
    <t>PROMESSES DE RÈGLEMENT COMPARÉES À LA DATE DE BASCULE</t>
  </si>
  <si>
    <t>Bascule = date à laquelle le dossier atteint 91 jours (calcul du code). Écart &gt; 0 : la promesse arrive trop tard.</t>
  </si>
  <si>
    <t>Date promise (lue par le code)</t>
  </si>
  <si>
    <t>Écart (jours)</t>
  </si>
  <si>
    <t>CONTRÔLE QUALITÉ DES RETOURS ET DES NOMS DE CLIENTS</t>
  </si>
  <si>
    <t>Commentaires vides ou trop courts, dates illisibles, incohérences, segments douteux, intra-groupe, revues.</t>
  </si>
  <si>
    <t>Nature (TypeSafe)</t>
  </si>
  <si>
    <t>Intra-groupe</t>
  </si>
  <si>
    <t>Segment douteux</t>
  </si>
  <si>
    <t>Point de contrôle</t>
  </si>
  <si>
    <t>Non</t>
  </si>
  <si>
    <t>Commentaire trop court pour être exploitable</t>
  </si>
  <si>
    <t>Revue : commentaire incohérent avec les jours d'impayés</t>
  </si>
  <si>
    <t>Oui</t>
  </si>
  <si>
    <t>Date promise 9 j après la bascule en douteux</t>
  </si>
  <si>
    <t>Contrepartie intra-groupe : traitement spécifique</t>
  </si>
  <si>
    <t>Revue : nature de l'entité incertaine (0.47)</t>
  </si>
  <si>
    <t>Revue : statut incertain (0.44)</t>
  </si>
  <si>
    <t>Date promise 27 j après la bascule en douteux</t>
  </si>
  <si>
    <t>Segment « Consumer » douteux au vu du nom</t>
  </si>
  <si>
    <t>Segment « Commercial » douteux au vu du nom</t>
  </si>
  <si>
    <t>Revue : statut incertain (0.50)</t>
  </si>
  <si>
    <t>Revue : crédibilité incertaine (0.31)</t>
  </si>
  <si>
    <t>Revue : statut incertain (0.37)</t>
  </si>
  <si>
    <t>Revue : motif incertain (0.36)</t>
  </si>
  <si>
    <t>Commentaire vide : relancer le gestionnaire</t>
  </si>
  <si>
    <t>Date promise 42 j après la bascule en douteux</t>
  </si>
  <si>
    <t>MÉTHODOLOGIE ET PISTE D'AUDIT</t>
  </si>
  <si>
    <t>Modèle jev-latest · https://api.typesafe.ai/v1/systemone · seuil de signal 0.6 · seuil de confiance 0.55</t>
  </si>
  <si>
    <t>Élément</t>
  </si>
  <si>
    <t>Règle</t>
  </si>
  <si>
    <t>Partage des rôles</t>
  </si>
  <si>
    <t>Le code calcule tout ce qui est réglementaire ou chiffré (BCEAO, IFRS9, ACTE7) : classe, jours, date de bascule, montants, date promise lue dans le texte, écart. TypeSafe ne rend que des jugements : motif, promesse datée, crédibilité, incohérence, statut proposé, nature de l'entité, intra-groupe, segment douteux. Il ne produit jamais de montant ni de ratio.</t>
  </si>
  <si>
    <t>Arrêté + (91 − jours d'impayés) : date à laquelle le dossier devient douteux si rien n'est réglé.</t>
  </si>
  <si>
    <t>Date promise</t>
  </si>
  <si>
    <t>Lue par le code (jj/mm/aaaa, « le 15 », « fin octobre », « sous 10 jours », « cette semaine »…). Si TypeSafe voit une promesse datée que le code ne sait pas lire, le contrôle qualité le signale.</t>
  </si>
  <si>
    <t>Confiance &lt; 0.55 sur le motif, le statut, la crédibilité ou la nature, ou incohérence ≥ 0.6 : le statut retenu devient « Revue analyste », sans décision automatique.</t>
  </si>
  <si>
    <t>Statut proposé par TypeSafe quand la confiance suffit, sinon « Revue analyste ». Le gestionnaire et l'analyste restent seuls décisionnaires (liste déroulante dans Plan d'actions).</t>
  </si>
  <si>
    <t>Réponses brutes</t>
  </si>
  <si>
    <t>Feuille masquée _TYPESAFE : probabilités, confiance, modèle et horodatage par dossier. Changer les seuils dans impayes_typesafe.py puis relancer avec --depuis-cache ne coûte aucun appel.</t>
  </si>
  <si>
    <t>Offline</t>
  </si>
  <si>
    <t>Les postes bancaires n'ont pas Internet. L'enrichissement tourne sur un poste connecté ou un relais serveur ; l'app HTML relit _TYPESAFE et fonctionne sans elle. Aucune clé API n'est écrite dans un fichier.</t>
  </si>
  <si>
    <t>Données</t>
  </si>
  <si>
    <t>Démonstration sur une copie anonymisée : noms, références et montants fictifs, commentaires fictifs. Les données réelles n'iront à l'API qu'après validation de la Conformité.</t>
  </si>
  <si>
    <t>Questions posées</t>
  </si>
  <si>
    <t>Commentaire : motif · promesse_datee · credibilite · incoherence · statut_propose. Nom du client : nature_entite · intra_groupe · segment_douteux.</t>
  </si>
  <si>
    <t>_TYPESAFE · RÉPONSES BRUTES (PISTE D'AUDIT)</t>
  </si>
  <si>
    <t>Lue par l'app HTML offline au rechargement. Ne pas modifier.</t>
  </si>
  <si>
    <t>ref</t>
  </si>
  <si>
    <t>question</t>
  </si>
  <si>
    <t>type</t>
  </si>
  <si>
    <t>reponse</t>
  </si>
  <si>
    <t>confiance</t>
  </si>
  <si>
    <t>probabilites_json</t>
  </si>
  <si>
    <t>modele</t>
  </si>
  <si>
    <t>jev-latest</t>
  </si>
  <si>
    <t>arrete</t>
  </si>
  <si>
    <t>2026-09-29</t>
  </si>
  <si>
    <t>genere</t>
  </si>
  <si>
    <t>2026-10-03T10:19:53</t>
  </si>
  <si>
    <t>nature_entite</t>
  </si>
  <si>
    <t>choice</t>
  </si>
  <si>
    <t>parapublique</t>
  </si>
  <si>
    <t>{"particulier": 0.0, "parapublique": 1.0, "publique": 0.0, "privee": 0.0}</t>
  </si>
  <si>
    <t>intra_groupe</t>
  </si>
  <si>
    <t>noul</t>
  </si>
  <si>
    <t>{}</t>
  </si>
  <si>
    <t>segment_douteux</t>
  </si>
  <si>
    <t>motif</t>
  </si>
  <si>
    <t>retard_technique</t>
  </si>
  <si>
    <t>{"retard_technique": 0.92, "sante_deces": 0.0, "client_injoignable": 0.0, "tension_tresorerie": 0.01, "fraude_detournement": 0.0, "perte_revenus": 0.0, "aucun_motif": 0.0, "litige_juridique": 0.0, "regularisation_annoncee": 0.07}</t>
  </si>
  <si>
    <t>promesse_datee</t>
  </si>
  <si>
    <t>credibilite</t>
  </si>
  <si>
    <t>score</t>
  </si>
  <si>
    <t>{"0": 0.0, "1": 0.0, "2": 0.0, "3": 0.03, "4": 0.97}</t>
  </si>
  <si>
    <t>incoherence</t>
  </si>
  <si>
    <t>statut_propose</t>
  </si>
  <si>
    <t>promesse_reglement</t>
  </si>
  <si>
    <t>{"restructuration": 0.0, "en_cours": 0.0, "a_faire": 0.0, "regularise_a_verifier": 0.21, "escalade_contentieux": 0.0, "promesse_reglement": 0.79}</t>
  </si>
  <si>
    <t>publique</t>
  </si>
  <si>
    <t>{"particulier": 0.0, "parapublique": 0.0, "privee": 0.0, "publique": 1.0}</t>
  </si>
  <si>
    <t>tension_tresorerie</t>
  </si>
  <si>
    <t>{"client_injoignable": 0.0, "sante_deces": 0.0, "regularisation_annoncee": 0.0, "retard_technique": 0.36, "perte_revenus": 0.0, "litige_juridique": 0.0, "aucun_motif": 0.0, "fraude_detournement": 0.0, "tension_tresorerie": 0.64}</t>
  </si>
  <si>
    <t>{"0": 0.0, "1": 0.0, "2": 0.07, "3": 0.28, "4": 0.65}</t>
  </si>
  <si>
    <t>{"en_cours": 0.03, "promesse_reglement": 0.95, "a_faire": 0.0, "restructuration": 0.0, "escalade_contentieux": 0.0, "regularise_a_verifier": 0.02}</t>
  </si>
  <si>
    <t>{"privee": 0.0, "particulier": 0.0, "publique": 1.0, "parapublique": 0.0}</t>
  </si>
  <si>
    <t>client_injoignable</t>
  </si>
  <si>
    <t>{"regularisation_annoncee": 0.0, "aucun_motif": 0.0, "litige_juridique": 0.0, "retard_technique": 0.0, "fraude_detournement": 0.0, "tension_tresorerie": 0.0, "perte_revenus": 0.0, "client_injoignable": 1.0, "sante_deces": 0.0}</t>
  </si>
  <si>
    <t>{"0": 0.83, "1": 0.17, "2": 0.0, "3": 0.0, "4": 0.0}</t>
  </si>
  <si>
    <t>en_cours</t>
  </si>
  <si>
    <t>{"a_faire": 0.01, "promesse_reglement": 0.0, "restructuration": 0.0, "regularise_a_verifier": 0.0, "escalade_contentieux": 0.31, "en_cours": 0.68}</t>
  </si>
  <si>
    <t>{"parapublique": 0.99, "publique": 0.01, "privee": 0.0, "particulier": 0.0}</t>
  </si>
  <si>
    <t>regularisation_annoncee</t>
  </si>
  <si>
    <t>{"client_injoignable": 0.0, "sante_deces": 0.0, "tension_tresorerie": 0.0, "regularisation_annoncee": 0.99, "aucun_motif": 0.01, "retard_technique": 0.0, "perte_revenus": 0.0, "litige_juridique": 0.0, "fraude_detournement": 0.0}</t>
  </si>
  <si>
    <t>{"0": 0.21, "1": 0.79, "2": 0.0, "3": 0.0, "4": 0.0}</t>
  </si>
  <si>
    <t>regularise_a_verifier</t>
  </si>
  <si>
    <t>{"restructuration": 0.0, "a_faire": 0.0, "promesse_reglement": 0.0, "regularise_a_verifier": 1.0, "escalade_contentieux": 0.0, "en_cours": 0.0}</t>
  </si>
  <si>
    <t>privee</t>
  </si>
  <si>
    <t>{"parapublique": 0.01, "privee": 0.99, "publique": 0.0, "particulier": 0.0}</t>
  </si>
  <si>
    <t>perte_revenus</t>
  </si>
  <si>
    <t>{"tension_tresorerie": 0.0, "aucun_motif": 0.0, "fraude_detournement": 0.0, "perte_revenus": 1.0, "client_injoignable": 0.0, "retard_technique": 0.0, "regularisation_annoncee": 0.0, "litige_juridique": 0.0, "sante_deces": 0.0}</t>
  </si>
  <si>
    <t>{"0": 0.04, "1": 0.8, "2": 0.06, "3": 0.1, "4": 0.0}</t>
  </si>
  <si>
    <t>{"en_cours": 0.0, "restructuration": 0.0, "a_faire": 0.0, "escalade_contentieux": 0.0, "regularise_a_verifier": 0.0, "promesse_reglement": 1.0}</t>
  </si>
  <si>
    <t>{"privee": 1.0, "parapublique": 0.0, "particulier": 0.0, "publique": 0.0}</t>
  </si>
  <si>
    <t>{"sante_deces": 0.0, "tension_tresorerie": 0.0, "client_injoignable": 0.0, "regularisation_annoncee": 0.0, "fraude_detournement": 0.0, "perte_revenus": 1.0, "aucun_motif": 0.0, "retard_technique": 0.0, "litige_juridique": 0.0}</t>
  </si>
  <si>
    <t>{"0": 0.16, "1": 0.84, "2": 0.0, "3": 0.0, "4": 0.0}</t>
  </si>
  <si>
    <t>restructuration</t>
  </si>
  <si>
    <t>{"promesse_reglement": 0.0, "en_cours": 0.0, "a_faire": 0.0, "escalade_contentieux": 0.0, "restructuration": 1.0, "regularise_a_verifier": 0.0}</t>
  </si>
  <si>
    <t>{"0": 0.02, "1": 0.98, "2": 0.0, "3": 0.0, "4": 0.0}</t>
  </si>
  <si>
    <t>{"en_cours": 0.0, "escalade_contentieux": 0.0, "a_faire": 0.0, "promesse_reglement": 1.0, "restructuration": 0.0, "regularise_a_verifier": 0.0}</t>
  </si>
  <si>
    <t>particulier</t>
  </si>
  <si>
    <t>{"parapublique": 0.0, "particulier": 0.6, "publique": 0.0, "privee": 0.4}</t>
  </si>
  <si>
    <t>aucun_motif</t>
  </si>
  <si>
    <t>{"perte_revenus": 0.0, "client_injoignable": 0.0, "litige_juridique": 0.0, "sante_deces": 0.0, "aucun_motif": 0.93, "tension_tresorerie": 0.05, "retard_technique": 0.01, "fraude_detournement": 0.0, "regularisation_annoncee": 0.01}</t>
  </si>
  <si>
    <t>{"parapublique": 0.0, "publique": 0.0, "privee": 0.0, "particulier": 1.0}</t>
  </si>
  <si>
    <t>litige_juridique</t>
  </si>
  <si>
    <t>{"tension_tresorerie": 0.0, "perte_revenus": 0.0, "sante_deces": 0.0, "litige_juridique": 1.0, "client_injoignable": 0.0, "aucun_motif": 0.0, "regularisation_annoncee": 0.0, "retard_technique": 0.0, "fraude_detournement": 0.0}</t>
  </si>
  <si>
    <t>{"0": 0.99, "1": 0.01, "2": 0.0, "3": 0.0, "4": 0.0}</t>
  </si>
  <si>
    <t>escalade_contentieux</t>
  </si>
  <si>
    <t>{"en_cours": 0.01, "a_faire": 0.0, "escalade_contentieux": 0.99, "regularise_a_verifier": 0.0, "restructuration": 0.0, "promesse_reglement": 0.0}</t>
  </si>
  <si>
    <t>{"privee": 0.24, "parapublique": 0.0, "particulier": 0.76, "publique": 0.0}</t>
  </si>
  <si>
    <t>sante_deces</t>
  </si>
  <si>
    <t>{"client_injoignable": 0.0, "sante_deces": 1.0, "litige_juridique": 0.0, "aucun_motif": 0.0, "perte_revenus": 0.0, "retard_technique": 0.0, "fraude_detournement": 0.0, "tension_tresorerie": 0.0, "regularisation_annoncee": 0.0}</t>
  </si>
  <si>
    <t>{"0": 0.76, "1": 0.19, "2": 0.05, "3": 0.0, "4": 0.0}</t>
  </si>
  <si>
    <t>{"promesse_reglement": 0.0, "regularise_a_verifier": 0.0, "en_cours": 0.53, "restructuration": 0.01, "a_faire": 0.18, "escalade_contentieux": 0.28}</t>
  </si>
  <si>
    <t>{"parapublique": 0.0, "particulier": 0.0, "publique": 0.0, "privee": 1.0}</t>
  </si>
  <si>
    <t>{"perte_revenus": 0.0, "client_injoignable": 0.0, "litige_juridique": 0.0, "sante_deces": 0.0, "aucun_motif": 0.0, "tension_tresorerie": 1.0, "fraude_detournement": 0.0, "retard_technique": 0.0, "regularisation_annoncee": 0.0}</t>
  </si>
  <si>
    <t>{"0": 0.0, "1": 0.03, "2": 0.16, "3": 0.52, "4": 0.29}</t>
  </si>
  <si>
    <t>{"a_faire": 0.0, "escalade_contentieux": 0.0, "en_cours": 0.0, "restructuration": 0.04, "promesse_reglement": 0.96, "regularise_a_verifier": 0.0}</t>
  </si>
  <si>
    <t>{"particulier": 0.0, "publique": 0.0, "parapublique": 0.01, "privee": 0.99}</t>
  </si>
  <si>
    <t>{"fraude_detournement": 0.0, "aucun_motif": 1.0, "perte_revenus": 0.0, "retard_technique": 0.0, "client_injoignable": 0.0, "regularisation_annoncee": 0.0, "tension_tresorerie": 0.0, "litige_juridique": 0.0, "sante_deces": 0.0}</t>
  </si>
  <si>
    <t>{"0": 1.0, "1": 0.0, "2": 0.0, "3": 0.0, "4": 0.0}</t>
  </si>
  <si>
    <t>a_faire</t>
  </si>
  <si>
    <t>{"promesse_reglement": 0.0, "a_faire": 0.98, "escalade_contentieux": 0.02, "regularise_a_verifier": 0.0, "restructuration": 0.0, "en_cours": 0.0}</t>
  </si>
  <si>
    <t>{"parapublique": 0.0, "particulier": 1.0, "privee": 0.0, "publique": 0.0}</t>
  </si>
  <si>
    <t>{"aucun_motif": 0.8200000000000001, "client_injoignable": 0.0, "fraude_detournement": 0.0, "retard_technique": 0.0, "tension_tresorerie": 0.0, "litige_juridique": 0.0, "regularisation_annoncee": 0.18, "perte_revenus": 0.0, "sante_deces": 0.0}</t>
  </si>
  <si>
    <t>{"a_faire": 0.02, "escalade_contentieux": 0.0, "regularise_a_verifier": 0.98, "restructuration": 0.0, "en_cours": 0.0, "promesse_reglement": 0.0}</t>
  </si>
  <si>
    <t>fraude_detournement</t>
  </si>
  <si>
    <t>{"aucun_motif": 0.0, "litige_juridique": 0.0, "tension_tresorerie": 0.0, "retard_technique": 0.0, "client_injoignable": 0.0, "regularisation_annoncee": 0.0, "sante_deces": 0.0, "perte_revenus": 0.0, "fraude_detournement": 1.0}</t>
  </si>
  <si>
    <t>{"promesse_reglement": 0.0, "regularise_a_verifier": 0.0, "a_faire": 0.0, "escalade_contentieux": 1.0, "restructuration": 0.0, "en_cours": 0.0}</t>
  </si>
  <si>
    <t>{"publique": 0.0, "particulier": 0.0, "parapublique": 0.05, "privee": 0.95}</t>
  </si>
  <si>
    <t>{"parapublique": 0.9, "privee": 0.0, "publique": 0.1, "particulier": 0.0}</t>
  </si>
  <si>
    <t>{"sante_deces": 0.0, "fraude_detournement": 0.0, "regularisation_annoncee": 0.05, "tension_tresorerie": 0.07, "client_injoignable": 0.0, "perte_revenus": 0.0, "aucun_motif": 0.85, "litige_juridique": 0.0, "retard_technique": 0.03}</t>
  </si>
  <si>
    <t>{"0": 0.01, "1": 0.98, "2": 0.0, "3": 0.01, "4": 0.0}</t>
  </si>
  <si>
    <t>{"en_cours": 0.59, "promesse_reglement": 0.41, "escalade_contentieux": 0.0, "restructuration": 0.0, "a_faire": 0.0, "regularise_a_verifier": 0.0}</t>
  </si>
  <si>
    <t>{"perte_revenus": 0.0, "client_injoignable": 0.0, "litige_juridique": 0.0, "tension_tresorerie": 0.0, "aucun_motif": 0.0, "sante_deces": 1.0, "fraude_detournement": 0.0, "retard_technique": 0.0, "regularisation_annoncee": 0.0}</t>
  </si>
  <si>
    <t>{"0": 0.0, "1": 0.32, "2": 0.18, "3": 0.5, "4": 0.0}</t>
  </si>
  <si>
    <t>{"restructuration": 0.0, "a_faire": 0.0, "escalade_contentieux": 0.0, "promesse_reglement": 0.99, "en_cours": 0.01, "regularise_a_verifier": 0.0}</t>
  </si>
  <si>
    <t>{"parapublique": 0.01, "publique": 0.04, "privee": 0.04, "particulier": 0.91}</t>
  </si>
  <si>
    <t>{"tension_tresorerie": 0.13, "client_injoignable": 0.0, "sante_deces": 0.0, "litige_juridique": 0.0, "perte_revenus": 0.0, "aucun_motif": 0.0, "retard_technique": 0.87, "regularisation_annoncee": 0.0, "fraude_detournement": 0.0}</t>
  </si>
  <si>
    <t>{"0": 0.0, "1": 0.0, "2": 0.11, "3": 0.62, "4": 0.27}</t>
  </si>
  <si>
    <t>{"en_cours": 0.15, "a_faire": 0.0, "escalade_contentieux": 0.0, "restructuration": 0.0, "regularise_a_verifier": 0.36, "promesse_reglement": 0.49}</t>
  </si>
  <si>
    <t>{"publique": 0.0, "particulier": 0.99, "parapublique": 0.0, "privee": 0.01}</t>
  </si>
  <si>
    <t>{"retard_technique": 0.0, "litige_juridique": 0.0, "tension_tresorerie": 0.16, "aucun_motif": 0.84, "client_injoignable": 0.0, "regularisation_annoncee": 0.0, "sante_deces": 0.0, "perte_revenus": 0.0, "fraude_detournement": 0.0}</t>
  </si>
  <si>
    <t>{"0": 0.19, "1": 0.78, "2": 0.03, "3": 0.0, "4": 0.0}</t>
  </si>
  <si>
    <t>{"en_cours": 0.0, "promesse_reglement": 0.0, "a_faire": 0.0, "restructuration": 1.0, "regularise_a_verifier": 0.0, "escalade_contentieux": 0.0}</t>
  </si>
  <si>
    <t>{"particulier": 0.0, "privee": 1.0, "parapublique": 0.0, "publique": 0.0}</t>
  </si>
  <si>
    <t>{"sante_deces": 0.0, "perte_revenus": 0.0, "litige_juridique": 0.0, "aucun_motif": 0.0, "fraude_detournement": 0.0, "retard_technique": 1.0, "regularisation_annoncee": 0.0, "client_injoignable": 0.0, "tension_tresorerie": 0.0}</t>
  </si>
  <si>
    <t>{"0": 0.08, "1": 0.87, "2": 0.05, "3": 0.0, "4": 0.0}</t>
  </si>
  <si>
    <t>{"escalade_contentieux": 0.0, "a_faire": 0.0, "regularise_a_verifier": 0.06, "en_cours": 0.94, "promesse_reglement": 0.0, "restructuration": 0.0}</t>
  </si>
  <si>
    <t>{"a_faire": 0.24, "en_cours": 0.72, "escalade_contentieux": 0.02, "promesse_reglement": 0.01, "restructuration": 0.0, "regularise_a_verifier": 0.01}</t>
  </si>
  <si>
    <t>{"parapublique": 0.86, "particulier": 0.0, "privee": 0.07, "publique": 0.07}</t>
  </si>
  <si>
    <t>{"litige_juridique": 0.06, "aucun_motif": 0.32, "sante_deces": 0.0, "tension_tresorerie": 0.44, "perte_revenus": 0.0, "client_injoignable": 0.0, "fraude_detournement": 0.0, "retard_technique": 0.18, "regularisation_annoncee": 0.0}</t>
  </si>
  <si>
    <t>{"0": 0.22, "1": 0.48, "2": 0.3, "3": 0.0, "4": 0.0}</t>
  </si>
  <si>
    <t>{"publique": 1.0, "particulier": 0.0, "parapublique": 0.0, "privee": 0.0}</t>
  </si>
  <si>
    <t>{"publique": 0.0, "privee": 0.0, "parapublique": 0.0, "particulier": 1.0}</t>
  </si>
  <si>
    <t>{"privee": 1.0, "particulier": 0.0, "publique": 0.0, "parapublique": 0.0}</t>
  </si>
  <si>
    <t>{"privee": 0.0, "parapublique": 0.0, "publique": 0.0, "particulier": 1.0}</t>
  </si>
  <si>
    <t>{"sante_deces": 0.0, "retard_technique": 0.0, "aucun_motif": 0.0, "tension_tresorerie": 1.0, "litige_juridique": 0.0, "client_injoignable": 0.0, "regularisation_annoncee": 0.0, "fraude_detournement": 0.0, "perte_revenus": 0.0}</t>
  </si>
  <si>
    <t>{"0": 0.0, "1": 0.0, "2": 0.13, "3": 0.87, "4": 0.0}</t>
  </si>
  <si>
    <t>{"a_faire": 0.0, "escalade_contentieux": 0.0, "en_cours": 0.0, "regularise_a_verifier": 0.0, "restructuration": 0.0, "promesse_reglement": 1.0}</t>
  </si>
  <si>
    <t>{"perte_revenus": 0.0, "regularisation_annoncee": 0.0, "aucun_motif": 0.0, "retard_technique": 1.0, "client_injoignable": 0.0, "fraude_detournement": 0.0, "tension_tresorerie": 0.0, "sante_deces": 0.0, "litige_juridique": 0.0}</t>
  </si>
  <si>
    <t>{"0": 0.0, "1": 0.01, "2": 0.22, "3": 0.77, "4": 0.0}</t>
  </si>
  <si>
    <t>{"escalade_contentieux": 0.0, "a_faire": 0.0, "en_cours": 0.31, "regularise_a_verifier": 0.0, "promesse_reglement": 0.6900000000000001, "restructuration": 0.0}</t>
  </si>
  <si>
    <t>{"parapublique": 0.06, "particulier": 0.0, "publique": 0.02, "privee": 0.92}</t>
  </si>
  <si>
    <t>{"restructuration": 0.0, "promesse_reglement": 0.76, "escalade_contentieux": 0.0, "en_cours": 0.0, "a_faire": 0.0, "regularise_a_verifier": 0.24}</t>
  </si>
  <si>
    <t>{"publique": 0.0, "parapublique": 0.0, "particulier": 0.0, "privee": 1.0}</t>
  </si>
  <si>
    <t>{"litige_juridique": 0.0, "retard_technique": 0.84, "aucun_motif": 0.01, "sante_deces": 0.0, "perte_revenus": 0.0, "client_injoignable": 0.0, "fraude_detournement": 0.0, "regularisation_annoncee": 0.13, "tension_tresorerie": 0.02}</t>
  </si>
  <si>
    <t>{"0": 0.01, "1": 0.0, "2": 0.0, "3": 0.03, "4": 0.96}</t>
  </si>
  <si>
    <t>{"particulier": 0.81, "privee": 0.12, "parapublique": 0.0, "publique": 0.07}</t>
  </si>
  <si>
    <t>{"regularisation_annoncee": 0.0, "perte_revenus": 0.0, "fraude_detournement": 0.0, "litige_juridique": 0.0, "aucun_motif": 0.0, "retard_technique": 0.15, "sante_deces": 0.0, "client_injoignable": 0.0, "tension_tresorerie": 0.85}</t>
  </si>
  <si>
    <t>{"0": 0.0, "1": 0.0, "2": 0.08, "3": 0.21, "4": 0.71}</t>
  </si>
  <si>
    <t>{"escalade_contentieux": 0.01, "restructuration": 0.0, "regularise_a_verifier": 0.08, "en_cours": 0.32, "promesse_reglement": 0.59, "a_faire": 0.0}</t>
  </si>
  <si>
    <t>{"publique": 0.0, "particulier": 0.67, "parapublique": 0.0, "privee": 0.33}</t>
  </si>
  <si>
    <t>{"aucun_motif": 0.0, "client_injoignable": 1.0, "fraude_detournement": 0.0, "tension_tresorerie": 0.0, "litige_juridique": 0.0, "retard_technique": 0.0, "regularisation_annoncee": 0.0, "perte_revenus": 0.0, "sante_deces": 0.0}</t>
  </si>
  <si>
    <t>{"0": 0.8, "1": 0.2, "2": 0.0, "3": 0.0, "4": 0.0}</t>
  </si>
  <si>
    <t>{"regularise_a_verifier": 0.0, "a_faire": 0.01, "promesse_reglement": 0.0, "en_cours": 0.68, "restructuration": 0.0, "escalade_contentieux": 0.31}</t>
  </si>
  <si>
    <t>{"particulier": 0.0, "parapublique": 0.09, "privee": 0.01, "publique": 0.9}</t>
  </si>
  <si>
    <t>{"litige_juridique": 0.0, "aucun_motif": 0.01, "tension_tresorerie": 0.0, "fraude_detournement": 0.0, "regularisation_annoncee": 0.99, "retard_technique": 0.0, "perte_revenus": 0.0, "sante_deces": 0.0, "client_injoignable": 0.0}</t>
  </si>
  <si>
    <t>{"0": 0.27, "1": 0.73, "2": 0.0, "3": 0.0, "4": 0.0}</t>
  </si>
  <si>
    <t>{"escalade_contentieux": 0.0, "en_cours": 0.0, "restructuration": 0.0, "a_faire": 0.0, "regularise_a_verifier": 1.0, "promesse_reglement": 0.0}</t>
  </si>
  <si>
    <t>{"privee": 0.97, "particulier": 0.03, "parapublique": 0.0, "publique": 0.0}</t>
  </si>
  <si>
    <t>{"sante_deces": 0.0, "litige_juridique": 0.0, "aucun_motif": 0.0, "client_injoignable": 0.0, "fraude_detournement": 0.0, "perte_revenus": 0.92, "tension_tresorerie": 0.01, "regularisation_annoncee": 0.0, "retard_technique": 0.07}</t>
  </si>
  <si>
    <t>{"0": 0.03, "1": 0.8, "2": 0.07, "3": 0.1, "4": 0.0}</t>
  </si>
  <si>
    <t>{"promesse_reglement": 1.0, "restructuration": 0.0, "a_faire": 0.0, "escalade_contentieux": 0.0, "regularise_a_verifier": 0.0, "en_cours": 0.0}</t>
  </si>
  <si>
    <t>{"parapublique": 0.0, "particulier": 0.81, "privee": 0.19, "publique": 0.0}</t>
  </si>
  <si>
    <t>{"aucun_motif": 0.0, "client_injoignable": 0.0, "fraude_detournement": 0.0, "retard_technique": 0.0, "tension_tresorerie": 0.0, "litige_juridique": 0.0, "regularisation_annoncee": 0.0, "perte_revenus": 1.0, "sante_deces": 0.0}</t>
  </si>
  <si>
    <t>{"0": 0.09, "1": 0.9, "2": 0.01, "3": 0.0, "4": 0.0}</t>
  </si>
  <si>
    <t>{"a_faire": 0.0, "escalade_contentieux": 0.0, "regularise_a_verifier": 0.0, "restructuration": 1.0, "en_cours": 0.0, "promesse_reglement": 0.0}</t>
  </si>
</sst>
</file>

<file path=xl/styles.xml><?xml version="1.0" encoding="utf-8"?>
<styleSheet xmlns="http://schemas.openxmlformats.org/spreadsheetml/2006/main">
  <numFmts count="3">
    <numFmt numFmtId="164" formatCode="# ##0"/>
    <numFmt numFmtId="165" formatCode="dd/mm/yyyy"/>
    <numFmt numFmtId="166" formatCode="0%"/>
  </numFmts>
  <fonts count="10">
    <font>
      <sz val="11"/>
      <color theme="1"/>
      <name val="Calibri"/>
      <family val="2"/>
      <scheme val="minor"/>
    </font>
    <font>
      <b/>
      <sz val="16"/>
      <color rgb="FFFFFFFF"/>
      <name val="Segoe UI"/>
      <family val="2"/>
    </font>
    <font>
      <i/>
      <sz val="9"/>
      <color rgb="FFDCEAF1"/>
      <name val="Segoe UI"/>
      <family val="2"/>
    </font>
    <font>
      <b/>
      <sz val="9"/>
      <color rgb="FF00415E"/>
      <name val="Segoe UI"/>
      <family val="2"/>
    </font>
    <font>
      <b/>
      <sz val="9"/>
      <color rgb="FFFFFFFF"/>
      <name val="Segoe UI"/>
      <family val="2"/>
    </font>
    <font>
      <b/>
      <sz val="8"/>
      <color rgb="FF3E5C6B"/>
      <name val="Segoe UI"/>
      <family val="2"/>
    </font>
    <font>
      <b/>
      <sz val="18"/>
      <color rgb="FF00415E"/>
      <name val="Segoe UI"/>
      <family val="2"/>
    </font>
    <font>
      <b/>
      <sz val="12"/>
      <color rgb="FF00415E"/>
      <name val="Segoe UI"/>
      <family val="2"/>
    </font>
    <font>
      <sz val="9"/>
      <color rgb="FF12333F"/>
      <name val="Segoe UI"/>
      <family val="2"/>
    </font>
    <font>
      <sz val="9"/>
      <color rgb="FF12333F"/>
      <name val="Consolas"/>
      <family val="2"/>
    </font>
  </fonts>
  <fills count="6">
    <fill>
      <patternFill patternType="none"/>
    </fill>
    <fill>
      <patternFill patternType="gray125"/>
    </fill>
    <fill>
      <patternFill patternType="solid">
        <fgColor rgb="FF00415E"/>
        <bgColor indexed="64"/>
      </patternFill>
    </fill>
    <fill>
      <patternFill patternType="solid">
        <fgColor rgb="FF8CC63F"/>
        <bgColor indexed="64"/>
      </patternFill>
    </fill>
    <fill>
      <patternFill patternType="solid">
        <fgColor rgb="FF1A86B3"/>
        <bgColor indexed="64"/>
      </patternFill>
    </fill>
    <fill>
      <patternFill patternType="solid">
        <fgColor rgb="FFEEF4F7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ck">
        <color rgb="FF8CC63F"/>
      </left>
      <right/>
      <top/>
      <bottom/>
      <diagonal/>
    </border>
    <border>
      <left/>
      <right/>
      <top/>
      <bottom style="medium">
        <color rgb="FF8CC63F"/>
      </bottom>
      <diagonal/>
    </border>
    <border>
      <left/>
      <right/>
      <top/>
      <bottom style="medium">
        <color rgb="FFCFE0E7"/>
      </bottom>
      <diagonal/>
    </border>
    <border>
      <left style="thin">
        <color rgb="FFCFE0E7"/>
      </left>
      <right style="thin">
        <color rgb="FFCFE0E7"/>
      </right>
      <top style="thin">
        <color rgb="FFCFE0E7"/>
      </top>
      <bottom style="thin">
        <color rgb="FFCFE0E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3" borderId="0" xfId="0" applyFill="1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 wrapText="1"/>
    </xf>
    <xf numFmtId="164" fontId="6" fillId="5" borderId="2" xfId="0" applyNumberFormat="1" applyFont="1" applyFill="1" applyBorder="1" applyAlignment="1">
      <alignment vertical="center"/>
    </xf>
    <xf numFmtId="0" fontId="7" fillId="0" borderId="3" xfId="0" applyFont="1" applyBorder="1" applyAlignment="1">
      <alignment vertical="center"/>
    </xf>
    <xf numFmtId="0" fontId="8" fillId="0" borderId="0" xfId="0" applyFont="1" applyAlignment="1">
      <alignment vertical="top" wrapText="1"/>
    </xf>
    <xf numFmtId="0" fontId="4" fillId="2" borderId="4" xfId="0" applyFont="1" applyFill="1" applyBorder="1" applyAlignment="1">
      <alignment horizontal="center" vertical="center" wrapText="1"/>
    </xf>
    <xf numFmtId="0" fontId="8" fillId="0" borderId="5" xfId="0" applyFont="1" applyBorder="1" applyAlignment="1">
      <alignment vertical="center"/>
    </xf>
    <xf numFmtId="0" fontId="8" fillId="0" borderId="5" xfId="0" applyFont="1" applyBorder="1" applyAlignment="1">
      <alignment vertical="top" wrapText="1"/>
    </xf>
    <xf numFmtId="164" fontId="9" fillId="0" borderId="5" xfId="0" applyNumberFormat="1" applyFont="1" applyBorder="1" applyAlignment="1">
      <alignment vertical="center"/>
    </xf>
    <xf numFmtId="0" fontId="8" fillId="0" borderId="5" xfId="0" applyFont="1" applyBorder="1" applyAlignment="1">
      <alignment horizontal="center" vertical="center"/>
    </xf>
    <xf numFmtId="165" fontId="8" fillId="0" borderId="5" xfId="0" applyNumberFormat="1" applyFont="1" applyBorder="1" applyAlignment="1">
      <alignment horizontal="center" vertical="center"/>
    </xf>
    <xf numFmtId="166" fontId="8" fillId="0" borderId="5" xfId="0" applyNumberFormat="1" applyFont="1" applyBorder="1" applyAlignment="1">
      <alignment horizontal="center" vertical="center"/>
    </xf>
  </cellXfs>
  <cellStyles count="1">
    <cellStyle name="Normal" xfId="0" builtinId="0"/>
  </cellStyles>
  <dxfs count="10"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numFmt numFmtId="164" formatCode="# ##0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ont>
        <color rgb="FF12333F"/>
      </font>
      <numFmt numFmtId="165" formatCode="dd/mm/yyyy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F8E1DE"/>
        </patternFill>
      </fill>
    </dxf>
    <dxf>
      <font>
        <color rgb="FF12333F"/>
      </font>
      <numFmt numFmtId="166" formatCode="0%"/>
      <border>
        <left style="thin">
          <color rgb="FFCFE0E7"/>
        </left>
        <right style="thin">
          <color rgb="FFCFE0E7"/>
        </right>
        <top style="thin">
          <color rgb="FFCFE0E7"/>
        </top>
        <bottom style="thin">
          <color rgb="FFCFE0E7"/>
        </bottom>
        <vertical/>
        <horizontal/>
      </border>
    </dxf>
    <dxf>
      <fill>
        <patternFill>
          <bgColor rgb="FFE6F3D8"/>
        </patternFill>
      </fill>
    </dxf>
    <dxf>
      <font>
        <b/>
        <color rgb="FFC0392B"/>
      </font>
    </dxf>
    <dxf>
      <fill>
        <patternFill>
          <bgColor rgb="FFFBEFD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Motifs des impayés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Dossiers</c:v>
          </c:tx>
          <c:dPt>
            <c:idx val="0"/>
            <c:spPr>
              <a:solidFill>
                <a:srgbClr val="005C8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0A6F95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6"/>
            <c:spPr>
              <a:solidFill>
                <a:srgbClr val="6BA23A"/>
              </a:solidFill>
              <a:ln>
                <a:solidFill>
                  <a:srgbClr val="FFFFFF"/>
                </a:solidFill>
              </a:ln>
            </c:spPr>
          </c:dPt>
          <c:dPt>
            <c:idx val="7"/>
            <c:spPr>
              <a:solidFill>
                <a:srgbClr val="7FA7B8"/>
              </a:solidFill>
              <a:ln>
                <a:solidFill>
                  <a:srgbClr val="FFFFFF"/>
                </a:solidFill>
              </a:ln>
            </c:spPr>
          </c:dPt>
          <c:dPt>
            <c:idx val="8"/>
            <c:spPr>
              <a:solidFill>
                <a:srgbClr val="D4A13A"/>
              </a:solidFill>
              <a:ln>
                <a:solidFill>
                  <a:srgbClr val="FFFFFF"/>
                </a:solidFill>
              </a:ln>
            </c:spPr>
          </c:dPt>
          <c:dPt>
            <c:idx val="9"/>
            <c:spPr>
              <a:solidFill>
                <a:srgbClr val="3E5C6B"/>
              </a:solidFill>
              <a:ln>
                <a:solidFill>
                  <a:srgbClr val="FFFFFF"/>
                </a:solidFill>
              </a:ln>
            </c:spPr>
          </c:dPt>
          <c:dLbls>
            <c:dLbl>
              <c:idx val="8"/>
              <c:delete val="1"/>
            </c:dLbl>
            <c:dLbl>
              <c:idx val="9"/>
              <c:delete val="1"/>
            </c:dLbl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Percent val="1"/>
            <c:showLeaderLines val="1"/>
          </c:dLbls>
          <c:cat>
            <c:strRef>
              <c:f>_graph!$A$2:$A$11</c:f>
              <c:strCache>
                <c:ptCount val="10"/>
                <c:pt idx="0">
                  <c:v>Retard technique</c:v>
                </c:pt>
                <c:pt idx="1">
                  <c:v>Tension de trésorerie</c:v>
                </c:pt>
                <c:pt idx="2">
                  <c:v>Aucun motif</c:v>
                </c:pt>
                <c:pt idx="3">
                  <c:v>Perte de revenus</c:v>
                </c:pt>
                <c:pt idx="4">
                  <c:v>Sans retour</c:v>
                </c:pt>
                <c:pt idx="5">
                  <c:v>Client injoignable</c:v>
                </c:pt>
                <c:pt idx="6">
                  <c:v>Régularisation annoncée</c:v>
                </c:pt>
                <c:pt idx="7">
                  <c:v>Santé / décès</c:v>
                </c:pt>
                <c:pt idx="8">
                  <c:v>Litige juridique</c:v>
                </c:pt>
                <c:pt idx="9">
                  <c:v>Fraude / détournement</c:v>
                </c:pt>
              </c:strCache>
            </c:strRef>
          </c:cat>
          <c:val>
            <c:numRef>
              <c:f>_graph!$B$2:$B$11</c:f>
              <c:numCache>
                <c:formatCode>General</c:formatCode>
                <c:ptCount val="10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</c:ser>
        <c:firstSliceAng val="0"/>
        <c:holeSize val="55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Impayé par classe (M XOF)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Impayé (M XOF)</c:v>
          </c:tx>
          <c:dPt>
            <c:idx val="0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_graph!$D$2:$D$3</c:f>
              <c:strCache>
                <c:ptCount val="2"/>
                <c:pt idx="0">
                  <c:v>Sensible 31-60j</c:v>
                </c:pt>
                <c:pt idx="1">
                  <c:v>Sensible 61-90j</c:v>
                </c:pt>
              </c:strCache>
            </c:strRef>
          </c:cat>
          <c:val>
            <c:numRef>
              <c:f>_graph!$E$2:$E$3</c:f>
              <c:numCache>
                <c:formatCode>General</c:formatCode>
                <c:ptCount val="2"/>
                <c:pt idx="0">
                  <c:v>1378.1</c:v>
                </c:pt>
                <c:pt idx="1">
                  <c:v>429.8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9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EEF4F7"/>
              </a:solidFill>
            </a:ln>
          </c:spPr>
        </c:majorGridlines>
        <c:numFmt formatCode="General" sourceLinked="1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Statut du suivi proposé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005C83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0A6F95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5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_graph!$G$2:$G$7</c:f>
              <c:strCache>
                <c:ptCount val="6"/>
                <c:pt idx="0">
                  <c:v>Revue analyste</c:v>
                </c:pt>
                <c:pt idx="1">
                  <c:v>Promesse de règlement</c:v>
                </c:pt>
                <c:pt idx="2">
                  <c:v>À faire</c:v>
                </c:pt>
                <c:pt idx="3">
                  <c:v>En cours</c:v>
                </c:pt>
                <c:pt idx="4">
                  <c:v>Restructuration</c:v>
                </c:pt>
                <c:pt idx="5">
                  <c:v>Escalade contentieux</c:v>
                </c:pt>
              </c:strCache>
            </c:strRef>
          </c:cat>
          <c:val>
            <c:numRef>
              <c:f>_graph!$H$2:$H$7</c:f>
              <c:numCache>
                <c:formatCode>General</c:formatCode>
                <c:ptCount val="6"/>
                <c:pt idx="0">
                  <c:v>10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gapWidth val="6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numFmt formatCode="General" sourceLinked="1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3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Promesses vs bascule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7FA7B8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_graph!$J$2:$J$5</c:f>
              <c:strCache>
                <c:ptCount val="4"/>
                <c:pt idx="0">
                  <c:v>Avant la bascule</c:v>
                </c:pt>
                <c:pt idx="1">
                  <c:v>Après la bascule</c:v>
                </c:pt>
                <c:pt idx="2">
                  <c:v>Sans date</c:v>
                </c:pt>
                <c:pt idx="3">
                  <c:v>Sans retour</c:v>
                </c:pt>
              </c:strCache>
            </c:strRef>
          </c:cat>
          <c:val>
            <c:numRef>
              <c:f>_graph!$K$2:$K$5</c:f>
              <c:numCache>
                <c:formatCode>General</c:formatCode>
                <c:ptCount val="4"/>
                <c:pt idx="0">
                  <c:v>10</c:v>
                </c:pt>
                <c:pt idx="1">
                  <c:v>3</c:v>
                </c:pt>
                <c:pt idx="2">
                  <c:v>14</c:v>
                </c:pt>
                <c:pt idx="3">
                  <c:v>3</c:v>
                </c:pt>
              </c:numCache>
            </c:numRef>
          </c:val>
        </c:ser>
        <c:gapWidth val="60"/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EF4F7"/>
              </a:solidFill>
            </a:ln>
          </c:spPr>
        </c:majorGridlines>
        <c:numFmt formatCode="General" sourceLinked="1"/>
        <c:tickLblPos val="nextTo"/>
        <c:crossAx val="5004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Nature des contreparties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Dossiers</c:v>
          </c:tx>
          <c:dPt>
            <c:idx val="0"/>
            <c:spPr>
              <a:solidFill>
                <a:srgbClr val="00415E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Percent val="1"/>
            <c:showLeaderLines val="1"/>
          </c:dLbls>
          <c:cat>
            <c:strRef>
              <c:f>_graph!$M$2:$M$5</c:f>
              <c:strCache>
                <c:ptCount val="4"/>
                <c:pt idx="0">
                  <c:v>Publique</c:v>
                </c:pt>
                <c:pt idx="1">
                  <c:v>Parapublique</c:v>
                </c:pt>
                <c:pt idx="2">
                  <c:v>Privée</c:v>
                </c:pt>
                <c:pt idx="3">
                  <c:v>Particulier</c:v>
                </c:pt>
              </c:strCache>
            </c:strRef>
          </c:cat>
          <c:val>
            <c:numRef>
              <c:f>_graph!$N$2:$N$5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11</c:v>
                </c:pt>
                <c:pt idx="3">
                  <c:v>11</c:v>
                </c:pt>
              </c:numCache>
            </c:numRef>
          </c:val>
        </c:ser>
        <c:firstSliceAng val="0"/>
        <c:holeSize val="55"/>
      </c:doughnutChart>
      <c:spPr>
        <a:solidFill>
          <a:srgbClr val="FFFFFF"/>
        </a:solidFill>
      </c:spPr>
    </c:plotArea>
    <c:legend>
      <c:legendPos val="r"/>
      <c:layout/>
      <c:txPr>
        <a:bodyPr/>
        <a:lstStyle/>
        <a:p>
          <a:pPr rtl="0">
            <a:defRPr sz="800" baseline="0">
              <a:latin typeface="Segoe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00415E"/>
                </a:solidFill>
                <a:latin typeface="Segoe UI"/>
              </a:defRPr>
            </a:pPr>
            <a:r>
              <a:rPr lang="en-US" sz="1100" b="1" baseline="0">
                <a:solidFill>
                  <a:srgbClr val="00415E"/>
                </a:solidFill>
                <a:latin typeface="Segoe UI"/>
              </a:rPr>
              <a:t>Crédibilité des promesses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Dossiers</c:v>
          </c:tx>
          <c:dPt>
            <c:idx val="0"/>
            <c:spPr>
              <a:solidFill>
                <a:srgbClr val="C0392B"/>
              </a:solidFill>
              <a:ln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B67D1C"/>
              </a:solidFill>
              <a:ln>
                <a:solidFill>
                  <a:srgbClr val="FFFFFF"/>
                </a:solidFill>
              </a:ln>
            </c:spPr>
          </c:dPt>
          <c:dPt>
            <c:idx val="2"/>
            <c:spPr>
              <a:solidFill>
                <a:srgbClr val="D4A13A"/>
              </a:solidFill>
              <a:ln>
                <a:solidFill>
                  <a:srgbClr val="FFFFFF"/>
                </a:solidFill>
              </a:ln>
            </c:spPr>
          </c:dPt>
          <c:dPt>
            <c:idx val="3"/>
            <c:spPr>
              <a:solidFill>
                <a:srgbClr val="1A86B3"/>
              </a:solidFill>
              <a:ln>
                <a:solidFill>
                  <a:srgbClr val="FFFFFF"/>
                </a:solidFill>
              </a:ln>
            </c:spPr>
          </c:dPt>
          <c:dPt>
            <c:idx val="4"/>
            <c:spPr>
              <a:solidFill>
                <a:srgbClr val="8CC63F"/>
              </a:solidFill>
              <a:ln>
                <a:solidFill>
                  <a:srgbClr val="FFFFFF"/>
                </a:solidFill>
              </a:ln>
            </c:spPr>
          </c:dPt>
          <c:dLbls>
            <c:txPr>
              <a:bodyPr/>
              <a:lstStyle/>
              <a:p>
                <a:pPr>
                  <a:defRPr sz="800" baseline="0">
                    <a:solidFill>
                      <a:srgbClr val="12333F"/>
                    </a:solidFill>
                    <a:latin typeface="Segoe UI"/>
                  </a:defRPr>
                </a:pPr>
                <a:endParaRPr lang="en-US"/>
              </a:p>
            </c:txPr>
            <c:showVal val="1"/>
          </c:dLbls>
          <c:cat>
            <c:strRef>
              <c:f>_graph!$P$2:$P$6</c:f>
              <c:strCache>
                <c:ptCount val="5"/>
                <c:pt idx="0">
                  <c:v>Nulle</c:v>
                </c:pt>
                <c:pt idx="1">
                  <c:v>Faible</c:v>
                </c:pt>
                <c:pt idx="2">
                  <c:v>Moyenne</c:v>
                </c:pt>
                <c:pt idx="3">
                  <c:v>Bonne</c:v>
                </c:pt>
                <c:pt idx="4">
                  <c:v>Très bonne</c:v>
                </c:pt>
              </c:strCache>
            </c:strRef>
          </c:cat>
          <c:val>
            <c:numRef>
              <c:f>_graph!$Q$2:$Q$6</c:f>
              <c:numCache>
                <c:formatCode>General</c:formatCode>
                <c:ptCount val="5"/>
                <c:pt idx="0">
                  <c:v>7</c:v>
                </c:pt>
                <c:pt idx="1">
                  <c:v>11</c:v>
                </c:pt>
                <c:pt idx="2">
                  <c:v>1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</c:ser>
        <c:gapWidth val="6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FFFFF"/>
        </a:solidFill>
      </c:spPr>
    </c:plotArea>
    <c:plotVisOnly val="1"/>
  </c:chart>
  <c:spPr>
    <a:solidFill>
      <a:srgbClr val="FFFFFF"/>
    </a:solidFill>
    <a:ln>
      <a:solidFill>
        <a:srgbClr val="CFE0E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8</xdr:row>
      <xdr:rowOff>57150</xdr:rowOff>
    </xdr:from>
    <xdr:to>
      <xdr:col>6</xdr:col>
      <xdr:colOff>57150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57150</xdr:colOff>
      <xdr:row>8</xdr:row>
      <xdr:rowOff>57150</xdr:rowOff>
    </xdr:from>
    <xdr:to>
      <xdr:col>12</xdr:col>
      <xdr:colOff>57150</xdr:colOff>
      <xdr:row>23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57150</xdr:colOff>
      <xdr:row>24</xdr:row>
      <xdr:rowOff>57150</xdr:rowOff>
    </xdr:from>
    <xdr:to>
      <xdr:col>6</xdr:col>
      <xdr:colOff>57150</xdr:colOff>
      <xdr:row>39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57150</xdr:colOff>
      <xdr:row>24</xdr:row>
      <xdr:rowOff>57150</xdr:rowOff>
    </xdr:from>
    <xdr:to>
      <xdr:col>12</xdr:col>
      <xdr:colOff>57150</xdr:colOff>
      <xdr:row>39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57150</xdr:colOff>
      <xdr:row>40</xdr:row>
      <xdr:rowOff>57150</xdr:rowOff>
    </xdr:from>
    <xdr:to>
      <xdr:col>6</xdr:col>
      <xdr:colOff>57150</xdr:colOff>
      <xdr:row>55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57150</xdr:colOff>
      <xdr:row>40</xdr:row>
      <xdr:rowOff>57150</xdr:rowOff>
    </xdr:from>
    <xdr:to>
      <xdr:col>12</xdr:col>
      <xdr:colOff>57150</xdr:colOff>
      <xdr:row>55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lanActions" displayName="PlanActions" ref="A6:O36" totalsRowShown="0">
  <autoFilter ref="A6:O36"/>
  <tableColumns count="15">
    <tableColumn id="1" name="Réf LD" dataDxfId="0"/>
    <tableColumn id="2" name="Client" dataDxfId="1"/>
    <tableColumn id="3" name="Segment" dataDxfId="0"/>
    <tableColumn id="4" name="Gestion-naire" dataDxfId="0"/>
    <tableColumn id="5" name="Encours (XOF)" dataDxfId="2"/>
    <tableColumn id="6" name="Impayé (XOF)" dataDxfId="2"/>
    <tableColumn id="7" name="Jours d'impayés" dataDxfId="3"/>
    <tableColumn id="8" name="Classe" dataDxfId="0"/>
    <tableColumn id="9" name="Date de bascule" dataDxfId="4"/>
    <tableColumn id="10" name="Commentaire du gestionnaire" dataDxfId="1"/>
    <tableColumn id="11" name="Statut du suivi (fichier)" dataDxfId="0"/>
    <tableColumn id="12" name="Statut proposé TypeSafe" dataDxfId="0"/>
    <tableColumn id="13" name="Statut retenu" dataDxfId="0"/>
    <tableColumn id="14" name="Motif (TypeSafe)" dataDxfId="0"/>
    <tableColumn id="15" name="Revue analyste" dataDxfId="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Retours" displayName="Retours" ref="A6:M33" totalsRowShown="0">
  <autoFilter ref="A6:M33"/>
  <tableColumns count="13">
    <tableColumn id="1" name="Réf LD" dataDxfId="0"/>
    <tableColumn id="2" name="Client" dataDxfId="1"/>
    <tableColumn id="3" name="Gestion-naire" dataDxfId="0"/>
    <tableColumn id="4" name="Commentaire du gestionnaire" dataDxfId="1"/>
    <tableColumn id="5" name="Motif" dataDxfId="0"/>
    <tableColumn id="6" name="Confiance motif" dataDxfId="6"/>
    <tableColumn id="7" name="Promesse datée (proba.)" dataDxfId="6"/>
    <tableColumn id="8" name="Crédibilité" dataDxfId="0"/>
    <tableColumn id="9" name="Confiance crédibilité" dataDxfId="6"/>
    <tableColumn id="10" name="Incohérence (proba.)" dataDxfId="6"/>
    <tableColumn id="11" name="Statut proposé" dataDxfId="0"/>
    <tableColumn id="12" name="Confiance statut" dataDxfId="6"/>
    <tableColumn id="13" name="Statut retenu" data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Promesses" displayName="Promesses" ref="A6:J19" totalsRowShown="0">
  <autoFilter ref="A6:J19"/>
  <tableColumns count="10">
    <tableColumn id="1" name="Réf LD" dataDxfId="0"/>
    <tableColumn id="2" name="Client" dataDxfId="1"/>
    <tableColumn id="3" name="Impayé (XOF)" dataDxfId="2"/>
    <tableColumn id="4" name="Jours d'impayés" dataDxfId="3"/>
    <tableColumn id="5" name="Date de bascule" dataDxfId="4"/>
    <tableColumn id="6" name="Date promise (lue par le code)" dataDxfId="4"/>
    <tableColumn id="7" name="Écart (jours)" dataDxfId="3"/>
    <tableColumn id="8" name="Position" dataDxfId="0"/>
    <tableColumn id="9" name="Crédibilité" dataDxfId="0"/>
    <tableColumn id="10" name="Commentaire du gestionnaire" dataDxfId="1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Controle" displayName="Controle" ref="A6:H31" totalsRowShown="0">
  <autoFilter ref="A6:H31"/>
  <tableColumns count="8">
    <tableColumn id="1" name="Réf LD" dataDxfId="0"/>
    <tableColumn id="2" name="Client" dataDxfId="1"/>
    <tableColumn id="3" name="Segment" dataDxfId="0"/>
    <tableColumn id="4" name="Gestion-naire" dataDxfId="0"/>
    <tableColumn id="5" name="Nature (TypeSafe)" dataDxfId="0"/>
    <tableColumn id="6" name="Intra-groupe" dataDxfId="3"/>
    <tableColumn id="7" name="Segment douteux" dataDxfId="3"/>
    <tableColumn id="8" name="Point de contrôle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L61"/>
  <sheetViews>
    <sheetView showGridLines="0" tabSelected="1" workbookViewId="0"/>
  </sheetViews>
  <sheetFormatPr defaultRowHeight="15"/>
  <cols>
    <col min="1" max="12" width="14.28515625" customWidth="1"/>
  </cols>
  <sheetData>
    <row r="1" spans="1:12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2" customHeight="1">
      <c r="A4" s="4" t="s">
        <v>2</v>
      </c>
      <c r="B4" s="4"/>
      <c r="C4" s="5" t="s">
        <v>3</v>
      </c>
      <c r="D4" s="5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</row>
    <row r="6" spans="1:12" ht="26" customHeight="1">
      <c r="A6" s="6" t="s">
        <v>8</v>
      </c>
      <c r="B6" s="6"/>
      <c r="C6" s="6" t="s">
        <v>9</v>
      </c>
      <c r="D6" s="6"/>
      <c r="E6" s="6" t="s">
        <v>10</v>
      </c>
      <c r="F6" s="6"/>
      <c r="G6" s="6" t="s">
        <v>11</v>
      </c>
      <c r="H6" s="6"/>
      <c r="I6" s="6" t="s">
        <v>12</v>
      </c>
      <c r="J6" s="6"/>
      <c r="K6" s="6" t="s">
        <v>13</v>
      </c>
      <c r="L6" s="6"/>
    </row>
    <row r="7" spans="1:12" ht="30" customHeight="1">
      <c r="A7" s="7">
        <v>30</v>
      </c>
      <c r="B7" s="7"/>
      <c r="C7" s="7">
        <v>1807890221</v>
      </c>
      <c r="D7" s="7"/>
      <c r="E7" s="7">
        <v>27</v>
      </c>
      <c r="F7" s="7"/>
      <c r="G7" s="7">
        <v>10</v>
      </c>
      <c r="H7" s="7"/>
      <c r="I7" s="7">
        <v>3</v>
      </c>
      <c r="J7" s="7"/>
      <c r="K7" s="7">
        <v>8</v>
      </c>
      <c r="L7" s="7"/>
    </row>
    <row r="57" spans="1:12">
      <c r="A57" s="8" t="s">
        <v>50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</row>
    <row r="58" spans="1:12" ht="18" customHeight="1">
      <c r="A58" s="9" t="s">
        <v>51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18" customHeight="1">
      <c r="A59" s="9" t="s">
        <v>52</v>
      </c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</row>
    <row r="60" spans="1:12" ht="18" customHeight="1">
      <c r="A60" s="9" t="s">
        <v>53</v>
      </c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</row>
    <row r="61" spans="1:12" ht="18" customHeight="1">
      <c r="A61" s="9" t="s">
        <v>54</v>
      </c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</row>
  </sheetData>
  <mergeCells count="25">
    <mergeCell ref="A1:L1"/>
    <mergeCell ref="A2:L2"/>
    <mergeCell ref="A4:B4"/>
    <mergeCell ref="C4:D4"/>
    <mergeCell ref="E4:F4"/>
    <mergeCell ref="G4:H4"/>
    <mergeCell ref="I4:J4"/>
    <mergeCell ref="K4:L4"/>
    <mergeCell ref="A6:B6"/>
    <mergeCell ref="A7:B7"/>
    <mergeCell ref="C6:D6"/>
    <mergeCell ref="C7:D7"/>
    <mergeCell ref="E6:F6"/>
    <mergeCell ref="E7:F7"/>
    <mergeCell ref="G6:H6"/>
    <mergeCell ref="G7:H7"/>
    <mergeCell ref="I6:J6"/>
    <mergeCell ref="I7:J7"/>
    <mergeCell ref="K6:L6"/>
    <mergeCell ref="K7:L7"/>
    <mergeCell ref="A57:L57"/>
    <mergeCell ref="A58:L58"/>
    <mergeCell ref="A59:L59"/>
    <mergeCell ref="A60:L60"/>
    <mergeCell ref="A61:L61"/>
  </mergeCells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Q11"/>
  <sheetViews>
    <sheetView workbookViewId="0"/>
  </sheetViews>
  <sheetFormatPr defaultRowHeight="15"/>
  <sheetData>
    <row r="1" spans="1:17">
      <c r="A1" t="s">
        <v>14</v>
      </c>
      <c r="D1" t="s">
        <v>25</v>
      </c>
      <c r="G1" t="s">
        <v>28</v>
      </c>
      <c r="J1" t="s">
        <v>35</v>
      </c>
      <c r="M1" t="s">
        <v>39</v>
      </c>
      <c r="P1" t="s">
        <v>44</v>
      </c>
    </row>
    <row r="2" spans="1:17">
      <c r="A2" t="s">
        <v>15</v>
      </c>
      <c r="B2">
        <v>5</v>
      </c>
      <c r="D2" t="s">
        <v>26</v>
      </c>
      <c r="E2">
        <v>1378.1</v>
      </c>
      <c r="G2" t="s">
        <v>29</v>
      </c>
      <c r="H2">
        <v>10</v>
      </c>
      <c r="J2" t="s">
        <v>36</v>
      </c>
      <c r="K2">
        <v>10</v>
      </c>
      <c r="M2" t="s">
        <v>40</v>
      </c>
      <c r="N2">
        <v>4</v>
      </c>
      <c r="P2" t="s">
        <v>45</v>
      </c>
      <c r="Q2">
        <v>7</v>
      </c>
    </row>
    <row r="3" spans="1:17">
      <c r="A3" t="s">
        <v>16</v>
      </c>
      <c r="B3">
        <v>5</v>
      </c>
      <c r="D3" t="s">
        <v>27</v>
      </c>
      <c r="E3">
        <v>429.8</v>
      </c>
      <c r="G3" t="s">
        <v>30</v>
      </c>
      <c r="H3">
        <v>8</v>
      </c>
      <c r="J3" t="s">
        <v>37</v>
      </c>
      <c r="K3">
        <v>3</v>
      </c>
      <c r="M3" t="s">
        <v>41</v>
      </c>
      <c r="N3">
        <v>4</v>
      </c>
      <c r="P3" t="s">
        <v>46</v>
      </c>
      <c r="Q3">
        <v>11</v>
      </c>
    </row>
    <row r="4" spans="1:17">
      <c r="A4" t="s">
        <v>17</v>
      </c>
      <c r="B4">
        <v>5</v>
      </c>
      <c r="G4" t="s">
        <v>31</v>
      </c>
      <c r="H4">
        <v>4</v>
      </c>
      <c r="J4" t="s">
        <v>38</v>
      </c>
      <c r="K4">
        <v>14</v>
      </c>
      <c r="M4" t="s">
        <v>42</v>
      </c>
      <c r="N4">
        <v>11</v>
      </c>
      <c r="P4" t="s">
        <v>47</v>
      </c>
      <c r="Q4">
        <v>1</v>
      </c>
    </row>
    <row r="5" spans="1:17">
      <c r="A5" t="s">
        <v>18</v>
      </c>
      <c r="B5">
        <v>4</v>
      </c>
      <c r="G5" t="s">
        <v>32</v>
      </c>
      <c r="H5">
        <v>3</v>
      </c>
      <c r="J5" t="s">
        <v>19</v>
      </c>
      <c r="K5">
        <v>3</v>
      </c>
      <c r="M5" t="s">
        <v>43</v>
      </c>
      <c r="N5">
        <v>11</v>
      </c>
      <c r="P5" t="s">
        <v>48</v>
      </c>
      <c r="Q5">
        <v>4</v>
      </c>
    </row>
    <row r="6" spans="1:17">
      <c r="A6" t="s">
        <v>19</v>
      </c>
      <c r="B6">
        <v>3</v>
      </c>
      <c r="G6" t="s">
        <v>33</v>
      </c>
      <c r="H6">
        <v>3</v>
      </c>
      <c r="P6" t="s">
        <v>49</v>
      </c>
      <c r="Q6">
        <v>4</v>
      </c>
    </row>
    <row r="7" spans="1:17">
      <c r="A7" t="s">
        <v>20</v>
      </c>
      <c r="B7">
        <v>2</v>
      </c>
      <c r="G7" t="s">
        <v>34</v>
      </c>
      <c r="H7">
        <v>2</v>
      </c>
    </row>
    <row r="8" spans="1:17">
      <c r="A8" t="s">
        <v>21</v>
      </c>
      <c r="B8">
        <v>2</v>
      </c>
    </row>
    <row r="9" spans="1:17">
      <c r="A9" t="s">
        <v>22</v>
      </c>
      <c r="B9">
        <v>2</v>
      </c>
    </row>
    <row r="10" spans="1:17">
      <c r="A10" t="s">
        <v>23</v>
      </c>
      <c r="B10">
        <v>1</v>
      </c>
    </row>
    <row r="11" spans="1:17">
      <c r="A11" t="s">
        <v>24</v>
      </c>
      <c r="B1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5C83"/>
    <pageSetUpPr fitToPage="1"/>
  </sheetPr>
  <dimension ref="A1:O36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 x14ac:dyDescent="0.25"/>
  <cols>
    <col min="1" max="1" width="12.7109375" customWidth="1"/>
    <col min="2" max="2" width="30.7109375" customWidth="1"/>
    <col min="3" max="3" width="12.7109375" customWidth="1"/>
    <col min="4" max="4" width="10.7109375" customWidth="1"/>
    <col min="5" max="5" width="15.7109375" customWidth="1"/>
    <col min="6" max="6" width="14.7109375" customWidth="1"/>
    <col min="7" max="7" width="9.7109375" customWidth="1"/>
    <col min="8" max="8" width="14.7109375" customWidth="1"/>
    <col min="9" max="9" width="11.7109375" customWidth="1"/>
    <col min="10" max="10" width="46.7109375" customWidth="1"/>
    <col min="11" max="11" width="12.7109375" customWidth="1"/>
    <col min="12" max="13" width="16.7109375" customWidth="1"/>
    <col min="14" max="14" width="18.7109375" customWidth="1"/>
    <col min="15" max="15" width="34.7109375" customWidth="1"/>
  </cols>
  <sheetData>
    <row r="1" spans="1:15" ht="30" customHeight="1" x14ac:dyDescent="0.25">
      <c r="A1" s="1" t="s">
        <v>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 x14ac:dyDescent="0.25">
      <c r="A2" s="2" t="s">
        <v>56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5" ht="4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ht="22" customHeight="1" x14ac:dyDescent="0.25">
      <c r="A4" s="5" t="s">
        <v>2</v>
      </c>
      <c r="B4" s="5"/>
      <c r="C4" s="4" t="s">
        <v>3</v>
      </c>
      <c r="D4" s="4"/>
      <c r="E4" s="5" t="s">
        <v>4</v>
      </c>
      <c r="F4" s="5"/>
      <c r="G4" s="5" t="s">
        <v>5</v>
      </c>
      <c r="H4" s="5"/>
      <c r="I4" s="5" t="s">
        <v>6</v>
      </c>
      <c r="J4" s="5"/>
      <c r="K4" s="5" t="s">
        <v>7</v>
      </c>
      <c r="L4" s="5"/>
      <c r="M4" s="5"/>
      <c r="N4" s="5"/>
      <c r="O4" s="5"/>
    </row>
    <row r="6" spans="1:15" ht="36" customHeight="1" x14ac:dyDescent="0.25">
      <c r="A6" s="10" t="s">
        <v>57</v>
      </c>
      <c r="B6" s="10" t="s">
        <v>58</v>
      </c>
      <c r="C6" s="10" t="s">
        <v>59</v>
      </c>
      <c r="D6" s="10" t="s">
        <v>60</v>
      </c>
      <c r="E6" s="10" t="s">
        <v>61</v>
      </c>
      <c r="F6" s="10" t="s">
        <v>62</v>
      </c>
      <c r="G6" s="10" t="s">
        <v>63</v>
      </c>
      <c r="H6" s="10" t="s">
        <v>25</v>
      </c>
      <c r="I6" s="10" t="s">
        <v>64</v>
      </c>
      <c r="J6" s="10" t="s">
        <v>65</v>
      </c>
      <c r="K6" s="10" t="s">
        <v>66</v>
      </c>
      <c r="L6" s="10" t="s">
        <v>67</v>
      </c>
      <c r="M6" s="10" t="s">
        <v>68</v>
      </c>
      <c r="N6" s="10" t="s">
        <v>69</v>
      </c>
      <c r="O6" s="10" t="s">
        <v>29</v>
      </c>
    </row>
    <row r="7" spans="1:15" ht="26" customHeight="1" x14ac:dyDescent="0.25">
      <c r="A7" s="11" t="s">
        <v>70</v>
      </c>
      <c r="B7" s="12" t="s">
        <v>71</v>
      </c>
      <c r="C7" s="11" t="s">
        <v>72</v>
      </c>
      <c r="D7" s="11" t="s">
        <v>73</v>
      </c>
      <c r="E7" s="13">
        <v>8354000</v>
      </c>
      <c r="F7" s="13">
        <v>1350648</v>
      </c>
      <c r="G7" s="14">
        <v>66</v>
      </c>
      <c r="H7" s="11" t="s">
        <v>27</v>
      </c>
      <c r="I7" s="15">
        <v>46319</v>
      </c>
      <c r="J7" s="12" t="s">
        <v>74</v>
      </c>
      <c r="K7" s="11" t="s">
        <v>31</v>
      </c>
      <c r="L7" s="11" t="s">
        <v>30</v>
      </c>
      <c r="M7" s="11" t="s">
        <v>30</v>
      </c>
      <c r="N7" s="11" t="s">
        <v>15</v>
      </c>
      <c r="O7" s="12"/>
    </row>
    <row r="8" spans="1:15" ht="39" customHeight="1" x14ac:dyDescent="0.25">
      <c r="A8" s="11" t="s">
        <v>75</v>
      </c>
      <c r="B8" s="12" t="s">
        <v>76</v>
      </c>
      <c r="C8" s="11" t="s">
        <v>77</v>
      </c>
      <c r="D8" s="11" t="s">
        <v>78</v>
      </c>
      <c r="E8" s="13">
        <v>350402000</v>
      </c>
      <c r="F8" s="13">
        <v>42541838</v>
      </c>
      <c r="G8" s="14">
        <v>36</v>
      </c>
      <c r="H8" s="11" t="s">
        <v>26</v>
      </c>
      <c r="I8" s="15">
        <v>46349</v>
      </c>
      <c r="J8" s="12" t="s">
        <v>79</v>
      </c>
      <c r="K8" s="11" t="s">
        <v>31</v>
      </c>
      <c r="L8" s="11" t="s">
        <v>30</v>
      </c>
      <c r="M8" s="11" t="s">
        <v>30</v>
      </c>
      <c r="N8" s="11" t="s">
        <v>16</v>
      </c>
      <c r="O8" s="12"/>
    </row>
    <row r="9" spans="1:15" ht="26" customHeight="1" x14ac:dyDescent="0.25">
      <c r="A9" s="11" t="s">
        <v>80</v>
      </c>
      <c r="B9" s="12" t="s">
        <v>81</v>
      </c>
      <c r="C9" s="11" t="s">
        <v>77</v>
      </c>
      <c r="D9" s="11" t="s">
        <v>82</v>
      </c>
      <c r="E9" s="13">
        <v>2400667000</v>
      </c>
      <c r="F9" s="13">
        <v>190751393</v>
      </c>
      <c r="G9" s="14">
        <v>37</v>
      </c>
      <c r="H9" s="11" t="s">
        <v>26</v>
      </c>
      <c r="I9" s="15">
        <v>46348</v>
      </c>
      <c r="J9" s="12" t="s">
        <v>83</v>
      </c>
      <c r="K9" s="11" t="s">
        <v>31</v>
      </c>
      <c r="L9" s="11" t="s">
        <v>32</v>
      </c>
      <c r="M9" s="11" t="s">
        <v>32</v>
      </c>
      <c r="N9" s="11" t="s">
        <v>20</v>
      </c>
      <c r="O9" s="12"/>
    </row>
    <row r="10" spans="1:15" ht="26" customHeight="1" x14ac:dyDescent="0.25">
      <c r="A10" s="11" t="s">
        <v>84</v>
      </c>
      <c r="B10" s="12" t="s">
        <v>85</v>
      </c>
      <c r="C10" s="11" t="s">
        <v>86</v>
      </c>
      <c r="D10" s="11" t="s">
        <v>87</v>
      </c>
      <c r="E10" s="13">
        <v>2400337000</v>
      </c>
      <c r="F10" s="13">
        <v>556493980</v>
      </c>
      <c r="G10" s="14">
        <v>36</v>
      </c>
      <c r="H10" s="11" t="s">
        <v>26</v>
      </c>
      <c r="I10" s="15">
        <v>46349</v>
      </c>
      <c r="J10" s="12" t="s">
        <v>88</v>
      </c>
      <c r="K10" s="11" t="s">
        <v>31</v>
      </c>
      <c r="L10" s="11" t="s">
        <v>89</v>
      </c>
      <c r="M10" s="11" t="s">
        <v>29</v>
      </c>
      <c r="N10" s="11" t="s">
        <v>21</v>
      </c>
      <c r="O10" s="12" t="s">
        <v>90</v>
      </c>
    </row>
    <row r="11" spans="1:15" ht="39" customHeight="1" x14ac:dyDescent="0.25">
      <c r="A11" s="11" t="s">
        <v>91</v>
      </c>
      <c r="B11" s="12" t="s">
        <v>92</v>
      </c>
      <c r="C11" s="11" t="s">
        <v>72</v>
      </c>
      <c r="D11" s="11" t="s">
        <v>93</v>
      </c>
      <c r="E11" s="13">
        <v>40457000</v>
      </c>
      <c r="F11" s="13">
        <v>9910321</v>
      </c>
      <c r="G11" s="14">
        <v>84</v>
      </c>
      <c r="H11" s="11" t="s">
        <v>27</v>
      </c>
      <c r="I11" s="15">
        <v>46301</v>
      </c>
      <c r="J11" s="12" t="s">
        <v>94</v>
      </c>
      <c r="K11" s="11" t="s">
        <v>31</v>
      </c>
      <c r="L11" s="11" t="s">
        <v>30</v>
      </c>
      <c r="M11" s="11" t="s">
        <v>30</v>
      </c>
      <c r="N11" s="11" t="s">
        <v>18</v>
      </c>
      <c r="O11" s="12"/>
    </row>
    <row r="12" spans="1:15" ht="39" customHeight="1" x14ac:dyDescent="0.25">
      <c r="A12" s="11" t="s">
        <v>95</v>
      </c>
      <c r="B12" s="12" t="s">
        <v>96</v>
      </c>
      <c r="C12" s="11" t="s">
        <v>72</v>
      </c>
      <c r="D12" s="11" t="s">
        <v>93</v>
      </c>
      <c r="E12" s="13">
        <v>900690000</v>
      </c>
      <c r="F12" s="13">
        <v>184099117</v>
      </c>
      <c r="G12" s="14">
        <v>58</v>
      </c>
      <c r="H12" s="11" t="s">
        <v>26</v>
      </c>
      <c r="I12" s="15">
        <v>46327</v>
      </c>
      <c r="J12" s="12" t="s">
        <v>97</v>
      </c>
      <c r="K12" s="11" t="s">
        <v>31</v>
      </c>
      <c r="L12" s="11" t="s">
        <v>33</v>
      </c>
      <c r="M12" s="11" t="s">
        <v>33</v>
      </c>
      <c r="N12" s="11" t="s">
        <v>18</v>
      </c>
      <c r="O12" s="12"/>
    </row>
    <row r="13" spans="1:15" ht="26" customHeight="1" x14ac:dyDescent="0.25">
      <c r="A13" s="11" t="s">
        <v>98</v>
      </c>
      <c r="B13" s="12" t="s">
        <v>99</v>
      </c>
      <c r="C13" s="11" t="s">
        <v>72</v>
      </c>
      <c r="D13" s="11" t="s">
        <v>93</v>
      </c>
      <c r="E13" s="13">
        <v>900305000</v>
      </c>
      <c r="F13" s="13">
        <v>82126306</v>
      </c>
      <c r="G13" s="14">
        <v>65</v>
      </c>
      <c r="H13" s="11" t="s">
        <v>27</v>
      </c>
      <c r="I13" s="15">
        <v>46320</v>
      </c>
      <c r="J13" s="12" t="s">
        <v>100</v>
      </c>
      <c r="K13" s="11" t="s">
        <v>31</v>
      </c>
      <c r="L13" s="11" t="s">
        <v>30</v>
      </c>
      <c r="M13" s="11" t="s">
        <v>29</v>
      </c>
      <c r="N13" s="11" t="s">
        <v>17</v>
      </c>
      <c r="O13" s="12" t="s">
        <v>101</v>
      </c>
    </row>
    <row r="14" spans="1:15" ht="26" customHeight="1" x14ac:dyDescent="0.25">
      <c r="A14" s="11" t="s">
        <v>102</v>
      </c>
      <c r="B14" s="12" t="s">
        <v>103</v>
      </c>
      <c r="C14" s="11" t="s">
        <v>104</v>
      </c>
      <c r="D14" s="11" t="s">
        <v>105</v>
      </c>
      <c r="E14" s="13">
        <v>900981000</v>
      </c>
      <c r="F14" s="13">
        <v>182849490</v>
      </c>
      <c r="G14" s="14">
        <v>83</v>
      </c>
      <c r="H14" s="11" t="s">
        <v>27</v>
      </c>
      <c r="I14" s="15">
        <v>46302</v>
      </c>
      <c r="J14" s="12" t="s">
        <v>106</v>
      </c>
      <c r="K14" s="11" t="s">
        <v>31</v>
      </c>
      <c r="L14" s="11" t="s">
        <v>34</v>
      </c>
      <c r="M14" s="11" t="s">
        <v>34</v>
      </c>
      <c r="N14" s="11" t="s">
        <v>23</v>
      </c>
      <c r="O14" s="12"/>
    </row>
    <row r="15" spans="1:15" ht="39" customHeight="1" x14ac:dyDescent="0.25">
      <c r="A15" s="11" t="s">
        <v>107</v>
      </c>
      <c r="B15" s="12" t="s">
        <v>108</v>
      </c>
      <c r="C15" s="11" t="s">
        <v>104</v>
      </c>
      <c r="D15" s="11" t="s">
        <v>109</v>
      </c>
      <c r="E15" s="13">
        <v>120774000</v>
      </c>
      <c r="F15" s="13">
        <v>11575884</v>
      </c>
      <c r="G15" s="14">
        <v>79</v>
      </c>
      <c r="H15" s="11" t="s">
        <v>27</v>
      </c>
      <c r="I15" s="15">
        <v>46306</v>
      </c>
      <c r="J15" s="12" t="s">
        <v>110</v>
      </c>
      <c r="K15" s="11" t="s">
        <v>31</v>
      </c>
      <c r="L15" s="11" t="s">
        <v>32</v>
      </c>
      <c r="M15" s="11" t="s">
        <v>29</v>
      </c>
      <c r="N15" s="11" t="s">
        <v>22</v>
      </c>
      <c r="O15" s="12" t="s">
        <v>111</v>
      </c>
    </row>
    <row r="16" spans="1:15" ht="52" customHeight="1" x14ac:dyDescent="0.25">
      <c r="A16" s="11" t="s">
        <v>112</v>
      </c>
      <c r="B16" s="12" t="s">
        <v>113</v>
      </c>
      <c r="C16" s="11" t="s">
        <v>86</v>
      </c>
      <c r="D16" s="11" t="s">
        <v>82</v>
      </c>
      <c r="E16" s="13">
        <v>8748000</v>
      </c>
      <c r="F16" s="13">
        <v>2066964</v>
      </c>
      <c r="G16" s="14">
        <v>56</v>
      </c>
      <c r="H16" s="11" t="s">
        <v>26</v>
      </c>
      <c r="I16" s="15">
        <v>46329</v>
      </c>
      <c r="J16" s="12" t="s">
        <v>114</v>
      </c>
      <c r="K16" s="11" t="s">
        <v>31</v>
      </c>
      <c r="L16" s="11" t="s">
        <v>30</v>
      </c>
      <c r="M16" s="11" t="s">
        <v>30</v>
      </c>
      <c r="N16" s="11" t="s">
        <v>16</v>
      </c>
      <c r="O16" s="12"/>
    </row>
    <row r="17" spans="1:15" x14ac:dyDescent="0.25">
      <c r="A17" s="11" t="s">
        <v>115</v>
      </c>
      <c r="B17" s="12" t="s">
        <v>116</v>
      </c>
      <c r="C17" s="11" t="s">
        <v>86</v>
      </c>
      <c r="D17" s="11" t="s">
        <v>82</v>
      </c>
      <c r="E17" s="13">
        <v>15270000</v>
      </c>
      <c r="F17" s="13">
        <v>962010</v>
      </c>
      <c r="G17" s="14">
        <v>85</v>
      </c>
      <c r="H17" s="11" t="s">
        <v>27</v>
      </c>
      <c r="I17" s="15">
        <v>46300</v>
      </c>
      <c r="J17" s="12" t="s">
        <v>117</v>
      </c>
      <c r="K17" s="11" t="s">
        <v>31</v>
      </c>
      <c r="L17" s="11" t="s">
        <v>31</v>
      </c>
      <c r="M17" s="11" t="s">
        <v>31</v>
      </c>
      <c r="N17" s="11" t="s">
        <v>17</v>
      </c>
      <c r="O17" s="12"/>
    </row>
    <row r="18" spans="1:15" ht="26" customHeight="1" x14ac:dyDescent="0.25">
      <c r="A18" s="11" t="s">
        <v>118</v>
      </c>
      <c r="B18" s="12" t="s">
        <v>119</v>
      </c>
      <c r="C18" s="11" t="s">
        <v>104</v>
      </c>
      <c r="D18" s="11" t="s">
        <v>87</v>
      </c>
      <c r="E18" s="13">
        <v>8565000</v>
      </c>
      <c r="F18" s="13">
        <v>1006637</v>
      </c>
      <c r="G18" s="14">
        <v>82</v>
      </c>
      <c r="H18" s="11" t="s">
        <v>27</v>
      </c>
      <c r="I18" s="15">
        <v>46303</v>
      </c>
      <c r="J18" s="12" t="s">
        <v>120</v>
      </c>
      <c r="K18" s="11" t="s">
        <v>31</v>
      </c>
      <c r="L18" s="11" t="s">
        <v>89</v>
      </c>
      <c r="M18" s="11" t="s">
        <v>29</v>
      </c>
      <c r="N18" s="11" t="s">
        <v>17</v>
      </c>
      <c r="O18" s="12" t="s">
        <v>90</v>
      </c>
    </row>
    <row r="19" spans="1:15" ht="26" customHeight="1" x14ac:dyDescent="0.25">
      <c r="A19" s="11" t="s">
        <v>121</v>
      </c>
      <c r="B19" s="12" t="s">
        <v>122</v>
      </c>
      <c r="C19" s="11" t="s">
        <v>104</v>
      </c>
      <c r="D19" s="11" t="s">
        <v>105</v>
      </c>
      <c r="E19" s="13">
        <v>900477000</v>
      </c>
      <c r="F19" s="13">
        <v>82735213</v>
      </c>
      <c r="G19" s="14">
        <v>71</v>
      </c>
      <c r="H19" s="11" t="s">
        <v>27</v>
      </c>
      <c r="I19" s="15">
        <v>46314</v>
      </c>
      <c r="J19" s="12" t="s">
        <v>123</v>
      </c>
      <c r="K19" s="11" t="s">
        <v>31</v>
      </c>
      <c r="L19" s="11" t="s">
        <v>34</v>
      </c>
      <c r="M19" s="11" t="s">
        <v>34</v>
      </c>
      <c r="N19" s="11" t="s">
        <v>24</v>
      </c>
      <c r="O19" s="12"/>
    </row>
    <row r="20" spans="1:15" ht="26" customHeight="1" x14ac:dyDescent="0.25">
      <c r="A20" s="11" t="s">
        <v>124</v>
      </c>
      <c r="B20" s="12" t="s">
        <v>125</v>
      </c>
      <c r="C20" s="11" t="s">
        <v>86</v>
      </c>
      <c r="D20" s="11" t="s">
        <v>78</v>
      </c>
      <c r="E20" s="13">
        <v>40687000</v>
      </c>
      <c r="F20" s="13">
        <v>3712246</v>
      </c>
      <c r="G20" s="14">
        <v>51</v>
      </c>
      <c r="H20" s="11" t="s">
        <v>26</v>
      </c>
      <c r="I20" s="15">
        <v>46334</v>
      </c>
      <c r="J20" s="12" t="s">
        <v>126</v>
      </c>
      <c r="K20" s="11" t="s">
        <v>31</v>
      </c>
      <c r="L20" s="11" t="s">
        <v>32</v>
      </c>
      <c r="M20" s="11" t="s">
        <v>29</v>
      </c>
      <c r="N20" s="11" t="s">
        <v>17</v>
      </c>
      <c r="O20" s="12" t="s">
        <v>127</v>
      </c>
    </row>
    <row r="21" spans="1:15" ht="39" customHeight="1" x14ac:dyDescent="0.25">
      <c r="A21" s="11" t="s">
        <v>128</v>
      </c>
      <c r="B21" s="12" t="s">
        <v>129</v>
      </c>
      <c r="C21" s="11" t="s">
        <v>86</v>
      </c>
      <c r="D21" s="11" t="s">
        <v>87</v>
      </c>
      <c r="E21" s="13">
        <v>900932000</v>
      </c>
      <c r="F21" s="13">
        <v>135752385</v>
      </c>
      <c r="G21" s="14">
        <v>56</v>
      </c>
      <c r="H21" s="11" t="s">
        <v>26</v>
      </c>
      <c r="I21" s="15">
        <v>46329</v>
      </c>
      <c r="J21" s="12" t="s">
        <v>130</v>
      </c>
      <c r="K21" s="11" t="s">
        <v>31</v>
      </c>
      <c r="L21" s="11" t="s">
        <v>30</v>
      </c>
      <c r="M21" s="11" t="s">
        <v>29</v>
      </c>
      <c r="N21" s="11" t="s">
        <v>22</v>
      </c>
      <c r="O21" s="12" t="s">
        <v>131</v>
      </c>
    </row>
    <row r="22" spans="1:15" ht="26" customHeight="1" x14ac:dyDescent="0.25">
      <c r="A22" s="11" t="s">
        <v>132</v>
      </c>
      <c r="B22" s="12" t="s">
        <v>133</v>
      </c>
      <c r="C22" s="11" t="s">
        <v>104</v>
      </c>
      <c r="D22" s="11" t="s">
        <v>78</v>
      </c>
      <c r="E22" s="13">
        <v>120937000</v>
      </c>
      <c r="F22" s="13">
        <v>3880512</v>
      </c>
      <c r="G22" s="14">
        <v>40</v>
      </c>
      <c r="H22" s="11" t="s">
        <v>26</v>
      </c>
      <c r="I22" s="15">
        <v>46345</v>
      </c>
      <c r="J22" s="12" t="s">
        <v>134</v>
      </c>
      <c r="K22" s="11" t="s">
        <v>31</v>
      </c>
      <c r="L22" s="11" t="s">
        <v>30</v>
      </c>
      <c r="M22" s="11" t="s">
        <v>29</v>
      </c>
      <c r="N22" s="11" t="s">
        <v>15</v>
      </c>
      <c r="O22" s="12" t="s">
        <v>135</v>
      </c>
    </row>
    <row r="23" spans="1:15" ht="26" customHeight="1" x14ac:dyDescent="0.25">
      <c r="A23" s="11" t="s">
        <v>136</v>
      </c>
      <c r="B23" s="12" t="s">
        <v>137</v>
      </c>
      <c r="C23" s="11" t="s">
        <v>104</v>
      </c>
      <c r="D23" s="11" t="s">
        <v>138</v>
      </c>
      <c r="E23" s="13">
        <v>3778000</v>
      </c>
      <c r="F23" s="13">
        <v>650283</v>
      </c>
      <c r="G23" s="14">
        <v>77</v>
      </c>
      <c r="H23" s="11" t="s">
        <v>27</v>
      </c>
      <c r="I23" s="15">
        <v>46308</v>
      </c>
      <c r="J23" s="12" t="s">
        <v>139</v>
      </c>
      <c r="K23" s="11" t="s">
        <v>31</v>
      </c>
      <c r="L23" s="11" t="s">
        <v>33</v>
      </c>
      <c r="M23" s="11" t="s">
        <v>33</v>
      </c>
      <c r="N23" s="11" t="s">
        <v>17</v>
      </c>
      <c r="O23" s="12"/>
    </row>
    <row r="24" spans="1:15" ht="39" customHeight="1" x14ac:dyDescent="0.25">
      <c r="A24" s="11" t="s">
        <v>140</v>
      </c>
      <c r="B24" s="12" t="s">
        <v>141</v>
      </c>
      <c r="C24" s="11" t="s">
        <v>72</v>
      </c>
      <c r="D24" s="11" t="s">
        <v>78</v>
      </c>
      <c r="E24" s="13">
        <v>3971000</v>
      </c>
      <c r="F24" s="13">
        <v>152814</v>
      </c>
      <c r="G24" s="14">
        <v>31</v>
      </c>
      <c r="H24" s="11" t="s">
        <v>26</v>
      </c>
      <c r="I24" s="15">
        <v>46354</v>
      </c>
      <c r="J24" s="12" t="s">
        <v>142</v>
      </c>
      <c r="K24" s="11" t="s">
        <v>31</v>
      </c>
      <c r="L24" s="11" t="s">
        <v>32</v>
      </c>
      <c r="M24" s="11" t="s">
        <v>32</v>
      </c>
      <c r="N24" s="11" t="s">
        <v>15</v>
      </c>
      <c r="O24" s="12"/>
    </row>
    <row r="25" spans="1:15" ht="26" customHeight="1" x14ac:dyDescent="0.25">
      <c r="A25" s="11" t="s">
        <v>143</v>
      </c>
      <c r="B25" s="12" t="s">
        <v>144</v>
      </c>
      <c r="C25" s="11" t="s">
        <v>86</v>
      </c>
      <c r="D25" s="11" t="s">
        <v>93</v>
      </c>
      <c r="E25" s="13">
        <v>15732000</v>
      </c>
      <c r="F25" s="13">
        <v>2026322</v>
      </c>
      <c r="G25" s="14">
        <v>40</v>
      </c>
      <c r="H25" s="11" t="s">
        <v>26</v>
      </c>
      <c r="I25" s="15">
        <v>46345</v>
      </c>
      <c r="J25" s="12" t="s">
        <v>145</v>
      </c>
      <c r="K25" s="11" t="s">
        <v>31</v>
      </c>
      <c r="L25" s="11" t="s">
        <v>32</v>
      </c>
      <c r="M25" s="11" t="s">
        <v>29</v>
      </c>
      <c r="N25" s="11" t="s">
        <v>16</v>
      </c>
      <c r="O25" s="12" t="s">
        <v>146</v>
      </c>
    </row>
    <row r="26" spans="1:15" ht="26" customHeight="1" x14ac:dyDescent="0.25">
      <c r="A26" s="11" t="s">
        <v>147</v>
      </c>
      <c r="B26" s="12" t="s">
        <v>148</v>
      </c>
      <c r="C26" s="11" t="s">
        <v>86</v>
      </c>
      <c r="D26" s="11" t="s">
        <v>109</v>
      </c>
      <c r="E26" s="13">
        <v>3748000</v>
      </c>
      <c r="F26" s="13">
        <v>271327</v>
      </c>
      <c r="G26" s="14">
        <v>35</v>
      </c>
      <c r="H26" s="11" t="s">
        <v>26</v>
      </c>
      <c r="I26" s="15">
        <v>46350</v>
      </c>
      <c r="J26" s="12"/>
      <c r="K26" s="11" t="s">
        <v>31</v>
      </c>
      <c r="L26" s="11" t="s">
        <v>149</v>
      </c>
      <c r="M26" s="11" t="s">
        <v>31</v>
      </c>
      <c r="N26" s="11" t="s">
        <v>19</v>
      </c>
      <c r="O26" s="12"/>
    </row>
    <row r="27" spans="1:15" x14ac:dyDescent="0.25">
      <c r="A27" s="11" t="s">
        <v>150</v>
      </c>
      <c r="B27" s="12" t="s">
        <v>151</v>
      </c>
      <c r="C27" s="11" t="s">
        <v>104</v>
      </c>
      <c r="D27" s="11" t="s">
        <v>105</v>
      </c>
      <c r="E27" s="13">
        <v>15199000</v>
      </c>
      <c r="F27" s="13">
        <v>833021</v>
      </c>
      <c r="G27" s="14">
        <v>32</v>
      </c>
      <c r="H27" s="11" t="s">
        <v>26</v>
      </c>
      <c r="I27" s="15">
        <v>46353</v>
      </c>
      <c r="J27" s="12"/>
      <c r="K27" s="11" t="s">
        <v>31</v>
      </c>
      <c r="L27" s="11" t="s">
        <v>149</v>
      </c>
      <c r="M27" s="11" t="s">
        <v>31</v>
      </c>
      <c r="N27" s="11" t="s">
        <v>19</v>
      </c>
      <c r="O27" s="12"/>
    </row>
    <row r="28" spans="1:15" x14ac:dyDescent="0.25">
      <c r="A28" s="11" t="s">
        <v>152</v>
      </c>
      <c r="B28" s="12" t="s">
        <v>153</v>
      </c>
      <c r="C28" s="11" t="s">
        <v>86</v>
      </c>
      <c r="D28" s="11" t="s">
        <v>93</v>
      </c>
      <c r="E28" s="13">
        <v>3663000</v>
      </c>
      <c r="F28" s="13">
        <v>741299</v>
      </c>
      <c r="G28" s="14">
        <v>85</v>
      </c>
      <c r="H28" s="11" t="s">
        <v>27</v>
      </c>
      <c r="I28" s="15">
        <v>46300</v>
      </c>
      <c r="J28" s="12"/>
      <c r="K28" s="11" t="s">
        <v>31</v>
      </c>
      <c r="L28" s="11" t="s">
        <v>149</v>
      </c>
      <c r="M28" s="11" t="s">
        <v>31</v>
      </c>
      <c r="N28" s="11" t="s">
        <v>19</v>
      </c>
      <c r="O28" s="12"/>
    </row>
    <row r="29" spans="1:15" ht="26" customHeight="1" x14ac:dyDescent="0.25">
      <c r="A29" s="11" t="s">
        <v>154</v>
      </c>
      <c r="B29" s="12" t="s">
        <v>155</v>
      </c>
      <c r="C29" s="11" t="s">
        <v>104</v>
      </c>
      <c r="D29" s="11" t="s">
        <v>93</v>
      </c>
      <c r="E29" s="13">
        <v>40649000</v>
      </c>
      <c r="F29" s="13">
        <v>8984800</v>
      </c>
      <c r="G29" s="14">
        <v>43</v>
      </c>
      <c r="H29" s="11" t="s">
        <v>26</v>
      </c>
      <c r="I29" s="15">
        <v>46342</v>
      </c>
      <c r="J29" s="12" t="s">
        <v>156</v>
      </c>
      <c r="K29" s="11" t="s">
        <v>31</v>
      </c>
      <c r="L29" s="11" t="s">
        <v>30</v>
      </c>
      <c r="M29" s="11" t="s">
        <v>30</v>
      </c>
      <c r="N29" s="11" t="s">
        <v>16</v>
      </c>
      <c r="O29" s="12"/>
    </row>
    <row r="30" spans="1:15" ht="39" customHeight="1" x14ac:dyDescent="0.25">
      <c r="A30" s="11" t="s">
        <v>157</v>
      </c>
      <c r="B30" s="12" t="s">
        <v>158</v>
      </c>
      <c r="C30" s="11" t="s">
        <v>72</v>
      </c>
      <c r="D30" s="11" t="s">
        <v>78</v>
      </c>
      <c r="E30" s="13">
        <v>40902000</v>
      </c>
      <c r="F30" s="13">
        <v>8643958</v>
      </c>
      <c r="G30" s="14">
        <v>52</v>
      </c>
      <c r="H30" s="11" t="s">
        <v>26</v>
      </c>
      <c r="I30" s="15">
        <v>46333</v>
      </c>
      <c r="J30" s="12" t="s">
        <v>159</v>
      </c>
      <c r="K30" s="11" t="s">
        <v>31</v>
      </c>
      <c r="L30" s="11" t="s">
        <v>30</v>
      </c>
      <c r="M30" s="11" t="s">
        <v>30</v>
      </c>
      <c r="N30" s="11" t="s">
        <v>15</v>
      </c>
      <c r="O30" s="12"/>
    </row>
    <row r="31" spans="1:15" ht="26" customHeight="1" x14ac:dyDescent="0.25">
      <c r="A31" s="11" t="s">
        <v>160</v>
      </c>
      <c r="B31" s="12" t="s">
        <v>161</v>
      </c>
      <c r="C31" s="11" t="s">
        <v>72</v>
      </c>
      <c r="D31" s="11" t="s">
        <v>73</v>
      </c>
      <c r="E31" s="13">
        <v>8812000</v>
      </c>
      <c r="F31" s="13">
        <v>1630883</v>
      </c>
      <c r="G31" s="14">
        <v>70</v>
      </c>
      <c r="H31" s="11" t="s">
        <v>27</v>
      </c>
      <c r="I31" s="15">
        <v>46315</v>
      </c>
      <c r="J31" s="12" t="s">
        <v>74</v>
      </c>
      <c r="K31" s="11" t="s">
        <v>31</v>
      </c>
      <c r="L31" s="11" t="s">
        <v>30</v>
      </c>
      <c r="M31" s="11" t="s">
        <v>30</v>
      </c>
      <c r="N31" s="11" t="s">
        <v>15</v>
      </c>
      <c r="O31" s="12"/>
    </row>
    <row r="32" spans="1:15" ht="39" customHeight="1" x14ac:dyDescent="0.25">
      <c r="A32" s="11" t="s">
        <v>162</v>
      </c>
      <c r="B32" s="12" t="s">
        <v>163</v>
      </c>
      <c r="C32" s="11" t="s">
        <v>104</v>
      </c>
      <c r="D32" s="11" t="s">
        <v>78</v>
      </c>
      <c r="E32" s="13">
        <v>40701000</v>
      </c>
      <c r="F32" s="13">
        <v>4935158</v>
      </c>
      <c r="G32" s="14">
        <v>51</v>
      </c>
      <c r="H32" s="11" t="s">
        <v>26</v>
      </c>
      <c r="I32" s="15">
        <v>46334</v>
      </c>
      <c r="J32" s="12" t="s">
        <v>79</v>
      </c>
      <c r="K32" s="11" t="s">
        <v>31</v>
      </c>
      <c r="L32" s="11" t="s">
        <v>30</v>
      </c>
      <c r="M32" s="11" t="s">
        <v>29</v>
      </c>
      <c r="N32" s="11" t="s">
        <v>16</v>
      </c>
      <c r="O32" s="12" t="s">
        <v>127</v>
      </c>
    </row>
    <row r="33" spans="1:15" ht="26" customHeight="1" x14ac:dyDescent="0.25">
      <c r="A33" s="11" t="s">
        <v>164</v>
      </c>
      <c r="B33" s="12" t="s">
        <v>165</v>
      </c>
      <c r="C33" s="11" t="s">
        <v>86</v>
      </c>
      <c r="D33" s="11" t="s">
        <v>105</v>
      </c>
      <c r="E33" s="13">
        <v>350421000</v>
      </c>
      <c r="F33" s="13">
        <v>33202618</v>
      </c>
      <c r="G33" s="14">
        <v>88</v>
      </c>
      <c r="H33" s="11" t="s">
        <v>27</v>
      </c>
      <c r="I33" s="15">
        <v>46297</v>
      </c>
      <c r="J33" s="12" t="s">
        <v>83</v>
      </c>
      <c r="K33" s="11" t="s">
        <v>31</v>
      </c>
      <c r="L33" s="11" t="s">
        <v>32</v>
      </c>
      <c r="M33" s="11" t="s">
        <v>32</v>
      </c>
      <c r="N33" s="11" t="s">
        <v>20</v>
      </c>
      <c r="O33" s="12"/>
    </row>
    <row r="34" spans="1:15" ht="26" customHeight="1" x14ac:dyDescent="0.25">
      <c r="A34" s="11" t="s">
        <v>166</v>
      </c>
      <c r="B34" s="12" t="s">
        <v>167</v>
      </c>
      <c r="C34" s="11" t="s">
        <v>86</v>
      </c>
      <c r="D34" s="11" t="s">
        <v>78</v>
      </c>
      <c r="E34" s="13">
        <v>900689000</v>
      </c>
      <c r="F34" s="13">
        <v>50039214</v>
      </c>
      <c r="G34" s="14">
        <v>49</v>
      </c>
      <c r="H34" s="11" t="s">
        <v>26</v>
      </c>
      <c r="I34" s="15">
        <v>46336</v>
      </c>
      <c r="J34" s="12" t="s">
        <v>88</v>
      </c>
      <c r="K34" s="11" t="s">
        <v>31</v>
      </c>
      <c r="L34" s="11" t="s">
        <v>89</v>
      </c>
      <c r="M34" s="11" t="s">
        <v>29</v>
      </c>
      <c r="N34" s="11" t="s">
        <v>21</v>
      </c>
      <c r="O34" s="12" t="s">
        <v>90</v>
      </c>
    </row>
    <row r="35" spans="1:15" ht="39" customHeight="1" x14ac:dyDescent="0.25">
      <c r="A35" s="11" t="s">
        <v>168</v>
      </c>
      <c r="B35" s="12" t="s">
        <v>169</v>
      </c>
      <c r="C35" s="11" t="s">
        <v>86</v>
      </c>
      <c r="D35" s="11" t="s">
        <v>78</v>
      </c>
      <c r="E35" s="13">
        <v>900511000</v>
      </c>
      <c r="F35" s="13">
        <v>182902153</v>
      </c>
      <c r="G35" s="14">
        <v>55</v>
      </c>
      <c r="H35" s="11" t="s">
        <v>26</v>
      </c>
      <c r="I35" s="15">
        <v>46330</v>
      </c>
      <c r="J35" s="12" t="s">
        <v>94</v>
      </c>
      <c r="K35" s="11" t="s">
        <v>31</v>
      </c>
      <c r="L35" s="11" t="s">
        <v>30</v>
      </c>
      <c r="M35" s="11" t="s">
        <v>30</v>
      </c>
      <c r="N35" s="11" t="s">
        <v>18</v>
      </c>
      <c r="O35" s="12"/>
    </row>
    <row r="36" spans="1:15" ht="39" customHeight="1" x14ac:dyDescent="0.25">
      <c r="A36" s="11" t="s">
        <v>170</v>
      </c>
      <c r="B36" s="12" t="s">
        <v>171</v>
      </c>
      <c r="C36" s="11" t="s">
        <v>104</v>
      </c>
      <c r="D36" s="11" t="s">
        <v>105</v>
      </c>
      <c r="E36" s="13">
        <v>350398000</v>
      </c>
      <c r="F36" s="13">
        <v>21061427</v>
      </c>
      <c r="G36" s="14">
        <v>73</v>
      </c>
      <c r="H36" s="11" t="s">
        <v>27</v>
      </c>
      <c r="I36" s="15">
        <v>46312</v>
      </c>
      <c r="J36" s="12" t="s">
        <v>97</v>
      </c>
      <c r="K36" s="11" t="s">
        <v>31</v>
      </c>
      <c r="L36" s="11" t="s">
        <v>33</v>
      </c>
      <c r="M36" s="11" t="s">
        <v>33</v>
      </c>
      <c r="N36" s="11" t="s">
        <v>18</v>
      </c>
      <c r="O36" s="12"/>
    </row>
  </sheetData>
  <mergeCells count="8">
    <mergeCell ref="A1:O1"/>
    <mergeCell ref="A2:O2"/>
    <mergeCell ref="A4:B4"/>
    <mergeCell ref="C4:D4"/>
    <mergeCell ref="E4:F4"/>
    <mergeCell ref="G4:H4"/>
    <mergeCell ref="I4:J4"/>
    <mergeCell ref="K4:O4"/>
  </mergeCells>
  <conditionalFormatting sqref="F7:F36">
    <cfRule type="dataBar" priority="2">
      <dataBar>
        <cfvo type="min"/>
        <cfvo type="max"/>
        <color rgb="FF1A86B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M7:M36">
    <cfRule type="cellIs" dxfId="5" priority="1" operator="equal">
      <formula>"Revue analyste"</formula>
    </cfRule>
  </conditionalFormatting>
  <dataValidations count="1">
    <dataValidation type="list" allowBlank="1" showInputMessage="1" showErrorMessage="1" sqref="M7:M36">
      <formula1>"À faire,En cours,Promesse de règlement,Régularisé (à vérifier),Restructuration,Escalade contentieux,Revue analyste"</formula1>
    </dataValidation>
  </dataValidations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autoMin"/>
              <x14:cfvo type="autoMax"/>
              <x14:borderColor rgb="FF1A86B3"/>
              <x14:negativeFillColor rgb="FFFF0000"/>
              <x14:negativeBorderColor rgb="FFFF0000"/>
              <x14:axisColor rgb="FF000000"/>
            </x14:dataBar>
          </x14:cfRule>
          <xm:sqref>F7:F36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M33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10.7109375" customWidth="1"/>
    <col min="4" max="4" width="48.7109375" customWidth="1"/>
    <col min="5" max="5" width="18.7109375" customWidth="1"/>
    <col min="6" max="7" width="10.7109375" customWidth="1"/>
    <col min="8" max="10" width="11.7109375" customWidth="1"/>
    <col min="11" max="11" width="16.7109375" customWidth="1"/>
    <col min="12" max="12" width="10.7109375" customWidth="1"/>
    <col min="13" max="13" width="16.7109375" customWidth="1"/>
  </cols>
  <sheetData>
    <row r="1" spans="1:13" ht="30" customHeight="1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customHeight="1">
      <c r="A2" s="2" t="s">
        <v>173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4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13" ht="22" customHeight="1">
      <c r="A4" s="5" t="s">
        <v>2</v>
      </c>
      <c r="B4" s="5"/>
      <c r="C4" s="5" t="s">
        <v>3</v>
      </c>
      <c r="D4" s="5"/>
      <c r="E4" s="4" t="s">
        <v>4</v>
      </c>
      <c r="F4" s="4"/>
      <c r="G4" s="5" t="s">
        <v>5</v>
      </c>
      <c r="H4" s="5"/>
      <c r="I4" s="5" t="s">
        <v>6</v>
      </c>
      <c r="J4" s="5"/>
      <c r="K4" s="5" t="s">
        <v>7</v>
      </c>
      <c r="L4" s="5"/>
      <c r="M4" s="5"/>
    </row>
    <row r="6" spans="1:13" ht="36" customHeight="1">
      <c r="A6" s="10" t="s">
        <v>57</v>
      </c>
      <c r="B6" s="10" t="s">
        <v>58</v>
      </c>
      <c r="C6" s="10" t="s">
        <v>60</v>
      </c>
      <c r="D6" s="10" t="s">
        <v>65</v>
      </c>
      <c r="E6" s="10" t="s">
        <v>14</v>
      </c>
      <c r="F6" s="10" t="s">
        <v>174</v>
      </c>
      <c r="G6" s="10" t="s">
        <v>175</v>
      </c>
      <c r="H6" s="10" t="s">
        <v>44</v>
      </c>
      <c r="I6" s="10" t="s">
        <v>176</v>
      </c>
      <c r="J6" s="10" t="s">
        <v>177</v>
      </c>
      <c r="K6" s="10" t="s">
        <v>178</v>
      </c>
      <c r="L6" s="10" t="s">
        <v>179</v>
      </c>
      <c r="M6" s="10" t="s">
        <v>68</v>
      </c>
    </row>
    <row r="7" spans="1:13" ht="26" customHeight="1">
      <c r="A7" s="11" t="s">
        <v>70</v>
      </c>
      <c r="B7" s="12" t="s">
        <v>71</v>
      </c>
      <c r="C7" s="11" t="s">
        <v>73</v>
      </c>
      <c r="D7" s="12" t="s">
        <v>74</v>
      </c>
      <c r="E7" s="11" t="s">
        <v>15</v>
      </c>
      <c r="F7" s="16">
        <v>0.9</v>
      </c>
      <c r="G7" s="16">
        <v>0.96</v>
      </c>
      <c r="H7" s="11" t="s">
        <v>49</v>
      </c>
      <c r="I7" s="16">
        <v>0.96</v>
      </c>
      <c r="J7" s="16">
        <v>0.08</v>
      </c>
      <c r="K7" s="11" t="s">
        <v>30</v>
      </c>
      <c r="L7" s="16">
        <v>0.74</v>
      </c>
      <c r="M7" s="11" t="s">
        <v>30</v>
      </c>
    </row>
    <row r="8" spans="1:13" ht="39" customHeight="1">
      <c r="A8" s="11" t="s">
        <v>75</v>
      </c>
      <c r="B8" s="12" t="s">
        <v>76</v>
      </c>
      <c r="C8" s="11" t="s">
        <v>78</v>
      </c>
      <c r="D8" s="12" t="s">
        <v>79</v>
      </c>
      <c r="E8" s="11" t="s">
        <v>16</v>
      </c>
      <c r="F8" s="16">
        <v>0.59</v>
      </c>
      <c r="G8" s="16">
        <v>0.96</v>
      </c>
      <c r="H8" s="11" t="s">
        <v>49</v>
      </c>
      <c r="I8" s="16">
        <v>0.64</v>
      </c>
      <c r="J8" s="16">
        <v>0.04</v>
      </c>
      <c r="K8" s="11" t="s">
        <v>30</v>
      </c>
      <c r="L8" s="16">
        <v>0.9399999999999999</v>
      </c>
      <c r="M8" s="11" t="s">
        <v>30</v>
      </c>
    </row>
    <row r="9" spans="1:13" ht="26" customHeight="1">
      <c r="A9" s="11" t="s">
        <v>80</v>
      </c>
      <c r="B9" s="12" t="s">
        <v>81</v>
      </c>
      <c r="C9" s="11" t="s">
        <v>82</v>
      </c>
      <c r="D9" s="12" t="s">
        <v>83</v>
      </c>
      <c r="E9" s="11" t="s">
        <v>20</v>
      </c>
      <c r="F9" s="16">
        <v>1</v>
      </c>
      <c r="G9" s="16">
        <v>0.05</v>
      </c>
      <c r="H9" s="11" t="s">
        <v>45</v>
      </c>
      <c r="I9" s="16">
        <v>0.85</v>
      </c>
      <c r="J9" s="16">
        <v>0.04</v>
      </c>
      <c r="K9" s="11" t="s">
        <v>32</v>
      </c>
      <c r="L9" s="16">
        <v>0.61</v>
      </c>
      <c r="M9" s="11" t="s">
        <v>32</v>
      </c>
    </row>
    <row r="10" spans="1:13" ht="26" customHeight="1">
      <c r="A10" s="11" t="s">
        <v>84</v>
      </c>
      <c r="B10" s="12" t="s">
        <v>85</v>
      </c>
      <c r="C10" s="11" t="s">
        <v>87</v>
      </c>
      <c r="D10" s="12" t="s">
        <v>88</v>
      </c>
      <c r="E10" s="11" t="s">
        <v>21</v>
      </c>
      <c r="F10" s="16">
        <v>0.99</v>
      </c>
      <c r="G10" s="16">
        <v>0.03</v>
      </c>
      <c r="H10" s="11" t="s">
        <v>46</v>
      </c>
      <c r="I10" s="16">
        <v>0.83</v>
      </c>
      <c r="J10" s="16">
        <v>0.87</v>
      </c>
      <c r="K10" s="11" t="s">
        <v>89</v>
      </c>
      <c r="L10" s="16">
        <v>1</v>
      </c>
      <c r="M10" s="11" t="s">
        <v>29</v>
      </c>
    </row>
    <row r="11" spans="1:13" ht="26" customHeight="1">
      <c r="A11" s="11" t="s">
        <v>91</v>
      </c>
      <c r="B11" s="12" t="s">
        <v>92</v>
      </c>
      <c r="C11" s="11" t="s">
        <v>93</v>
      </c>
      <c r="D11" s="12" t="s">
        <v>94</v>
      </c>
      <c r="E11" s="11" t="s">
        <v>18</v>
      </c>
      <c r="F11" s="16">
        <v>1</v>
      </c>
      <c r="G11" s="16">
        <v>0.97</v>
      </c>
      <c r="H11" s="11" t="s">
        <v>46</v>
      </c>
      <c r="I11" s="16">
        <v>0.76</v>
      </c>
      <c r="J11" s="16">
        <v>0.06</v>
      </c>
      <c r="K11" s="11" t="s">
        <v>30</v>
      </c>
      <c r="L11" s="16">
        <v>0.99</v>
      </c>
      <c r="M11" s="11" t="s">
        <v>30</v>
      </c>
    </row>
    <row r="12" spans="1:13" ht="39" customHeight="1">
      <c r="A12" s="11" t="s">
        <v>95</v>
      </c>
      <c r="B12" s="12" t="s">
        <v>96</v>
      </c>
      <c r="C12" s="11" t="s">
        <v>93</v>
      </c>
      <c r="D12" s="12" t="s">
        <v>97</v>
      </c>
      <c r="E12" s="11" t="s">
        <v>18</v>
      </c>
      <c r="F12" s="16">
        <v>1</v>
      </c>
      <c r="G12" s="16">
        <v>0.55</v>
      </c>
      <c r="H12" s="11" t="s">
        <v>46</v>
      </c>
      <c r="I12" s="16">
        <v>0.86</v>
      </c>
      <c r="J12" s="16">
        <v>0.04</v>
      </c>
      <c r="K12" s="11" t="s">
        <v>33</v>
      </c>
      <c r="L12" s="16">
        <v>1</v>
      </c>
      <c r="M12" s="11" t="s">
        <v>33</v>
      </c>
    </row>
    <row r="13" spans="1:13" ht="26" customHeight="1">
      <c r="A13" s="11" t="s">
        <v>98</v>
      </c>
      <c r="B13" s="12" t="s">
        <v>99</v>
      </c>
      <c r="C13" s="11" t="s">
        <v>93</v>
      </c>
      <c r="D13" s="12" t="s">
        <v>100</v>
      </c>
      <c r="E13" s="11" t="s">
        <v>17</v>
      </c>
      <c r="F13" s="16">
        <v>0.92</v>
      </c>
      <c r="G13" s="16">
        <v>0.97</v>
      </c>
      <c r="H13" s="11" t="s">
        <v>46</v>
      </c>
      <c r="I13" s="16">
        <v>0.99</v>
      </c>
      <c r="J13" s="16">
        <v>0.05</v>
      </c>
      <c r="K13" s="11" t="s">
        <v>30</v>
      </c>
      <c r="L13" s="16">
        <v>1</v>
      </c>
      <c r="M13" s="11" t="s">
        <v>29</v>
      </c>
    </row>
    <row r="14" spans="1:13" ht="26" customHeight="1">
      <c r="A14" s="11" t="s">
        <v>102</v>
      </c>
      <c r="B14" s="12" t="s">
        <v>103</v>
      </c>
      <c r="C14" s="11" t="s">
        <v>105</v>
      </c>
      <c r="D14" s="12" t="s">
        <v>106</v>
      </c>
      <c r="E14" s="11" t="s">
        <v>23</v>
      </c>
      <c r="F14" s="16">
        <v>1</v>
      </c>
      <c r="G14" s="16">
        <v>0.03</v>
      </c>
      <c r="H14" s="11" t="s">
        <v>45</v>
      </c>
      <c r="I14" s="16">
        <v>0.99</v>
      </c>
      <c r="J14" s="16">
        <v>0.05</v>
      </c>
      <c r="K14" s="11" t="s">
        <v>34</v>
      </c>
      <c r="L14" s="16">
        <v>0.99</v>
      </c>
      <c r="M14" s="11" t="s">
        <v>34</v>
      </c>
    </row>
    <row r="15" spans="1:13" ht="26" customHeight="1">
      <c r="A15" s="11" t="s">
        <v>107</v>
      </c>
      <c r="B15" s="12" t="s">
        <v>108</v>
      </c>
      <c r="C15" s="11" t="s">
        <v>109</v>
      </c>
      <c r="D15" s="12" t="s">
        <v>110</v>
      </c>
      <c r="E15" s="11" t="s">
        <v>22</v>
      </c>
      <c r="F15" s="16">
        <v>1</v>
      </c>
      <c r="G15" s="16">
        <v>0.04</v>
      </c>
      <c r="H15" s="11" t="s">
        <v>45</v>
      </c>
      <c r="I15" s="16">
        <v>0.76</v>
      </c>
      <c r="J15" s="16">
        <v>0.04</v>
      </c>
      <c r="K15" s="11" t="s">
        <v>32</v>
      </c>
      <c r="L15" s="16">
        <v>0.44</v>
      </c>
      <c r="M15" s="11" t="s">
        <v>29</v>
      </c>
    </row>
    <row r="16" spans="1:13" ht="39" customHeight="1">
      <c r="A16" s="11" t="s">
        <v>112</v>
      </c>
      <c r="B16" s="12" t="s">
        <v>113</v>
      </c>
      <c r="C16" s="11" t="s">
        <v>82</v>
      </c>
      <c r="D16" s="12" t="s">
        <v>114</v>
      </c>
      <c r="E16" s="11" t="s">
        <v>16</v>
      </c>
      <c r="F16" s="16">
        <v>1</v>
      </c>
      <c r="G16" s="16">
        <v>0.87</v>
      </c>
      <c r="H16" s="11" t="s">
        <v>48</v>
      </c>
      <c r="I16" s="16">
        <v>0.58</v>
      </c>
      <c r="J16" s="16">
        <v>0.06</v>
      </c>
      <c r="K16" s="11" t="s">
        <v>30</v>
      </c>
      <c r="L16" s="16">
        <v>0.9399999999999999</v>
      </c>
      <c r="M16" s="11" t="s">
        <v>30</v>
      </c>
    </row>
    <row r="17" spans="1:13" ht="26" customHeight="1">
      <c r="A17" s="11" t="s">
        <v>115</v>
      </c>
      <c r="B17" s="12" t="s">
        <v>116</v>
      </c>
      <c r="C17" s="11" t="s">
        <v>82</v>
      </c>
      <c r="D17" s="12" t="s">
        <v>117</v>
      </c>
      <c r="E17" s="11" t="s">
        <v>17</v>
      </c>
      <c r="F17" s="16">
        <v>1</v>
      </c>
      <c r="G17" s="16">
        <v>0.03</v>
      </c>
      <c r="H17" s="11" t="s">
        <v>45</v>
      </c>
      <c r="I17" s="16">
        <v>1</v>
      </c>
      <c r="J17" s="16">
        <v>0.13</v>
      </c>
      <c r="K17" s="11" t="s">
        <v>31</v>
      </c>
      <c r="L17" s="16">
        <v>0.97</v>
      </c>
      <c r="M17" s="11" t="s">
        <v>31</v>
      </c>
    </row>
    <row r="18" spans="1:13">
      <c r="A18" s="11" t="s">
        <v>118</v>
      </c>
      <c r="B18" s="12" t="s">
        <v>119</v>
      </c>
      <c r="C18" s="11" t="s">
        <v>87</v>
      </c>
      <c r="D18" s="12" t="s">
        <v>120</v>
      </c>
      <c r="E18" s="11" t="s">
        <v>17</v>
      </c>
      <c r="F18" s="16">
        <v>0.78</v>
      </c>
      <c r="G18" s="16">
        <v>0.03</v>
      </c>
      <c r="H18" s="11" t="s">
        <v>45</v>
      </c>
      <c r="I18" s="16">
        <v>1</v>
      </c>
      <c r="J18" s="16">
        <v>0.98</v>
      </c>
      <c r="K18" s="11" t="s">
        <v>89</v>
      </c>
      <c r="L18" s="16">
        <v>0.98</v>
      </c>
      <c r="M18" s="11" t="s">
        <v>29</v>
      </c>
    </row>
    <row r="19" spans="1:13" ht="26" customHeight="1">
      <c r="A19" s="11" t="s">
        <v>121</v>
      </c>
      <c r="B19" s="12" t="s">
        <v>122</v>
      </c>
      <c r="C19" s="11" t="s">
        <v>105</v>
      </c>
      <c r="D19" s="12" t="s">
        <v>123</v>
      </c>
      <c r="E19" s="11" t="s">
        <v>24</v>
      </c>
      <c r="F19" s="16">
        <v>1</v>
      </c>
      <c r="G19" s="16">
        <v>0.04</v>
      </c>
      <c r="H19" s="11" t="s">
        <v>45</v>
      </c>
      <c r="I19" s="16">
        <v>1</v>
      </c>
      <c r="J19" s="16">
        <v>0.07000000000000001</v>
      </c>
      <c r="K19" s="11" t="s">
        <v>34</v>
      </c>
      <c r="L19" s="16">
        <v>0.99</v>
      </c>
      <c r="M19" s="11" t="s">
        <v>34</v>
      </c>
    </row>
    <row r="20" spans="1:13" ht="26" customHeight="1">
      <c r="A20" s="11" t="s">
        <v>124</v>
      </c>
      <c r="B20" s="12" t="s">
        <v>125</v>
      </c>
      <c r="C20" s="11" t="s">
        <v>78</v>
      </c>
      <c r="D20" s="12" t="s">
        <v>126</v>
      </c>
      <c r="E20" s="11" t="s">
        <v>17</v>
      </c>
      <c r="F20" s="16">
        <v>0.83</v>
      </c>
      <c r="G20" s="16">
        <v>0.6</v>
      </c>
      <c r="H20" s="11" t="s">
        <v>46</v>
      </c>
      <c r="I20" s="16">
        <v>0.97</v>
      </c>
      <c r="J20" s="16">
        <v>0.04</v>
      </c>
      <c r="K20" s="11" t="s">
        <v>32</v>
      </c>
      <c r="L20" s="16">
        <v>0.5</v>
      </c>
      <c r="M20" s="11" t="s">
        <v>29</v>
      </c>
    </row>
    <row r="21" spans="1:13" ht="39" customHeight="1">
      <c r="A21" s="11" t="s">
        <v>128</v>
      </c>
      <c r="B21" s="12" t="s">
        <v>129</v>
      </c>
      <c r="C21" s="11" t="s">
        <v>87</v>
      </c>
      <c r="D21" s="12" t="s">
        <v>130</v>
      </c>
      <c r="E21" s="11" t="s">
        <v>22</v>
      </c>
      <c r="F21" s="16">
        <v>1</v>
      </c>
      <c r="G21" s="16">
        <v>0.96</v>
      </c>
      <c r="H21" s="11" t="s">
        <v>47</v>
      </c>
      <c r="I21" s="16">
        <v>0.31</v>
      </c>
      <c r="J21" s="16">
        <v>0.05</v>
      </c>
      <c r="K21" s="11" t="s">
        <v>30</v>
      </c>
      <c r="L21" s="16">
        <v>0.98</v>
      </c>
      <c r="M21" s="11" t="s">
        <v>29</v>
      </c>
    </row>
    <row r="22" spans="1:13" ht="26" customHeight="1">
      <c r="A22" s="11" t="s">
        <v>132</v>
      </c>
      <c r="B22" s="12" t="s">
        <v>133</v>
      </c>
      <c r="C22" s="11" t="s">
        <v>78</v>
      </c>
      <c r="D22" s="12" t="s">
        <v>134</v>
      </c>
      <c r="E22" s="11" t="s">
        <v>15</v>
      </c>
      <c r="F22" s="16">
        <v>0.85</v>
      </c>
      <c r="G22" s="16">
        <v>0.93</v>
      </c>
      <c r="H22" s="11" t="s">
        <v>48</v>
      </c>
      <c r="I22" s="16">
        <v>0.67</v>
      </c>
      <c r="J22" s="16">
        <v>0.11</v>
      </c>
      <c r="K22" s="11" t="s">
        <v>30</v>
      </c>
      <c r="L22" s="16">
        <v>0.37</v>
      </c>
      <c r="M22" s="11" t="s">
        <v>29</v>
      </c>
    </row>
    <row r="23" spans="1:13" ht="26" customHeight="1">
      <c r="A23" s="11" t="s">
        <v>136</v>
      </c>
      <c r="B23" s="12" t="s">
        <v>137</v>
      </c>
      <c r="C23" s="11" t="s">
        <v>138</v>
      </c>
      <c r="D23" s="12" t="s">
        <v>139</v>
      </c>
      <c r="E23" s="11" t="s">
        <v>17</v>
      </c>
      <c r="F23" s="16">
        <v>0.8100000000000001</v>
      </c>
      <c r="G23" s="16">
        <v>0.2</v>
      </c>
      <c r="H23" s="11" t="s">
        <v>46</v>
      </c>
      <c r="I23" s="16">
        <v>0.8100000000000001</v>
      </c>
      <c r="J23" s="16">
        <v>0.04</v>
      </c>
      <c r="K23" s="11" t="s">
        <v>33</v>
      </c>
      <c r="L23" s="16">
        <v>1</v>
      </c>
      <c r="M23" s="11" t="s">
        <v>33</v>
      </c>
    </row>
    <row r="24" spans="1:13" ht="39" customHeight="1">
      <c r="A24" s="11" t="s">
        <v>140</v>
      </c>
      <c r="B24" s="12" t="s">
        <v>141</v>
      </c>
      <c r="C24" s="11" t="s">
        <v>78</v>
      </c>
      <c r="D24" s="12" t="s">
        <v>142</v>
      </c>
      <c r="E24" s="11" t="s">
        <v>15</v>
      </c>
      <c r="F24" s="16">
        <v>1</v>
      </c>
      <c r="G24" s="16">
        <v>0.04</v>
      </c>
      <c r="H24" s="11" t="s">
        <v>46</v>
      </c>
      <c r="I24" s="16">
        <v>0.89</v>
      </c>
      <c r="J24" s="16">
        <v>0.08</v>
      </c>
      <c r="K24" s="11" t="s">
        <v>32</v>
      </c>
      <c r="L24" s="16">
        <v>0.93</v>
      </c>
      <c r="M24" s="11" t="s">
        <v>32</v>
      </c>
    </row>
    <row r="25" spans="1:13" ht="26" customHeight="1">
      <c r="A25" s="11" t="s">
        <v>143</v>
      </c>
      <c r="B25" s="12" t="s">
        <v>144</v>
      </c>
      <c r="C25" s="11" t="s">
        <v>93</v>
      </c>
      <c r="D25" s="12" t="s">
        <v>145</v>
      </c>
      <c r="E25" s="11" t="s">
        <v>16</v>
      </c>
      <c r="F25" s="16">
        <v>0.36</v>
      </c>
      <c r="G25" s="16">
        <v>0.05</v>
      </c>
      <c r="H25" s="11" t="s">
        <v>46</v>
      </c>
      <c r="I25" s="16">
        <v>0.57</v>
      </c>
      <c r="J25" s="16">
        <v>0.05</v>
      </c>
      <c r="K25" s="11" t="s">
        <v>32</v>
      </c>
      <c r="L25" s="16">
        <v>0.68</v>
      </c>
      <c r="M25" s="11" t="s">
        <v>29</v>
      </c>
    </row>
    <row r="26" spans="1:13" ht="26" customHeight="1">
      <c r="A26" s="11" t="s">
        <v>154</v>
      </c>
      <c r="B26" s="12" t="s">
        <v>155</v>
      </c>
      <c r="C26" s="11" t="s">
        <v>93</v>
      </c>
      <c r="D26" s="12" t="s">
        <v>156</v>
      </c>
      <c r="E26" s="11" t="s">
        <v>16</v>
      </c>
      <c r="F26" s="16">
        <v>0.99</v>
      </c>
      <c r="G26" s="16">
        <v>0.98</v>
      </c>
      <c r="H26" s="11" t="s">
        <v>48</v>
      </c>
      <c r="I26" s="16">
        <v>0.89</v>
      </c>
      <c r="J26" s="16">
        <v>0.06</v>
      </c>
      <c r="K26" s="11" t="s">
        <v>30</v>
      </c>
      <c r="L26" s="16">
        <v>1</v>
      </c>
      <c r="M26" s="11" t="s">
        <v>30</v>
      </c>
    </row>
    <row r="27" spans="1:13" ht="26" customHeight="1">
      <c r="A27" s="11" t="s">
        <v>157</v>
      </c>
      <c r="B27" s="12" t="s">
        <v>158</v>
      </c>
      <c r="C27" s="11" t="s">
        <v>78</v>
      </c>
      <c r="D27" s="12" t="s">
        <v>159</v>
      </c>
      <c r="E27" s="11" t="s">
        <v>15</v>
      </c>
      <c r="F27" s="16">
        <v>1</v>
      </c>
      <c r="G27" s="16">
        <v>0.95</v>
      </c>
      <c r="H27" s="11" t="s">
        <v>48</v>
      </c>
      <c r="I27" s="16">
        <v>0.79</v>
      </c>
      <c r="J27" s="16">
        <v>0.05</v>
      </c>
      <c r="K27" s="11" t="s">
        <v>30</v>
      </c>
      <c r="L27" s="16">
        <v>0.62</v>
      </c>
      <c r="M27" s="11" t="s">
        <v>30</v>
      </c>
    </row>
    <row r="28" spans="1:13" ht="26" customHeight="1">
      <c r="A28" s="11" t="s">
        <v>160</v>
      </c>
      <c r="B28" s="12" t="s">
        <v>161</v>
      </c>
      <c r="C28" s="11" t="s">
        <v>73</v>
      </c>
      <c r="D28" s="12" t="s">
        <v>74</v>
      </c>
      <c r="E28" s="11" t="s">
        <v>15</v>
      </c>
      <c r="F28" s="16">
        <v>0.82</v>
      </c>
      <c r="G28" s="16">
        <v>0.97</v>
      </c>
      <c r="H28" s="11" t="s">
        <v>49</v>
      </c>
      <c r="I28" s="16">
        <v>0.9399999999999999</v>
      </c>
      <c r="J28" s="16">
        <v>0.1</v>
      </c>
      <c r="K28" s="11" t="s">
        <v>30</v>
      </c>
      <c r="L28" s="16">
        <v>0.71</v>
      </c>
      <c r="M28" s="11" t="s">
        <v>30</v>
      </c>
    </row>
    <row r="29" spans="1:13" ht="39" customHeight="1">
      <c r="A29" s="11" t="s">
        <v>162</v>
      </c>
      <c r="B29" s="12" t="s">
        <v>163</v>
      </c>
      <c r="C29" s="11" t="s">
        <v>78</v>
      </c>
      <c r="D29" s="12" t="s">
        <v>79</v>
      </c>
      <c r="E29" s="11" t="s">
        <v>16</v>
      </c>
      <c r="F29" s="16">
        <v>0.83</v>
      </c>
      <c r="G29" s="16">
        <v>0.96</v>
      </c>
      <c r="H29" s="11" t="s">
        <v>49</v>
      </c>
      <c r="I29" s="16">
        <v>0.68</v>
      </c>
      <c r="J29" s="16">
        <v>0.06</v>
      </c>
      <c r="K29" s="11" t="s">
        <v>30</v>
      </c>
      <c r="L29" s="16">
        <v>0.5</v>
      </c>
      <c r="M29" s="11" t="s">
        <v>29</v>
      </c>
    </row>
    <row r="30" spans="1:13" ht="26" customHeight="1">
      <c r="A30" s="11" t="s">
        <v>164</v>
      </c>
      <c r="B30" s="12" t="s">
        <v>165</v>
      </c>
      <c r="C30" s="11" t="s">
        <v>105</v>
      </c>
      <c r="D30" s="12" t="s">
        <v>83</v>
      </c>
      <c r="E30" s="11" t="s">
        <v>20</v>
      </c>
      <c r="F30" s="16">
        <v>1</v>
      </c>
      <c r="G30" s="16">
        <v>0.05</v>
      </c>
      <c r="H30" s="11" t="s">
        <v>45</v>
      </c>
      <c r="I30" s="16">
        <v>0.83</v>
      </c>
      <c r="J30" s="16">
        <v>0.04</v>
      </c>
      <c r="K30" s="11" t="s">
        <v>32</v>
      </c>
      <c r="L30" s="16">
        <v>0.61</v>
      </c>
      <c r="M30" s="11" t="s">
        <v>32</v>
      </c>
    </row>
    <row r="31" spans="1:13" ht="26" customHeight="1">
      <c r="A31" s="11" t="s">
        <v>166</v>
      </c>
      <c r="B31" s="12" t="s">
        <v>167</v>
      </c>
      <c r="C31" s="11" t="s">
        <v>78</v>
      </c>
      <c r="D31" s="12" t="s">
        <v>88</v>
      </c>
      <c r="E31" s="11" t="s">
        <v>21</v>
      </c>
      <c r="F31" s="16">
        <v>0.99</v>
      </c>
      <c r="G31" s="16">
        <v>0.03</v>
      </c>
      <c r="H31" s="11" t="s">
        <v>46</v>
      </c>
      <c r="I31" s="16">
        <v>0.77</v>
      </c>
      <c r="J31" s="16">
        <v>0.89</v>
      </c>
      <c r="K31" s="11" t="s">
        <v>89</v>
      </c>
      <c r="L31" s="16">
        <v>1</v>
      </c>
      <c r="M31" s="11" t="s">
        <v>29</v>
      </c>
    </row>
    <row r="32" spans="1:13" ht="26" customHeight="1">
      <c r="A32" s="11" t="s">
        <v>168</v>
      </c>
      <c r="B32" s="12" t="s">
        <v>169</v>
      </c>
      <c r="C32" s="11" t="s">
        <v>78</v>
      </c>
      <c r="D32" s="12" t="s">
        <v>94</v>
      </c>
      <c r="E32" s="11" t="s">
        <v>18</v>
      </c>
      <c r="F32" s="16">
        <v>0.9</v>
      </c>
      <c r="G32" s="16">
        <v>0.97</v>
      </c>
      <c r="H32" s="11" t="s">
        <v>46</v>
      </c>
      <c r="I32" s="16">
        <v>0.75</v>
      </c>
      <c r="J32" s="16">
        <v>0.05</v>
      </c>
      <c r="K32" s="11" t="s">
        <v>30</v>
      </c>
      <c r="L32" s="16">
        <v>1</v>
      </c>
      <c r="M32" s="11" t="s">
        <v>30</v>
      </c>
    </row>
    <row r="33" spans="1:13" ht="39" customHeight="1">
      <c r="A33" s="11" t="s">
        <v>170</v>
      </c>
      <c r="B33" s="12" t="s">
        <v>171</v>
      </c>
      <c r="C33" s="11" t="s">
        <v>105</v>
      </c>
      <c r="D33" s="12" t="s">
        <v>97</v>
      </c>
      <c r="E33" s="11" t="s">
        <v>18</v>
      </c>
      <c r="F33" s="16">
        <v>1</v>
      </c>
      <c r="G33" s="16">
        <v>0.47</v>
      </c>
      <c r="H33" s="11" t="s">
        <v>46</v>
      </c>
      <c r="I33" s="16">
        <v>0.91</v>
      </c>
      <c r="J33" s="16">
        <v>0.04</v>
      </c>
      <c r="K33" s="11" t="s">
        <v>33</v>
      </c>
      <c r="L33" s="16">
        <v>1</v>
      </c>
      <c r="M33" s="11" t="s">
        <v>33</v>
      </c>
    </row>
  </sheetData>
  <mergeCells count="8">
    <mergeCell ref="A1:M1"/>
    <mergeCell ref="A2:M2"/>
    <mergeCell ref="A4:B4"/>
    <mergeCell ref="C4:D4"/>
    <mergeCell ref="E4:F4"/>
    <mergeCell ref="G4:H4"/>
    <mergeCell ref="I4:J4"/>
    <mergeCell ref="K4:M4"/>
  </mergeCells>
  <conditionalFormatting sqref="F7:F33">
    <cfRule type="colorScale" priority="1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conditionalFormatting sqref="I7:I33">
    <cfRule type="colorScale" priority="2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conditionalFormatting sqref="J7:J33">
    <cfRule type="cellIs" dxfId="5" priority="4" operator="greaterThanOrEqual">
      <formula>0.6</formula>
    </cfRule>
  </conditionalFormatting>
  <conditionalFormatting sqref="L7:L33">
    <cfRule type="colorScale" priority="3">
      <colorScale>
        <cfvo type="min" val="0"/>
        <cfvo type="percentile" val="50"/>
        <cfvo type="max" val="0"/>
        <color rgb="FFF8E1DE"/>
        <color rgb="FFFBEFD9"/>
        <color rgb="FFE6F3D8"/>
      </colorScale>
    </cfRule>
  </conditionalFormatting>
  <hyperlinks>
    <hyperlink ref="A4" location="'Tableau de bord'!A1" display="Tableau de bord"/>
    <hyperlink ref="C4" location="'Plan d'actions'!A1" display="Plan d'actions"/>
    <hyperlink ref="E4" location="'Retours gestionnaires'!A1" display="Retours gestionnaires"/>
    <hyperlink ref="G4" location="'Promesses vs bascules'!A1" display="Promesses vs bascules"/>
    <hyperlink ref="I4" location="'Contrôle qualité'!A1" display="Contrôle qualité"/>
    <hyperlink ref="K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J19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28.7109375" customWidth="1"/>
    <col min="3" max="3" width="14.7109375" customWidth="1"/>
    <col min="4" max="4" width="9.7109375" customWidth="1"/>
    <col min="5" max="5" width="11.7109375" customWidth="1"/>
    <col min="6" max="6" width="13.7109375" customWidth="1"/>
    <col min="7" max="7" width="9.7109375" customWidth="1"/>
    <col min="8" max="8" width="16.7109375" customWidth="1"/>
    <col min="9" max="9" width="11.7109375" customWidth="1"/>
    <col min="10" max="10" width="50.7109375" customWidth="1"/>
  </cols>
  <sheetData>
    <row r="1" spans="1:10" ht="30" customHeight="1">
      <c r="A1" s="1" t="s">
        <v>180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2" t="s">
        <v>181</v>
      </c>
      <c r="B2" s="2"/>
      <c r="C2" s="2"/>
      <c r="D2" s="2"/>
      <c r="E2" s="2"/>
      <c r="F2" s="2"/>
      <c r="G2" s="2"/>
      <c r="H2" s="2"/>
      <c r="I2" s="2"/>
      <c r="J2" s="2"/>
    </row>
    <row r="3" spans="1:10" ht="4" customHeight="1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ht="22" customHeight="1">
      <c r="A4" s="5" t="s">
        <v>2</v>
      </c>
      <c r="B4" s="5" t="s">
        <v>3</v>
      </c>
      <c r="C4" s="5" t="s">
        <v>4</v>
      </c>
      <c r="D4" s="4" t="s">
        <v>5</v>
      </c>
      <c r="E4" s="5" t="s">
        <v>6</v>
      </c>
      <c r="F4" s="5" t="s">
        <v>7</v>
      </c>
      <c r="G4" s="5"/>
      <c r="H4" s="5"/>
      <c r="I4" s="5"/>
      <c r="J4" s="5"/>
    </row>
    <row r="6" spans="1:10" ht="36" customHeight="1">
      <c r="A6" s="10" t="s">
        <v>57</v>
      </c>
      <c r="B6" s="10" t="s">
        <v>58</v>
      </c>
      <c r="C6" s="10" t="s">
        <v>62</v>
      </c>
      <c r="D6" s="10" t="s">
        <v>63</v>
      </c>
      <c r="E6" s="10" t="s">
        <v>64</v>
      </c>
      <c r="F6" s="10" t="s">
        <v>182</v>
      </c>
      <c r="G6" s="10" t="s">
        <v>183</v>
      </c>
      <c r="H6" s="10" t="s">
        <v>35</v>
      </c>
      <c r="I6" s="10" t="s">
        <v>44</v>
      </c>
      <c r="J6" s="10" t="s">
        <v>65</v>
      </c>
    </row>
    <row r="7" spans="1:10" ht="26" customHeight="1">
      <c r="A7" s="11" t="s">
        <v>154</v>
      </c>
      <c r="B7" s="12" t="s">
        <v>155</v>
      </c>
      <c r="C7" s="13">
        <v>8984800</v>
      </c>
      <c r="D7" s="14">
        <v>43</v>
      </c>
      <c r="E7" s="15">
        <v>46342</v>
      </c>
      <c r="F7" s="15">
        <v>46384</v>
      </c>
      <c r="G7" s="14">
        <v>42</v>
      </c>
      <c r="H7" s="11" t="s">
        <v>37</v>
      </c>
      <c r="I7" s="11" t="s">
        <v>48</v>
      </c>
      <c r="J7" s="12" t="s">
        <v>156</v>
      </c>
    </row>
    <row r="8" spans="1:10" ht="39" customHeight="1">
      <c r="A8" s="11" t="s">
        <v>112</v>
      </c>
      <c r="B8" s="12" t="s">
        <v>113</v>
      </c>
      <c r="C8" s="13">
        <v>2066964</v>
      </c>
      <c r="D8" s="14">
        <v>56</v>
      </c>
      <c r="E8" s="15">
        <v>46329</v>
      </c>
      <c r="F8" s="15">
        <v>46356</v>
      </c>
      <c r="G8" s="14">
        <v>27</v>
      </c>
      <c r="H8" s="11" t="s">
        <v>37</v>
      </c>
      <c r="I8" s="11" t="s">
        <v>48</v>
      </c>
      <c r="J8" s="12" t="s">
        <v>114</v>
      </c>
    </row>
    <row r="9" spans="1:10" ht="26" customHeight="1">
      <c r="A9" s="11" t="s">
        <v>91</v>
      </c>
      <c r="B9" s="12" t="s">
        <v>92</v>
      </c>
      <c r="C9" s="13">
        <v>9910321</v>
      </c>
      <c r="D9" s="14">
        <v>84</v>
      </c>
      <c r="E9" s="15">
        <v>46301</v>
      </c>
      <c r="F9" s="15">
        <v>46310</v>
      </c>
      <c r="G9" s="14">
        <v>9</v>
      </c>
      <c r="H9" s="11" t="s">
        <v>37</v>
      </c>
      <c r="I9" s="11" t="s">
        <v>46</v>
      </c>
      <c r="J9" s="12" t="s">
        <v>94</v>
      </c>
    </row>
    <row r="10" spans="1:10" ht="39" customHeight="1">
      <c r="A10" s="11" t="s">
        <v>162</v>
      </c>
      <c r="B10" s="12" t="s">
        <v>163</v>
      </c>
      <c r="C10" s="13">
        <v>4935158</v>
      </c>
      <c r="D10" s="14">
        <v>51</v>
      </c>
      <c r="E10" s="15">
        <v>46334</v>
      </c>
      <c r="F10" s="15">
        <v>46326</v>
      </c>
      <c r="G10" s="14">
        <v>-8</v>
      </c>
      <c r="H10" s="11" t="s">
        <v>36</v>
      </c>
      <c r="I10" s="11" t="s">
        <v>49</v>
      </c>
      <c r="J10" s="12" t="s">
        <v>79</v>
      </c>
    </row>
    <row r="11" spans="1:10" ht="26" customHeight="1">
      <c r="A11" s="11" t="s">
        <v>128</v>
      </c>
      <c r="B11" s="12" t="s">
        <v>129</v>
      </c>
      <c r="C11" s="13">
        <v>135752385</v>
      </c>
      <c r="D11" s="14">
        <v>56</v>
      </c>
      <c r="E11" s="15">
        <v>46329</v>
      </c>
      <c r="F11" s="15">
        <v>46315</v>
      </c>
      <c r="G11" s="14">
        <v>-14</v>
      </c>
      <c r="H11" s="11" t="s">
        <v>36</v>
      </c>
      <c r="I11" s="11" t="s">
        <v>47</v>
      </c>
      <c r="J11" s="12" t="s">
        <v>130</v>
      </c>
    </row>
    <row r="12" spans="1:10" ht="26" customHeight="1">
      <c r="A12" s="11" t="s">
        <v>98</v>
      </c>
      <c r="B12" s="12" t="s">
        <v>99</v>
      </c>
      <c r="C12" s="13">
        <v>82126306</v>
      </c>
      <c r="D12" s="14">
        <v>65</v>
      </c>
      <c r="E12" s="15">
        <v>46320</v>
      </c>
      <c r="F12" s="15">
        <v>46304</v>
      </c>
      <c r="G12" s="14">
        <v>-16</v>
      </c>
      <c r="H12" s="11" t="s">
        <v>36</v>
      </c>
      <c r="I12" s="11" t="s">
        <v>46</v>
      </c>
      <c r="J12" s="12" t="s">
        <v>100</v>
      </c>
    </row>
    <row r="13" spans="1:10" ht="26" customHeight="1">
      <c r="A13" s="11" t="s">
        <v>160</v>
      </c>
      <c r="B13" s="12" t="s">
        <v>161</v>
      </c>
      <c r="C13" s="13">
        <v>1630883</v>
      </c>
      <c r="D13" s="14">
        <v>70</v>
      </c>
      <c r="E13" s="15">
        <v>46315</v>
      </c>
      <c r="F13" s="15">
        <v>46298</v>
      </c>
      <c r="G13" s="14">
        <v>-17</v>
      </c>
      <c r="H13" s="11" t="s">
        <v>36</v>
      </c>
      <c r="I13" s="11" t="s">
        <v>49</v>
      </c>
      <c r="J13" s="12" t="s">
        <v>74</v>
      </c>
    </row>
    <row r="14" spans="1:10" ht="26" customHeight="1">
      <c r="A14" s="11" t="s">
        <v>168</v>
      </c>
      <c r="B14" s="12" t="s">
        <v>169</v>
      </c>
      <c r="C14" s="13">
        <v>182902153</v>
      </c>
      <c r="D14" s="14">
        <v>55</v>
      </c>
      <c r="E14" s="15">
        <v>46330</v>
      </c>
      <c r="F14" s="15">
        <v>46310</v>
      </c>
      <c r="G14" s="14">
        <v>-20</v>
      </c>
      <c r="H14" s="11" t="s">
        <v>36</v>
      </c>
      <c r="I14" s="11" t="s">
        <v>46</v>
      </c>
      <c r="J14" s="12" t="s">
        <v>94</v>
      </c>
    </row>
    <row r="15" spans="1:10" ht="26" customHeight="1">
      <c r="A15" s="11" t="s">
        <v>70</v>
      </c>
      <c r="B15" s="12" t="s">
        <v>71</v>
      </c>
      <c r="C15" s="13">
        <v>1350648</v>
      </c>
      <c r="D15" s="14">
        <v>66</v>
      </c>
      <c r="E15" s="15">
        <v>46319</v>
      </c>
      <c r="F15" s="15">
        <v>46298</v>
      </c>
      <c r="G15" s="14">
        <v>-21</v>
      </c>
      <c r="H15" s="11" t="s">
        <v>36</v>
      </c>
      <c r="I15" s="11" t="s">
        <v>49</v>
      </c>
      <c r="J15" s="12" t="s">
        <v>74</v>
      </c>
    </row>
    <row r="16" spans="1:10" ht="39" customHeight="1">
      <c r="A16" s="11" t="s">
        <v>75</v>
      </c>
      <c r="B16" s="12" t="s">
        <v>76</v>
      </c>
      <c r="C16" s="13">
        <v>42541838</v>
      </c>
      <c r="D16" s="14">
        <v>36</v>
      </c>
      <c r="E16" s="15">
        <v>46349</v>
      </c>
      <c r="F16" s="15">
        <v>46326</v>
      </c>
      <c r="G16" s="14">
        <v>-23</v>
      </c>
      <c r="H16" s="11" t="s">
        <v>36</v>
      </c>
      <c r="I16" s="11" t="s">
        <v>49</v>
      </c>
      <c r="J16" s="12" t="s">
        <v>79</v>
      </c>
    </row>
    <row r="17" spans="1:10" ht="26" customHeight="1">
      <c r="A17" s="11" t="s">
        <v>124</v>
      </c>
      <c r="B17" s="12" t="s">
        <v>125</v>
      </c>
      <c r="C17" s="13">
        <v>3712246</v>
      </c>
      <c r="D17" s="14">
        <v>51</v>
      </c>
      <c r="E17" s="15">
        <v>46334</v>
      </c>
      <c r="F17" s="15">
        <v>46304</v>
      </c>
      <c r="G17" s="14">
        <v>-30</v>
      </c>
      <c r="H17" s="11" t="s">
        <v>36</v>
      </c>
      <c r="I17" s="11" t="s">
        <v>46</v>
      </c>
      <c r="J17" s="12" t="s">
        <v>126</v>
      </c>
    </row>
    <row r="18" spans="1:10" ht="26" customHeight="1">
      <c r="A18" s="11" t="s">
        <v>157</v>
      </c>
      <c r="B18" s="12" t="s">
        <v>158</v>
      </c>
      <c r="C18" s="13">
        <v>8643958</v>
      </c>
      <c r="D18" s="14">
        <v>52</v>
      </c>
      <c r="E18" s="15">
        <v>46333</v>
      </c>
      <c r="F18" s="15">
        <v>46303</v>
      </c>
      <c r="G18" s="14">
        <v>-30</v>
      </c>
      <c r="H18" s="11" t="s">
        <v>36</v>
      </c>
      <c r="I18" s="11" t="s">
        <v>48</v>
      </c>
      <c r="J18" s="12" t="s">
        <v>159</v>
      </c>
    </row>
    <row r="19" spans="1:10" ht="26" customHeight="1">
      <c r="A19" s="11" t="s">
        <v>132</v>
      </c>
      <c r="B19" s="12" t="s">
        <v>133</v>
      </c>
      <c r="C19" s="13">
        <v>3880512</v>
      </c>
      <c r="D19" s="14">
        <v>40</v>
      </c>
      <c r="E19" s="15">
        <v>46345</v>
      </c>
      <c r="F19" s="15">
        <v>46297</v>
      </c>
      <c r="G19" s="14">
        <v>-48</v>
      </c>
      <c r="H19" s="11" t="s">
        <v>36</v>
      </c>
      <c r="I19" s="11" t="s">
        <v>48</v>
      </c>
      <c r="J19" s="12" t="s">
        <v>134</v>
      </c>
    </row>
  </sheetData>
  <mergeCells count="3">
    <mergeCell ref="A1:J1"/>
    <mergeCell ref="A2:J2"/>
    <mergeCell ref="F4:J4"/>
  </mergeCells>
  <conditionalFormatting sqref="G7:G19">
    <cfRule type="cellIs" dxfId="8" priority="3" operator="greaterThan">
      <formula>0</formula>
    </cfRule>
  </conditionalFormatting>
  <conditionalFormatting sqref="H7:H19">
    <cfRule type="cellIs" dxfId="5" priority="1" operator="equal">
      <formula>"Après la bascule"</formula>
    </cfRule>
    <cfRule type="cellIs" dxfId="7" priority="2" operator="equal">
      <formula>"Avant la bascule"</formula>
    </cfRule>
  </conditionalFormatting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H31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/>
    </sheetView>
  </sheetViews>
  <sheetFormatPr defaultRowHeight="15"/>
  <cols>
    <col min="1" max="1" width="12.7109375" customWidth="1"/>
    <col min="2" max="2" width="30.7109375" customWidth="1"/>
    <col min="3" max="3" width="13.7109375" customWidth="1"/>
    <col min="4" max="4" width="10.7109375" customWidth="1"/>
    <col min="5" max="5" width="13.7109375" customWidth="1"/>
    <col min="6" max="7" width="9.7109375" customWidth="1"/>
    <col min="8" max="8" width="54.7109375" customWidth="1"/>
  </cols>
  <sheetData>
    <row r="1" spans="1:8" ht="30" customHeight="1">
      <c r="A1" s="1" t="s">
        <v>184</v>
      </c>
      <c r="B1" s="1"/>
      <c r="C1" s="1"/>
      <c r="D1" s="1"/>
      <c r="E1" s="1"/>
      <c r="F1" s="1"/>
      <c r="G1" s="1"/>
      <c r="H1" s="1"/>
    </row>
    <row r="2" spans="1:8" ht="18" customHeight="1">
      <c r="A2" s="2" t="s">
        <v>185</v>
      </c>
      <c r="B2" s="2"/>
      <c r="C2" s="2"/>
      <c r="D2" s="2"/>
      <c r="E2" s="2"/>
      <c r="F2" s="2"/>
      <c r="G2" s="2"/>
      <c r="H2" s="2"/>
    </row>
    <row r="3" spans="1:8" ht="4" customHeight="1">
      <c r="A3" s="3"/>
      <c r="B3" s="3"/>
      <c r="C3" s="3"/>
      <c r="D3" s="3"/>
      <c r="E3" s="3"/>
      <c r="F3" s="3"/>
      <c r="G3" s="3"/>
      <c r="H3" s="3"/>
    </row>
    <row r="4" spans="1:8" ht="22" customHeight="1">
      <c r="A4" s="5" t="s">
        <v>2</v>
      </c>
      <c r="B4" s="5" t="s">
        <v>3</v>
      </c>
      <c r="C4" s="5" t="s">
        <v>4</v>
      </c>
      <c r="D4" s="5" t="s">
        <v>5</v>
      </c>
      <c r="E4" s="4" t="s">
        <v>6</v>
      </c>
      <c r="F4" s="5" t="s">
        <v>7</v>
      </c>
      <c r="G4" s="5"/>
      <c r="H4" s="5"/>
    </row>
    <row r="6" spans="1:8" ht="36" customHeight="1">
      <c r="A6" s="10" t="s">
        <v>57</v>
      </c>
      <c r="B6" s="10" t="s">
        <v>58</v>
      </c>
      <c r="C6" s="10" t="s">
        <v>59</v>
      </c>
      <c r="D6" s="10" t="s">
        <v>60</v>
      </c>
      <c r="E6" s="10" t="s">
        <v>186</v>
      </c>
      <c r="F6" s="10" t="s">
        <v>187</v>
      </c>
      <c r="G6" s="10" t="s">
        <v>188</v>
      </c>
      <c r="H6" s="10" t="s">
        <v>189</v>
      </c>
    </row>
    <row r="7" spans="1:8" ht="26" customHeight="1">
      <c r="A7" s="11" t="s">
        <v>84</v>
      </c>
      <c r="B7" s="12" t="s">
        <v>85</v>
      </c>
      <c r="C7" s="11" t="s">
        <v>86</v>
      </c>
      <c r="D7" s="11" t="s">
        <v>87</v>
      </c>
      <c r="E7" s="11" t="s">
        <v>41</v>
      </c>
      <c r="F7" s="14" t="s">
        <v>190</v>
      </c>
      <c r="G7" s="14" t="s">
        <v>190</v>
      </c>
      <c r="H7" s="12" t="s">
        <v>191</v>
      </c>
    </row>
    <row r="8" spans="1:8" ht="26" customHeight="1">
      <c r="A8" s="11" t="s">
        <v>84</v>
      </c>
      <c r="B8" s="12" t="s">
        <v>85</v>
      </c>
      <c r="C8" s="11" t="s">
        <v>86</v>
      </c>
      <c r="D8" s="11" t="s">
        <v>87</v>
      </c>
      <c r="E8" s="11" t="s">
        <v>41</v>
      </c>
      <c r="F8" s="14" t="s">
        <v>190</v>
      </c>
      <c r="G8" s="14" t="s">
        <v>190</v>
      </c>
      <c r="H8" s="12" t="s">
        <v>192</v>
      </c>
    </row>
    <row r="9" spans="1:8">
      <c r="A9" s="11" t="s">
        <v>91</v>
      </c>
      <c r="B9" s="12" t="s">
        <v>92</v>
      </c>
      <c r="C9" s="11" t="s">
        <v>72</v>
      </c>
      <c r="D9" s="11" t="s">
        <v>93</v>
      </c>
      <c r="E9" s="11" t="s">
        <v>42</v>
      </c>
      <c r="F9" s="14" t="s">
        <v>193</v>
      </c>
      <c r="G9" s="14" t="s">
        <v>190</v>
      </c>
      <c r="H9" s="12" t="s">
        <v>194</v>
      </c>
    </row>
    <row r="10" spans="1:8">
      <c r="A10" s="11" t="s">
        <v>91</v>
      </c>
      <c r="B10" s="12" t="s">
        <v>92</v>
      </c>
      <c r="C10" s="11" t="s">
        <v>72</v>
      </c>
      <c r="D10" s="11" t="s">
        <v>93</v>
      </c>
      <c r="E10" s="11" t="s">
        <v>42</v>
      </c>
      <c r="F10" s="14" t="s">
        <v>193</v>
      </c>
      <c r="G10" s="14" t="s">
        <v>190</v>
      </c>
      <c r="H10" s="12" t="s">
        <v>195</v>
      </c>
    </row>
    <row r="11" spans="1:8">
      <c r="A11" s="11" t="s">
        <v>98</v>
      </c>
      <c r="B11" s="12" t="s">
        <v>99</v>
      </c>
      <c r="C11" s="11" t="s">
        <v>72</v>
      </c>
      <c r="D11" s="11" t="s">
        <v>93</v>
      </c>
      <c r="E11" s="11" t="s">
        <v>43</v>
      </c>
      <c r="F11" s="14" t="s">
        <v>190</v>
      </c>
      <c r="G11" s="14" t="s">
        <v>190</v>
      </c>
      <c r="H11" s="12" t="s">
        <v>196</v>
      </c>
    </row>
    <row r="12" spans="1:8">
      <c r="A12" s="11" t="s">
        <v>107</v>
      </c>
      <c r="B12" s="12" t="s">
        <v>108</v>
      </c>
      <c r="C12" s="11" t="s">
        <v>104</v>
      </c>
      <c r="D12" s="11" t="s">
        <v>109</v>
      </c>
      <c r="E12" s="11" t="s">
        <v>43</v>
      </c>
      <c r="F12" s="14" t="s">
        <v>190</v>
      </c>
      <c r="G12" s="14" t="s">
        <v>190</v>
      </c>
      <c r="H12" s="12" t="s">
        <v>197</v>
      </c>
    </row>
    <row r="13" spans="1:8">
      <c r="A13" s="11" t="s">
        <v>112</v>
      </c>
      <c r="B13" s="12" t="s">
        <v>113</v>
      </c>
      <c r="C13" s="11" t="s">
        <v>86</v>
      </c>
      <c r="D13" s="11" t="s">
        <v>82</v>
      </c>
      <c r="E13" s="11" t="s">
        <v>42</v>
      </c>
      <c r="F13" s="14" t="s">
        <v>190</v>
      </c>
      <c r="G13" s="14" t="s">
        <v>190</v>
      </c>
      <c r="H13" s="12" t="s">
        <v>198</v>
      </c>
    </row>
    <row r="14" spans="1:8">
      <c r="A14" s="11" t="s">
        <v>115</v>
      </c>
      <c r="B14" s="12" t="s">
        <v>116</v>
      </c>
      <c r="C14" s="11" t="s">
        <v>86</v>
      </c>
      <c r="D14" s="11" t="s">
        <v>82</v>
      </c>
      <c r="E14" s="11" t="s">
        <v>42</v>
      </c>
      <c r="F14" s="14" t="s">
        <v>190</v>
      </c>
      <c r="G14" s="14" t="s">
        <v>190</v>
      </c>
      <c r="H14" s="12" t="s">
        <v>191</v>
      </c>
    </row>
    <row r="15" spans="1:8">
      <c r="A15" s="11" t="s">
        <v>118</v>
      </c>
      <c r="B15" s="12" t="s">
        <v>119</v>
      </c>
      <c r="C15" s="11" t="s">
        <v>104</v>
      </c>
      <c r="D15" s="11" t="s">
        <v>87</v>
      </c>
      <c r="E15" s="11" t="s">
        <v>43</v>
      </c>
      <c r="F15" s="14" t="s">
        <v>190</v>
      </c>
      <c r="G15" s="14" t="s">
        <v>190</v>
      </c>
      <c r="H15" s="12" t="s">
        <v>192</v>
      </c>
    </row>
    <row r="16" spans="1:8" ht="26" customHeight="1">
      <c r="A16" s="11" t="s">
        <v>121</v>
      </c>
      <c r="B16" s="12" t="s">
        <v>122</v>
      </c>
      <c r="C16" s="11" t="s">
        <v>104</v>
      </c>
      <c r="D16" s="11" t="s">
        <v>105</v>
      </c>
      <c r="E16" s="11" t="s">
        <v>42</v>
      </c>
      <c r="F16" s="14" t="s">
        <v>190</v>
      </c>
      <c r="G16" s="14" t="s">
        <v>193</v>
      </c>
      <c r="H16" s="12" t="s">
        <v>199</v>
      </c>
    </row>
    <row r="17" spans="1:8">
      <c r="A17" s="11" t="s">
        <v>124</v>
      </c>
      <c r="B17" s="12" t="s">
        <v>125</v>
      </c>
      <c r="C17" s="11" t="s">
        <v>86</v>
      </c>
      <c r="D17" s="11" t="s">
        <v>78</v>
      </c>
      <c r="E17" s="11" t="s">
        <v>41</v>
      </c>
      <c r="F17" s="14" t="s">
        <v>190</v>
      </c>
      <c r="G17" s="14" t="s">
        <v>193</v>
      </c>
      <c r="H17" s="12" t="s">
        <v>200</v>
      </c>
    </row>
    <row r="18" spans="1:8">
      <c r="A18" s="11" t="s">
        <v>124</v>
      </c>
      <c r="B18" s="12" t="s">
        <v>125</v>
      </c>
      <c r="C18" s="11" t="s">
        <v>86</v>
      </c>
      <c r="D18" s="11" t="s">
        <v>78</v>
      </c>
      <c r="E18" s="11" t="s">
        <v>41</v>
      </c>
      <c r="F18" s="14" t="s">
        <v>190</v>
      </c>
      <c r="G18" s="14" t="s">
        <v>193</v>
      </c>
      <c r="H18" s="12" t="s">
        <v>201</v>
      </c>
    </row>
    <row r="19" spans="1:8">
      <c r="A19" s="11" t="s">
        <v>128</v>
      </c>
      <c r="B19" s="12" t="s">
        <v>129</v>
      </c>
      <c r="C19" s="11" t="s">
        <v>86</v>
      </c>
      <c r="D19" s="11" t="s">
        <v>87</v>
      </c>
      <c r="E19" s="11" t="s">
        <v>42</v>
      </c>
      <c r="F19" s="14" t="s">
        <v>190</v>
      </c>
      <c r="G19" s="14" t="s">
        <v>190</v>
      </c>
      <c r="H19" s="12" t="s">
        <v>202</v>
      </c>
    </row>
    <row r="20" spans="1:8">
      <c r="A20" s="11" t="s">
        <v>132</v>
      </c>
      <c r="B20" s="12" t="s">
        <v>133</v>
      </c>
      <c r="C20" s="11" t="s">
        <v>104</v>
      </c>
      <c r="D20" s="11" t="s">
        <v>78</v>
      </c>
      <c r="E20" s="11" t="s">
        <v>43</v>
      </c>
      <c r="F20" s="14" t="s">
        <v>190</v>
      </c>
      <c r="G20" s="14" t="s">
        <v>190</v>
      </c>
      <c r="H20" s="12" t="s">
        <v>203</v>
      </c>
    </row>
    <row r="21" spans="1:8" ht="26" customHeight="1">
      <c r="A21" s="11" t="s">
        <v>143</v>
      </c>
      <c r="B21" s="12" t="s">
        <v>144</v>
      </c>
      <c r="C21" s="11" t="s">
        <v>86</v>
      </c>
      <c r="D21" s="11" t="s">
        <v>93</v>
      </c>
      <c r="E21" s="11" t="s">
        <v>41</v>
      </c>
      <c r="F21" s="14" t="s">
        <v>190</v>
      </c>
      <c r="G21" s="14" t="s">
        <v>190</v>
      </c>
      <c r="H21" s="12" t="s">
        <v>204</v>
      </c>
    </row>
    <row r="22" spans="1:8" ht="26" customHeight="1">
      <c r="A22" s="11" t="s">
        <v>147</v>
      </c>
      <c r="B22" s="12" t="s">
        <v>148</v>
      </c>
      <c r="C22" s="11" t="s">
        <v>86</v>
      </c>
      <c r="D22" s="11" t="s">
        <v>109</v>
      </c>
      <c r="E22" s="11" t="s">
        <v>40</v>
      </c>
      <c r="F22" s="14" t="s">
        <v>190</v>
      </c>
      <c r="G22" s="14" t="s">
        <v>193</v>
      </c>
      <c r="H22" s="12" t="s">
        <v>205</v>
      </c>
    </row>
    <row r="23" spans="1:8" ht="26" customHeight="1">
      <c r="A23" s="11" t="s">
        <v>147</v>
      </c>
      <c r="B23" s="12" t="s">
        <v>148</v>
      </c>
      <c r="C23" s="11" t="s">
        <v>86</v>
      </c>
      <c r="D23" s="11" t="s">
        <v>109</v>
      </c>
      <c r="E23" s="11" t="s">
        <v>40</v>
      </c>
      <c r="F23" s="14" t="s">
        <v>190</v>
      </c>
      <c r="G23" s="14" t="s">
        <v>193</v>
      </c>
      <c r="H23" s="12" t="s">
        <v>200</v>
      </c>
    </row>
    <row r="24" spans="1:8">
      <c r="A24" s="11" t="s">
        <v>150</v>
      </c>
      <c r="B24" s="12" t="s">
        <v>151</v>
      </c>
      <c r="C24" s="11" t="s">
        <v>104</v>
      </c>
      <c r="D24" s="11" t="s">
        <v>105</v>
      </c>
      <c r="E24" s="11" t="s">
        <v>43</v>
      </c>
      <c r="F24" s="14" t="s">
        <v>190</v>
      </c>
      <c r="G24" s="14" t="s">
        <v>190</v>
      </c>
      <c r="H24" s="12" t="s">
        <v>205</v>
      </c>
    </row>
    <row r="25" spans="1:8">
      <c r="A25" s="11" t="s">
        <v>152</v>
      </c>
      <c r="B25" s="12" t="s">
        <v>153</v>
      </c>
      <c r="C25" s="11" t="s">
        <v>86</v>
      </c>
      <c r="D25" s="11" t="s">
        <v>93</v>
      </c>
      <c r="E25" s="11" t="s">
        <v>42</v>
      </c>
      <c r="F25" s="14" t="s">
        <v>190</v>
      </c>
      <c r="G25" s="14" t="s">
        <v>190</v>
      </c>
      <c r="H25" s="12" t="s">
        <v>205</v>
      </c>
    </row>
    <row r="26" spans="1:8">
      <c r="A26" s="11" t="s">
        <v>154</v>
      </c>
      <c r="B26" s="12" t="s">
        <v>155</v>
      </c>
      <c r="C26" s="11" t="s">
        <v>104</v>
      </c>
      <c r="D26" s="11" t="s">
        <v>93</v>
      </c>
      <c r="E26" s="11" t="s">
        <v>43</v>
      </c>
      <c r="F26" s="14" t="s">
        <v>190</v>
      </c>
      <c r="G26" s="14" t="s">
        <v>190</v>
      </c>
      <c r="H26" s="12" t="s">
        <v>206</v>
      </c>
    </row>
    <row r="27" spans="1:8">
      <c r="A27" s="11" t="s">
        <v>157</v>
      </c>
      <c r="B27" s="12" t="s">
        <v>158</v>
      </c>
      <c r="C27" s="11" t="s">
        <v>72</v>
      </c>
      <c r="D27" s="11" t="s">
        <v>78</v>
      </c>
      <c r="E27" s="11" t="s">
        <v>42</v>
      </c>
      <c r="F27" s="14" t="s">
        <v>193</v>
      </c>
      <c r="G27" s="14" t="s">
        <v>190</v>
      </c>
      <c r="H27" s="12" t="s">
        <v>195</v>
      </c>
    </row>
    <row r="28" spans="1:8">
      <c r="A28" s="11" t="s">
        <v>162</v>
      </c>
      <c r="B28" s="12" t="s">
        <v>163</v>
      </c>
      <c r="C28" s="11" t="s">
        <v>104</v>
      </c>
      <c r="D28" s="11" t="s">
        <v>78</v>
      </c>
      <c r="E28" s="11" t="s">
        <v>43</v>
      </c>
      <c r="F28" s="14" t="s">
        <v>190</v>
      </c>
      <c r="G28" s="14" t="s">
        <v>190</v>
      </c>
      <c r="H28" s="12" t="s">
        <v>201</v>
      </c>
    </row>
    <row r="29" spans="1:8" ht="26" customHeight="1">
      <c r="A29" s="11" t="s">
        <v>166</v>
      </c>
      <c r="B29" s="12" t="s">
        <v>167</v>
      </c>
      <c r="C29" s="11" t="s">
        <v>86</v>
      </c>
      <c r="D29" s="11" t="s">
        <v>78</v>
      </c>
      <c r="E29" s="11" t="s">
        <v>40</v>
      </c>
      <c r="F29" s="14" t="s">
        <v>190</v>
      </c>
      <c r="G29" s="14" t="s">
        <v>193</v>
      </c>
      <c r="H29" s="12" t="s">
        <v>191</v>
      </c>
    </row>
    <row r="30" spans="1:8" ht="26" customHeight="1">
      <c r="A30" s="11" t="s">
        <v>166</v>
      </c>
      <c r="B30" s="12" t="s">
        <v>167</v>
      </c>
      <c r="C30" s="11" t="s">
        <v>86</v>
      </c>
      <c r="D30" s="11" t="s">
        <v>78</v>
      </c>
      <c r="E30" s="11" t="s">
        <v>40</v>
      </c>
      <c r="F30" s="14" t="s">
        <v>190</v>
      </c>
      <c r="G30" s="14" t="s">
        <v>193</v>
      </c>
      <c r="H30" s="12" t="s">
        <v>200</v>
      </c>
    </row>
    <row r="31" spans="1:8" ht="26" customHeight="1">
      <c r="A31" s="11" t="s">
        <v>166</v>
      </c>
      <c r="B31" s="12" t="s">
        <v>167</v>
      </c>
      <c r="C31" s="11" t="s">
        <v>86</v>
      </c>
      <c r="D31" s="11" t="s">
        <v>78</v>
      </c>
      <c r="E31" s="11" t="s">
        <v>40</v>
      </c>
      <c r="F31" s="14" t="s">
        <v>190</v>
      </c>
      <c r="G31" s="14" t="s">
        <v>193</v>
      </c>
      <c r="H31" s="12" t="s">
        <v>192</v>
      </c>
    </row>
  </sheetData>
  <mergeCells count="3">
    <mergeCell ref="A1:H1"/>
    <mergeCell ref="A2:H2"/>
    <mergeCell ref="F4:H4"/>
  </mergeCells>
  <conditionalFormatting sqref="F7:G31">
    <cfRule type="cellIs" dxfId="9" priority="1" operator="equal">
      <formula>"Oui"</formula>
    </cfRule>
  </conditionalFormatting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5C83"/>
    <pageSetUpPr fitToPage="1"/>
  </sheetPr>
  <dimension ref="A1:F15"/>
  <sheetViews>
    <sheetView showGridLines="0" workbookViewId="0"/>
  </sheetViews>
  <sheetFormatPr defaultRowHeight="15"/>
  <cols>
    <col min="1" max="1" width="30.7109375" customWidth="1"/>
    <col min="2" max="2" width="110.7109375" customWidth="1"/>
  </cols>
  <sheetData>
    <row r="1" spans="1:6" ht="30" customHeight="1">
      <c r="A1" s="1" t="s">
        <v>207</v>
      </c>
      <c r="B1" s="1"/>
    </row>
    <row r="2" spans="1:6" ht="18" customHeight="1">
      <c r="A2" s="2" t="s">
        <v>208</v>
      </c>
      <c r="B2" s="2"/>
    </row>
    <row r="3" spans="1:6" ht="4" customHeight="1">
      <c r="A3" s="3"/>
      <c r="B3" s="3"/>
    </row>
    <row r="4" spans="1:6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4" t="s">
        <v>7</v>
      </c>
    </row>
    <row r="6" spans="1:6">
      <c r="A6" s="10" t="s">
        <v>209</v>
      </c>
      <c r="B6" s="10" t="s">
        <v>210</v>
      </c>
    </row>
    <row r="7" spans="1:6" ht="51" customHeight="1">
      <c r="A7" s="12" t="s">
        <v>211</v>
      </c>
      <c r="B7" s="12" t="s">
        <v>212</v>
      </c>
    </row>
    <row r="8" spans="1:6" ht="21" customHeight="1">
      <c r="A8" s="12" t="s">
        <v>64</v>
      </c>
      <c r="B8" s="12" t="s">
        <v>213</v>
      </c>
    </row>
    <row r="9" spans="1:6" ht="36" customHeight="1">
      <c r="A9" s="12" t="s">
        <v>214</v>
      </c>
      <c r="B9" s="12" t="s">
        <v>215</v>
      </c>
    </row>
    <row r="10" spans="1:6" ht="36" customHeight="1">
      <c r="A10" s="12" t="s">
        <v>29</v>
      </c>
      <c r="B10" s="12" t="s">
        <v>216</v>
      </c>
    </row>
    <row r="11" spans="1:6" ht="36" customHeight="1">
      <c r="A11" s="12" t="s">
        <v>68</v>
      </c>
      <c r="B11" s="12" t="s">
        <v>217</v>
      </c>
    </row>
    <row r="12" spans="1:6" ht="36" customHeight="1">
      <c r="A12" s="12" t="s">
        <v>218</v>
      </c>
      <c r="B12" s="12" t="s">
        <v>219</v>
      </c>
    </row>
    <row r="13" spans="1:6" ht="36" customHeight="1">
      <c r="A13" s="12" t="s">
        <v>220</v>
      </c>
      <c r="B13" s="12" t="s">
        <v>221</v>
      </c>
    </row>
    <row r="14" spans="1:6" ht="36" customHeight="1">
      <c r="A14" s="12" t="s">
        <v>222</v>
      </c>
      <c r="B14" s="12" t="s">
        <v>223</v>
      </c>
    </row>
    <row r="15" spans="1:6" ht="36" customHeight="1">
      <c r="A15" s="12" t="s">
        <v>224</v>
      </c>
      <c r="B15" s="12" t="s">
        <v>225</v>
      </c>
    </row>
  </sheetData>
  <mergeCells count="2">
    <mergeCell ref="A1:B1"/>
    <mergeCell ref="A2:B2"/>
  </mergeCells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FA7B8"/>
    <pageSetUpPr fitToPage="1"/>
  </sheetPr>
  <dimension ref="A1:F231"/>
  <sheetViews>
    <sheetView showGridLines="0" workbookViewId="0"/>
  </sheetViews>
  <sheetFormatPr defaultRowHeight="15"/>
  <cols>
    <col min="1" max="5" width="16.7109375" customWidth="1"/>
    <col min="6" max="6" width="90.7109375" customWidth="1"/>
  </cols>
  <sheetData>
    <row r="1" spans="1:6" ht="30" customHeight="1">
      <c r="A1" s="1" t="s">
        <v>226</v>
      </c>
      <c r="B1" s="1"/>
      <c r="C1" s="1"/>
      <c r="D1" s="1"/>
      <c r="E1" s="1"/>
      <c r="F1" s="1"/>
    </row>
    <row r="2" spans="1:6" ht="18" customHeight="1">
      <c r="A2" s="2" t="s">
        <v>227</v>
      </c>
      <c r="B2" s="2"/>
      <c r="C2" s="2"/>
      <c r="D2" s="2"/>
      <c r="E2" s="2"/>
      <c r="F2" s="2"/>
    </row>
    <row r="3" spans="1:6" ht="4" customHeight="1">
      <c r="A3" s="3"/>
      <c r="B3" s="3"/>
      <c r="C3" s="3"/>
      <c r="D3" s="3"/>
      <c r="E3" s="3"/>
      <c r="F3" s="3"/>
    </row>
    <row r="4" spans="1:6" ht="22" customHeight="1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</row>
    <row r="5" spans="1:6">
      <c r="A5" t="s">
        <v>234</v>
      </c>
      <c r="B5" t="s">
        <v>235</v>
      </c>
      <c r="C5" t="s">
        <v>236</v>
      </c>
      <c r="D5" t="s">
        <v>237</v>
      </c>
      <c r="E5" t="s">
        <v>238</v>
      </c>
      <c r="F5" t="s">
        <v>239</v>
      </c>
    </row>
    <row r="6" spans="1:6">
      <c r="A6" s="10" t="s">
        <v>228</v>
      </c>
      <c r="B6" s="10" t="s">
        <v>229</v>
      </c>
      <c r="C6" s="10" t="s">
        <v>230</v>
      </c>
      <c r="D6" s="10" t="s">
        <v>231</v>
      </c>
      <c r="E6" s="10" t="s">
        <v>232</v>
      </c>
      <c r="F6" s="10" t="s">
        <v>233</v>
      </c>
    </row>
    <row r="7" spans="1:6">
      <c r="A7" t="s">
        <v>70</v>
      </c>
      <c r="B7" t="s">
        <v>240</v>
      </c>
      <c r="C7" t="s">
        <v>241</v>
      </c>
      <c r="D7" t="s">
        <v>242</v>
      </c>
      <c r="E7">
        <v>1</v>
      </c>
      <c r="F7" t="s">
        <v>243</v>
      </c>
    </row>
    <row r="8" spans="1:6">
      <c r="A8" t="s">
        <v>70</v>
      </c>
      <c r="B8" t="s">
        <v>244</v>
      </c>
      <c r="C8" t="s">
        <v>245</v>
      </c>
      <c r="D8">
        <v>0.04</v>
      </c>
      <c r="F8" t="s">
        <v>246</v>
      </c>
    </row>
    <row r="9" spans="1:6">
      <c r="A9" t="s">
        <v>70</v>
      </c>
      <c r="B9" t="s">
        <v>247</v>
      </c>
      <c r="C9" t="s">
        <v>245</v>
      </c>
      <c r="D9">
        <v>0.21</v>
      </c>
      <c r="F9" t="s">
        <v>246</v>
      </c>
    </row>
    <row r="10" spans="1:6">
      <c r="A10" t="s">
        <v>70</v>
      </c>
      <c r="B10" t="s">
        <v>248</v>
      </c>
      <c r="C10" t="s">
        <v>241</v>
      </c>
      <c r="D10" t="s">
        <v>249</v>
      </c>
      <c r="E10">
        <v>0.9</v>
      </c>
      <c r="F10" t="s">
        <v>250</v>
      </c>
    </row>
    <row r="11" spans="1:6">
      <c r="A11" t="s">
        <v>70</v>
      </c>
      <c r="B11" t="s">
        <v>251</v>
      </c>
      <c r="C11" t="s">
        <v>245</v>
      </c>
      <c r="D11">
        <v>0.96</v>
      </c>
      <c r="F11" t="s">
        <v>246</v>
      </c>
    </row>
    <row r="12" spans="1:6">
      <c r="A12" t="s">
        <v>70</v>
      </c>
      <c r="B12" t="s">
        <v>252</v>
      </c>
      <c r="C12" t="s">
        <v>253</v>
      </c>
      <c r="D12">
        <v>3.95</v>
      </c>
      <c r="E12">
        <v>0.96</v>
      </c>
      <c r="F12" t="s">
        <v>254</v>
      </c>
    </row>
    <row r="13" spans="1:6">
      <c r="A13" t="s">
        <v>70</v>
      </c>
      <c r="B13" t="s">
        <v>255</v>
      </c>
      <c r="C13" t="s">
        <v>245</v>
      </c>
      <c r="D13">
        <v>0.08</v>
      </c>
      <c r="F13" t="s">
        <v>246</v>
      </c>
    </row>
    <row r="14" spans="1:6">
      <c r="A14" t="s">
        <v>70</v>
      </c>
      <c r="B14" t="s">
        <v>256</v>
      </c>
      <c r="C14" t="s">
        <v>241</v>
      </c>
      <c r="D14" t="s">
        <v>257</v>
      </c>
      <c r="E14">
        <v>0.74</v>
      </c>
      <c r="F14" t="s">
        <v>258</v>
      </c>
    </row>
    <row r="15" spans="1:6">
      <c r="A15" t="s">
        <v>75</v>
      </c>
      <c r="B15" t="s">
        <v>240</v>
      </c>
      <c r="C15" t="s">
        <v>241</v>
      </c>
      <c r="D15" t="s">
        <v>259</v>
      </c>
      <c r="E15">
        <v>1</v>
      </c>
      <c r="F15" t="s">
        <v>260</v>
      </c>
    </row>
    <row r="16" spans="1:6">
      <c r="A16" t="s">
        <v>75</v>
      </c>
      <c r="B16" t="s">
        <v>244</v>
      </c>
      <c r="C16" t="s">
        <v>245</v>
      </c>
      <c r="D16">
        <v>0.02</v>
      </c>
      <c r="F16" t="s">
        <v>246</v>
      </c>
    </row>
    <row r="17" spans="1:6">
      <c r="A17" t="s">
        <v>75</v>
      </c>
      <c r="B17" t="s">
        <v>247</v>
      </c>
      <c r="C17" t="s">
        <v>245</v>
      </c>
      <c r="D17">
        <v>0.05</v>
      </c>
      <c r="F17" t="s">
        <v>246</v>
      </c>
    </row>
    <row r="18" spans="1:6">
      <c r="A18" t="s">
        <v>75</v>
      </c>
      <c r="B18" t="s">
        <v>248</v>
      </c>
      <c r="C18" t="s">
        <v>241</v>
      </c>
      <c r="D18" t="s">
        <v>261</v>
      </c>
      <c r="E18">
        <v>0.59</v>
      </c>
      <c r="F18" t="s">
        <v>262</v>
      </c>
    </row>
    <row r="19" spans="1:6">
      <c r="A19" t="s">
        <v>75</v>
      </c>
      <c r="B19" t="s">
        <v>251</v>
      </c>
      <c r="C19" t="s">
        <v>245</v>
      </c>
      <c r="D19">
        <v>0.96</v>
      </c>
      <c r="F19" t="s">
        <v>246</v>
      </c>
    </row>
    <row r="20" spans="1:6">
      <c r="A20" t="s">
        <v>75</v>
      </c>
      <c r="B20" t="s">
        <v>252</v>
      </c>
      <c r="C20" t="s">
        <v>253</v>
      </c>
      <c r="D20">
        <v>3.57</v>
      </c>
      <c r="E20">
        <v>0.64</v>
      </c>
      <c r="F20" t="s">
        <v>263</v>
      </c>
    </row>
    <row r="21" spans="1:6">
      <c r="A21" t="s">
        <v>75</v>
      </c>
      <c r="B21" t="s">
        <v>255</v>
      </c>
      <c r="C21" t="s">
        <v>245</v>
      </c>
      <c r="D21">
        <v>0.04</v>
      </c>
      <c r="F21" t="s">
        <v>246</v>
      </c>
    </row>
    <row r="22" spans="1:6">
      <c r="A22" t="s">
        <v>75</v>
      </c>
      <c r="B22" t="s">
        <v>256</v>
      </c>
      <c r="C22" t="s">
        <v>241</v>
      </c>
      <c r="D22" t="s">
        <v>257</v>
      </c>
      <c r="E22">
        <v>0.9399999999999999</v>
      </c>
      <c r="F22" t="s">
        <v>264</v>
      </c>
    </row>
    <row r="23" spans="1:6">
      <c r="A23" t="s">
        <v>80</v>
      </c>
      <c r="B23" t="s">
        <v>240</v>
      </c>
      <c r="C23" t="s">
        <v>241</v>
      </c>
      <c r="D23" t="s">
        <v>259</v>
      </c>
      <c r="E23">
        <v>1</v>
      </c>
      <c r="F23" t="s">
        <v>265</v>
      </c>
    </row>
    <row r="24" spans="1:6">
      <c r="A24" t="s">
        <v>80</v>
      </c>
      <c r="B24" t="s">
        <v>244</v>
      </c>
      <c r="C24" t="s">
        <v>245</v>
      </c>
      <c r="D24">
        <v>0.04</v>
      </c>
      <c r="F24" t="s">
        <v>246</v>
      </c>
    </row>
    <row r="25" spans="1:6">
      <c r="A25" t="s">
        <v>80</v>
      </c>
      <c r="B25" t="s">
        <v>247</v>
      </c>
      <c r="C25" t="s">
        <v>245</v>
      </c>
      <c r="D25">
        <v>0.05</v>
      </c>
      <c r="F25" t="s">
        <v>246</v>
      </c>
    </row>
    <row r="26" spans="1:6">
      <c r="A26" t="s">
        <v>80</v>
      </c>
      <c r="B26" t="s">
        <v>248</v>
      </c>
      <c r="C26" t="s">
        <v>241</v>
      </c>
      <c r="D26" t="s">
        <v>266</v>
      </c>
      <c r="E26">
        <v>1</v>
      </c>
      <c r="F26" t="s">
        <v>267</v>
      </c>
    </row>
    <row r="27" spans="1:6">
      <c r="A27" t="s">
        <v>80</v>
      </c>
      <c r="B27" t="s">
        <v>251</v>
      </c>
      <c r="C27" t="s">
        <v>245</v>
      </c>
      <c r="D27">
        <v>0.05</v>
      </c>
      <c r="F27" t="s">
        <v>246</v>
      </c>
    </row>
    <row r="28" spans="1:6">
      <c r="A28" t="s">
        <v>80</v>
      </c>
      <c r="B28" t="s">
        <v>252</v>
      </c>
      <c r="C28" t="s">
        <v>253</v>
      </c>
      <c r="D28">
        <v>0.17</v>
      </c>
      <c r="E28">
        <v>0.85</v>
      </c>
      <c r="F28" t="s">
        <v>268</v>
      </c>
    </row>
    <row r="29" spans="1:6">
      <c r="A29" t="s">
        <v>80</v>
      </c>
      <c r="B29" t="s">
        <v>255</v>
      </c>
      <c r="C29" t="s">
        <v>245</v>
      </c>
      <c r="D29">
        <v>0.04</v>
      </c>
      <c r="F29" t="s">
        <v>246</v>
      </c>
    </row>
    <row r="30" spans="1:6">
      <c r="A30" t="s">
        <v>80</v>
      </c>
      <c r="B30" t="s">
        <v>256</v>
      </c>
      <c r="C30" t="s">
        <v>241</v>
      </c>
      <c r="D30" t="s">
        <v>269</v>
      </c>
      <c r="E30">
        <v>0.61</v>
      </c>
      <c r="F30" t="s">
        <v>270</v>
      </c>
    </row>
    <row r="31" spans="1:6">
      <c r="A31" t="s">
        <v>84</v>
      </c>
      <c r="B31" t="s">
        <v>240</v>
      </c>
      <c r="C31" t="s">
        <v>241</v>
      </c>
      <c r="D31" t="s">
        <v>242</v>
      </c>
      <c r="E31">
        <v>0.98</v>
      </c>
      <c r="F31" t="s">
        <v>271</v>
      </c>
    </row>
    <row r="32" spans="1:6">
      <c r="A32" t="s">
        <v>84</v>
      </c>
      <c r="B32" t="s">
        <v>244</v>
      </c>
      <c r="C32" t="s">
        <v>245</v>
      </c>
      <c r="D32">
        <v>0.04</v>
      </c>
      <c r="F32" t="s">
        <v>246</v>
      </c>
    </row>
    <row r="33" spans="1:6">
      <c r="A33" t="s">
        <v>84</v>
      </c>
      <c r="B33" t="s">
        <v>247</v>
      </c>
      <c r="C33" t="s">
        <v>245</v>
      </c>
      <c r="D33">
        <v>0.45</v>
      </c>
      <c r="F33" t="s">
        <v>246</v>
      </c>
    </row>
    <row r="34" spans="1:6">
      <c r="A34" t="s">
        <v>84</v>
      </c>
      <c r="B34" t="s">
        <v>248</v>
      </c>
      <c r="C34" t="s">
        <v>241</v>
      </c>
      <c r="D34" t="s">
        <v>272</v>
      </c>
      <c r="E34">
        <v>0.99</v>
      </c>
      <c r="F34" t="s">
        <v>273</v>
      </c>
    </row>
    <row r="35" spans="1:6">
      <c r="A35" t="s">
        <v>84</v>
      </c>
      <c r="B35" t="s">
        <v>251</v>
      </c>
      <c r="C35" t="s">
        <v>245</v>
      </c>
      <c r="D35">
        <v>0.03</v>
      </c>
      <c r="F35" t="s">
        <v>246</v>
      </c>
    </row>
    <row r="36" spans="1:6">
      <c r="A36" t="s">
        <v>84</v>
      </c>
      <c r="B36" t="s">
        <v>252</v>
      </c>
      <c r="C36" t="s">
        <v>253</v>
      </c>
      <c r="D36">
        <v>0.8</v>
      </c>
      <c r="E36">
        <v>0.83</v>
      </c>
      <c r="F36" t="s">
        <v>274</v>
      </c>
    </row>
    <row r="37" spans="1:6">
      <c r="A37" t="s">
        <v>84</v>
      </c>
      <c r="B37" t="s">
        <v>255</v>
      </c>
      <c r="C37" t="s">
        <v>245</v>
      </c>
      <c r="D37">
        <v>0.87</v>
      </c>
      <c r="F37" t="s">
        <v>246</v>
      </c>
    </row>
    <row r="38" spans="1:6">
      <c r="A38" t="s">
        <v>84</v>
      </c>
      <c r="B38" t="s">
        <v>256</v>
      </c>
      <c r="C38" t="s">
        <v>241</v>
      </c>
      <c r="D38" t="s">
        <v>275</v>
      </c>
      <c r="E38">
        <v>1</v>
      </c>
      <c r="F38" t="s">
        <v>276</v>
      </c>
    </row>
    <row r="39" spans="1:6">
      <c r="A39" t="s">
        <v>91</v>
      </c>
      <c r="B39" t="s">
        <v>240</v>
      </c>
      <c r="C39" t="s">
        <v>241</v>
      </c>
      <c r="D39" t="s">
        <v>277</v>
      </c>
      <c r="E39">
        <v>0.99</v>
      </c>
      <c r="F39" t="s">
        <v>278</v>
      </c>
    </row>
    <row r="40" spans="1:6">
      <c r="A40" t="s">
        <v>91</v>
      </c>
      <c r="B40" t="s">
        <v>244</v>
      </c>
      <c r="C40" t="s">
        <v>245</v>
      </c>
      <c r="D40">
        <v>0.95</v>
      </c>
      <c r="F40" t="s">
        <v>246</v>
      </c>
    </row>
    <row r="41" spans="1:6">
      <c r="A41" t="s">
        <v>91</v>
      </c>
      <c r="B41" t="s">
        <v>247</v>
      </c>
      <c r="C41" t="s">
        <v>245</v>
      </c>
      <c r="D41">
        <v>0.45</v>
      </c>
      <c r="F41" t="s">
        <v>246</v>
      </c>
    </row>
    <row r="42" spans="1:6">
      <c r="A42" t="s">
        <v>91</v>
      </c>
      <c r="B42" t="s">
        <v>248</v>
      </c>
      <c r="C42" t="s">
        <v>241</v>
      </c>
      <c r="D42" t="s">
        <v>279</v>
      </c>
      <c r="E42">
        <v>1</v>
      </c>
      <c r="F42" t="s">
        <v>280</v>
      </c>
    </row>
    <row r="43" spans="1:6">
      <c r="A43" t="s">
        <v>91</v>
      </c>
      <c r="B43" t="s">
        <v>251</v>
      </c>
      <c r="C43" t="s">
        <v>245</v>
      </c>
      <c r="D43">
        <v>0.97</v>
      </c>
      <c r="F43" t="s">
        <v>246</v>
      </c>
    </row>
    <row r="44" spans="1:6">
      <c r="A44" t="s">
        <v>91</v>
      </c>
      <c r="B44" t="s">
        <v>252</v>
      </c>
      <c r="C44" t="s">
        <v>253</v>
      </c>
      <c r="D44">
        <v>1.21</v>
      </c>
      <c r="E44">
        <v>0.76</v>
      </c>
      <c r="F44" t="s">
        <v>281</v>
      </c>
    </row>
    <row r="45" spans="1:6">
      <c r="A45" t="s">
        <v>91</v>
      </c>
      <c r="B45" t="s">
        <v>255</v>
      </c>
      <c r="C45" t="s">
        <v>245</v>
      </c>
      <c r="D45">
        <v>0.06</v>
      </c>
      <c r="F45" t="s">
        <v>246</v>
      </c>
    </row>
    <row r="46" spans="1:6">
      <c r="A46" t="s">
        <v>91</v>
      </c>
      <c r="B46" t="s">
        <v>256</v>
      </c>
      <c r="C46" t="s">
        <v>241</v>
      </c>
      <c r="D46" t="s">
        <v>257</v>
      </c>
      <c r="E46">
        <v>0.99</v>
      </c>
      <c r="F46" t="s">
        <v>282</v>
      </c>
    </row>
    <row r="47" spans="1:6">
      <c r="A47" t="s">
        <v>95</v>
      </c>
      <c r="B47" t="s">
        <v>240</v>
      </c>
      <c r="C47" t="s">
        <v>241</v>
      </c>
      <c r="D47" t="s">
        <v>277</v>
      </c>
      <c r="E47">
        <v>0.99</v>
      </c>
      <c r="F47" t="s">
        <v>283</v>
      </c>
    </row>
    <row r="48" spans="1:6">
      <c r="A48" t="s">
        <v>95</v>
      </c>
      <c r="B48" t="s">
        <v>244</v>
      </c>
      <c r="C48" t="s">
        <v>245</v>
      </c>
      <c r="D48">
        <v>0.24</v>
      </c>
      <c r="F48" t="s">
        <v>246</v>
      </c>
    </row>
    <row r="49" spans="1:6">
      <c r="A49" t="s">
        <v>95</v>
      </c>
      <c r="B49" t="s">
        <v>247</v>
      </c>
      <c r="C49" t="s">
        <v>245</v>
      </c>
      <c r="D49">
        <v>0.07000000000000001</v>
      </c>
      <c r="F49" t="s">
        <v>246</v>
      </c>
    </row>
    <row r="50" spans="1:6">
      <c r="A50" t="s">
        <v>95</v>
      </c>
      <c r="B50" t="s">
        <v>248</v>
      </c>
      <c r="C50" t="s">
        <v>241</v>
      </c>
      <c r="D50" t="s">
        <v>279</v>
      </c>
      <c r="E50">
        <v>1</v>
      </c>
      <c r="F50" t="s">
        <v>284</v>
      </c>
    </row>
    <row r="51" spans="1:6">
      <c r="A51" t="s">
        <v>95</v>
      </c>
      <c r="B51" t="s">
        <v>251</v>
      </c>
      <c r="C51" t="s">
        <v>245</v>
      </c>
      <c r="D51">
        <v>0.55</v>
      </c>
      <c r="F51" t="s">
        <v>246</v>
      </c>
    </row>
    <row r="52" spans="1:6">
      <c r="A52" t="s">
        <v>95</v>
      </c>
      <c r="B52" t="s">
        <v>252</v>
      </c>
      <c r="C52" t="s">
        <v>253</v>
      </c>
      <c r="D52">
        <v>0.85</v>
      </c>
      <c r="E52">
        <v>0.86</v>
      </c>
      <c r="F52" t="s">
        <v>285</v>
      </c>
    </row>
    <row r="53" spans="1:6">
      <c r="A53" t="s">
        <v>95</v>
      </c>
      <c r="B53" t="s">
        <v>255</v>
      </c>
      <c r="C53" t="s">
        <v>245</v>
      </c>
      <c r="D53">
        <v>0.04</v>
      </c>
      <c r="F53" t="s">
        <v>246</v>
      </c>
    </row>
    <row r="54" spans="1:6">
      <c r="A54" t="s">
        <v>95</v>
      </c>
      <c r="B54" t="s">
        <v>256</v>
      </c>
      <c r="C54" t="s">
        <v>241</v>
      </c>
      <c r="D54" t="s">
        <v>286</v>
      </c>
      <c r="E54">
        <v>1</v>
      </c>
      <c r="F54" t="s">
        <v>287</v>
      </c>
    </row>
    <row r="55" spans="1:6">
      <c r="A55" t="s">
        <v>98</v>
      </c>
      <c r="B55" t="s">
        <v>252</v>
      </c>
      <c r="C55" t="s">
        <v>253</v>
      </c>
      <c r="D55">
        <v>0.99</v>
      </c>
      <c r="E55">
        <v>0.99</v>
      </c>
      <c r="F55" t="s">
        <v>288</v>
      </c>
    </row>
    <row r="56" spans="1:6">
      <c r="A56" t="s">
        <v>98</v>
      </c>
      <c r="B56" t="s">
        <v>255</v>
      </c>
      <c r="C56" t="s">
        <v>245</v>
      </c>
      <c r="D56">
        <v>0.05</v>
      </c>
      <c r="F56" t="s">
        <v>246</v>
      </c>
    </row>
    <row r="57" spans="1:6">
      <c r="A57" t="s">
        <v>98</v>
      </c>
      <c r="B57" t="s">
        <v>256</v>
      </c>
      <c r="C57" t="s">
        <v>241</v>
      </c>
      <c r="D57" t="s">
        <v>257</v>
      </c>
      <c r="E57">
        <v>1</v>
      </c>
      <c r="F57" t="s">
        <v>289</v>
      </c>
    </row>
    <row r="58" spans="1:6">
      <c r="A58" t="s">
        <v>98</v>
      </c>
      <c r="B58" t="s">
        <v>240</v>
      </c>
      <c r="C58" t="s">
        <v>241</v>
      </c>
      <c r="D58" t="s">
        <v>290</v>
      </c>
      <c r="E58">
        <v>0.47</v>
      </c>
      <c r="F58" t="s">
        <v>291</v>
      </c>
    </row>
    <row r="59" spans="1:6">
      <c r="A59" t="s">
        <v>98</v>
      </c>
      <c r="B59" t="s">
        <v>244</v>
      </c>
      <c r="C59" t="s">
        <v>245</v>
      </c>
      <c r="D59">
        <v>0.07000000000000001</v>
      </c>
      <c r="F59" t="s">
        <v>246</v>
      </c>
    </row>
    <row r="60" spans="1:6">
      <c r="A60" t="s">
        <v>98</v>
      </c>
      <c r="B60" t="s">
        <v>247</v>
      </c>
      <c r="C60" t="s">
        <v>245</v>
      </c>
      <c r="D60">
        <v>0.5600000000000001</v>
      </c>
      <c r="F60" t="s">
        <v>246</v>
      </c>
    </row>
    <row r="61" spans="1:6">
      <c r="A61" t="s">
        <v>98</v>
      </c>
      <c r="B61" t="s">
        <v>248</v>
      </c>
      <c r="C61" t="s">
        <v>241</v>
      </c>
      <c r="D61" t="s">
        <v>292</v>
      </c>
      <c r="E61">
        <v>0.92</v>
      </c>
      <c r="F61" t="s">
        <v>293</v>
      </c>
    </row>
    <row r="62" spans="1:6">
      <c r="A62" t="s">
        <v>98</v>
      </c>
      <c r="B62" t="s">
        <v>251</v>
      </c>
      <c r="C62" t="s">
        <v>245</v>
      </c>
      <c r="D62">
        <v>0.97</v>
      </c>
      <c r="F62" t="s">
        <v>246</v>
      </c>
    </row>
    <row r="63" spans="1:6">
      <c r="A63" t="s">
        <v>102</v>
      </c>
      <c r="B63" t="s">
        <v>240</v>
      </c>
      <c r="C63" t="s">
        <v>241</v>
      </c>
      <c r="D63" t="s">
        <v>290</v>
      </c>
      <c r="E63">
        <v>1</v>
      </c>
      <c r="F63" t="s">
        <v>294</v>
      </c>
    </row>
    <row r="64" spans="1:6">
      <c r="A64" t="s">
        <v>102</v>
      </c>
      <c r="B64" t="s">
        <v>244</v>
      </c>
      <c r="C64" t="s">
        <v>245</v>
      </c>
      <c r="D64">
        <v>0.03</v>
      </c>
      <c r="F64" t="s">
        <v>246</v>
      </c>
    </row>
    <row r="65" spans="1:6">
      <c r="A65" t="s">
        <v>102</v>
      </c>
      <c r="B65" t="s">
        <v>247</v>
      </c>
      <c r="C65" t="s">
        <v>245</v>
      </c>
      <c r="D65">
        <v>0.06</v>
      </c>
      <c r="F65" t="s">
        <v>246</v>
      </c>
    </row>
    <row r="66" spans="1:6">
      <c r="A66" t="s">
        <v>102</v>
      </c>
      <c r="B66" t="s">
        <v>248</v>
      </c>
      <c r="C66" t="s">
        <v>241</v>
      </c>
      <c r="D66" t="s">
        <v>295</v>
      </c>
      <c r="E66">
        <v>1</v>
      </c>
      <c r="F66" t="s">
        <v>296</v>
      </c>
    </row>
    <row r="67" spans="1:6">
      <c r="A67" t="s">
        <v>102</v>
      </c>
      <c r="B67" t="s">
        <v>251</v>
      </c>
      <c r="C67" t="s">
        <v>245</v>
      </c>
      <c r="D67">
        <v>0.03</v>
      </c>
      <c r="F67" t="s">
        <v>246</v>
      </c>
    </row>
    <row r="68" spans="1:6">
      <c r="A68" t="s">
        <v>102</v>
      </c>
      <c r="B68" t="s">
        <v>252</v>
      </c>
      <c r="C68" t="s">
        <v>253</v>
      </c>
      <c r="D68">
        <v>0.01</v>
      </c>
      <c r="E68">
        <v>0.99</v>
      </c>
      <c r="F68" t="s">
        <v>297</v>
      </c>
    </row>
    <row r="69" spans="1:6">
      <c r="A69" t="s">
        <v>102</v>
      </c>
      <c r="B69" t="s">
        <v>255</v>
      </c>
      <c r="C69" t="s">
        <v>245</v>
      </c>
      <c r="D69">
        <v>0.05</v>
      </c>
      <c r="F69" t="s">
        <v>246</v>
      </c>
    </row>
    <row r="70" spans="1:6">
      <c r="A70" t="s">
        <v>102</v>
      </c>
      <c r="B70" t="s">
        <v>256</v>
      </c>
      <c r="C70" t="s">
        <v>241</v>
      </c>
      <c r="D70" t="s">
        <v>298</v>
      </c>
      <c r="E70">
        <v>0.99</v>
      </c>
      <c r="F70" t="s">
        <v>299</v>
      </c>
    </row>
    <row r="71" spans="1:6">
      <c r="A71" t="s">
        <v>107</v>
      </c>
      <c r="B71" t="s">
        <v>240</v>
      </c>
      <c r="C71" t="s">
        <v>241</v>
      </c>
      <c r="D71" t="s">
        <v>290</v>
      </c>
      <c r="E71">
        <v>0.68</v>
      </c>
      <c r="F71" t="s">
        <v>300</v>
      </c>
    </row>
    <row r="72" spans="1:6">
      <c r="A72" t="s">
        <v>107</v>
      </c>
      <c r="B72" t="s">
        <v>244</v>
      </c>
      <c r="C72" t="s">
        <v>245</v>
      </c>
      <c r="D72">
        <v>0.04</v>
      </c>
      <c r="F72" t="s">
        <v>246</v>
      </c>
    </row>
    <row r="73" spans="1:6">
      <c r="A73" t="s">
        <v>107</v>
      </c>
      <c r="B73" t="s">
        <v>247</v>
      </c>
      <c r="C73" t="s">
        <v>245</v>
      </c>
      <c r="D73">
        <v>0.23</v>
      </c>
      <c r="F73" t="s">
        <v>246</v>
      </c>
    </row>
    <row r="74" spans="1:6">
      <c r="A74" t="s">
        <v>107</v>
      </c>
      <c r="B74" t="s">
        <v>248</v>
      </c>
      <c r="C74" t="s">
        <v>241</v>
      </c>
      <c r="D74" t="s">
        <v>301</v>
      </c>
      <c r="E74">
        <v>1</v>
      </c>
      <c r="F74" t="s">
        <v>302</v>
      </c>
    </row>
    <row r="75" spans="1:6">
      <c r="A75" t="s">
        <v>107</v>
      </c>
      <c r="B75" t="s">
        <v>251</v>
      </c>
      <c r="C75" t="s">
        <v>245</v>
      </c>
      <c r="D75">
        <v>0.04</v>
      </c>
      <c r="F75" t="s">
        <v>246</v>
      </c>
    </row>
    <row r="76" spans="1:6">
      <c r="A76" t="s">
        <v>107</v>
      </c>
      <c r="B76" t="s">
        <v>252</v>
      </c>
      <c r="C76" t="s">
        <v>253</v>
      </c>
      <c r="D76">
        <v>0.29</v>
      </c>
      <c r="E76">
        <v>0.76</v>
      </c>
      <c r="F76" t="s">
        <v>303</v>
      </c>
    </row>
    <row r="77" spans="1:6">
      <c r="A77" t="s">
        <v>107</v>
      </c>
      <c r="B77" t="s">
        <v>255</v>
      </c>
      <c r="C77" t="s">
        <v>245</v>
      </c>
      <c r="D77">
        <v>0.04</v>
      </c>
      <c r="F77" t="s">
        <v>246</v>
      </c>
    </row>
    <row r="78" spans="1:6">
      <c r="A78" t="s">
        <v>107</v>
      </c>
      <c r="B78" t="s">
        <v>256</v>
      </c>
      <c r="C78" t="s">
        <v>241</v>
      </c>
      <c r="D78" t="s">
        <v>269</v>
      </c>
      <c r="E78">
        <v>0.44</v>
      </c>
      <c r="F78" t="s">
        <v>304</v>
      </c>
    </row>
    <row r="79" spans="1:6">
      <c r="A79" t="s">
        <v>112</v>
      </c>
      <c r="B79" t="s">
        <v>240</v>
      </c>
      <c r="C79" t="s">
        <v>241</v>
      </c>
      <c r="D79" t="s">
        <v>277</v>
      </c>
      <c r="E79">
        <v>1</v>
      </c>
      <c r="F79" t="s">
        <v>305</v>
      </c>
    </row>
    <row r="80" spans="1:6">
      <c r="A80" t="s">
        <v>112</v>
      </c>
      <c r="B80" t="s">
        <v>244</v>
      </c>
      <c r="C80" t="s">
        <v>245</v>
      </c>
      <c r="D80">
        <v>0.03</v>
      </c>
      <c r="F80" t="s">
        <v>246</v>
      </c>
    </row>
    <row r="81" spans="1:6">
      <c r="A81" t="s">
        <v>112</v>
      </c>
      <c r="B81" t="s">
        <v>247</v>
      </c>
      <c r="C81" t="s">
        <v>245</v>
      </c>
      <c r="D81">
        <v>0.2</v>
      </c>
      <c r="F81" t="s">
        <v>246</v>
      </c>
    </row>
    <row r="82" spans="1:6">
      <c r="A82" t="s">
        <v>112</v>
      </c>
      <c r="B82" t="s">
        <v>248</v>
      </c>
      <c r="C82" t="s">
        <v>241</v>
      </c>
      <c r="D82" t="s">
        <v>261</v>
      </c>
      <c r="E82">
        <v>1</v>
      </c>
      <c r="F82" t="s">
        <v>306</v>
      </c>
    </row>
    <row r="83" spans="1:6">
      <c r="A83" t="s">
        <v>112</v>
      </c>
      <c r="B83" t="s">
        <v>251</v>
      </c>
      <c r="C83" t="s">
        <v>245</v>
      </c>
      <c r="D83">
        <v>0.87</v>
      </c>
      <c r="F83" t="s">
        <v>246</v>
      </c>
    </row>
    <row r="84" spans="1:6">
      <c r="A84" t="s">
        <v>112</v>
      </c>
      <c r="B84" t="s">
        <v>252</v>
      </c>
      <c r="C84" t="s">
        <v>253</v>
      </c>
      <c r="D84">
        <v>3.07</v>
      </c>
      <c r="E84">
        <v>0.58</v>
      </c>
      <c r="F84" t="s">
        <v>307</v>
      </c>
    </row>
    <row r="85" spans="1:6">
      <c r="A85" t="s">
        <v>112</v>
      </c>
      <c r="B85" t="s">
        <v>255</v>
      </c>
      <c r="C85" t="s">
        <v>245</v>
      </c>
      <c r="D85">
        <v>0.06</v>
      </c>
      <c r="F85" t="s">
        <v>246</v>
      </c>
    </row>
    <row r="86" spans="1:6">
      <c r="A86" t="s">
        <v>112</v>
      </c>
      <c r="B86" t="s">
        <v>256</v>
      </c>
      <c r="C86" t="s">
        <v>241</v>
      </c>
      <c r="D86" t="s">
        <v>257</v>
      </c>
      <c r="E86">
        <v>0.9399999999999999</v>
      </c>
      <c r="F86" t="s">
        <v>308</v>
      </c>
    </row>
    <row r="87" spans="1:6">
      <c r="A87" t="s">
        <v>115</v>
      </c>
      <c r="B87" t="s">
        <v>240</v>
      </c>
      <c r="C87" t="s">
        <v>241</v>
      </c>
      <c r="D87" t="s">
        <v>277</v>
      </c>
      <c r="E87">
        <v>0.99</v>
      </c>
      <c r="F87" t="s">
        <v>309</v>
      </c>
    </row>
    <row r="88" spans="1:6">
      <c r="A88" t="s">
        <v>115</v>
      </c>
      <c r="B88" t="s">
        <v>244</v>
      </c>
      <c r="C88" t="s">
        <v>245</v>
      </c>
      <c r="D88">
        <v>0.08</v>
      </c>
      <c r="F88" t="s">
        <v>246</v>
      </c>
    </row>
    <row r="89" spans="1:6">
      <c r="A89" t="s">
        <v>115</v>
      </c>
      <c r="B89" t="s">
        <v>247</v>
      </c>
      <c r="C89" t="s">
        <v>245</v>
      </c>
      <c r="D89">
        <v>0.29</v>
      </c>
      <c r="F89" t="s">
        <v>246</v>
      </c>
    </row>
    <row r="90" spans="1:6">
      <c r="A90" t="s">
        <v>115</v>
      </c>
      <c r="B90" t="s">
        <v>248</v>
      </c>
      <c r="C90" t="s">
        <v>241</v>
      </c>
      <c r="D90" t="s">
        <v>292</v>
      </c>
      <c r="E90">
        <v>1</v>
      </c>
      <c r="F90" t="s">
        <v>310</v>
      </c>
    </row>
    <row r="91" spans="1:6">
      <c r="A91" t="s">
        <v>115</v>
      </c>
      <c r="B91" t="s">
        <v>251</v>
      </c>
      <c r="C91" t="s">
        <v>245</v>
      </c>
      <c r="D91">
        <v>0.03</v>
      </c>
      <c r="F91" t="s">
        <v>246</v>
      </c>
    </row>
    <row r="92" spans="1:6">
      <c r="A92" t="s">
        <v>115</v>
      </c>
      <c r="B92" t="s">
        <v>252</v>
      </c>
      <c r="C92" t="s">
        <v>253</v>
      </c>
      <c r="D92">
        <v>0</v>
      </c>
      <c r="E92">
        <v>1</v>
      </c>
      <c r="F92" t="s">
        <v>311</v>
      </c>
    </row>
    <row r="93" spans="1:6">
      <c r="A93" t="s">
        <v>115</v>
      </c>
      <c r="B93" t="s">
        <v>255</v>
      </c>
      <c r="C93" t="s">
        <v>245</v>
      </c>
      <c r="D93">
        <v>0.13</v>
      </c>
      <c r="F93" t="s">
        <v>246</v>
      </c>
    </row>
    <row r="94" spans="1:6">
      <c r="A94" t="s">
        <v>115</v>
      </c>
      <c r="B94" t="s">
        <v>256</v>
      </c>
      <c r="C94" t="s">
        <v>241</v>
      </c>
      <c r="D94" t="s">
        <v>312</v>
      </c>
      <c r="E94">
        <v>0.97</v>
      </c>
      <c r="F94" t="s">
        <v>313</v>
      </c>
    </row>
    <row r="95" spans="1:6">
      <c r="A95" t="s">
        <v>118</v>
      </c>
      <c r="B95" t="s">
        <v>240</v>
      </c>
      <c r="C95" t="s">
        <v>241</v>
      </c>
      <c r="D95" t="s">
        <v>290</v>
      </c>
      <c r="E95">
        <v>0.99</v>
      </c>
      <c r="F95" t="s">
        <v>314</v>
      </c>
    </row>
    <row r="96" spans="1:6">
      <c r="A96" t="s">
        <v>118</v>
      </c>
      <c r="B96" t="s">
        <v>244</v>
      </c>
      <c r="C96" t="s">
        <v>245</v>
      </c>
      <c r="D96">
        <v>0.06</v>
      </c>
      <c r="F96" t="s">
        <v>246</v>
      </c>
    </row>
    <row r="97" spans="1:6">
      <c r="A97" t="s">
        <v>118</v>
      </c>
      <c r="B97" t="s">
        <v>247</v>
      </c>
      <c r="C97" t="s">
        <v>245</v>
      </c>
      <c r="D97">
        <v>0.09</v>
      </c>
      <c r="F97" t="s">
        <v>246</v>
      </c>
    </row>
    <row r="98" spans="1:6">
      <c r="A98" t="s">
        <v>118</v>
      </c>
      <c r="B98" t="s">
        <v>248</v>
      </c>
      <c r="C98" t="s">
        <v>241</v>
      </c>
      <c r="D98" t="s">
        <v>292</v>
      </c>
      <c r="E98">
        <v>0.78</v>
      </c>
      <c r="F98" t="s">
        <v>315</v>
      </c>
    </row>
    <row r="99" spans="1:6">
      <c r="A99" t="s">
        <v>118</v>
      </c>
      <c r="B99" t="s">
        <v>251</v>
      </c>
      <c r="C99" t="s">
        <v>245</v>
      </c>
      <c r="D99">
        <v>0.03</v>
      </c>
      <c r="F99" t="s">
        <v>246</v>
      </c>
    </row>
    <row r="100" spans="1:6">
      <c r="A100" t="s">
        <v>118</v>
      </c>
      <c r="B100" t="s">
        <v>252</v>
      </c>
      <c r="C100" t="s">
        <v>253</v>
      </c>
      <c r="D100">
        <v>0</v>
      </c>
      <c r="E100">
        <v>1</v>
      </c>
      <c r="F100" t="s">
        <v>311</v>
      </c>
    </row>
    <row r="101" spans="1:6">
      <c r="A101" t="s">
        <v>118</v>
      </c>
      <c r="B101" t="s">
        <v>255</v>
      </c>
      <c r="C101" t="s">
        <v>245</v>
      </c>
      <c r="D101">
        <v>0.98</v>
      </c>
      <c r="F101" t="s">
        <v>246</v>
      </c>
    </row>
    <row r="102" spans="1:6">
      <c r="A102" t="s">
        <v>118</v>
      </c>
      <c r="B102" t="s">
        <v>256</v>
      </c>
      <c r="C102" t="s">
        <v>241</v>
      </c>
      <c r="D102" t="s">
        <v>275</v>
      </c>
      <c r="E102">
        <v>0.98</v>
      </c>
      <c r="F102" t="s">
        <v>316</v>
      </c>
    </row>
    <row r="103" spans="1:6">
      <c r="A103" t="s">
        <v>121</v>
      </c>
      <c r="B103" t="s">
        <v>248</v>
      </c>
      <c r="C103" t="s">
        <v>241</v>
      </c>
      <c r="D103" t="s">
        <v>317</v>
      </c>
      <c r="E103">
        <v>1</v>
      </c>
      <c r="F103" t="s">
        <v>318</v>
      </c>
    </row>
    <row r="104" spans="1:6">
      <c r="A104" t="s">
        <v>121</v>
      </c>
      <c r="B104" t="s">
        <v>251</v>
      </c>
      <c r="C104" t="s">
        <v>245</v>
      </c>
      <c r="D104">
        <v>0.04</v>
      </c>
      <c r="F104" t="s">
        <v>246</v>
      </c>
    </row>
    <row r="105" spans="1:6">
      <c r="A105" t="s">
        <v>121</v>
      </c>
      <c r="B105" t="s">
        <v>252</v>
      </c>
      <c r="C105" t="s">
        <v>253</v>
      </c>
      <c r="D105">
        <v>0</v>
      </c>
      <c r="E105">
        <v>1</v>
      </c>
      <c r="F105" t="s">
        <v>311</v>
      </c>
    </row>
    <row r="106" spans="1:6">
      <c r="A106" t="s">
        <v>121</v>
      </c>
      <c r="B106" t="s">
        <v>255</v>
      </c>
      <c r="C106" t="s">
        <v>245</v>
      </c>
      <c r="D106">
        <v>0.07000000000000001</v>
      </c>
      <c r="F106" t="s">
        <v>246</v>
      </c>
    </row>
    <row r="107" spans="1:6">
      <c r="A107" t="s">
        <v>121</v>
      </c>
      <c r="B107" t="s">
        <v>256</v>
      </c>
      <c r="C107" t="s">
        <v>241</v>
      </c>
      <c r="D107" t="s">
        <v>298</v>
      </c>
      <c r="E107">
        <v>0.99</v>
      </c>
      <c r="F107" t="s">
        <v>319</v>
      </c>
    </row>
    <row r="108" spans="1:6">
      <c r="A108" t="s">
        <v>121</v>
      </c>
      <c r="B108" t="s">
        <v>240</v>
      </c>
      <c r="C108" t="s">
        <v>241</v>
      </c>
      <c r="D108" t="s">
        <v>277</v>
      </c>
      <c r="E108">
        <v>0.93</v>
      </c>
      <c r="F108" t="s">
        <v>320</v>
      </c>
    </row>
    <row r="109" spans="1:6">
      <c r="A109" t="s">
        <v>121</v>
      </c>
      <c r="B109" t="s">
        <v>244</v>
      </c>
      <c r="C109" t="s">
        <v>245</v>
      </c>
      <c r="D109">
        <v>0.07000000000000001</v>
      </c>
      <c r="F109" t="s">
        <v>246</v>
      </c>
    </row>
    <row r="110" spans="1:6">
      <c r="A110" t="s">
        <v>121</v>
      </c>
      <c r="B110" t="s">
        <v>247</v>
      </c>
      <c r="C110" t="s">
        <v>245</v>
      </c>
      <c r="D110">
        <v>0.86</v>
      </c>
      <c r="F110" t="s">
        <v>246</v>
      </c>
    </row>
    <row r="111" spans="1:6">
      <c r="A111" t="s">
        <v>124</v>
      </c>
      <c r="B111" t="s">
        <v>240</v>
      </c>
      <c r="C111" t="s">
        <v>241</v>
      </c>
      <c r="D111" t="s">
        <v>242</v>
      </c>
      <c r="E111">
        <v>0.87</v>
      </c>
      <c r="F111" t="s">
        <v>321</v>
      </c>
    </row>
    <row r="112" spans="1:6">
      <c r="A112" t="s">
        <v>124</v>
      </c>
      <c r="B112" t="s">
        <v>244</v>
      </c>
      <c r="C112" t="s">
        <v>245</v>
      </c>
      <c r="D112">
        <v>0.07000000000000001</v>
      </c>
      <c r="F112" t="s">
        <v>246</v>
      </c>
    </row>
    <row r="113" spans="1:6">
      <c r="A113" t="s">
        <v>124</v>
      </c>
      <c r="B113" t="s">
        <v>247</v>
      </c>
      <c r="C113" t="s">
        <v>245</v>
      </c>
      <c r="D113">
        <v>0.67</v>
      </c>
      <c r="F113" t="s">
        <v>246</v>
      </c>
    </row>
    <row r="114" spans="1:6">
      <c r="A114" t="s">
        <v>124</v>
      </c>
      <c r="B114" t="s">
        <v>248</v>
      </c>
      <c r="C114" t="s">
        <v>241</v>
      </c>
      <c r="D114" t="s">
        <v>292</v>
      </c>
      <c r="E114">
        <v>0.83</v>
      </c>
      <c r="F114" t="s">
        <v>322</v>
      </c>
    </row>
    <row r="115" spans="1:6">
      <c r="A115" t="s">
        <v>124</v>
      </c>
      <c r="B115" t="s">
        <v>251</v>
      </c>
      <c r="C115" t="s">
        <v>245</v>
      </c>
      <c r="D115">
        <v>0.6</v>
      </c>
      <c r="F115" t="s">
        <v>246</v>
      </c>
    </row>
    <row r="116" spans="1:6">
      <c r="A116" t="s">
        <v>124</v>
      </c>
      <c r="B116" t="s">
        <v>252</v>
      </c>
      <c r="C116" t="s">
        <v>253</v>
      </c>
      <c r="D116">
        <v>1.01</v>
      </c>
      <c r="E116">
        <v>0.97</v>
      </c>
      <c r="F116" t="s">
        <v>323</v>
      </c>
    </row>
    <row r="117" spans="1:6">
      <c r="A117" t="s">
        <v>124</v>
      </c>
      <c r="B117" t="s">
        <v>255</v>
      </c>
      <c r="C117" t="s">
        <v>245</v>
      </c>
      <c r="D117">
        <v>0.04</v>
      </c>
      <c r="F117" t="s">
        <v>246</v>
      </c>
    </row>
    <row r="118" spans="1:6">
      <c r="A118" t="s">
        <v>124</v>
      </c>
      <c r="B118" t="s">
        <v>256</v>
      </c>
      <c r="C118" t="s">
        <v>241</v>
      </c>
      <c r="D118" t="s">
        <v>269</v>
      </c>
      <c r="E118">
        <v>0.5</v>
      </c>
      <c r="F118" t="s">
        <v>324</v>
      </c>
    </row>
    <row r="119" spans="1:6">
      <c r="A119" t="s">
        <v>128</v>
      </c>
      <c r="B119" t="s">
        <v>240</v>
      </c>
      <c r="C119" t="s">
        <v>241</v>
      </c>
      <c r="D119" t="s">
        <v>277</v>
      </c>
      <c r="E119">
        <v>0.99</v>
      </c>
      <c r="F119" t="s">
        <v>305</v>
      </c>
    </row>
    <row r="120" spans="1:6">
      <c r="A120" t="s">
        <v>128</v>
      </c>
      <c r="B120" t="s">
        <v>244</v>
      </c>
      <c r="C120" t="s">
        <v>245</v>
      </c>
      <c r="D120">
        <v>0.05</v>
      </c>
      <c r="F120" t="s">
        <v>246</v>
      </c>
    </row>
    <row r="121" spans="1:6">
      <c r="A121" t="s">
        <v>128</v>
      </c>
      <c r="B121" t="s">
        <v>247</v>
      </c>
      <c r="C121" t="s">
        <v>245</v>
      </c>
      <c r="D121">
        <v>0.26</v>
      </c>
      <c r="F121" t="s">
        <v>246</v>
      </c>
    </row>
    <row r="122" spans="1:6">
      <c r="A122" t="s">
        <v>128</v>
      </c>
      <c r="B122" t="s">
        <v>248</v>
      </c>
      <c r="C122" t="s">
        <v>241</v>
      </c>
      <c r="D122" t="s">
        <v>301</v>
      </c>
      <c r="E122">
        <v>1</v>
      </c>
      <c r="F122" t="s">
        <v>325</v>
      </c>
    </row>
    <row r="123" spans="1:6">
      <c r="A123" t="s">
        <v>128</v>
      </c>
      <c r="B123" t="s">
        <v>251</v>
      </c>
      <c r="C123" t="s">
        <v>245</v>
      </c>
      <c r="D123">
        <v>0.96</v>
      </c>
      <c r="F123" t="s">
        <v>246</v>
      </c>
    </row>
    <row r="124" spans="1:6">
      <c r="A124" t="s">
        <v>128</v>
      </c>
      <c r="B124" t="s">
        <v>252</v>
      </c>
      <c r="C124" t="s">
        <v>253</v>
      </c>
      <c r="D124">
        <v>2.17</v>
      </c>
      <c r="E124">
        <v>0.31</v>
      </c>
      <c r="F124" t="s">
        <v>326</v>
      </c>
    </row>
    <row r="125" spans="1:6">
      <c r="A125" t="s">
        <v>128</v>
      </c>
      <c r="B125" t="s">
        <v>255</v>
      </c>
      <c r="C125" t="s">
        <v>245</v>
      </c>
      <c r="D125">
        <v>0.05</v>
      </c>
      <c r="F125" t="s">
        <v>246</v>
      </c>
    </row>
    <row r="126" spans="1:6">
      <c r="A126" t="s">
        <v>128</v>
      </c>
      <c r="B126" t="s">
        <v>256</v>
      </c>
      <c r="C126" t="s">
        <v>241</v>
      </c>
      <c r="D126" t="s">
        <v>257</v>
      </c>
      <c r="E126">
        <v>0.98</v>
      </c>
      <c r="F126" t="s">
        <v>327</v>
      </c>
    </row>
    <row r="127" spans="1:6">
      <c r="A127" t="s">
        <v>132</v>
      </c>
      <c r="B127" t="s">
        <v>240</v>
      </c>
      <c r="C127" t="s">
        <v>241</v>
      </c>
      <c r="D127" t="s">
        <v>290</v>
      </c>
      <c r="E127">
        <v>0.88</v>
      </c>
      <c r="F127" t="s">
        <v>328</v>
      </c>
    </row>
    <row r="128" spans="1:6">
      <c r="A128" t="s">
        <v>132</v>
      </c>
      <c r="B128" t="s">
        <v>244</v>
      </c>
      <c r="C128" t="s">
        <v>245</v>
      </c>
      <c r="D128">
        <v>0.05</v>
      </c>
      <c r="F128" t="s">
        <v>246</v>
      </c>
    </row>
    <row r="129" spans="1:6">
      <c r="A129" t="s">
        <v>132</v>
      </c>
      <c r="B129" t="s">
        <v>247</v>
      </c>
      <c r="C129" t="s">
        <v>245</v>
      </c>
      <c r="D129">
        <v>0.12</v>
      </c>
      <c r="F129" t="s">
        <v>246</v>
      </c>
    </row>
    <row r="130" spans="1:6">
      <c r="A130" t="s">
        <v>132</v>
      </c>
      <c r="B130" t="s">
        <v>248</v>
      </c>
      <c r="C130" t="s">
        <v>241</v>
      </c>
      <c r="D130" t="s">
        <v>249</v>
      </c>
      <c r="E130">
        <v>0.85</v>
      </c>
      <c r="F130" t="s">
        <v>329</v>
      </c>
    </row>
    <row r="131" spans="1:6">
      <c r="A131" t="s">
        <v>132</v>
      </c>
      <c r="B131" t="s">
        <v>251</v>
      </c>
      <c r="C131" t="s">
        <v>245</v>
      </c>
      <c r="D131">
        <v>0.93</v>
      </c>
      <c r="F131" t="s">
        <v>246</v>
      </c>
    </row>
    <row r="132" spans="1:6">
      <c r="A132" t="s">
        <v>132</v>
      </c>
      <c r="B132" t="s">
        <v>252</v>
      </c>
      <c r="C132" t="s">
        <v>253</v>
      </c>
      <c r="D132">
        <v>3.15</v>
      </c>
      <c r="E132">
        <v>0.67</v>
      </c>
      <c r="F132" t="s">
        <v>330</v>
      </c>
    </row>
    <row r="133" spans="1:6">
      <c r="A133" t="s">
        <v>132</v>
      </c>
      <c r="B133" t="s">
        <v>255</v>
      </c>
      <c r="C133" t="s">
        <v>245</v>
      </c>
      <c r="D133">
        <v>0.11</v>
      </c>
      <c r="F133" t="s">
        <v>246</v>
      </c>
    </row>
    <row r="134" spans="1:6">
      <c r="A134" t="s">
        <v>132</v>
      </c>
      <c r="B134" t="s">
        <v>256</v>
      </c>
      <c r="C134" t="s">
        <v>241</v>
      </c>
      <c r="D134" t="s">
        <v>257</v>
      </c>
      <c r="E134">
        <v>0.37</v>
      </c>
      <c r="F134" t="s">
        <v>331</v>
      </c>
    </row>
    <row r="135" spans="1:6">
      <c r="A135" t="s">
        <v>136</v>
      </c>
      <c r="B135" t="s">
        <v>240</v>
      </c>
      <c r="C135" t="s">
        <v>241</v>
      </c>
      <c r="D135" t="s">
        <v>290</v>
      </c>
      <c r="E135">
        <v>0.98</v>
      </c>
      <c r="F135" t="s">
        <v>332</v>
      </c>
    </row>
    <row r="136" spans="1:6">
      <c r="A136" t="s">
        <v>136</v>
      </c>
      <c r="B136" t="s">
        <v>244</v>
      </c>
      <c r="C136" t="s">
        <v>245</v>
      </c>
      <c r="D136">
        <v>0.05</v>
      </c>
      <c r="F136" t="s">
        <v>246</v>
      </c>
    </row>
    <row r="137" spans="1:6">
      <c r="A137" t="s">
        <v>136</v>
      </c>
      <c r="B137" t="s">
        <v>247</v>
      </c>
      <c r="C137" t="s">
        <v>245</v>
      </c>
      <c r="D137">
        <v>0.08</v>
      </c>
      <c r="F137" t="s">
        <v>246</v>
      </c>
    </row>
    <row r="138" spans="1:6">
      <c r="A138" t="s">
        <v>136</v>
      </c>
      <c r="B138" t="s">
        <v>248</v>
      </c>
      <c r="C138" t="s">
        <v>241</v>
      </c>
      <c r="D138" t="s">
        <v>292</v>
      </c>
      <c r="E138">
        <v>0.8100000000000001</v>
      </c>
      <c r="F138" t="s">
        <v>333</v>
      </c>
    </row>
    <row r="139" spans="1:6">
      <c r="A139" t="s">
        <v>136</v>
      </c>
      <c r="B139" t="s">
        <v>251</v>
      </c>
      <c r="C139" t="s">
        <v>245</v>
      </c>
      <c r="D139">
        <v>0.2</v>
      </c>
      <c r="F139" t="s">
        <v>246</v>
      </c>
    </row>
    <row r="140" spans="1:6">
      <c r="A140" t="s">
        <v>136</v>
      </c>
      <c r="B140" t="s">
        <v>252</v>
      </c>
      <c r="C140" t="s">
        <v>253</v>
      </c>
      <c r="D140">
        <v>0.84</v>
      </c>
      <c r="E140">
        <v>0.8100000000000001</v>
      </c>
      <c r="F140" t="s">
        <v>334</v>
      </c>
    </row>
    <row r="141" spans="1:6">
      <c r="A141" t="s">
        <v>136</v>
      </c>
      <c r="B141" t="s">
        <v>255</v>
      </c>
      <c r="C141" t="s">
        <v>245</v>
      </c>
      <c r="D141">
        <v>0.04</v>
      </c>
      <c r="F141" t="s">
        <v>246</v>
      </c>
    </row>
    <row r="142" spans="1:6">
      <c r="A142" t="s">
        <v>136</v>
      </c>
      <c r="B142" t="s">
        <v>256</v>
      </c>
      <c r="C142" t="s">
        <v>241</v>
      </c>
      <c r="D142" t="s">
        <v>286</v>
      </c>
      <c r="E142">
        <v>1</v>
      </c>
      <c r="F142" t="s">
        <v>335</v>
      </c>
    </row>
    <row r="143" spans="1:6">
      <c r="A143" t="s">
        <v>140</v>
      </c>
      <c r="B143" t="s">
        <v>240</v>
      </c>
      <c r="C143" t="s">
        <v>241</v>
      </c>
      <c r="D143" t="s">
        <v>277</v>
      </c>
      <c r="E143">
        <v>1</v>
      </c>
      <c r="F143" t="s">
        <v>336</v>
      </c>
    </row>
    <row r="144" spans="1:6">
      <c r="A144" t="s">
        <v>140</v>
      </c>
      <c r="B144" t="s">
        <v>244</v>
      </c>
      <c r="C144" t="s">
        <v>245</v>
      </c>
      <c r="D144">
        <v>0.09</v>
      </c>
      <c r="F144" t="s">
        <v>246</v>
      </c>
    </row>
    <row r="145" spans="1:6">
      <c r="A145" t="s">
        <v>140</v>
      </c>
      <c r="B145" t="s">
        <v>247</v>
      </c>
      <c r="C145" t="s">
        <v>245</v>
      </c>
      <c r="D145">
        <v>0.14</v>
      </c>
      <c r="F145" t="s">
        <v>246</v>
      </c>
    </row>
    <row r="146" spans="1:6">
      <c r="A146" t="s">
        <v>140</v>
      </c>
      <c r="B146" t="s">
        <v>248</v>
      </c>
      <c r="C146" t="s">
        <v>241</v>
      </c>
      <c r="D146" t="s">
        <v>249</v>
      </c>
      <c r="E146">
        <v>1</v>
      </c>
      <c r="F146" t="s">
        <v>337</v>
      </c>
    </row>
    <row r="147" spans="1:6">
      <c r="A147" t="s">
        <v>140</v>
      </c>
      <c r="B147" t="s">
        <v>251</v>
      </c>
      <c r="C147" t="s">
        <v>245</v>
      </c>
      <c r="D147">
        <v>0.04</v>
      </c>
      <c r="F147" t="s">
        <v>246</v>
      </c>
    </row>
    <row r="148" spans="1:6">
      <c r="A148" t="s">
        <v>140</v>
      </c>
      <c r="B148" t="s">
        <v>252</v>
      </c>
      <c r="C148" t="s">
        <v>253</v>
      </c>
      <c r="D148">
        <v>0.98</v>
      </c>
      <c r="E148">
        <v>0.89</v>
      </c>
      <c r="F148" t="s">
        <v>338</v>
      </c>
    </row>
    <row r="149" spans="1:6">
      <c r="A149" t="s">
        <v>140</v>
      </c>
      <c r="B149" t="s">
        <v>255</v>
      </c>
      <c r="C149" t="s">
        <v>245</v>
      </c>
      <c r="D149">
        <v>0.08</v>
      </c>
      <c r="F149" t="s">
        <v>246</v>
      </c>
    </row>
    <row r="150" spans="1:6">
      <c r="A150" t="s">
        <v>140</v>
      </c>
      <c r="B150" t="s">
        <v>256</v>
      </c>
      <c r="C150" t="s">
        <v>241</v>
      </c>
      <c r="D150" t="s">
        <v>269</v>
      </c>
      <c r="E150">
        <v>0.93</v>
      </c>
      <c r="F150" t="s">
        <v>339</v>
      </c>
    </row>
    <row r="151" spans="1:6">
      <c r="A151" t="s">
        <v>143</v>
      </c>
      <c r="B151" t="s">
        <v>256</v>
      </c>
      <c r="C151" t="s">
        <v>241</v>
      </c>
      <c r="D151" t="s">
        <v>269</v>
      </c>
      <c r="E151">
        <v>0.68</v>
      </c>
      <c r="F151" t="s">
        <v>340</v>
      </c>
    </row>
    <row r="152" spans="1:6">
      <c r="A152" t="s">
        <v>143</v>
      </c>
      <c r="B152" t="s">
        <v>240</v>
      </c>
      <c r="C152" t="s">
        <v>241</v>
      </c>
      <c r="D152" t="s">
        <v>242</v>
      </c>
      <c r="E152">
        <v>0.8100000000000001</v>
      </c>
      <c r="F152" t="s">
        <v>341</v>
      </c>
    </row>
    <row r="153" spans="1:6">
      <c r="A153" t="s">
        <v>143</v>
      </c>
      <c r="B153" t="s">
        <v>244</v>
      </c>
      <c r="C153" t="s">
        <v>245</v>
      </c>
      <c r="D153">
        <v>0.07000000000000001</v>
      </c>
      <c r="F153" t="s">
        <v>246</v>
      </c>
    </row>
    <row r="154" spans="1:6">
      <c r="A154" t="s">
        <v>143</v>
      </c>
      <c r="B154" t="s">
        <v>247</v>
      </c>
      <c r="C154" t="s">
        <v>245</v>
      </c>
      <c r="D154">
        <v>0.19</v>
      </c>
      <c r="F154" t="s">
        <v>246</v>
      </c>
    </row>
    <row r="155" spans="1:6">
      <c r="A155" t="s">
        <v>143</v>
      </c>
      <c r="B155" t="s">
        <v>248</v>
      </c>
      <c r="C155" t="s">
        <v>241</v>
      </c>
      <c r="D155" t="s">
        <v>261</v>
      </c>
      <c r="E155">
        <v>0.36</v>
      </c>
      <c r="F155" t="s">
        <v>342</v>
      </c>
    </row>
    <row r="156" spans="1:6">
      <c r="A156" t="s">
        <v>143</v>
      </c>
      <c r="B156" t="s">
        <v>251</v>
      </c>
      <c r="C156" t="s">
        <v>245</v>
      </c>
      <c r="D156">
        <v>0.05</v>
      </c>
      <c r="F156" t="s">
        <v>246</v>
      </c>
    </row>
    <row r="157" spans="1:6">
      <c r="A157" t="s">
        <v>143</v>
      </c>
      <c r="B157" t="s">
        <v>252</v>
      </c>
      <c r="C157" t="s">
        <v>253</v>
      </c>
      <c r="D157">
        <v>1.08</v>
      </c>
      <c r="E157">
        <v>0.57</v>
      </c>
      <c r="F157" t="s">
        <v>343</v>
      </c>
    </row>
    <row r="158" spans="1:6">
      <c r="A158" t="s">
        <v>143</v>
      </c>
      <c r="B158" t="s">
        <v>255</v>
      </c>
      <c r="C158" t="s">
        <v>245</v>
      </c>
      <c r="D158">
        <v>0.05</v>
      </c>
      <c r="F158" t="s">
        <v>246</v>
      </c>
    </row>
    <row r="159" spans="1:6">
      <c r="A159" t="s">
        <v>147</v>
      </c>
      <c r="B159" t="s">
        <v>240</v>
      </c>
      <c r="C159" t="s">
        <v>241</v>
      </c>
      <c r="D159" t="s">
        <v>259</v>
      </c>
      <c r="E159">
        <v>0.99</v>
      </c>
      <c r="F159" t="s">
        <v>344</v>
      </c>
    </row>
    <row r="160" spans="1:6">
      <c r="A160" t="s">
        <v>147</v>
      </c>
      <c r="B160" t="s">
        <v>244</v>
      </c>
      <c r="C160" t="s">
        <v>245</v>
      </c>
      <c r="D160">
        <v>0.05</v>
      </c>
      <c r="F160" t="s">
        <v>246</v>
      </c>
    </row>
    <row r="161" spans="1:6">
      <c r="A161" t="s">
        <v>147</v>
      </c>
      <c r="B161" t="s">
        <v>247</v>
      </c>
      <c r="C161" t="s">
        <v>245</v>
      </c>
      <c r="D161">
        <v>0.76</v>
      </c>
      <c r="F161" t="s">
        <v>246</v>
      </c>
    </row>
    <row r="162" spans="1:6">
      <c r="A162" t="s">
        <v>150</v>
      </c>
      <c r="B162" t="s">
        <v>240</v>
      </c>
      <c r="C162" t="s">
        <v>241</v>
      </c>
      <c r="D162" t="s">
        <v>290</v>
      </c>
      <c r="E162">
        <v>1</v>
      </c>
      <c r="F162" t="s">
        <v>345</v>
      </c>
    </row>
    <row r="163" spans="1:6">
      <c r="A163" t="s">
        <v>150</v>
      </c>
      <c r="B163" t="s">
        <v>244</v>
      </c>
      <c r="C163" t="s">
        <v>245</v>
      </c>
      <c r="D163">
        <v>0.04</v>
      </c>
      <c r="F163" t="s">
        <v>246</v>
      </c>
    </row>
    <row r="164" spans="1:6">
      <c r="A164" t="s">
        <v>150</v>
      </c>
      <c r="B164" t="s">
        <v>247</v>
      </c>
      <c r="C164" t="s">
        <v>245</v>
      </c>
      <c r="D164">
        <v>0.08</v>
      </c>
      <c r="F164" t="s">
        <v>246</v>
      </c>
    </row>
    <row r="165" spans="1:6">
      <c r="A165" t="s">
        <v>152</v>
      </c>
      <c r="B165" t="s">
        <v>240</v>
      </c>
      <c r="C165" t="s">
        <v>241</v>
      </c>
      <c r="D165" t="s">
        <v>277</v>
      </c>
      <c r="E165">
        <v>1</v>
      </c>
      <c r="F165" t="s">
        <v>346</v>
      </c>
    </row>
    <row r="166" spans="1:6">
      <c r="A166" t="s">
        <v>152</v>
      </c>
      <c r="B166" t="s">
        <v>244</v>
      </c>
      <c r="C166" t="s">
        <v>245</v>
      </c>
      <c r="D166">
        <v>0.04</v>
      </c>
      <c r="F166" t="s">
        <v>246</v>
      </c>
    </row>
    <row r="167" spans="1:6">
      <c r="A167" t="s">
        <v>152</v>
      </c>
      <c r="B167" t="s">
        <v>247</v>
      </c>
      <c r="C167" t="s">
        <v>245</v>
      </c>
      <c r="D167">
        <v>0.16</v>
      </c>
      <c r="F167" t="s">
        <v>246</v>
      </c>
    </row>
    <row r="168" spans="1:6">
      <c r="A168" t="s">
        <v>154</v>
      </c>
      <c r="B168" t="s">
        <v>240</v>
      </c>
      <c r="C168" t="s">
        <v>241</v>
      </c>
      <c r="D168" t="s">
        <v>290</v>
      </c>
      <c r="E168">
        <v>1</v>
      </c>
      <c r="F168" t="s">
        <v>347</v>
      </c>
    </row>
    <row r="169" spans="1:6">
      <c r="A169" t="s">
        <v>154</v>
      </c>
      <c r="B169" t="s">
        <v>244</v>
      </c>
      <c r="C169" t="s">
        <v>245</v>
      </c>
      <c r="D169">
        <v>0.04</v>
      </c>
      <c r="F169" t="s">
        <v>246</v>
      </c>
    </row>
    <row r="170" spans="1:6">
      <c r="A170" t="s">
        <v>154</v>
      </c>
      <c r="B170" t="s">
        <v>247</v>
      </c>
      <c r="C170" t="s">
        <v>245</v>
      </c>
      <c r="D170">
        <v>0.1</v>
      </c>
      <c r="F170" t="s">
        <v>246</v>
      </c>
    </row>
    <row r="171" spans="1:6">
      <c r="A171" t="s">
        <v>154</v>
      </c>
      <c r="B171" t="s">
        <v>248</v>
      </c>
      <c r="C171" t="s">
        <v>241</v>
      </c>
      <c r="D171" t="s">
        <v>261</v>
      </c>
      <c r="E171">
        <v>0.99</v>
      </c>
      <c r="F171" t="s">
        <v>348</v>
      </c>
    </row>
    <row r="172" spans="1:6">
      <c r="A172" t="s">
        <v>154</v>
      </c>
      <c r="B172" t="s">
        <v>251</v>
      </c>
      <c r="C172" t="s">
        <v>245</v>
      </c>
      <c r="D172">
        <v>0.98</v>
      </c>
      <c r="F172" t="s">
        <v>246</v>
      </c>
    </row>
    <row r="173" spans="1:6">
      <c r="A173" t="s">
        <v>154</v>
      </c>
      <c r="B173" t="s">
        <v>252</v>
      </c>
      <c r="C173" t="s">
        <v>253</v>
      </c>
      <c r="D173">
        <v>2.86</v>
      </c>
      <c r="E173">
        <v>0.89</v>
      </c>
      <c r="F173" t="s">
        <v>349</v>
      </c>
    </row>
    <row r="174" spans="1:6">
      <c r="A174" t="s">
        <v>154</v>
      </c>
      <c r="B174" t="s">
        <v>255</v>
      </c>
      <c r="C174" t="s">
        <v>245</v>
      </c>
      <c r="D174">
        <v>0.06</v>
      </c>
      <c r="F174" t="s">
        <v>246</v>
      </c>
    </row>
    <row r="175" spans="1:6">
      <c r="A175" t="s">
        <v>154</v>
      </c>
      <c r="B175" t="s">
        <v>256</v>
      </c>
      <c r="C175" t="s">
        <v>241</v>
      </c>
      <c r="D175" t="s">
        <v>257</v>
      </c>
      <c r="E175">
        <v>1</v>
      </c>
      <c r="F175" t="s">
        <v>350</v>
      </c>
    </row>
    <row r="176" spans="1:6">
      <c r="A176" t="s">
        <v>157</v>
      </c>
      <c r="B176" t="s">
        <v>247</v>
      </c>
      <c r="C176" t="s">
        <v>245</v>
      </c>
      <c r="D176">
        <v>0.13</v>
      </c>
      <c r="F176" t="s">
        <v>246</v>
      </c>
    </row>
    <row r="177" spans="1:6">
      <c r="A177" t="s">
        <v>157</v>
      </c>
      <c r="B177" t="s">
        <v>248</v>
      </c>
      <c r="C177" t="s">
        <v>241</v>
      </c>
      <c r="D177" t="s">
        <v>249</v>
      </c>
      <c r="E177">
        <v>1</v>
      </c>
      <c r="F177" t="s">
        <v>351</v>
      </c>
    </row>
    <row r="178" spans="1:6">
      <c r="A178" t="s">
        <v>157</v>
      </c>
      <c r="B178" t="s">
        <v>251</v>
      </c>
      <c r="C178" t="s">
        <v>245</v>
      </c>
      <c r="D178">
        <v>0.95</v>
      </c>
      <c r="F178" t="s">
        <v>246</v>
      </c>
    </row>
    <row r="179" spans="1:6">
      <c r="A179" t="s">
        <v>157</v>
      </c>
      <c r="B179" t="s">
        <v>252</v>
      </c>
      <c r="C179" t="s">
        <v>253</v>
      </c>
      <c r="D179">
        <v>2.75</v>
      </c>
      <c r="E179">
        <v>0.79</v>
      </c>
      <c r="F179" t="s">
        <v>352</v>
      </c>
    </row>
    <row r="180" spans="1:6">
      <c r="A180" t="s">
        <v>157</v>
      </c>
      <c r="B180" t="s">
        <v>255</v>
      </c>
      <c r="C180" t="s">
        <v>245</v>
      </c>
      <c r="D180">
        <v>0.05</v>
      </c>
      <c r="F180" t="s">
        <v>246</v>
      </c>
    </row>
    <row r="181" spans="1:6">
      <c r="A181" t="s">
        <v>157</v>
      </c>
      <c r="B181" t="s">
        <v>256</v>
      </c>
      <c r="C181" t="s">
        <v>241</v>
      </c>
      <c r="D181" t="s">
        <v>257</v>
      </c>
      <c r="E181">
        <v>0.62</v>
      </c>
      <c r="F181" t="s">
        <v>353</v>
      </c>
    </row>
    <row r="182" spans="1:6">
      <c r="A182" t="s">
        <v>157</v>
      </c>
      <c r="B182" t="s">
        <v>240</v>
      </c>
      <c r="C182" t="s">
        <v>241</v>
      </c>
      <c r="D182" t="s">
        <v>277</v>
      </c>
      <c r="E182">
        <v>0.89</v>
      </c>
      <c r="F182" t="s">
        <v>354</v>
      </c>
    </row>
    <row r="183" spans="1:6">
      <c r="A183" t="s">
        <v>157</v>
      </c>
      <c r="B183" t="s">
        <v>244</v>
      </c>
      <c r="C183" t="s">
        <v>245</v>
      </c>
      <c r="D183">
        <v>0.93</v>
      </c>
      <c r="F183" t="s">
        <v>246</v>
      </c>
    </row>
    <row r="184" spans="1:6">
      <c r="A184" t="s">
        <v>160</v>
      </c>
      <c r="B184" t="s">
        <v>255</v>
      </c>
      <c r="C184" t="s">
        <v>245</v>
      </c>
      <c r="D184">
        <v>0.1</v>
      </c>
      <c r="F184" t="s">
        <v>246</v>
      </c>
    </row>
    <row r="185" spans="1:6">
      <c r="A185" t="s">
        <v>160</v>
      </c>
      <c r="B185" t="s">
        <v>256</v>
      </c>
      <c r="C185" t="s">
        <v>241</v>
      </c>
      <c r="D185" t="s">
        <v>257</v>
      </c>
      <c r="E185">
        <v>0.71</v>
      </c>
      <c r="F185" t="s">
        <v>355</v>
      </c>
    </row>
    <row r="186" spans="1:6">
      <c r="A186" t="s">
        <v>160</v>
      </c>
      <c r="B186" t="s">
        <v>240</v>
      </c>
      <c r="C186" t="s">
        <v>241</v>
      </c>
      <c r="D186" t="s">
        <v>277</v>
      </c>
      <c r="E186">
        <v>1</v>
      </c>
      <c r="F186" t="s">
        <v>356</v>
      </c>
    </row>
    <row r="187" spans="1:6">
      <c r="A187" t="s">
        <v>160</v>
      </c>
      <c r="B187" t="s">
        <v>244</v>
      </c>
      <c r="C187" t="s">
        <v>245</v>
      </c>
      <c r="D187">
        <v>0.06</v>
      </c>
      <c r="F187" t="s">
        <v>246</v>
      </c>
    </row>
    <row r="188" spans="1:6">
      <c r="A188" t="s">
        <v>160</v>
      </c>
      <c r="B188" t="s">
        <v>247</v>
      </c>
      <c r="C188" t="s">
        <v>245</v>
      </c>
      <c r="D188">
        <v>0.07000000000000001</v>
      </c>
      <c r="F188" t="s">
        <v>246</v>
      </c>
    </row>
    <row r="189" spans="1:6">
      <c r="A189" t="s">
        <v>160</v>
      </c>
      <c r="B189" t="s">
        <v>248</v>
      </c>
      <c r="C189" t="s">
        <v>241</v>
      </c>
      <c r="D189" t="s">
        <v>249</v>
      </c>
      <c r="E189">
        <v>0.82</v>
      </c>
      <c r="F189" t="s">
        <v>357</v>
      </c>
    </row>
    <row r="190" spans="1:6">
      <c r="A190" t="s">
        <v>160</v>
      </c>
      <c r="B190" t="s">
        <v>251</v>
      </c>
      <c r="C190" t="s">
        <v>245</v>
      </c>
      <c r="D190">
        <v>0.97</v>
      </c>
      <c r="F190" t="s">
        <v>246</v>
      </c>
    </row>
    <row r="191" spans="1:6">
      <c r="A191" t="s">
        <v>160</v>
      </c>
      <c r="B191" t="s">
        <v>252</v>
      </c>
      <c r="C191" t="s">
        <v>253</v>
      </c>
      <c r="D191">
        <v>3.93</v>
      </c>
      <c r="E191">
        <v>0.9399999999999999</v>
      </c>
      <c r="F191" t="s">
        <v>358</v>
      </c>
    </row>
    <row r="192" spans="1:6">
      <c r="A192" t="s">
        <v>162</v>
      </c>
      <c r="B192" t="s">
        <v>240</v>
      </c>
      <c r="C192" t="s">
        <v>241</v>
      </c>
      <c r="D192" t="s">
        <v>290</v>
      </c>
      <c r="E192">
        <v>0.74</v>
      </c>
      <c r="F192" t="s">
        <v>359</v>
      </c>
    </row>
    <row r="193" spans="1:6">
      <c r="A193" t="s">
        <v>162</v>
      </c>
      <c r="B193" t="s">
        <v>244</v>
      </c>
      <c r="C193" t="s">
        <v>245</v>
      </c>
      <c r="D193">
        <v>0.06</v>
      </c>
      <c r="F193" t="s">
        <v>246</v>
      </c>
    </row>
    <row r="194" spans="1:6">
      <c r="A194" t="s">
        <v>162</v>
      </c>
      <c r="B194" t="s">
        <v>247</v>
      </c>
      <c r="C194" t="s">
        <v>245</v>
      </c>
      <c r="D194">
        <v>0.22</v>
      </c>
      <c r="F194" t="s">
        <v>246</v>
      </c>
    </row>
    <row r="195" spans="1:6">
      <c r="A195" t="s">
        <v>162</v>
      </c>
      <c r="B195" t="s">
        <v>248</v>
      </c>
      <c r="C195" t="s">
        <v>241</v>
      </c>
      <c r="D195" t="s">
        <v>261</v>
      </c>
      <c r="E195">
        <v>0.83</v>
      </c>
      <c r="F195" t="s">
        <v>360</v>
      </c>
    </row>
    <row r="196" spans="1:6">
      <c r="A196" t="s">
        <v>162</v>
      </c>
      <c r="B196" t="s">
        <v>251</v>
      </c>
      <c r="C196" t="s">
        <v>245</v>
      </c>
      <c r="D196">
        <v>0.96</v>
      </c>
      <c r="F196" t="s">
        <v>246</v>
      </c>
    </row>
    <row r="197" spans="1:6">
      <c r="A197" t="s">
        <v>162</v>
      </c>
      <c r="B197" t="s">
        <v>252</v>
      </c>
      <c r="C197" t="s">
        <v>253</v>
      </c>
      <c r="D197">
        <v>3.61</v>
      </c>
      <c r="E197">
        <v>0.68</v>
      </c>
      <c r="F197" t="s">
        <v>361</v>
      </c>
    </row>
    <row r="198" spans="1:6">
      <c r="A198" t="s">
        <v>162</v>
      </c>
      <c r="B198" t="s">
        <v>255</v>
      </c>
      <c r="C198" t="s">
        <v>245</v>
      </c>
      <c r="D198">
        <v>0.06</v>
      </c>
      <c r="F198" t="s">
        <v>246</v>
      </c>
    </row>
    <row r="199" spans="1:6">
      <c r="A199" t="s">
        <v>162</v>
      </c>
      <c r="B199" t="s">
        <v>256</v>
      </c>
      <c r="C199" t="s">
        <v>241</v>
      </c>
      <c r="D199" t="s">
        <v>257</v>
      </c>
      <c r="E199">
        <v>0.5</v>
      </c>
      <c r="F199" t="s">
        <v>362</v>
      </c>
    </row>
    <row r="200" spans="1:6">
      <c r="A200" t="s">
        <v>164</v>
      </c>
      <c r="B200" t="s">
        <v>240</v>
      </c>
      <c r="C200" t="s">
        <v>241</v>
      </c>
      <c r="D200" t="s">
        <v>290</v>
      </c>
      <c r="E200">
        <v>0.5600000000000001</v>
      </c>
      <c r="F200" t="s">
        <v>363</v>
      </c>
    </row>
    <row r="201" spans="1:6">
      <c r="A201" t="s">
        <v>164</v>
      </c>
      <c r="B201" t="s">
        <v>244</v>
      </c>
      <c r="C201" t="s">
        <v>245</v>
      </c>
      <c r="D201">
        <v>0.05</v>
      </c>
      <c r="F201" t="s">
        <v>246</v>
      </c>
    </row>
    <row r="202" spans="1:6">
      <c r="A202" t="s">
        <v>164</v>
      </c>
      <c r="B202" t="s">
        <v>247</v>
      </c>
      <c r="C202" t="s">
        <v>245</v>
      </c>
      <c r="D202">
        <v>0.46</v>
      </c>
      <c r="F202" t="s">
        <v>246</v>
      </c>
    </row>
    <row r="203" spans="1:6">
      <c r="A203" t="s">
        <v>164</v>
      </c>
      <c r="B203" t="s">
        <v>248</v>
      </c>
      <c r="C203" t="s">
        <v>241</v>
      </c>
      <c r="D203" t="s">
        <v>266</v>
      </c>
      <c r="E203">
        <v>1</v>
      </c>
      <c r="F203" t="s">
        <v>364</v>
      </c>
    </row>
    <row r="204" spans="1:6">
      <c r="A204" t="s">
        <v>164</v>
      </c>
      <c r="B204" t="s">
        <v>251</v>
      </c>
      <c r="C204" t="s">
        <v>245</v>
      </c>
      <c r="D204">
        <v>0.05</v>
      </c>
      <c r="F204" t="s">
        <v>246</v>
      </c>
    </row>
    <row r="205" spans="1:6">
      <c r="A205" t="s">
        <v>164</v>
      </c>
      <c r="B205" t="s">
        <v>252</v>
      </c>
      <c r="C205" t="s">
        <v>253</v>
      </c>
      <c r="D205">
        <v>0.2</v>
      </c>
      <c r="E205">
        <v>0.83</v>
      </c>
      <c r="F205" t="s">
        <v>365</v>
      </c>
    </row>
    <row r="206" spans="1:6">
      <c r="A206" t="s">
        <v>164</v>
      </c>
      <c r="B206" t="s">
        <v>255</v>
      </c>
      <c r="C206" t="s">
        <v>245</v>
      </c>
      <c r="D206">
        <v>0.04</v>
      </c>
      <c r="F206" t="s">
        <v>246</v>
      </c>
    </row>
    <row r="207" spans="1:6">
      <c r="A207" t="s">
        <v>164</v>
      </c>
      <c r="B207" t="s">
        <v>256</v>
      </c>
      <c r="C207" t="s">
        <v>241</v>
      </c>
      <c r="D207" t="s">
        <v>269</v>
      </c>
      <c r="E207">
        <v>0.61</v>
      </c>
      <c r="F207" t="s">
        <v>366</v>
      </c>
    </row>
    <row r="208" spans="1:6">
      <c r="A208" t="s">
        <v>166</v>
      </c>
      <c r="B208" t="s">
        <v>240</v>
      </c>
      <c r="C208" t="s">
        <v>241</v>
      </c>
      <c r="D208" t="s">
        <v>259</v>
      </c>
      <c r="E208">
        <v>0.87</v>
      </c>
      <c r="F208" t="s">
        <v>367</v>
      </c>
    </row>
    <row r="209" spans="1:6">
      <c r="A209" t="s">
        <v>166</v>
      </c>
      <c r="B209" t="s">
        <v>244</v>
      </c>
      <c r="C209" t="s">
        <v>245</v>
      </c>
      <c r="D209">
        <v>0.03</v>
      </c>
      <c r="F209" t="s">
        <v>246</v>
      </c>
    </row>
    <row r="210" spans="1:6">
      <c r="A210" t="s">
        <v>166</v>
      </c>
      <c r="B210" t="s">
        <v>247</v>
      </c>
      <c r="C210" t="s">
        <v>245</v>
      </c>
      <c r="D210">
        <v>0.76</v>
      </c>
      <c r="F210" t="s">
        <v>246</v>
      </c>
    </row>
    <row r="211" spans="1:6">
      <c r="A211" t="s">
        <v>166</v>
      </c>
      <c r="B211" t="s">
        <v>248</v>
      </c>
      <c r="C211" t="s">
        <v>241</v>
      </c>
      <c r="D211" t="s">
        <v>272</v>
      </c>
      <c r="E211">
        <v>0.99</v>
      </c>
      <c r="F211" t="s">
        <v>368</v>
      </c>
    </row>
    <row r="212" spans="1:6">
      <c r="A212" t="s">
        <v>166</v>
      </c>
      <c r="B212" t="s">
        <v>251</v>
      </c>
      <c r="C212" t="s">
        <v>245</v>
      </c>
      <c r="D212">
        <v>0.03</v>
      </c>
      <c r="F212" t="s">
        <v>246</v>
      </c>
    </row>
    <row r="213" spans="1:6">
      <c r="A213" t="s">
        <v>166</v>
      </c>
      <c r="B213" t="s">
        <v>252</v>
      </c>
      <c r="C213" t="s">
        <v>253</v>
      </c>
      <c r="D213">
        <v>0.73</v>
      </c>
      <c r="E213">
        <v>0.77</v>
      </c>
      <c r="F213" t="s">
        <v>369</v>
      </c>
    </row>
    <row r="214" spans="1:6">
      <c r="A214" t="s">
        <v>166</v>
      </c>
      <c r="B214" t="s">
        <v>255</v>
      </c>
      <c r="C214" t="s">
        <v>245</v>
      </c>
      <c r="D214">
        <v>0.89</v>
      </c>
      <c r="F214" t="s">
        <v>246</v>
      </c>
    </row>
    <row r="215" spans="1:6">
      <c r="A215" t="s">
        <v>166</v>
      </c>
      <c r="B215" t="s">
        <v>256</v>
      </c>
      <c r="C215" t="s">
        <v>241</v>
      </c>
      <c r="D215" t="s">
        <v>275</v>
      </c>
      <c r="E215">
        <v>1</v>
      </c>
      <c r="F215" t="s">
        <v>370</v>
      </c>
    </row>
    <row r="216" spans="1:6">
      <c r="A216" t="s">
        <v>168</v>
      </c>
      <c r="B216" t="s">
        <v>240</v>
      </c>
      <c r="C216" t="s">
        <v>241</v>
      </c>
      <c r="D216" t="s">
        <v>277</v>
      </c>
      <c r="E216">
        <v>0.95</v>
      </c>
      <c r="F216" t="s">
        <v>371</v>
      </c>
    </row>
    <row r="217" spans="1:6">
      <c r="A217" t="s">
        <v>168</v>
      </c>
      <c r="B217" t="s">
        <v>244</v>
      </c>
      <c r="C217" t="s">
        <v>245</v>
      </c>
      <c r="D217">
        <v>0.05</v>
      </c>
      <c r="F217" t="s">
        <v>246</v>
      </c>
    </row>
    <row r="218" spans="1:6">
      <c r="A218" t="s">
        <v>168</v>
      </c>
      <c r="B218" t="s">
        <v>247</v>
      </c>
      <c r="C218" t="s">
        <v>245</v>
      </c>
      <c r="D218">
        <v>0.26</v>
      </c>
      <c r="F218" t="s">
        <v>246</v>
      </c>
    </row>
    <row r="219" spans="1:6">
      <c r="A219" t="s">
        <v>168</v>
      </c>
      <c r="B219" t="s">
        <v>248</v>
      </c>
      <c r="C219" t="s">
        <v>241</v>
      </c>
      <c r="D219" t="s">
        <v>279</v>
      </c>
      <c r="E219">
        <v>0.9</v>
      </c>
      <c r="F219" t="s">
        <v>372</v>
      </c>
    </row>
    <row r="220" spans="1:6">
      <c r="A220" t="s">
        <v>168</v>
      </c>
      <c r="B220" t="s">
        <v>251</v>
      </c>
      <c r="C220" t="s">
        <v>245</v>
      </c>
      <c r="D220">
        <v>0.97</v>
      </c>
      <c r="F220" t="s">
        <v>246</v>
      </c>
    </row>
    <row r="221" spans="1:6">
      <c r="A221" t="s">
        <v>168</v>
      </c>
      <c r="B221" t="s">
        <v>252</v>
      </c>
      <c r="C221" t="s">
        <v>253</v>
      </c>
      <c r="D221">
        <v>1.24</v>
      </c>
      <c r="E221">
        <v>0.75</v>
      </c>
      <c r="F221" t="s">
        <v>373</v>
      </c>
    </row>
    <row r="222" spans="1:6">
      <c r="A222" t="s">
        <v>168</v>
      </c>
      <c r="B222" t="s">
        <v>255</v>
      </c>
      <c r="C222" t="s">
        <v>245</v>
      </c>
      <c r="D222">
        <v>0.05</v>
      </c>
      <c r="F222" t="s">
        <v>246</v>
      </c>
    </row>
    <row r="223" spans="1:6">
      <c r="A223" t="s">
        <v>168</v>
      </c>
      <c r="B223" t="s">
        <v>256</v>
      </c>
      <c r="C223" t="s">
        <v>241</v>
      </c>
      <c r="D223" t="s">
        <v>257</v>
      </c>
      <c r="E223">
        <v>1</v>
      </c>
      <c r="F223" t="s">
        <v>374</v>
      </c>
    </row>
    <row r="224" spans="1:6">
      <c r="A224" t="s">
        <v>170</v>
      </c>
      <c r="B224" t="s">
        <v>240</v>
      </c>
      <c r="C224" t="s">
        <v>241</v>
      </c>
      <c r="D224" t="s">
        <v>290</v>
      </c>
      <c r="E224">
        <v>0.74</v>
      </c>
      <c r="F224" t="s">
        <v>375</v>
      </c>
    </row>
    <row r="225" spans="1:6">
      <c r="A225" t="s">
        <v>170</v>
      </c>
      <c r="B225" t="s">
        <v>244</v>
      </c>
      <c r="C225" t="s">
        <v>245</v>
      </c>
      <c r="D225">
        <v>0.04</v>
      </c>
      <c r="F225" t="s">
        <v>246</v>
      </c>
    </row>
    <row r="226" spans="1:6">
      <c r="A226" t="s">
        <v>170</v>
      </c>
      <c r="B226" t="s">
        <v>247</v>
      </c>
      <c r="C226" t="s">
        <v>245</v>
      </c>
      <c r="D226">
        <v>0.36</v>
      </c>
      <c r="F226" t="s">
        <v>246</v>
      </c>
    </row>
    <row r="227" spans="1:6">
      <c r="A227" t="s">
        <v>170</v>
      </c>
      <c r="B227" t="s">
        <v>248</v>
      </c>
      <c r="C227" t="s">
        <v>241</v>
      </c>
      <c r="D227" t="s">
        <v>279</v>
      </c>
      <c r="E227">
        <v>1</v>
      </c>
      <c r="F227" t="s">
        <v>376</v>
      </c>
    </row>
    <row r="228" spans="1:6">
      <c r="A228" t="s">
        <v>170</v>
      </c>
      <c r="B228" t="s">
        <v>251</v>
      </c>
      <c r="C228" t="s">
        <v>245</v>
      </c>
      <c r="D228">
        <v>0.47</v>
      </c>
      <c r="F228" t="s">
        <v>246</v>
      </c>
    </row>
    <row r="229" spans="1:6">
      <c r="A229" t="s">
        <v>170</v>
      </c>
      <c r="B229" t="s">
        <v>252</v>
      </c>
      <c r="C229" t="s">
        <v>253</v>
      </c>
      <c r="D229">
        <v>0.93</v>
      </c>
      <c r="E229">
        <v>0.91</v>
      </c>
      <c r="F229" t="s">
        <v>377</v>
      </c>
    </row>
    <row r="230" spans="1:6">
      <c r="A230" t="s">
        <v>170</v>
      </c>
      <c r="B230" t="s">
        <v>255</v>
      </c>
      <c r="C230" t="s">
        <v>245</v>
      </c>
      <c r="D230">
        <v>0.04</v>
      </c>
      <c r="F230" t="s">
        <v>246</v>
      </c>
    </row>
    <row r="231" spans="1:6">
      <c r="A231" t="s">
        <v>170</v>
      </c>
      <c r="B231" t="s">
        <v>256</v>
      </c>
      <c r="C231" t="s">
        <v>241</v>
      </c>
      <c r="D231" t="s">
        <v>286</v>
      </c>
      <c r="E231">
        <v>1</v>
      </c>
      <c r="F231" t="s">
        <v>378</v>
      </c>
    </row>
  </sheetData>
  <mergeCells count="2">
    <mergeCell ref="A1:F1"/>
    <mergeCell ref="A2:F2"/>
  </mergeCells>
  <hyperlinks>
    <hyperlink ref="A4" location="'Tableau de bord'!A1" display="Tableau de bord"/>
    <hyperlink ref="B4" location="'Plan d'actions'!A1" display="Plan d'actions"/>
    <hyperlink ref="C4" location="'Retours gestionnaires'!A1" display="Retours gestionnaires"/>
    <hyperlink ref="D4" location="'Promesses vs bascules'!A1" display="Promesses vs bascules"/>
    <hyperlink ref="E4" location="'Contrôle qualité'!A1" display="Contrôle qualité"/>
    <hyperlink ref="F4" location="'Méthodologie TypeSafe'!A1" display="Méthodologie TypeSafe"/>
  </hyperlinks>
  <pageMargins left="0.7" right="0.7" top="0.75" bottom="0.75" header="0.3" footer="0.3"/>
  <pageSetup paperSize="9" fitToHeight="0" orientation="landscape"/>
  <headerFooter>
    <oddFooter>&amp;L&amp;8ECOBANK SÉNÉGAL · Credit Risk · INTERNAL USE ONLY&amp;R&amp;8&amp;P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Tableau de bord</vt:lpstr>
      <vt:lpstr>_graph</vt:lpstr>
      <vt:lpstr>Plan d'actions</vt:lpstr>
      <vt:lpstr>Retours gestionnaires</vt:lpstr>
      <vt:lpstr>Promesses vs bascules</vt:lpstr>
      <vt:lpstr>Contrôle qualité</vt:lpstr>
      <vt:lpstr>Méthodologie TypeSafe</vt:lpstr>
      <vt:lpstr>_TYPESAFE</vt:lpstr>
    </vt:vector>
  </TitlesOfParts>
  <Company>Ecobank Sénégal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Impayés 30-90j — Couche TypeSafe</dc:title>
  <dc:creator/>
  <dc:description>INTERNAL USE ONLY</dc:description>
  <cp:lastModifiedBy/>
  <dcterms:created xsi:type="dcterms:W3CDTF">2026-10-03T10:19:53Z</dcterms:created>
  <dcterms:modified xsi:type="dcterms:W3CDTF">2026-10-03T10:19:53Z</dcterms:modified>
</cp:coreProperties>
</file>