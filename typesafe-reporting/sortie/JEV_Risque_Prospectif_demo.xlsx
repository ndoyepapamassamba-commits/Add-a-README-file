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JEV Synthèse" sheetId="1" r:id="rId1"/>
    <sheet name="_jev" sheetId="2" state="hidden" r:id="rId2"/>
    <sheet name="JEV Contreparties" sheetId="3" r:id="rId3"/>
    <sheet name="JEV Portefeuille" sheetId="4" r:id="rId4"/>
    <sheet name="JEV Segments" sheetId="5" r:id="rId5"/>
    <sheet name="JEV Scénarios" sheetId="6" r:id="rId6"/>
    <sheet name="JEV Matrices" sheetId="7" r:id="rId7"/>
    <sheet name="JEV Provenance" sheetId="8" r:id="rId8"/>
  </sheets>
  <calcPr calcId="124519" fullCalcOnLoad="1"/>
</workbook>
</file>

<file path=xl/sharedStrings.xml><?xml version="1.0" encoding="utf-8"?>
<sst xmlns="http://schemas.openxmlformats.org/spreadsheetml/2006/main" count="730" uniqueCount="317">
  <si>
    <t>JEV · MOTEUR DE JUGEMENT PROBABILISTE ET D'ÉVOLUTION DU RISQUE</t>
  </si>
  <si>
    <t>Arrêté du 29/09/2026 · OBSERVÉ → DÉTECTÉ → PROBABILITÉ → TRAJECTOIRE → SCÉNARIO → ACTION · données de démonstration anonymisées</t>
  </si>
  <si>
    <t>JEV Synthèse</t>
  </si>
  <si>
    <t>JEV Contreparties</t>
  </si>
  <si>
    <t>JEV Segments</t>
  </si>
  <si>
    <t>JEV Portefeuille</t>
  </si>
  <si>
    <t>JEV Scénarios</t>
  </si>
  <si>
    <t>JEV Matrices</t>
  </si>
  <si>
    <t>JEV Provenance</t>
  </si>
  <si>
    <t>⚠ Estimation indicative — historique insuffisant pour une calibration statistique robuste.  Provenance : MARKOV · Markov mensuel portefeuille · N = 64 135 · Historique = 18 mois · Confiance = faible · calibration au 2026-09-30.</t>
  </si>
  <si>
    <t>PD 12M PORTEFEUILLE (SAINS)</t>
  </si>
  <si>
    <t>11,9 %</t>
  </si>
  <si>
    <t>EMPIRIQUE 12M (COHORTES)</t>
  </si>
  <si>
    <t>12,0 %</t>
  </si>
  <si>
    <t>DOSSIERS 30-90J SUIVIS</t>
  </si>
  <si>
    <t>AVEC SIGNAUX EWS</t>
  </si>
  <si>
    <t>ENTRÉES DOUTEUX 12M (M XOF)</t>
  </si>
  <si>
    <t>4 643</t>
  </si>
  <si>
    <t>P95 SÉVÈRE (M XOF)</t>
  </si>
  <si>
    <t>13 982</t>
  </si>
  <si>
    <t>PD 12M</t>
  </si>
  <si>
    <t>MARKOV · Markov mensuel portefeuille</t>
  </si>
  <si>
    <t>N = 64 135</t>
  </si>
  <si>
    <t>Historique = 18 mois</t>
  </si>
  <si>
    <t>Confiance = faible</t>
  </si>
  <si>
    <t>Qualité = Insuffisante</t>
  </si>
  <si>
    <t>Horizon</t>
  </si>
  <si>
    <t>Central</t>
  </si>
  <si>
    <t>Modéré</t>
  </si>
  <si>
    <t>Sévère</t>
  </si>
  <si>
    <t>Segment</t>
  </si>
  <si>
    <t>Markov 12M</t>
  </si>
  <si>
    <t>Empirique 12M</t>
  </si>
  <si>
    <t>1 m</t>
  </si>
  <si>
    <t>2 m</t>
  </si>
  <si>
    <t>3 m</t>
  </si>
  <si>
    <t>4 m</t>
  </si>
  <si>
    <t>5 m</t>
  </si>
  <si>
    <t>6 m</t>
  </si>
  <si>
    <t>7 m</t>
  </si>
  <si>
    <t>8 m</t>
  </si>
  <si>
    <t>9 m</t>
  </si>
  <si>
    <t>10 m</t>
  </si>
  <si>
    <t>11 m</t>
  </si>
  <si>
    <t>12 m</t>
  </si>
  <si>
    <t>Consumer</t>
  </si>
  <si>
    <t>Commercial</t>
  </si>
  <si>
    <t>Corporate</t>
  </si>
  <si>
    <t>Public Sector</t>
  </si>
  <si>
    <t>Client</t>
  </si>
  <si>
    <t>Base Markov</t>
  </si>
  <si>
    <t>Surcouche EWS</t>
  </si>
  <si>
    <t>KANE KHADY</t>
  </si>
  <si>
    <t xml:space="preserve">SOCIETE AFRICAINE DE CIMENT </t>
  </si>
  <si>
    <t>MBAYE ALIOUNE</t>
  </si>
  <si>
    <t>IMPRIMERIE DU FLEUVE SUARL</t>
  </si>
  <si>
    <t>NDIAYE FATOU</t>
  </si>
  <si>
    <t>CISSE AWA</t>
  </si>
  <si>
    <t>SENEGAL LOGISTIQUE ET TRANSI</t>
  </si>
  <si>
    <t>ECOBANK FOUNDATION SENEGAL</t>
  </si>
  <si>
    <t>SOW MOUSTAPHA</t>
  </si>
  <si>
    <t>BA MARIAMA</t>
  </si>
  <si>
    <t>Lecture</t>
  </si>
  <si>
    <t>• PD 12M d'une contrepartie saine : 11,9 % (Markov) contre 12,0 % observé sur cohortes (IC 95 % 11,6 % – 12,5 %).</t>
  </si>
  <si>
    <t>• Historique de 18 mois : Estimation indicative — historique insuffisant pour une calibration statistique robuste.</t>
  </si>
  <si>
    <t>• 23 dossiers 30-90j portent des signaux EWS issus de la lecture TypeSafe : leur PD est HYBRID (Markov + EWS + expert) et les multiplicateurs sont des paramètres d'expert, non calibrés.</t>
  </si>
  <si>
    <t>• Scénario sévère : entrées en douteux à 12 mois de 12 605 M XOF en moyenne (P95 13 982 M XOF  SIMULATED).</t>
  </si>
  <si>
    <t>JEV · NIVEAU 1 — CONTREPARTIES (IMPAYÉS 30-90J)</t>
  </si>
  <si>
    <t>PD par horizon avec provenance ; signaux issus de la couche TypeSafe ; action dont l'effet est calculé par le code.</t>
  </si>
  <si>
    <t>Réf LD</t>
  </si>
  <si>
    <t>Jours</t>
  </si>
  <si>
    <t>État observé</t>
  </si>
  <si>
    <t>Motif (TypeSafe)</t>
  </si>
  <si>
    <t>Signaux détectés (EWS)</t>
  </si>
  <si>
    <t>Base Markov 12M</t>
  </si>
  <si>
    <t>PD 3M</t>
  </si>
  <si>
    <t>PD 6M</t>
  </si>
  <si>
    <t>Prove-nance</t>
  </si>
  <si>
    <t>Confiance</t>
  </si>
  <si>
    <t>PD 12M sévère</t>
  </si>
  <si>
    <t>Meilleure action</t>
  </si>
  <si>
    <t>PD 12M après action</t>
  </si>
  <si>
    <t>Revue analyste</t>
  </si>
  <si>
    <t>Détail de provenance</t>
  </si>
  <si>
    <t>LD9000027</t>
  </si>
  <si>
    <t>61-90j</t>
  </si>
  <si>
    <t>Client injoignable</t>
  </si>
  <si>
    <t>Client injoignable (TypeSafe)</t>
  </si>
  <si>
    <t>HYBRID</t>
  </si>
  <si>
    <t>faible</t>
  </si>
  <si>
    <t>Régularisation complète des impayés (retour en Sain)</t>
  </si>
  <si>
    <t>nature de l'entité incertaine (0.49)</t>
  </si>
  <si>
    <t>MARKOV · Markov mensuel Commercial (MLE sur 17 transitions) · N = 16 337 · Historique = 18 mois · Confiance = faible | EXPERT ×2.00 Client injoignable (TypeSafe)</t>
  </si>
  <si>
    <t>LD9000013</t>
  </si>
  <si>
    <t>SOCIETE AFRICAINE DE CIMENT DU SINE SA</t>
  </si>
  <si>
    <t>Fraude / détournement</t>
  </si>
  <si>
    <t>Signal de fraude (TypeSafe)</t>
  </si>
  <si>
    <t>MARKOV · Markov mensuel Consumer (MLE sur 17 transitions) · N = 38 478 · Historique = 18 mois · Confiance = faible | EXPERT ×2.50 Signal de fraude (TypeSafe)</t>
  </si>
  <si>
    <t>LD9000030</t>
  </si>
  <si>
    <t>Perte de revenus</t>
  </si>
  <si>
    <t>Perte durable de revenus (TypeSafe)</t>
  </si>
  <si>
    <t>MARKOV · Markov mensuel Consumer (MLE sur 17 transitions) · N = 38 478 · Historique = 18 mois · Confiance = faible | EXPERT ×1.60 Perte durable de revenus (TypeSafe)</t>
  </si>
  <si>
    <t>LD9000022</t>
  </si>
  <si>
    <t>Sans retour</t>
  </si>
  <si>
    <t>Aucun retour gestionnaire (code)</t>
  </si>
  <si>
    <t>MARKOV · Markov mensuel Commercial (MLE sur 17 transitions) · N = 16 337 · Historique = 18 mois · Confiance = faible | EXPERT ×1.20 Aucun retour gestionnaire (code)</t>
  </si>
  <si>
    <t>LD9000008</t>
  </si>
  <si>
    <t>Litige juridique</t>
  </si>
  <si>
    <t>Litige juridique (TypeSafe)</t>
  </si>
  <si>
    <t>MARKOV · Markov mensuel Consumer (MLE sur 17 transitions) · N = 38 478 · Historique = 18 mois · Confiance = faible | EXPERT ×1.40 Litige juridique (TypeSafe)</t>
  </si>
  <si>
    <t>LD9000012</t>
  </si>
  <si>
    <t>Aucun motif</t>
  </si>
  <si>
    <t>Commentaire incohérent (TypeSafe)</t>
  </si>
  <si>
    <t>commentaire incohérent avec les jours d'impayés</t>
  </si>
  <si>
    <t>MARKOV · Markov mensuel Consumer (MLE sur 17 transitions) · N = 38 478 · Historique = 18 mois · Confiance = faible | EXPERT ×1.30 Commentaire incohérent (TypeSafe)</t>
  </si>
  <si>
    <t>LD9000011</t>
  </si>
  <si>
    <t>SENEGAL LOGISTIQUE ET TRANSIT SA</t>
  </si>
  <si>
    <t>—</t>
  </si>
  <si>
    <t>MARKOV</t>
  </si>
  <si>
    <t>MARKOV · Markov mensuel Commercial (MLE sur 17 transitions) · N = 16 337 · Historique = 18 mois · Confiance = faible</t>
  </si>
  <si>
    <t>LD9000005</t>
  </si>
  <si>
    <t>Perte durable de revenus (TypeSafe), Promesse après la bascule (code)</t>
  </si>
  <si>
    <t>MARKOV · Markov mensuel Corporate (MLE sur 17 transitions) · N = 6 689 · Historique = 18 mois · Confiance = faible | EXPERT ×1.60 Perte durable de revenus (TypeSafe) | EXPERT ×1.30 Promesse après la bascule (code)</t>
  </si>
  <si>
    <t>LD9000009</t>
  </si>
  <si>
    <t>Santé / décès</t>
  </si>
  <si>
    <t>statut incertain (0.40)</t>
  </si>
  <si>
    <t>MARKOV · Markov mensuel Consumer (MLE sur 17 transitions) · N = 38 478 · Historique = 18 mois · Confiance = faible</t>
  </si>
  <si>
    <t>LD9000017</t>
  </si>
  <si>
    <t>LD9000029</t>
  </si>
  <si>
    <t>QUINCAILLERIE MODERNE DE PIKINE</t>
  </si>
  <si>
    <t>31-60j</t>
  </si>
  <si>
    <t>MARKOV · Markov mensuel Commercial (MLE sur 17 transitions) · N = 16 337 · Historique = 18 mois · Confiance = faible | EXPERT ×1.60 Perte durable de revenus (TypeSafe)</t>
  </si>
  <si>
    <t>LD9000007</t>
  </si>
  <si>
    <t>DIALLO AMADOU</t>
  </si>
  <si>
    <t>nature de l'entité incertaine (0.45)</t>
  </si>
  <si>
    <t>MARKOV · Markov mensuel Corporate (MLE sur 17 transitions) · N = 6 689 · Historique = 18 mois · Confiance = faible</t>
  </si>
  <si>
    <t>LD9000004</t>
  </si>
  <si>
    <t>AGENCE DE DEVELOPPEMENT DES PORTS FLUVIAUX</t>
  </si>
  <si>
    <t>Régularisation annoncée</t>
  </si>
  <si>
    <t>MARKOV · Markov mensuel Commercial (MLE sur 17 transitions) · N = 16 337 · Historique = 18 mois · Confiance = faible | EXPERT ×1.30 Commentaire incohérent (TypeSafe)</t>
  </si>
  <si>
    <t>LD9000010</t>
  </si>
  <si>
    <t>BOULANGERIE DU PLATEAU SARL</t>
  </si>
  <si>
    <t>Tension de trésorerie</t>
  </si>
  <si>
    <t>Promesse après la bascule (code)</t>
  </si>
  <si>
    <t>MARKOV · Markov mensuel Commercial (MLE sur 17 transitions) · N = 16 337 · Historique = 18 mois · Confiance = faible | EXPERT ×1.30 Promesse après la bascule (code)</t>
  </si>
  <si>
    <t>LD9000028</t>
  </si>
  <si>
    <t>CAISSE DE SECURITE SOCIALE DU PERSONNEL MUNICIPAL</t>
  </si>
  <si>
    <t>LD9000020</t>
  </si>
  <si>
    <t>CENTRE HOSPITALIER REGIONAL DE KOLDA</t>
  </si>
  <si>
    <t>LD9000023</t>
  </si>
  <si>
    <t>SECK ADAMA</t>
  </si>
  <si>
    <t>MARKOV · Markov mensuel Consumer (MLE sur 17 transitions) · N = 38 478 · Historique = 18 mois · Confiance = faible | EXPERT ×1.30 Promesse après la bascule (code)</t>
  </si>
  <si>
    <t>LD9000021</t>
  </si>
  <si>
    <t>GUEYE CHEIKH</t>
  </si>
  <si>
    <t>MARKOV · Markov mensuel Consumer (MLE sur 17 transitions) · N = 38 478 · Historique = 18 mois · Confiance = faible | EXPERT ×1.20 Aucun retour gestionnaire (code)</t>
  </si>
  <si>
    <t>LD9000014</t>
  </si>
  <si>
    <t>OFFICE NATIONAL DES SEMENCES</t>
  </si>
  <si>
    <t>statut incertain (0.50)</t>
  </si>
  <si>
    <t>LD9000015</t>
  </si>
  <si>
    <t>GIE DES MARAICHERS DE NIAYES</t>
  </si>
  <si>
    <t>crédibilité incertaine (0.21)</t>
  </si>
  <si>
    <t>LD9000019</t>
  </si>
  <si>
    <t>SOCIETE DE TRANSPORT URBAIN DE THIES</t>
  </si>
  <si>
    <t>motif incertain (0.34)</t>
  </si>
  <si>
    <t>LD9000006</t>
  </si>
  <si>
    <t>EBI SA PARIS</t>
  </si>
  <si>
    <t>MARKOV · Markov mensuel Corporate (MLE sur 17 transitions) · N = 6 689 · Historique = 18 mois · Confiance = faible | EXPERT ×1.60 Perte durable de revenus (TypeSafe)</t>
  </si>
  <si>
    <t>LD9000001</t>
  </si>
  <si>
    <t>SOCIETE NATIONALE DES EAUX DU KAYOR</t>
  </si>
  <si>
    <t>Retard technique</t>
  </si>
  <si>
    <t>Promesse crédible avant bascule (TypeSafe + code), Incident technique (TypeSafe)</t>
  </si>
  <si>
    <t>MARKOV · Markov mensuel Corporate (MLE sur 17 transitions) · N = 6 689 · Historique = 18 mois · Confiance = faible | EXPERT ×0.75 Promesse crédible avant bascule (TypeSafe + code) | EXPERT ×0.70 Incident technique (TypeSafe)</t>
  </si>
  <si>
    <t>LD9000025</t>
  </si>
  <si>
    <t>AGRO-INDUSTRIES DU SALOUM SA</t>
  </si>
  <si>
    <t>LD9000026</t>
  </si>
  <si>
    <t>FAYE OUMAR</t>
  </si>
  <si>
    <t>Promesse crédible avant bascule (TypeSafe + code)</t>
  </si>
  <si>
    <t>statut incertain (0.54)</t>
  </si>
  <si>
    <t>MARKOV · Markov mensuel Consumer (MLE sur 17 transitions) · N = 38 478 · Historique = 18 mois · Confiance = faible | EXPERT ×0.75 Promesse crédible avant bascule (TypeSafe + code)</t>
  </si>
  <si>
    <t>LD9000016</t>
  </si>
  <si>
    <t>FALL IBRAHIMA</t>
  </si>
  <si>
    <t>MARKOV · Markov mensuel Consumer (MLE sur 17 transitions) · N = 38 478 · Historique = 18 mois · Confiance = faible | EXPERT ×0.75 Promesse crédible avant bascule (TypeSafe + code) | EXPERT ×0.70 Incident technique (TypeSafe)</t>
  </si>
  <si>
    <t>LD9000003</t>
  </si>
  <si>
    <t>COMMUNE DE TAMBA-NORD</t>
  </si>
  <si>
    <t>MARKOV · Markov mensuel Public Sector (MLE sur 17 transitions)  lignes 61-90j rétrécies vers le portefeuille · N = 2 631 · Historique = 18 mois · Confiance = faible | EXPERT ×2.00 Client injoignable (TypeSafe)</t>
  </si>
  <si>
    <t>LD9000018</t>
  </si>
  <si>
    <t>HOTEL TERANGA BLEU SA</t>
  </si>
  <si>
    <t>Incident technique (TypeSafe)</t>
  </si>
  <si>
    <t>MARKOV · Markov mensuel Corporate (MLE sur 17 transitions) · N = 6 689 · Historique = 18 mois · Confiance = faible | EXPERT ×0.70 Incident technique (TypeSafe)</t>
  </si>
  <si>
    <t>LD9000024</t>
  </si>
  <si>
    <t>ECOBANK TOGO</t>
  </si>
  <si>
    <t>LD9000002</t>
  </si>
  <si>
    <t>MINISTERE DE L'HYDRAULIQUE ET DE L'ASSAINISSEMENT</t>
  </si>
  <si>
    <t>MARKOV · Markov mensuel Public Sector (MLE sur 17 transitions)  lignes 61-90j rétrécies vers le portefeuille · N = 2 631 · Historique = 18 mois · Confiance = faible | EXPERT ×0.75 Promesse crédible avant bascule (TypeSafe + code)</t>
  </si>
  <si>
    <t>JEV · NIVEAU 3 — PORTEFEUILLE ET TRAJECTOIRES</t>
  </si>
  <si>
    <t>Distribution des états projetée (MARKOV) ; décomposition de la PD de chaque dossier (pourquoi elle évolue).</t>
  </si>
  <si>
    <t>Projection des encours sains (part par état)</t>
  </si>
  <si>
    <t>Sain</t>
  </si>
  <si>
    <t>Douteux</t>
  </si>
  <si>
    <t>Pourquoi la PD 12M évolue — décomposition par dossier (code)</t>
  </si>
  <si>
    <t>Dossier / composante</t>
  </si>
  <si>
    <t>Contribution</t>
  </si>
  <si>
    <t>PD 12M finale</t>
  </si>
  <si>
    <t>LD9000027 · KANE KHADY</t>
  </si>
  <si>
    <t xml:space="preserve">   PD 12M à l'état du mois précédent (31-60j)</t>
  </si>
  <si>
    <t xml:space="preserve">   Effet migration 31-60j → 61-90j</t>
  </si>
  <si>
    <t xml:space="preserve">   Client injoignable (TypeSafe)</t>
  </si>
  <si>
    <t>LD9000013 · SOCIETE AFRICAINE DE CIMENT DU</t>
  </si>
  <si>
    <t xml:space="preserve">   Signal de fraude (TypeSafe)</t>
  </si>
  <si>
    <t>LD9000030 · MBAYE ALIOUNE</t>
  </si>
  <si>
    <t xml:space="preserve">   Perte durable de revenus (TypeSafe)</t>
  </si>
  <si>
    <t>LD9000022 · IMPRIMERIE DU FLEUVE SUARL</t>
  </si>
  <si>
    <t xml:space="preserve">   Aucun retour gestionnaire (code)</t>
  </si>
  <si>
    <t>LD9000008 · NDIAYE FATOU</t>
  </si>
  <si>
    <t xml:space="preserve">   Litige juridique (TypeSafe)</t>
  </si>
  <si>
    <t>LD9000012 · CISSE AWA</t>
  </si>
  <si>
    <t xml:space="preserve">   Commentaire incohérent (TypeSafe)</t>
  </si>
  <si>
    <t xml:space="preserve">LD9000011 · SENEGAL LOGISTIQUE ET TRANSIT </t>
  </si>
  <si>
    <t>LD9000005 · ECOBANK FOUNDATION SENEGAL</t>
  </si>
  <si>
    <t xml:space="preserve">   Promesse après la bascule (code)</t>
  </si>
  <si>
    <t>LD9000009 · SOW MOUSTAPHA</t>
  </si>
  <si>
    <t>LD9000017 · BA MARIAMA</t>
  </si>
  <si>
    <t>LD9000029 · QUINCAILLERIE MODERNE DE PIKIN</t>
  </si>
  <si>
    <t xml:space="preserve">   PD 12M à l'état du mois précédent (Sain)</t>
  </si>
  <si>
    <t xml:space="preserve">   Effet migration Sain → 31-60j</t>
  </si>
  <si>
    <t>LD9000007 · DIALLO AMADOU</t>
  </si>
  <si>
    <t>LD9000004 · AGENCE DE DEVELOPPEMENT DES PO</t>
  </si>
  <si>
    <t>LD9000010 · BOULANGERIE DU PLATEAU SARL</t>
  </si>
  <si>
    <t xml:space="preserve">LD9000028 · CAISSE DE SECURITE SOCIALE DU </t>
  </si>
  <si>
    <t>LD9000020 · CENTRE HOSPITALIER REGIONAL DE</t>
  </si>
  <si>
    <t>LD9000023 · SECK ADAMA</t>
  </si>
  <si>
    <t>LD9000021 · GUEYE CHEIKH</t>
  </si>
  <si>
    <t>LD9000014 · OFFICE NATIONAL DES SEMENCES</t>
  </si>
  <si>
    <t>LD9000015 · GIE DES MARAICHERS DE NIAYES</t>
  </si>
  <si>
    <t>LD9000019 · SOCIETE DE TRANSPORT URBAIN DE</t>
  </si>
  <si>
    <t>LD9000006 · EBI SA PARIS</t>
  </si>
  <si>
    <t xml:space="preserve">LD9000001 · SOCIETE NATIONALE DES EAUX DU </t>
  </si>
  <si>
    <t xml:space="preserve">   Promesse crédible avant bascule (TypeSafe + code)</t>
  </si>
  <si>
    <t xml:space="preserve">   Incident technique (TypeSafe)</t>
  </si>
  <si>
    <t>LD9000025 · AGRO-INDUSTRIES DU SALOUM SA</t>
  </si>
  <si>
    <t>LD9000026 · FAYE OUMAR</t>
  </si>
  <si>
    <t>LD9000016 · FALL IBRAHIMA</t>
  </si>
  <si>
    <t>LD9000003 · COMMUNE DE TAMBA-NORD</t>
  </si>
  <si>
    <t>LD9000018 · HOTEL TERANGA BLEU SA</t>
  </si>
  <si>
    <t>LD9000024 · ECOBANK TOGO</t>
  </si>
  <si>
    <t xml:space="preserve">LD9000002 · MINISTERE DE L'HYDRAULIQUE ET </t>
  </si>
  <si>
    <t>JEV · NIVEAU 2 — SEGMENTS</t>
  </si>
  <si>
    <t>Deux estimateurs indépendants (MARKOV et EMPIRICAL) affichés côte à côte ; l'écart mesure l'incertitude de modèle.</t>
  </si>
  <si>
    <t>N transitions</t>
  </si>
  <si>
    <t>PD 3M Markov</t>
  </si>
  <si>
    <t>PD 6M Markov</t>
  </si>
  <si>
    <t>PD 12M Markov</t>
  </si>
  <si>
    <t>PD 12M empirique</t>
  </si>
  <si>
    <t>IC 95 % bas</t>
  </si>
  <si>
    <t>IC 95 % haut</t>
  </si>
  <si>
    <t>N cohortes</t>
  </si>
  <si>
    <t>Qualité</t>
  </si>
  <si>
    <t>Lignes rétrécies</t>
  </si>
  <si>
    <t>Avertissement</t>
  </si>
  <si>
    <t>Insuffisante</t>
  </si>
  <si>
    <t>Estimation indicative — historique insuffisant pour une calibration statistique robuste.</t>
  </si>
  <si>
    <t>JEV · NIVEAU 4 — SCÉNARIOS ET STRESS</t>
  </si>
  <si>
    <t>Les facteurs de stress multiplient les probabilités de dégradation : hypothèses d'expert, pas des prévisions.</t>
  </si>
  <si>
    <t>Scénario</t>
  </si>
  <si>
    <t>Facteur (EXPERT)</t>
  </si>
  <si>
    <t>PD 12M sains</t>
  </si>
  <si>
    <t>Prove-nance PD</t>
  </si>
  <si>
    <t>Entrées douteux 12M moy. (XOF)</t>
  </si>
  <si>
    <t>P50 (XOF)</t>
  </si>
  <si>
    <t>P95 (XOF)</t>
  </si>
  <si>
    <t>P99 (XOF)</t>
  </si>
  <si>
    <t>Provenance montants</t>
  </si>
  <si>
    <t>SIMULATED · Monte Carlo 2000 tirages · N = 4281 lignes</t>
  </si>
  <si>
    <t>Modéré (×1,5 dégradations)</t>
  </si>
  <si>
    <t>STRESS</t>
  </si>
  <si>
    <t>Sévère (×2,0 dégradations)</t>
  </si>
  <si>
    <t>JEV · MATRICES DE TRANSITION MENSUELLES CALIBRÉES</t>
  </si>
  <si>
    <t>MLE sur 17 transitions mensuelles ; calibration au 2026-09-30.</t>
  </si>
  <si>
    <t>Portefeuille · MARKOV · N = 64 135 transitions</t>
  </si>
  <si>
    <t>De \ Vers</t>
  </si>
  <si>
    <t>Consumer · MARKOV · N = 38 478 transitions</t>
  </si>
  <si>
    <t>Commercial · MARKOV · N = 16 337 transitions</t>
  </si>
  <si>
    <t>Corporate · MARKOV · N = 6 689 transitions</t>
  </si>
  <si>
    <t>Public Sector · MARKOV · N = 2 631 transitions</t>
  </si>
  <si>
    <t>JEV · PROVENANCE, LIMITES ET MÉTHODE</t>
  </si>
  <si>
    <t>Aucune probabilité n'est affichée sans sa provenance ; aucune limitation n'est masquée.</t>
  </si>
  <si>
    <t>Code</t>
  </si>
  <si>
    <t>Signification</t>
  </si>
  <si>
    <t>OBSERVED</t>
  </si>
  <si>
    <t>Constat sur l'arrêté : état, jours d'impayés, montants.</t>
  </si>
  <si>
    <t>EMPIRICAL</t>
  </si>
  <si>
    <t>Fréquence observée sur cohortes historiques, avec intervalle de Wilson à 95 %.</t>
  </si>
  <si>
    <t>Matrice de transition mensuelle estimée (MLE) et élevée à la puissance de l'horizon.</t>
  </si>
  <si>
    <t>MODELLED</t>
  </si>
  <si>
    <t>Modèle statistique ajusté (score, régression). Non utilisé ici : historique insuffisant.</t>
  </si>
  <si>
    <t>EXPERT</t>
  </si>
  <si>
    <t>Paramètre fixé à dire d'expert (multiplicateurs EWS, facteurs de stress) : non calibré.</t>
  </si>
  <si>
    <t>Probabilité sous matrice stressée : hypothèse de scénario, pas une prévision.</t>
  </si>
  <si>
    <t>SIMULATED</t>
  </si>
  <si>
    <t>Distribution obtenue par Monte Carlo à partir des probabilités MARKOV/STRESS.</t>
  </si>
  <si>
    <t>Combinaison : Markov + EWS (signaux TypeSafe et code) + multiplicateurs d'expert. Confiance plafonnée.</t>
  </si>
  <si>
    <t>Robuste : ≥ 60 mois et N ≥ 1 000 · Partielle : ≥ 24 mois · Insuffisante en dessous. Sous 60 mois : « Estimation indicative — historique insuffisant pour une calibration statistique robuste. »</t>
  </si>
  <si>
    <t>TypeSafe</t>
  </si>
  <si>
    <t>Les jugements (motif, crédibilité, incohérence, promesse) viennent de jev-latest via la couche Impayés ; ils ne produisent aucun chiffre. Le code les convertit en signaux EWS.</t>
  </si>
  <si>
    <t>Réglementaire</t>
  </si>
  <si>
    <t>Classes BCEAO, stages IFRS9 et moteur ACTE7 restent dans le code d'APEX : JEV ne les modifie pas, il projette leur évolution.</t>
  </si>
  <si>
    <t>Données</t>
  </si>
  <si>
    <t>Démonstration : historique synthétique anonymisé de 18 mois (4 281 contreparties). En production : archive des arrêtés APEX (arList/arGet).</t>
  </si>
  <si>
    <t>Objet</t>
  </si>
  <si>
    <t>Provenance complète</t>
  </si>
  <si>
    <t>PD 12M ptf</t>
  </si>
  <si>
    <t>{"source": "MARKOV", "methode": "Markov mensuel portefeuille", "n": 64135, "periodes": 18, "calibration": "2026-09-30", "horizon": 12, "confiance": "faible", "qualite": "Insuffisante", "avertissement": "Estimation indicative — historique insuffisant pour une calibration statistique robuste."}</t>
  </si>
  <si>
    <t>{"source": "EMPIRICAL", "methode": "Cohortes Sain → Douteux à 12 mois (6 cohortes, IC Wilson 95 %)", "n": 22722, "periodes": 18, "calibration": "2026-09-30", "horizon": 12, "confiance": "faible", "qualite": "Insuffisante", "avertissement": "Estimation indicative — historique insuffisant pour une calibration statistique robuste."}</t>
  </si>
  <si>
    <t>{"source": "MARKOV", "methode": "Markov mensuel Consumer (MLE sur 17 transitions)", "n": 38478, "periodes": 18, "calibration": "2026-09-30", "horizon": 12, "confiance": "faible", "qualite": "Insuffisante", "avertissement": "Estimation indicative — historique insuffisant pour une calibration statistique robuste."}</t>
  </si>
  <si>
    <t>{"source": "MARKOV", "methode": "Markov mensuel Commercial (MLE sur 17 transitions)", "n": 16337, "periodes": 18, "calibration": "2026-09-30", "horizon": 12, "confiance": "faible", "qualite": "Insuffisante", "avertissement": "Estimation indicative — historique insuffisant pour une calibration statistique robuste."}</t>
  </si>
  <si>
    <t>{"source": "MARKOV", "methode": "Markov mensuel Corporate (MLE sur 17 transitions)", "n": 6689, "periodes": 18, "calibration": "2026-09-30", "horizon": 12, "confiance": "faible", "qualite": "Insuffisante", "avertissement": "Estimation indicative — historique insuffisant pour une calibration statistique robuste."}</t>
  </si>
  <si>
    <t>{"source": "MARKOV", "methode": "Markov mensuel Public Sector (MLE sur 17 transitions), lignes 61-90j rétrécies vers le portefeuille", "n": 2631, "periodes": 18, "calibration": "2026-09-30", "horizon": 12, "confiance": "faible", "qualite": "Insuffisante", "avertissement": "Estimation indicative — historique insuffisant pour une calibration statistique robuste."}</t>
  </si>
</sst>
</file>

<file path=xl/styles.xml><?xml version="1.0" encoding="utf-8"?>
<styleSheet xmlns="http://schemas.openxmlformats.org/spreadsheetml/2006/main">
  <numFmts count="2">
    <numFmt numFmtId="164" formatCode="# ##0"/>
    <numFmt numFmtId="165" formatCode="0.0%"/>
  </numFmts>
  <fonts count="13">
    <font>
      <sz val="11"/>
      <color theme="1"/>
      <name val="Calibri"/>
      <family val="2"/>
      <scheme val="minor"/>
    </font>
    <font>
      <b/>
      <sz val="16"/>
      <color rgb="FFFFFFFF"/>
      <name val="Segoe UI"/>
      <family val="2"/>
    </font>
    <font>
      <i/>
      <sz val="9"/>
      <color rgb="FFDCEAF1"/>
      <name val="Segoe UI"/>
      <family val="2"/>
    </font>
    <font>
      <b/>
      <sz val="9"/>
      <color rgb="FF00415E"/>
      <name val="Segoe UI"/>
      <family val="2"/>
    </font>
    <font>
      <b/>
      <sz val="9"/>
      <color rgb="FFFFFFFF"/>
      <name val="Segoe UI"/>
      <family val="2"/>
    </font>
    <font>
      <b/>
      <sz val="9"/>
      <color rgb="FFB67D1C"/>
      <name val="Segoe UI"/>
      <family val="2"/>
    </font>
    <font>
      <b/>
      <sz val="8"/>
      <color rgb="FF3E5C6B"/>
      <name val="Segoe UI"/>
      <family val="2"/>
    </font>
    <font>
      <b/>
      <sz val="18"/>
      <color rgb="FF00415E"/>
      <name val="Segoe UI"/>
      <family val="2"/>
    </font>
    <font>
      <i/>
      <sz val="8"/>
      <color rgb="FF3E5C6B"/>
      <name val="Consolas"/>
      <family val="2"/>
    </font>
    <font>
      <b/>
      <sz val="12"/>
      <color rgb="FF00415E"/>
      <name val="Segoe UI"/>
      <family val="2"/>
    </font>
    <font>
      <sz val="9"/>
      <color rgb="FF12333F"/>
      <name val="Segoe UI"/>
      <family val="2"/>
    </font>
    <font>
      <sz val="9"/>
      <color theme="1"/>
      <name val="Segoe UI"/>
      <family val="2"/>
    </font>
    <font>
      <sz val="9"/>
      <color rgb="FF12333F"/>
      <name val="Consolas"/>
      <family val="2"/>
    </font>
  </fonts>
  <fills count="7">
    <fill>
      <patternFill patternType="none"/>
    </fill>
    <fill>
      <patternFill patternType="gray125"/>
    </fill>
    <fill>
      <patternFill patternType="solid">
        <fgColor rgb="FF00415E"/>
        <bgColor indexed="64"/>
      </patternFill>
    </fill>
    <fill>
      <patternFill patternType="solid">
        <fgColor rgb="FF8CC63F"/>
        <bgColor indexed="64"/>
      </patternFill>
    </fill>
    <fill>
      <patternFill patternType="solid">
        <fgColor rgb="FF1A86B3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EF4F7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B67D1C"/>
      </left>
      <right/>
      <top/>
      <bottom/>
      <diagonal/>
    </border>
    <border>
      <left style="thick">
        <color rgb="FF8CC63F"/>
      </left>
      <right/>
      <top/>
      <bottom/>
      <diagonal/>
    </border>
    <border>
      <left/>
      <right/>
      <top/>
      <bottom style="medium">
        <color rgb="FF8CC63F"/>
      </bottom>
      <diagonal/>
    </border>
    <border>
      <left/>
      <right/>
      <top/>
      <bottom style="medium">
        <color rgb="FFCFE0E7"/>
      </bottom>
      <diagonal/>
    </border>
    <border>
      <left style="thin">
        <color rgb="FFCFE0E7"/>
      </left>
      <right style="thin">
        <color rgb="FFCFE0E7"/>
      </right>
      <top style="thin">
        <color rgb="FFCFE0E7"/>
      </top>
      <bottom style="thin">
        <color rgb="FFCFE0E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0" fillId="3" borderId="0" xfId="0" applyFill="1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vertical="center" wrapText="1"/>
    </xf>
    <xf numFmtId="0" fontId="6" fillId="6" borderId="3" xfId="0" applyFont="1" applyFill="1" applyBorder="1" applyAlignment="1">
      <alignment vertical="center" wrapText="1"/>
    </xf>
    <xf numFmtId="164" fontId="7" fillId="6" borderId="3" xfId="0" applyNumberFormat="1" applyFont="1" applyFill="1" applyBorder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4" xfId="0" applyFont="1" applyBorder="1" applyAlignment="1">
      <alignment vertical="center"/>
    </xf>
    <xf numFmtId="0" fontId="10" fillId="0" borderId="0" xfId="0" applyFont="1" applyAlignment="1">
      <alignment vertical="top" wrapText="1"/>
    </xf>
    <xf numFmtId="0" fontId="4" fillId="2" borderId="5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center"/>
    </xf>
    <xf numFmtId="165" fontId="11" fillId="0" borderId="6" xfId="0" applyNumberFormat="1" applyFont="1" applyBorder="1" applyAlignment="1">
      <alignment horizontal="center" vertical="center"/>
    </xf>
    <xf numFmtId="164" fontId="12" fillId="0" borderId="6" xfId="0" applyNumberFormat="1" applyFont="1" applyBorder="1" applyAlignment="1">
      <alignment vertical="center"/>
    </xf>
  </cellXfs>
  <cellStyles count="1">
    <cellStyle name="Normal" xfId="0" builtinId="0"/>
  </cellStyles>
  <dxfs count="6">
    <dxf>
      <font>
        <color rgb="FF12333F"/>
      </font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font>
        <color rgb="FF12333F"/>
      </font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font>
        <color rgb="FF12333F"/>
      </font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numFmt numFmtId="165" formatCode="0.0%"/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  <dxf>
      <fill>
        <patternFill>
          <bgColor rgb="FFFBEFD9"/>
        </patternFill>
      </fill>
    </dxf>
    <dxf>
      <font>
        <color rgb="FF12333F"/>
      </font>
      <numFmt numFmtId="164" formatCode="# ##0"/>
      <border>
        <left style="thin">
          <color rgb="FFCFE0E7"/>
        </left>
        <right style="thin">
          <color rgb="FFCFE0E7"/>
        </right>
        <top style="thin">
          <color rgb="FFCFE0E7"/>
        </top>
        <bottom style="thin">
          <color rgb="FFCFE0E7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15E"/>
                </a:solidFill>
                <a:latin typeface="Segoe UI"/>
              </a:defRPr>
            </a:pPr>
            <a:r>
              <a:rPr lang="en-US" sz="1100" b="1" baseline="0">
                <a:solidFill>
                  <a:srgbClr val="00415E"/>
                </a:solidFill>
                <a:latin typeface="Segoe UI"/>
              </a:rPr>
              <a:t>Trajectoire PD cumulée — sains (STRESS)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_jev!$B$1</c:f>
              <c:strCache>
                <c:ptCount val="1"/>
                <c:pt idx="0">
                  <c:v>Central</c:v>
                </c:pt>
              </c:strCache>
            </c:strRef>
          </c:tx>
          <c:spPr>
            <a:ln w="28575">
              <a:solidFill>
                <a:srgbClr val="005C83"/>
              </a:solidFill>
            </a:ln>
          </c:spPr>
          <c:marker>
            <c:symbol val="circle"/>
            <c:size val="4"/>
            <c:spPr>
              <a:solidFill>
                <a:srgbClr val="005C83"/>
              </a:solidFill>
              <a:ln>
                <a:solidFill>
                  <a:srgbClr val="005C83"/>
                </a:solidFill>
              </a:ln>
            </c:spPr>
          </c:marker>
          <c:cat>
            <c:strRef>
              <c:f>_jev!$A$2:$A$13</c:f>
              <c:strCache>
                <c:ptCount val="12"/>
                <c:pt idx="0">
                  <c:v>1 m</c:v>
                </c:pt>
                <c:pt idx="1">
                  <c:v>2 m</c:v>
                </c:pt>
                <c:pt idx="2">
                  <c:v>3 m</c:v>
                </c:pt>
                <c:pt idx="3">
                  <c:v>4 m</c:v>
                </c:pt>
                <c:pt idx="4">
                  <c:v>5 m</c:v>
                </c:pt>
                <c:pt idx="5">
                  <c:v>6 m</c:v>
                </c:pt>
                <c:pt idx="6">
                  <c:v>7 m</c:v>
                </c:pt>
                <c:pt idx="7">
                  <c:v>8 m</c:v>
                </c:pt>
                <c:pt idx="8">
                  <c:v>9 m</c:v>
                </c:pt>
                <c:pt idx="9">
                  <c:v>10 m</c:v>
                </c:pt>
                <c:pt idx="10">
                  <c:v>11 m</c:v>
                </c:pt>
                <c:pt idx="11">
                  <c:v>12 m</c:v>
                </c:pt>
              </c:strCache>
            </c:strRef>
          </c:cat>
          <c:val>
            <c:numRef>
              <c:f>_jev!$B$2:$B$13</c:f>
              <c:numCache>
                <c:formatCode>General</c:formatCode>
                <c:ptCount val="12"/>
                <c:pt idx="0">
                  <c:v>0.003336140976729591</c:v>
                </c:pt>
                <c:pt idx="1">
                  <c:v>0.01023938823933893</c:v>
                </c:pt>
                <c:pt idx="2">
                  <c:v>0.01951308669960039</c:v>
                </c:pt>
                <c:pt idx="3">
                  <c:v>0.03000774778719854</c:v>
                </c:pt>
                <c:pt idx="4">
                  <c:v>0.04105092411319828</c:v>
                </c:pt>
                <c:pt idx="5">
                  <c:v>0.05229397216776828</c:v>
                </c:pt>
                <c:pt idx="6">
                  <c:v>0.0635640211853179</c:v>
                </c:pt>
                <c:pt idx="7">
                  <c:v>0.07477719887906101</c:v>
                </c:pt>
                <c:pt idx="8">
                  <c:v>0.08589352204531957</c:v>
                </c:pt>
                <c:pt idx="9">
                  <c:v>0.09689441789692575</c:v>
                </c:pt>
                <c:pt idx="10">
                  <c:v>0.1077717074696349</c:v>
                </c:pt>
                <c:pt idx="11">
                  <c:v>0.1185222432255258</c:v>
                </c:pt>
              </c:numCache>
            </c:numRef>
          </c:val>
        </c:ser>
        <c:ser>
          <c:idx val="1"/>
          <c:order val="1"/>
          <c:tx>
            <c:strRef>
              <c:f>_jev!$C$1</c:f>
              <c:strCache>
                <c:ptCount val="1"/>
                <c:pt idx="0">
                  <c:v>Modéré</c:v>
                </c:pt>
              </c:strCache>
            </c:strRef>
          </c:tx>
          <c:spPr>
            <a:ln w="28575">
              <a:solidFill>
                <a:srgbClr val="B67D1C"/>
              </a:solidFill>
            </a:ln>
          </c:spPr>
          <c:marker>
            <c:symbol val="circle"/>
            <c:size val="4"/>
            <c:spPr>
              <a:solidFill>
                <a:srgbClr val="B67D1C"/>
              </a:solidFill>
              <a:ln>
                <a:solidFill>
                  <a:srgbClr val="B67D1C"/>
                </a:solidFill>
              </a:ln>
            </c:spPr>
          </c:marker>
          <c:cat>
            <c:strRef>
              <c:f>_jev!$A$2:$A$13</c:f>
              <c:strCache>
                <c:ptCount val="12"/>
                <c:pt idx="0">
                  <c:v>1 m</c:v>
                </c:pt>
                <c:pt idx="1">
                  <c:v>2 m</c:v>
                </c:pt>
                <c:pt idx="2">
                  <c:v>3 m</c:v>
                </c:pt>
                <c:pt idx="3">
                  <c:v>4 m</c:v>
                </c:pt>
                <c:pt idx="4">
                  <c:v>5 m</c:v>
                </c:pt>
                <c:pt idx="5">
                  <c:v>6 m</c:v>
                </c:pt>
                <c:pt idx="6">
                  <c:v>7 m</c:v>
                </c:pt>
                <c:pt idx="7">
                  <c:v>8 m</c:v>
                </c:pt>
                <c:pt idx="8">
                  <c:v>9 m</c:v>
                </c:pt>
                <c:pt idx="9">
                  <c:v>10 m</c:v>
                </c:pt>
                <c:pt idx="10">
                  <c:v>11 m</c:v>
                </c:pt>
                <c:pt idx="11">
                  <c:v>12 m</c:v>
                </c:pt>
              </c:strCache>
            </c:strRef>
          </c:cat>
          <c:val>
            <c:numRef>
              <c:f>_jev!$C$2:$C$13</c:f>
              <c:numCache>
                <c:formatCode>General</c:formatCode>
                <c:ptCount val="12"/>
                <c:pt idx="0">
                  <c:v>0.005004211465094386</c:v>
                </c:pt>
                <c:pt idx="1">
                  <c:v>0.0180344120734182</c:v>
                </c:pt>
                <c:pt idx="2">
                  <c:v>0.03692740526652631</c:v>
                </c:pt>
                <c:pt idx="3">
                  <c:v>0.05824108482575034</c:v>
                </c:pt>
                <c:pt idx="4">
                  <c:v>0.08026232066394923</c:v>
                </c:pt>
                <c:pt idx="5">
                  <c:v>0.1022576744406577</c:v>
                </c:pt>
                <c:pt idx="6">
                  <c:v>0.1239287147464838</c:v>
                </c:pt>
                <c:pt idx="7">
                  <c:v>0.1451597014021282</c:v>
                </c:pt>
                <c:pt idx="8">
                  <c:v>0.1659103739888075</c:v>
                </c:pt>
                <c:pt idx="9">
                  <c:v>0.1861714201052724</c:v>
                </c:pt>
                <c:pt idx="10">
                  <c:v>0.2059460985686781</c:v>
                </c:pt>
                <c:pt idx="11">
                  <c:v>0.2252426722271697</c:v>
                </c:pt>
              </c:numCache>
            </c:numRef>
          </c:val>
        </c:ser>
        <c:ser>
          <c:idx val="2"/>
          <c:order val="2"/>
          <c:tx>
            <c:strRef>
              <c:f>_jev!$D$1</c:f>
              <c:strCache>
                <c:ptCount val="1"/>
                <c:pt idx="0">
                  <c:v>Sévère</c:v>
                </c:pt>
              </c:strCache>
            </c:strRef>
          </c:tx>
          <c:spPr>
            <a:ln w="28575">
              <a:solidFill>
                <a:srgbClr val="C0392B"/>
              </a:solidFill>
            </a:ln>
          </c:spPr>
          <c:marker>
            <c:symbol val="circle"/>
            <c:size val="4"/>
            <c:spPr>
              <a:solidFill>
                <a:srgbClr val="C0392B"/>
              </a:solidFill>
              <a:ln>
                <a:solidFill>
                  <a:srgbClr val="C0392B"/>
                </a:solidFill>
              </a:ln>
            </c:spPr>
          </c:marker>
          <c:cat>
            <c:strRef>
              <c:f>_jev!$A$2:$A$13</c:f>
              <c:strCache>
                <c:ptCount val="12"/>
                <c:pt idx="0">
                  <c:v>1 m</c:v>
                </c:pt>
                <c:pt idx="1">
                  <c:v>2 m</c:v>
                </c:pt>
                <c:pt idx="2">
                  <c:v>3 m</c:v>
                </c:pt>
                <c:pt idx="3">
                  <c:v>4 m</c:v>
                </c:pt>
                <c:pt idx="4">
                  <c:v>5 m</c:v>
                </c:pt>
                <c:pt idx="5">
                  <c:v>6 m</c:v>
                </c:pt>
                <c:pt idx="6">
                  <c:v>7 m</c:v>
                </c:pt>
                <c:pt idx="7">
                  <c:v>8 m</c:v>
                </c:pt>
                <c:pt idx="8">
                  <c:v>9 m</c:v>
                </c:pt>
                <c:pt idx="9">
                  <c:v>10 m</c:v>
                </c:pt>
                <c:pt idx="10">
                  <c:v>11 m</c:v>
                </c:pt>
                <c:pt idx="11">
                  <c:v>12 m</c:v>
                </c:pt>
              </c:strCache>
            </c:strRef>
          </c:cat>
          <c:val>
            <c:numRef>
              <c:f>_jev!$D$2:$D$13</c:f>
              <c:numCache>
                <c:formatCode>General</c:formatCode>
                <c:ptCount val="12"/>
                <c:pt idx="0">
                  <c:v>0.006672281953459182</c:v>
                </c:pt>
                <c:pt idx="1">
                  <c:v>0.02761298905043735</c:v>
                </c:pt>
                <c:pt idx="2">
                  <c:v>0.05991737610270671</c:v>
                </c:pt>
                <c:pt idx="3">
                  <c:v>0.0952755538563777</c:v>
                </c:pt>
                <c:pt idx="4">
                  <c:v>0.1306520413346202</c:v>
                </c:pt>
                <c:pt idx="5">
                  <c:v>0.165082386587221</c:v>
                </c:pt>
                <c:pt idx="6">
                  <c:v>0.1982908200014535</c:v>
                </c:pt>
                <c:pt idx="7">
                  <c:v>0.2302243429861691</c:v>
                </c:pt>
                <c:pt idx="8">
                  <c:v>0.2609007916688164</c:v>
                </c:pt>
                <c:pt idx="9">
                  <c:v>0.2903595785691664</c:v>
                </c:pt>
                <c:pt idx="10">
                  <c:v>0.3186457725549069</c:v>
                </c:pt>
                <c:pt idx="11">
                  <c:v>0.3458049896687106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>
          <c:spPr>
            <a:ln>
              <a:solidFill>
                <a:srgbClr val="EEF4F7"/>
              </a:solidFill>
            </a:ln>
          </c:spPr>
        </c:majorGridlines>
        <c:numFmt formatCode="0%" sourceLinked="0"/>
        <c:tickLblPos val="nextTo"/>
        <c:crossAx val="5001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E0E7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15E"/>
                </a:solidFill>
                <a:latin typeface="Segoe UI"/>
              </a:defRPr>
            </a:pPr>
            <a:r>
              <a:rPr lang="en-US" sz="1100" b="1" baseline="0">
                <a:solidFill>
                  <a:srgbClr val="00415E"/>
                </a:solidFill>
                <a:latin typeface="Segoe UI"/>
              </a:rPr>
              <a:t>PD 12M par segment : Markov vs empirique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_jev!$F$1</c:f>
              <c:strCache>
                <c:ptCount val="1"/>
                <c:pt idx="0">
                  <c:v>Markov 12M</c:v>
                </c:pt>
              </c:strCache>
            </c:strRef>
          </c:tx>
          <c:spPr>
            <a:solidFill>
              <a:srgbClr val="005C83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_jev!$E$2:$E$5</c:f>
              <c:strCache>
                <c:ptCount val="4"/>
                <c:pt idx="0">
                  <c:v>Consumer</c:v>
                </c:pt>
                <c:pt idx="1">
                  <c:v>Commercial</c:v>
                </c:pt>
                <c:pt idx="2">
                  <c:v>Corporate</c:v>
                </c:pt>
                <c:pt idx="3">
                  <c:v>Public Sector</c:v>
                </c:pt>
              </c:strCache>
            </c:strRef>
          </c:cat>
          <c:val>
            <c:numRef>
              <c:f>_jev!$F$2:$F$5</c:f>
              <c:numCache>
                <c:formatCode>General</c:formatCode>
                <c:ptCount val="4"/>
                <c:pt idx="0">
                  <c:v>0.1361948349147899</c:v>
                </c:pt>
                <c:pt idx="1">
                  <c:v>0.1199748678360338</c:v>
                </c:pt>
                <c:pt idx="2">
                  <c:v>0.04627981914257438</c:v>
                </c:pt>
                <c:pt idx="3">
                  <c:v>0.0305385165990613</c:v>
                </c:pt>
              </c:numCache>
            </c:numRef>
          </c:val>
        </c:ser>
        <c:ser>
          <c:idx val="1"/>
          <c:order val="1"/>
          <c:tx>
            <c:strRef>
              <c:f>_jev!$G$1</c:f>
              <c:strCache>
                <c:ptCount val="1"/>
                <c:pt idx="0">
                  <c:v>Empirique 12M</c:v>
                </c:pt>
              </c:strCache>
            </c:strRef>
          </c:tx>
          <c:spPr>
            <a:solidFill>
              <a:srgbClr val="8CC63F"/>
            </a:solidFill>
          </c:spPr>
          <c:dLbls>
            <c:numFmt formatCode="0.0%" sourceLinked="0"/>
            <c:txPr>
              <a:bodyPr/>
              <a:lstStyle/>
              <a:p>
                <a:pPr>
                  <a:defRPr sz="800" baseline="0"/>
                </a:pPr>
                <a:endParaRPr lang="en-US"/>
              </a:p>
            </c:txPr>
            <c:showVal val="1"/>
          </c:dLbls>
          <c:cat>
            <c:strRef>
              <c:f>_jev!$E$2:$E$5</c:f>
              <c:strCache>
                <c:ptCount val="4"/>
                <c:pt idx="0">
                  <c:v>Consumer</c:v>
                </c:pt>
                <c:pt idx="1">
                  <c:v>Commercial</c:v>
                </c:pt>
                <c:pt idx="2">
                  <c:v>Corporate</c:v>
                </c:pt>
                <c:pt idx="3">
                  <c:v>Public Sector</c:v>
                </c:pt>
              </c:strCache>
            </c:strRef>
          </c:cat>
          <c:val>
            <c:numRef>
              <c:f>_jev!$G$2:$G$5</c:f>
              <c:numCache>
                <c:formatCode>General</c:formatCode>
                <c:ptCount val="4"/>
                <c:pt idx="0">
                  <c:v>0.136970230239038</c:v>
                </c:pt>
                <c:pt idx="1">
                  <c:v>0.1221269296740995</c:v>
                </c:pt>
                <c:pt idx="2">
                  <c:v>0.05182012847965739</c:v>
                </c:pt>
                <c:pt idx="3">
                  <c:v>0.03590859630032645</c:v>
                </c:pt>
              </c:numCache>
            </c:numRef>
          </c:val>
        </c:ser>
        <c:gapWidth val="80"/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EF4F7"/>
              </a:solidFill>
            </a:ln>
          </c:spPr>
        </c:majorGridlines>
        <c:numFmt formatCode="0%" sourceLinked="0"/>
        <c:tickLblPos val="nextTo"/>
        <c:crossAx val="5002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E0E7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="1" baseline="0">
                <a:solidFill>
                  <a:srgbClr val="00415E"/>
                </a:solidFill>
                <a:latin typeface="Segoe UI"/>
              </a:defRPr>
            </a:pPr>
            <a:r>
              <a:rPr lang="en-US" sz="1100" b="1" baseline="0">
                <a:solidFill>
                  <a:srgbClr val="00415E"/>
                </a:solidFill>
                <a:latin typeface="Segoe UI"/>
              </a:rPr>
              <a:t>Top 10 PD 12M : base Markov + surcouche EWS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strRef>
              <c:f>_jev!$J$1</c:f>
              <c:strCache>
                <c:ptCount val="1"/>
                <c:pt idx="0">
                  <c:v>Base Markov</c:v>
                </c:pt>
              </c:strCache>
            </c:strRef>
          </c:tx>
          <c:spPr>
            <a:solidFill>
              <a:srgbClr val="1A86B3"/>
            </a:solidFill>
          </c:spPr>
          <c:cat>
            <c:strRef>
              <c:f>_jev!$I$2:$I$11</c:f>
              <c:strCache>
                <c:ptCount val="10"/>
                <c:pt idx="0">
                  <c:v>KANE KHADY</c:v>
                </c:pt>
                <c:pt idx="1">
                  <c:v>SOCIETE AFRICAINE DE CIMENT </c:v>
                </c:pt>
                <c:pt idx="2">
                  <c:v>MBAYE ALIOUNE</c:v>
                </c:pt>
                <c:pt idx="3">
                  <c:v>IMPRIMERIE DU FLEUVE SUARL</c:v>
                </c:pt>
                <c:pt idx="4">
                  <c:v>NDIAYE FATOU</c:v>
                </c:pt>
                <c:pt idx="5">
                  <c:v>CISSE AWA</c:v>
                </c:pt>
                <c:pt idx="6">
                  <c:v>SENEGAL LOGISTIQUE ET TRANSI</c:v>
                </c:pt>
                <c:pt idx="7">
                  <c:v>ECOBANK FOUNDATION SENEGAL</c:v>
                </c:pt>
                <c:pt idx="8">
                  <c:v>SOW MOUSTAPHA</c:v>
                </c:pt>
                <c:pt idx="9">
                  <c:v>BA MARIAMA</c:v>
                </c:pt>
              </c:strCache>
            </c:strRef>
          </c:cat>
          <c:val>
            <c:numRef>
              <c:f>_jev!$J$2:$J$11</c:f>
              <c:numCache>
                <c:formatCode>General</c:formatCode>
                <c:ptCount val="10"/>
                <c:pt idx="0">
                  <c:v>0.6938187099288988</c:v>
                </c:pt>
                <c:pt idx="1">
                  <c:v>0.6365657247068505</c:v>
                </c:pt>
                <c:pt idx="2">
                  <c:v>0.6365657247068505</c:v>
                </c:pt>
                <c:pt idx="3">
                  <c:v>0.6938187099288988</c:v>
                </c:pt>
                <c:pt idx="4">
                  <c:v>0.6365657247068505</c:v>
                </c:pt>
                <c:pt idx="5">
                  <c:v>0.6365657247068505</c:v>
                </c:pt>
                <c:pt idx="6">
                  <c:v>0.6938187099288988</c:v>
                </c:pt>
                <c:pt idx="7">
                  <c:v>0.4695200974274228</c:v>
                </c:pt>
                <c:pt idx="8">
                  <c:v>0.6365657247068505</c:v>
                </c:pt>
                <c:pt idx="9">
                  <c:v>0.6365657247068505</c:v>
                </c:pt>
              </c:numCache>
            </c:numRef>
          </c:val>
        </c:ser>
        <c:ser>
          <c:idx val="1"/>
          <c:order val="1"/>
          <c:tx>
            <c:strRef>
              <c:f>_jev!$K$1</c:f>
              <c:strCache>
                <c:ptCount val="1"/>
                <c:pt idx="0">
                  <c:v>Surcouche EWS</c:v>
                </c:pt>
              </c:strCache>
            </c:strRef>
          </c:tx>
          <c:spPr>
            <a:solidFill>
              <a:srgbClr val="C0392B"/>
            </a:solidFill>
          </c:spPr>
          <c:cat>
            <c:strRef>
              <c:f>_jev!$I$2:$I$11</c:f>
              <c:strCache>
                <c:ptCount val="10"/>
                <c:pt idx="0">
                  <c:v>KANE KHADY</c:v>
                </c:pt>
                <c:pt idx="1">
                  <c:v>SOCIETE AFRICAINE DE CIMENT </c:v>
                </c:pt>
                <c:pt idx="2">
                  <c:v>MBAYE ALIOUNE</c:v>
                </c:pt>
                <c:pt idx="3">
                  <c:v>IMPRIMERIE DU FLEUVE SUARL</c:v>
                </c:pt>
                <c:pt idx="4">
                  <c:v>NDIAYE FATOU</c:v>
                </c:pt>
                <c:pt idx="5">
                  <c:v>CISSE AWA</c:v>
                </c:pt>
                <c:pt idx="6">
                  <c:v>SENEGAL LOGISTIQUE ET TRANSI</c:v>
                </c:pt>
                <c:pt idx="7">
                  <c:v>ECOBANK FOUNDATION SENEGAL</c:v>
                </c:pt>
                <c:pt idx="8">
                  <c:v>SOW MOUSTAPHA</c:v>
                </c:pt>
                <c:pt idx="9">
                  <c:v>BA MARIAMA</c:v>
                </c:pt>
              </c:strCache>
            </c:strRef>
          </c:cat>
          <c:val>
            <c:numRef>
              <c:f>_jev!$K$2:$K$11</c:f>
              <c:numCache>
                <c:formatCode>General</c:formatCode>
                <c:ptCount val="10"/>
                <c:pt idx="0">
                  <c:v>0.1254173817045714</c:v>
                </c:pt>
                <c:pt idx="1">
                  <c:v>0.1775199913435745</c:v>
                </c:pt>
                <c:pt idx="2">
                  <c:v>0.1004457056534052</c:v>
                </c:pt>
                <c:pt idx="3">
                  <c:v>0.03730963673133003</c:v>
                </c:pt>
                <c:pt idx="4">
                  <c:v>0.07375895267009436</c:v>
                </c:pt>
                <c:pt idx="5">
                  <c:v>0.05827599126651417</c:v>
                </c:pt>
                <c:pt idx="6">
                  <c:v>0</c:v>
                </c:pt>
                <c:pt idx="7">
                  <c:v>0.1784884340711598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50"/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800" baseline="0"/>
            </a:pPr>
            <a:endParaRPr lang="en-US"/>
          </a:p>
        </c:txPr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t"/>
        <c:majorGridlines>
          <c:spPr>
            <a:ln>
              <a:solidFill>
                <a:srgbClr val="EEF4F7"/>
              </a:solidFill>
            </a:ln>
          </c:spPr>
        </c:majorGridlines>
        <c:numFmt formatCode="0%" sourceLinked="0"/>
        <c:tickLblPos val="nextTo"/>
        <c:crossAx val="50030001"/>
        <c:crosses val="autoZero"/>
        <c:crossBetween val="between"/>
      </c:valAx>
      <c:spPr>
        <a:solidFill>
          <a:srgbClr val="FFFFFF"/>
        </a:solidFill>
      </c:spPr>
    </c:plotArea>
    <c:legend>
      <c:legendPos val="b"/>
      <c:layout/>
      <c:txPr>
        <a:bodyPr/>
        <a:lstStyle/>
        <a:p>
          <a:pPr>
            <a:defRPr sz="800" baseline="0"/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CFE0E7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57150</xdr:rowOff>
    </xdr:from>
    <xdr:to>
      <xdr:col>6</xdr:col>
      <xdr:colOff>57150</xdr:colOff>
      <xdr:row>26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</xdr:colOff>
      <xdr:row>11</xdr:row>
      <xdr:rowOff>57150</xdr:rowOff>
    </xdr:from>
    <xdr:to>
      <xdr:col>12</xdr:col>
      <xdr:colOff>57150</xdr:colOff>
      <xdr:row>26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57150</xdr:colOff>
      <xdr:row>27</xdr:row>
      <xdr:rowOff>57150</xdr:rowOff>
    </xdr:from>
    <xdr:to>
      <xdr:col>12</xdr:col>
      <xdr:colOff>57150</xdr:colOff>
      <xdr:row>44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JevCp" displayName="JevCp" ref="A6:R36" totalsRowShown="0">
  <autoFilter ref="A6:R36"/>
  <tableColumns count="18">
    <tableColumn id="1" name="Réf LD" dataDxfId="0"/>
    <tableColumn id="2" name="Client" dataDxfId="1"/>
    <tableColumn id="3" name="Segment" dataDxfId="0"/>
    <tableColumn id="4" name="Jours" dataDxfId="2"/>
    <tableColumn id="5" name="État observé" dataDxfId="0"/>
    <tableColumn id="6" name="Motif (TypeSafe)" dataDxfId="0"/>
    <tableColumn id="7" name="Signaux détectés (EWS)" dataDxfId="1"/>
    <tableColumn id="8" name="Base Markov 12M" dataDxfId="3"/>
    <tableColumn id="9" name="PD 3M" dataDxfId="3"/>
    <tableColumn id="10" name="PD 6M" dataDxfId="3"/>
    <tableColumn id="11" name="PD 12M" dataDxfId="3"/>
    <tableColumn id="12" name="Prove-nance" dataDxfId="0"/>
    <tableColumn id="13" name="Confiance" dataDxfId="0"/>
    <tableColumn id="14" name="PD 12M sévère" dataDxfId="3"/>
    <tableColumn id="15" name="Meilleure action" dataDxfId="1"/>
    <tableColumn id="16" name="PD 12M après action" dataDxfId="3"/>
    <tableColumn id="17" name="Revue analyste" dataDxfId="1"/>
    <tableColumn id="18" name="Détail de provenance" dataDxfId="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JevSeg" displayName="JevSeg" ref="A6:M10" totalsRowShown="0">
  <autoFilter ref="A6:M10"/>
  <tableColumns count="13">
    <tableColumn id="1" name="Segment" dataDxfId="0"/>
    <tableColumn id="2" name="N transitions" dataDxfId="5"/>
    <tableColumn id="3" name="PD 3M Markov" dataDxfId="3"/>
    <tableColumn id="4" name="PD 6M Markov" dataDxfId="3"/>
    <tableColumn id="5" name="PD 12M Markov" dataDxfId="3"/>
    <tableColumn id="6" name="PD 12M empirique" dataDxfId="3"/>
    <tableColumn id="7" name="IC 95 % bas" dataDxfId="3"/>
    <tableColumn id="8" name="IC 95 % haut" dataDxfId="3"/>
    <tableColumn id="9" name="N cohortes" dataDxfId="5"/>
    <tableColumn id="10" name="Confiance" dataDxfId="0"/>
    <tableColumn id="11" name="Qualité" dataDxfId="0"/>
    <tableColumn id="12" name="Lignes rétrécies" dataDxfId="0"/>
    <tableColumn id="13" name="Avertissement" dataDxfId="1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JevSc" displayName="JevSc" ref="A6:I9" totalsRowShown="0">
  <autoFilter ref="A6:I9"/>
  <tableColumns count="9">
    <tableColumn id="1" name="Scénario" dataDxfId="0"/>
    <tableColumn id="2" name="Facteur (EXPERT)" dataDxfId="2"/>
    <tableColumn id="3" name="PD 12M sains" dataDxfId="3"/>
    <tableColumn id="4" name="Prove-nance PD" dataDxfId="0"/>
    <tableColumn id="5" name="Entrées douteux 12M moy. (XOF)" dataDxfId="5"/>
    <tableColumn id="6" name="P50 (XOF)" dataDxfId="5"/>
    <tableColumn id="7" name="P95 (XOF)" dataDxfId="5"/>
    <tableColumn id="8" name="P99 (XOF)" dataDxfId="5"/>
    <tableColumn id="9" name="Provenance montant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L51"/>
  <sheetViews>
    <sheetView showGridLines="0" tabSelected="1" workbookViewId="0"/>
  </sheetViews>
  <sheetFormatPr defaultRowHeight="15"/>
  <cols>
    <col min="1" max="12" width="14.28515625" customWidth="1"/>
  </cols>
  <sheetData>
    <row r="1" spans="1:12" ht="3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2" customHeight="1">
      <c r="A4" s="4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/>
      <c r="I4" s="5"/>
      <c r="J4" s="5"/>
      <c r="K4" s="5"/>
      <c r="L4" s="5"/>
    </row>
    <row r="6" spans="1:12" ht="30" customHeight="1">
      <c r="A6" s="6" t="s">
        <v>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8" spans="1:12" ht="26" customHeight="1">
      <c r="A8" s="7" t="s">
        <v>10</v>
      </c>
      <c r="B8" s="7"/>
      <c r="C8" s="7" t="s">
        <v>12</v>
      </c>
      <c r="D8" s="7"/>
      <c r="E8" s="7" t="s">
        <v>14</v>
      </c>
      <c r="F8" s="7"/>
      <c r="G8" s="7" t="s">
        <v>15</v>
      </c>
      <c r="H8" s="7"/>
      <c r="I8" s="7" t="s">
        <v>16</v>
      </c>
      <c r="J8" s="7"/>
      <c r="K8" s="7" t="s">
        <v>18</v>
      </c>
      <c r="L8" s="7"/>
    </row>
    <row r="9" spans="1:12" ht="30" customHeight="1">
      <c r="A9" s="8" t="s">
        <v>11</v>
      </c>
      <c r="B9" s="8"/>
      <c r="C9" s="8" t="s">
        <v>13</v>
      </c>
      <c r="D9" s="8"/>
      <c r="E9" s="8">
        <v>30</v>
      </c>
      <c r="F9" s="8"/>
      <c r="G9" s="8">
        <v>23</v>
      </c>
      <c r="H9" s="8"/>
      <c r="I9" s="8" t="s">
        <v>17</v>
      </c>
      <c r="J9" s="8"/>
      <c r="K9" s="8" t="s">
        <v>19</v>
      </c>
      <c r="L9" s="8"/>
    </row>
    <row r="10" spans="1:12" ht="24" customHeight="1">
      <c r="A10" s="9" t="s">
        <v>20</v>
      </c>
      <c r="B10" s="9"/>
      <c r="C10" s="9" t="s">
        <v>21</v>
      </c>
      <c r="D10" s="9"/>
      <c r="E10" s="9" t="s">
        <v>22</v>
      </c>
      <c r="F10" s="9"/>
      <c r="G10" s="9" t="s">
        <v>23</v>
      </c>
      <c r="H10" s="9"/>
      <c r="I10" s="9" t="s">
        <v>24</v>
      </c>
      <c r="J10" s="9"/>
      <c r="K10" s="9" t="s">
        <v>25</v>
      </c>
      <c r="L10" s="9"/>
    </row>
    <row r="47" spans="1:12">
      <c r="A47" s="10" t="s">
        <v>62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8" customHeight="1">
      <c r="A48" s="11" t="s">
        <v>63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ht="28" customHeight="1">
      <c r="A49" s="11" t="s">
        <v>64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ht="28" customHeight="1">
      <c r="A50" s="11" t="s">
        <v>65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ht="28" customHeight="1">
      <c r="A51" s="11" t="s">
        <v>66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</sheetData>
  <mergeCells count="27">
    <mergeCell ref="A1:L1"/>
    <mergeCell ref="A2:L2"/>
    <mergeCell ref="G4:L4"/>
    <mergeCell ref="A6:L6"/>
    <mergeCell ref="A8:B8"/>
    <mergeCell ref="A9:B9"/>
    <mergeCell ref="C8:D8"/>
    <mergeCell ref="C9:D9"/>
    <mergeCell ref="E8:F8"/>
    <mergeCell ref="E9:F9"/>
    <mergeCell ref="G8:H8"/>
    <mergeCell ref="G9:H9"/>
    <mergeCell ref="I8:J8"/>
    <mergeCell ref="I9:J9"/>
    <mergeCell ref="K8:L8"/>
    <mergeCell ref="K9:L9"/>
    <mergeCell ref="A10:B10"/>
    <mergeCell ref="C10:D10"/>
    <mergeCell ref="E10:F10"/>
    <mergeCell ref="G10:H10"/>
    <mergeCell ref="I10:J10"/>
    <mergeCell ref="K10:L10"/>
    <mergeCell ref="A47:L47"/>
    <mergeCell ref="A48:L48"/>
    <mergeCell ref="A49:L49"/>
    <mergeCell ref="A50:L50"/>
    <mergeCell ref="A51:L51"/>
  </mergeCells>
  <hyperlinks>
    <hyperlink ref="A4" location="'JEV Synthèse'!A1" display="JEV Synthèse"/>
    <hyperlink ref="B4" location="'JEV Contreparties'!A1" display="JEV Contreparties"/>
    <hyperlink ref="C4" location="'JEV Segments'!A1" display="JEV Segments"/>
    <hyperlink ref="D4" location="'JEV Portefeuille'!A1" display="JEV Portefeuille"/>
    <hyperlink ref="E4" location="'JEV Scénarios'!A1" display="JEV Scénarios"/>
    <hyperlink ref="F4" location="'JEV Matrices'!A1" display="JEV Matrices"/>
    <hyperlink ref="G4" location="'JEV Provenance'!A1" display="JEV Provenanc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I1" t="s">
        <v>49</v>
      </c>
      <c r="J1" t="s">
        <v>50</v>
      </c>
      <c r="K1" t="s">
        <v>51</v>
      </c>
    </row>
    <row r="2" spans="1:11">
      <c r="A2" t="s">
        <v>33</v>
      </c>
      <c r="B2">
        <v>0.003336140976729591</v>
      </c>
      <c r="C2">
        <v>0.005004211465094386</v>
      </c>
      <c r="D2">
        <v>0.006672281953459182</v>
      </c>
      <c r="E2" t="s">
        <v>45</v>
      </c>
      <c r="F2">
        <v>0.1361948349147899</v>
      </c>
      <c r="G2">
        <v>0.136970230239038</v>
      </c>
      <c r="I2" t="s">
        <v>52</v>
      </c>
      <c r="J2">
        <v>0.6938187099288988</v>
      </c>
      <c r="K2">
        <v>0.1254173817045714</v>
      </c>
    </row>
    <row r="3" spans="1:11">
      <c r="A3" t="s">
        <v>34</v>
      </c>
      <c r="B3">
        <v>0.01023938823933893</v>
      </c>
      <c r="C3">
        <v>0.0180344120734182</v>
      </c>
      <c r="D3">
        <v>0.02761298905043735</v>
      </c>
      <c r="E3" t="s">
        <v>46</v>
      </c>
      <c r="F3">
        <v>0.1199748678360338</v>
      </c>
      <c r="G3">
        <v>0.1221269296740995</v>
      </c>
      <c r="I3" t="s">
        <v>53</v>
      </c>
      <c r="J3">
        <v>0.6365657247068505</v>
      </c>
      <c r="K3">
        <v>0.1775199913435745</v>
      </c>
    </row>
    <row r="4" spans="1:11">
      <c r="A4" t="s">
        <v>35</v>
      </c>
      <c r="B4">
        <v>0.01951308669960039</v>
      </c>
      <c r="C4">
        <v>0.03692740526652631</v>
      </c>
      <c r="D4">
        <v>0.05991737610270671</v>
      </c>
      <c r="E4" t="s">
        <v>47</v>
      </c>
      <c r="F4">
        <v>0.04627981914257438</v>
      </c>
      <c r="G4">
        <v>0.05182012847965739</v>
      </c>
      <c r="I4" t="s">
        <v>54</v>
      </c>
      <c r="J4">
        <v>0.6365657247068505</v>
      </c>
      <c r="K4">
        <v>0.1004457056534052</v>
      </c>
    </row>
    <row r="5" spans="1:11">
      <c r="A5" t="s">
        <v>36</v>
      </c>
      <c r="B5">
        <v>0.03000774778719854</v>
      </c>
      <c r="C5">
        <v>0.05824108482575034</v>
      </c>
      <c r="D5">
        <v>0.0952755538563777</v>
      </c>
      <c r="E5" t="s">
        <v>48</v>
      </c>
      <c r="F5">
        <v>0.0305385165990613</v>
      </c>
      <c r="G5">
        <v>0.03590859630032645</v>
      </c>
      <c r="I5" t="s">
        <v>55</v>
      </c>
      <c r="J5">
        <v>0.6938187099288988</v>
      </c>
      <c r="K5">
        <v>0.03730963673133003</v>
      </c>
    </row>
    <row r="6" spans="1:11">
      <c r="A6" t="s">
        <v>37</v>
      </c>
      <c r="B6">
        <v>0.04105092411319828</v>
      </c>
      <c r="C6">
        <v>0.08026232066394923</v>
      </c>
      <c r="D6">
        <v>0.1306520413346202</v>
      </c>
      <c r="I6" t="s">
        <v>56</v>
      </c>
      <c r="J6">
        <v>0.6365657247068505</v>
      </c>
      <c r="K6">
        <v>0.07375895267009436</v>
      </c>
    </row>
    <row r="7" spans="1:11">
      <c r="A7" t="s">
        <v>38</v>
      </c>
      <c r="B7">
        <v>0.05229397216776828</v>
      </c>
      <c r="C7">
        <v>0.1022576744406577</v>
      </c>
      <c r="D7">
        <v>0.165082386587221</v>
      </c>
      <c r="I7" t="s">
        <v>57</v>
      </c>
      <c r="J7">
        <v>0.6365657247068505</v>
      </c>
      <c r="K7">
        <v>0.05827599126651417</v>
      </c>
    </row>
    <row r="8" spans="1:11">
      <c r="A8" t="s">
        <v>39</v>
      </c>
      <c r="B8">
        <v>0.0635640211853179</v>
      </c>
      <c r="C8">
        <v>0.1239287147464838</v>
      </c>
      <c r="D8">
        <v>0.1982908200014535</v>
      </c>
      <c r="I8" t="s">
        <v>58</v>
      </c>
      <c r="J8">
        <v>0.6938187099288988</v>
      </c>
      <c r="K8">
        <v>0</v>
      </c>
    </row>
    <row r="9" spans="1:11">
      <c r="A9" t="s">
        <v>40</v>
      </c>
      <c r="B9">
        <v>0.07477719887906101</v>
      </c>
      <c r="C9">
        <v>0.1451597014021282</v>
      </c>
      <c r="D9">
        <v>0.2302243429861691</v>
      </c>
      <c r="I9" t="s">
        <v>59</v>
      </c>
      <c r="J9">
        <v>0.4695200974274228</v>
      </c>
      <c r="K9">
        <v>0.1784884340711598</v>
      </c>
    </row>
    <row r="10" spans="1:11">
      <c r="A10" t="s">
        <v>41</v>
      </c>
      <c r="B10">
        <v>0.08589352204531957</v>
      </c>
      <c r="C10">
        <v>0.1659103739888075</v>
      </c>
      <c r="D10">
        <v>0.2609007916688164</v>
      </c>
      <c r="I10" t="s">
        <v>60</v>
      </c>
      <c r="J10">
        <v>0.6365657247068505</v>
      </c>
      <c r="K10">
        <v>0</v>
      </c>
    </row>
    <row r="11" spans="1:11">
      <c r="A11" t="s">
        <v>42</v>
      </c>
      <c r="B11">
        <v>0.09689441789692575</v>
      </c>
      <c r="C11">
        <v>0.1861714201052724</v>
      </c>
      <c r="D11">
        <v>0.2903595785691664</v>
      </c>
      <c r="I11" t="s">
        <v>61</v>
      </c>
      <c r="J11">
        <v>0.6365657247068505</v>
      </c>
      <c r="K11">
        <v>0</v>
      </c>
    </row>
    <row r="12" spans="1:11">
      <c r="A12" t="s">
        <v>43</v>
      </c>
      <c r="B12">
        <v>0.1077717074696349</v>
      </c>
      <c r="C12">
        <v>0.2059460985686781</v>
      </c>
      <c r="D12">
        <v>0.3186457725549069</v>
      </c>
    </row>
    <row r="13" spans="1:11">
      <c r="A13" t="s">
        <v>44</v>
      </c>
      <c r="B13">
        <v>0.1185222432255258</v>
      </c>
      <c r="C13">
        <v>0.2252426722271697</v>
      </c>
      <c r="D13">
        <v>0.3458049896687106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5C83"/>
    <pageSetUpPr fitToPage="1"/>
  </sheetPr>
  <dimension ref="A1:R36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 x14ac:dyDescent="0.25"/>
  <cols>
    <col min="1" max="1" width="11.7109375" customWidth="1"/>
    <col min="2" max="2" width="26.7109375" customWidth="1"/>
    <col min="3" max="3" width="11.7109375" customWidth="1"/>
    <col min="4" max="4" width="7.7109375" customWidth="1"/>
    <col min="5" max="5" width="9.7109375" customWidth="1"/>
    <col min="6" max="6" width="16.7109375" customWidth="1"/>
    <col min="7" max="7" width="30.7109375" customWidth="1"/>
    <col min="8" max="8" width="9.7109375" customWidth="1"/>
    <col min="9" max="11" width="8.7109375" customWidth="1"/>
    <col min="12" max="14" width="9.7109375" customWidth="1"/>
    <col min="15" max="15" width="30.7109375" customWidth="1"/>
    <col min="16" max="16" width="10.7109375" customWidth="1"/>
    <col min="17" max="17" width="22.7109375" customWidth="1"/>
    <col min="18" max="18" width="60.7109375" customWidth="1"/>
  </cols>
  <sheetData>
    <row r="1" spans="1:18" ht="30" customHeight="1" x14ac:dyDescent="0.25">
      <c r="A1" s="1" t="s">
        <v>67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8" customHeight="1" x14ac:dyDescent="0.25">
      <c r="A2" s="2" t="s">
        <v>68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4" customHeigh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18" ht="22" customHeight="1" x14ac:dyDescent="0.25">
      <c r="A4" s="5" t="s">
        <v>2</v>
      </c>
      <c r="B4" s="5"/>
      <c r="C4" s="4" t="s">
        <v>3</v>
      </c>
      <c r="D4" s="4"/>
      <c r="E4" s="5" t="s">
        <v>4</v>
      </c>
      <c r="F4" s="5"/>
      <c r="G4" s="5" t="s">
        <v>5</v>
      </c>
      <c r="H4" s="5"/>
      <c r="I4" s="5" t="s">
        <v>6</v>
      </c>
      <c r="J4" s="5"/>
      <c r="K4" s="5" t="s">
        <v>7</v>
      </c>
      <c r="L4" s="5"/>
      <c r="M4" s="5" t="s">
        <v>8</v>
      </c>
      <c r="N4" s="5"/>
      <c r="O4" s="5"/>
      <c r="P4" s="5"/>
      <c r="Q4" s="5"/>
      <c r="R4" s="5"/>
    </row>
    <row r="6" spans="1:18" ht="36" customHeight="1" x14ac:dyDescent="0.25">
      <c r="A6" s="12" t="s">
        <v>69</v>
      </c>
      <c r="B6" s="12" t="s">
        <v>49</v>
      </c>
      <c r="C6" s="12" t="s">
        <v>30</v>
      </c>
      <c r="D6" s="12" t="s">
        <v>70</v>
      </c>
      <c r="E6" s="12" t="s">
        <v>71</v>
      </c>
      <c r="F6" s="12" t="s">
        <v>72</v>
      </c>
      <c r="G6" s="12" t="s">
        <v>73</v>
      </c>
      <c r="H6" s="12" t="s">
        <v>74</v>
      </c>
      <c r="I6" s="12" t="s">
        <v>75</v>
      </c>
      <c r="J6" s="12" t="s">
        <v>76</v>
      </c>
      <c r="K6" s="12" t="s">
        <v>20</v>
      </c>
      <c r="L6" s="12" t="s">
        <v>77</v>
      </c>
      <c r="M6" s="12" t="s">
        <v>78</v>
      </c>
      <c r="N6" s="12" t="s">
        <v>79</v>
      </c>
      <c r="O6" s="12" t="s">
        <v>80</v>
      </c>
      <c r="P6" s="12" t="s">
        <v>81</v>
      </c>
      <c r="Q6" s="12" t="s">
        <v>82</v>
      </c>
      <c r="R6" s="12" t="s">
        <v>83</v>
      </c>
    </row>
    <row r="7" spans="1:18" ht="39" customHeight="1" x14ac:dyDescent="0.25">
      <c r="A7" s="13" t="s">
        <v>84</v>
      </c>
      <c r="B7" s="14" t="s">
        <v>52</v>
      </c>
      <c r="C7" s="13" t="s">
        <v>46</v>
      </c>
      <c r="D7" s="15">
        <v>88</v>
      </c>
      <c r="E7" s="13" t="s">
        <v>85</v>
      </c>
      <c r="F7" s="13" t="s">
        <v>86</v>
      </c>
      <c r="G7" s="14" t="s">
        <v>87</v>
      </c>
      <c r="H7" s="16">
        <v>0.6938187099288988</v>
      </c>
      <c r="I7" s="16">
        <v>0.7530081580863301</v>
      </c>
      <c r="J7" s="16">
        <v>0.7982487114445772</v>
      </c>
      <c r="K7" s="16">
        <v>0.8192360916334702</v>
      </c>
      <c r="L7" s="13" t="s">
        <v>88</v>
      </c>
      <c r="M7" s="13" t="s">
        <v>89</v>
      </c>
      <c r="N7" s="16">
        <v>0.9736411262518919</v>
      </c>
      <c r="O7" s="14" t="s">
        <v>90</v>
      </c>
      <c r="P7" s="16">
        <v>0.2142456429720498</v>
      </c>
      <c r="Q7" s="14" t="s">
        <v>91</v>
      </c>
      <c r="R7" s="14" t="s">
        <v>92</v>
      </c>
    </row>
    <row r="8" spans="1:18" ht="39" customHeight="1" x14ac:dyDescent="0.25">
      <c r="A8" s="13" t="s">
        <v>93</v>
      </c>
      <c r="B8" s="14" t="s">
        <v>94</v>
      </c>
      <c r="C8" s="13" t="s">
        <v>45</v>
      </c>
      <c r="D8" s="15">
        <v>71</v>
      </c>
      <c r="E8" s="13" t="s">
        <v>85</v>
      </c>
      <c r="F8" s="13" t="s">
        <v>95</v>
      </c>
      <c r="G8" s="14" t="s">
        <v>96</v>
      </c>
      <c r="H8" s="16">
        <v>0.6365657247068505</v>
      </c>
      <c r="I8" s="16">
        <v>0.7457865283789819</v>
      </c>
      <c r="J8" s="16">
        <v>0.7889001969136468</v>
      </c>
      <c r="K8" s="16">
        <v>0.814085716050425</v>
      </c>
      <c r="L8" s="13" t="s">
        <v>88</v>
      </c>
      <c r="M8" s="13" t="s">
        <v>89</v>
      </c>
      <c r="N8" s="16">
        <v>0.9656233458755892</v>
      </c>
      <c r="O8" s="14" t="s">
        <v>90</v>
      </c>
      <c r="P8" s="16">
        <v>0.2827279562882613</v>
      </c>
      <c r="Q8" s="14"/>
      <c r="R8" s="14" t="s">
        <v>97</v>
      </c>
    </row>
    <row r="9" spans="1:18" ht="39" customHeight="1" x14ac:dyDescent="0.25">
      <c r="A9" s="13" t="s">
        <v>98</v>
      </c>
      <c r="B9" s="14" t="s">
        <v>54</v>
      </c>
      <c r="C9" s="13" t="s">
        <v>45</v>
      </c>
      <c r="D9" s="15">
        <v>73</v>
      </c>
      <c r="E9" s="13" t="s">
        <v>85</v>
      </c>
      <c r="F9" s="13" t="s">
        <v>99</v>
      </c>
      <c r="G9" s="14" t="s">
        <v>100</v>
      </c>
      <c r="H9" s="16">
        <v>0.6365657247068505</v>
      </c>
      <c r="I9" s="16">
        <v>0.6524844619830259</v>
      </c>
      <c r="J9" s="16">
        <v>0.7051661964776326</v>
      </c>
      <c r="K9" s="16">
        <v>0.7370114303602556</v>
      </c>
      <c r="L9" s="13" t="s">
        <v>88</v>
      </c>
      <c r="M9" s="13" t="s">
        <v>89</v>
      </c>
      <c r="N9" s="16">
        <v>0.9473054259504218</v>
      </c>
      <c r="O9" s="14" t="s">
        <v>90</v>
      </c>
      <c r="P9" s="16">
        <v>0.2014498762777149</v>
      </c>
      <c r="Q9" s="14"/>
      <c r="R9" s="14" t="s">
        <v>101</v>
      </c>
    </row>
    <row r="10" spans="1:18" ht="39" customHeight="1" x14ac:dyDescent="0.25">
      <c r="A10" s="13" t="s">
        <v>102</v>
      </c>
      <c r="B10" s="14" t="s">
        <v>55</v>
      </c>
      <c r="C10" s="13" t="s">
        <v>46</v>
      </c>
      <c r="D10" s="15">
        <v>85</v>
      </c>
      <c r="E10" s="13" t="s">
        <v>85</v>
      </c>
      <c r="F10" s="13" t="s">
        <v>103</v>
      </c>
      <c r="G10" s="14" t="s">
        <v>104</v>
      </c>
      <c r="H10" s="16">
        <v>0.6938187099288988</v>
      </c>
      <c r="I10" s="16">
        <v>0.6465469443132704</v>
      </c>
      <c r="J10" s="16">
        <v>0.7036122582773466</v>
      </c>
      <c r="K10" s="16">
        <v>0.7311283466602289</v>
      </c>
      <c r="L10" s="13" t="s">
        <v>88</v>
      </c>
      <c r="M10" s="13" t="s">
        <v>89</v>
      </c>
      <c r="N10" s="16">
        <v>0.9568272013196648</v>
      </c>
      <c r="O10" s="14" t="s">
        <v>90</v>
      </c>
      <c r="P10" s="16">
        <v>0.1405962383796716</v>
      </c>
      <c r="Q10" s="14"/>
      <c r="R10" s="14" t="s">
        <v>105</v>
      </c>
    </row>
    <row r="11" spans="1:18" ht="39" customHeight="1" x14ac:dyDescent="0.25">
      <c r="A11" s="13" t="s">
        <v>106</v>
      </c>
      <c r="B11" s="14" t="s">
        <v>56</v>
      </c>
      <c r="C11" s="13" t="s">
        <v>45</v>
      </c>
      <c r="D11" s="15">
        <v>83</v>
      </c>
      <c r="E11" s="13" t="s">
        <v>85</v>
      </c>
      <c r="F11" s="13" t="s">
        <v>107</v>
      </c>
      <c r="G11" s="14" t="s">
        <v>108</v>
      </c>
      <c r="H11" s="16">
        <v>0.6365657247068505</v>
      </c>
      <c r="I11" s="16">
        <v>0.6216238958936421</v>
      </c>
      <c r="J11" s="16">
        <v>0.6766656387647876</v>
      </c>
      <c r="K11" s="16">
        <v>0.7103246773769448</v>
      </c>
      <c r="L11" s="13" t="s">
        <v>88</v>
      </c>
      <c r="M11" s="13" t="s">
        <v>89</v>
      </c>
      <c r="N11" s="16">
        <v>0.9402275842274888</v>
      </c>
      <c r="O11" s="14" t="s">
        <v>90</v>
      </c>
      <c r="P11" s="16">
        <v>0.1808219619765595</v>
      </c>
      <c r="Q11" s="14"/>
      <c r="R11" s="14" t="s">
        <v>109</v>
      </c>
    </row>
    <row r="12" spans="1:18" ht="39" customHeight="1" x14ac:dyDescent="0.25">
      <c r="A12" s="13" t="s">
        <v>110</v>
      </c>
      <c r="B12" s="14" t="s">
        <v>57</v>
      </c>
      <c r="C12" s="13" t="s">
        <v>45</v>
      </c>
      <c r="D12" s="15">
        <v>82</v>
      </c>
      <c r="E12" s="13" t="s">
        <v>85</v>
      </c>
      <c r="F12" s="13" t="s">
        <v>111</v>
      </c>
      <c r="G12" s="14" t="s">
        <v>112</v>
      </c>
      <c r="H12" s="16">
        <v>0.6365657247068505</v>
      </c>
      <c r="I12" s="16">
        <v>0.6040427166744797</v>
      </c>
      <c r="J12" s="16">
        <v>0.6602441299931993</v>
      </c>
      <c r="K12" s="16">
        <v>0.6948417159733646</v>
      </c>
      <c r="L12" s="13" t="s">
        <v>88</v>
      </c>
      <c r="M12" s="13" t="s">
        <v>89</v>
      </c>
      <c r="N12" s="16">
        <v>0.9359243182672523</v>
      </c>
      <c r="O12" s="14" t="s">
        <v>90</v>
      </c>
      <c r="P12" s="16">
        <v>0.1701031348772964</v>
      </c>
      <c r="Q12" s="14" t="s">
        <v>113</v>
      </c>
      <c r="R12" s="14" t="s">
        <v>114</v>
      </c>
    </row>
    <row r="13" spans="1:18" ht="26" customHeight="1" x14ac:dyDescent="0.25">
      <c r="A13" s="13" t="s">
        <v>115</v>
      </c>
      <c r="B13" s="14" t="s">
        <v>116</v>
      </c>
      <c r="C13" s="13" t="s">
        <v>46</v>
      </c>
      <c r="D13" s="15">
        <v>85</v>
      </c>
      <c r="E13" s="13" t="s">
        <v>85</v>
      </c>
      <c r="F13" s="13" t="s">
        <v>111</v>
      </c>
      <c r="G13" s="14" t="s">
        <v>117</v>
      </c>
      <c r="H13" s="16">
        <v>0.6938187099288988</v>
      </c>
      <c r="I13" s="16">
        <v>0.6038597308950651</v>
      </c>
      <c r="J13" s="16">
        <v>0.6642378660597235</v>
      </c>
      <c r="K13" s="16">
        <v>0.6938187099288988</v>
      </c>
      <c r="L13" s="13" t="s">
        <v>118</v>
      </c>
      <c r="M13" s="13" t="s">
        <v>89</v>
      </c>
      <c r="N13" s="16">
        <v>0.948636145850526</v>
      </c>
      <c r="O13" s="14" t="s">
        <v>90</v>
      </c>
      <c r="P13" s="16">
        <v>0.1199748678360338</v>
      </c>
      <c r="Q13" s="14"/>
      <c r="R13" s="14" t="s">
        <v>119</v>
      </c>
    </row>
    <row r="14" spans="1:18" ht="52" customHeight="1" x14ac:dyDescent="0.25">
      <c r="A14" s="13" t="s">
        <v>120</v>
      </c>
      <c r="B14" s="14" t="s">
        <v>59</v>
      </c>
      <c r="C14" s="13" t="s">
        <v>47</v>
      </c>
      <c r="D14" s="15">
        <v>84</v>
      </c>
      <c r="E14" s="13" t="s">
        <v>85</v>
      </c>
      <c r="F14" s="13" t="s">
        <v>99</v>
      </c>
      <c r="G14" s="14" t="s">
        <v>121</v>
      </c>
      <c r="H14" s="16">
        <v>0.4695200974274228</v>
      </c>
      <c r="I14" s="16">
        <v>0.6012739286506475</v>
      </c>
      <c r="J14" s="16">
        <v>0.6325532458534776</v>
      </c>
      <c r="K14" s="16">
        <v>0.6480085314985826</v>
      </c>
      <c r="L14" s="13" t="s">
        <v>88</v>
      </c>
      <c r="M14" s="13" t="s">
        <v>89</v>
      </c>
      <c r="N14" s="16">
        <v>0.8777322483935838</v>
      </c>
      <c r="O14" s="14" t="s">
        <v>90</v>
      </c>
      <c r="P14" s="16">
        <v>0.09167967170114477</v>
      </c>
      <c r="Q14" s="14"/>
      <c r="R14" s="14" t="s">
        <v>122</v>
      </c>
    </row>
    <row r="15" spans="1:18" ht="26" customHeight="1" x14ac:dyDescent="0.25">
      <c r="A15" s="13" t="s">
        <v>123</v>
      </c>
      <c r="B15" s="14" t="s">
        <v>60</v>
      </c>
      <c r="C15" s="13" t="s">
        <v>45</v>
      </c>
      <c r="D15" s="15">
        <v>79</v>
      </c>
      <c r="E15" s="13" t="s">
        <v>85</v>
      </c>
      <c r="F15" s="13" t="s">
        <v>124</v>
      </c>
      <c r="G15" s="14" t="s">
        <v>117</v>
      </c>
      <c r="H15" s="16">
        <v>0.6365657247068505</v>
      </c>
      <c r="I15" s="16">
        <v>0.5399085051870212</v>
      </c>
      <c r="J15" s="16">
        <v>0.5991724253913249</v>
      </c>
      <c r="K15" s="16">
        <v>0.6365657247068505</v>
      </c>
      <c r="L15" s="13" t="s">
        <v>118</v>
      </c>
      <c r="M15" s="13" t="s">
        <v>89</v>
      </c>
      <c r="N15" s="16">
        <v>0.9182726347409857</v>
      </c>
      <c r="O15" s="14" t="s">
        <v>90</v>
      </c>
      <c r="P15" s="16">
        <v>0.1361948349147899</v>
      </c>
      <c r="Q15" s="14" t="s">
        <v>125</v>
      </c>
      <c r="R15" s="14" t="s">
        <v>126</v>
      </c>
    </row>
    <row r="16" spans="1:18" ht="26" customHeight="1" x14ac:dyDescent="0.25">
      <c r="A16" s="13" t="s">
        <v>127</v>
      </c>
      <c r="B16" s="14" t="s">
        <v>61</v>
      </c>
      <c r="C16" s="13" t="s">
        <v>45</v>
      </c>
      <c r="D16" s="15">
        <v>77</v>
      </c>
      <c r="E16" s="13" t="s">
        <v>85</v>
      </c>
      <c r="F16" s="13" t="s">
        <v>111</v>
      </c>
      <c r="G16" s="14" t="s">
        <v>117</v>
      </c>
      <c r="H16" s="16">
        <v>0.6365657247068505</v>
      </c>
      <c r="I16" s="16">
        <v>0.5399085051870212</v>
      </c>
      <c r="J16" s="16">
        <v>0.5991724253913249</v>
      </c>
      <c r="K16" s="16">
        <v>0.6365657247068505</v>
      </c>
      <c r="L16" s="13" t="s">
        <v>118</v>
      </c>
      <c r="M16" s="13" t="s">
        <v>89</v>
      </c>
      <c r="N16" s="16">
        <v>0.9182726347409857</v>
      </c>
      <c r="O16" s="14" t="s">
        <v>90</v>
      </c>
      <c r="P16" s="16">
        <v>0.1361948349147899</v>
      </c>
      <c r="Q16" s="14"/>
      <c r="R16" s="14" t="s">
        <v>126</v>
      </c>
    </row>
    <row r="17" spans="1:18" ht="39" customHeight="1" x14ac:dyDescent="0.25">
      <c r="A17" s="13" t="s">
        <v>128</v>
      </c>
      <c r="B17" s="14" t="s">
        <v>129</v>
      </c>
      <c r="C17" s="13" t="s">
        <v>46</v>
      </c>
      <c r="D17" s="15">
        <v>55</v>
      </c>
      <c r="E17" s="13" t="s">
        <v>130</v>
      </c>
      <c r="F17" s="13" t="s">
        <v>99</v>
      </c>
      <c r="G17" s="14" t="s">
        <v>100</v>
      </c>
      <c r="H17" s="16">
        <v>0.3999794512425623</v>
      </c>
      <c r="I17" s="16">
        <v>0.3706700738835371</v>
      </c>
      <c r="J17" s="16">
        <v>0.4592552734492564</v>
      </c>
      <c r="K17" s="16">
        <v>0.5161076493634182</v>
      </c>
      <c r="L17" s="13" t="s">
        <v>88</v>
      </c>
      <c r="M17" s="13" t="s">
        <v>89</v>
      </c>
      <c r="N17" s="16">
        <v>0.840683169680105</v>
      </c>
      <c r="O17" s="14" t="s">
        <v>90</v>
      </c>
      <c r="P17" s="16">
        <v>0.1790694858021093</v>
      </c>
      <c r="Q17" s="14"/>
      <c r="R17" s="14" t="s">
        <v>131</v>
      </c>
    </row>
    <row r="18" spans="1:18" ht="26" customHeight="1" x14ac:dyDescent="0.25">
      <c r="A18" s="13" t="s">
        <v>132</v>
      </c>
      <c r="B18" s="14" t="s">
        <v>133</v>
      </c>
      <c r="C18" s="13" t="s">
        <v>47</v>
      </c>
      <c r="D18" s="15">
        <v>65</v>
      </c>
      <c r="E18" s="13" t="s">
        <v>85</v>
      </c>
      <c r="F18" s="13" t="s">
        <v>111</v>
      </c>
      <c r="G18" s="14" t="s">
        <v>117</v>
      </c>
      <c r="H18" s="16">
        <v>0.4695200974274228</v>
      </c>
      <c r="I18" s="16">
        <v>0.4202878342886563</v>
      </c>
      <c r="J18" s="16">
        <v>0.4528450762014884</v>
      </c>
      <c r="K18" s="16">
        <v>0.4695200974274228</v>
      </c>
      <c r="L18" s="13" t="s">
        <v>118</v>
      </c>
      <c r="M18" s="13" t="s">
        <v>89</v>
      </c>
      <c r="N18" s="16">
        <v>0.7753481653525787</v>
      </c>
      <c r="O18" s="14" t="s">
        <v>90</v>
      </c>
      <c r="P18" s="16">
        <v>0.04627981914257439</v>
      </c>
      <c r="Q18" s="14" t="s">
        <v>134</v>
      </c>
      <c r="R18" s="14" t="s">
        <v>135</v>
      </c>
    </row>
    <row r="19" spans="1:18" ht="39" customHeight="1" x14ac:dyDescent="0.25">
      <c r="A19" s="13" t="s">
        <v>136</v>
      </c>
      <c r="B19" s="14" t="s">
        <v>137</v>
      </c>
      <c r="C19" s="13" t="s">
        <v>46</v>
      </c>
      <c r="D19" s="15">
        <v>36</v>
      </c>
      <c r="E19" s="13" t="s">
        <v>130</v>
      </c>
      <c r="F19" s="13" t="s">
        <v>138</v>
      </c>
      <c r="G19" s="14" t="s">
        <v>112</v>
      </c>
      <c r="H19" s="16">
        <v>0.3999794512425623</v>
      </c>
      <c r="I19" s="16">
        <v>0.3236643114501269</v>
      </c>
      <c r="J19" s="16">
        <v>0.4083041265436996</v>
      </c>
      <c r="K19" s="16">
        <v>0.4642644184217922</v>
      </c>
      <c r="L19" s="13" t="s">
        <v>88</v>
      </c>
      <c r="M19" s="13" t="s">
        <v>89</v>
      </c>
      <c r="N19" s="16">
        <v>0.8108711493763013</v>
      </c>
      <c r="O19" s="14" t="s">
        <v>90</v>
      </c>
      <c r="P19" s="16">
        <v>0.1505487097213332</v>
      </c>
      <c r="Q19" s="14" t="s">
        <v>113</v>
      </c>
      <c r="R19" s="14" t="s">
        <v>139</v>
      </c>
    </row>
    <row r="20" spans="1:18" ht="39" customHeight="1" x14ac:dyDescent="0.25">
      <c r="A20" s="13" t="s">
        <v>140</v>
      </c>
      <c r="B20" s="14" t="s">
        <v>141</v>
      </c>
      <c r="C20" s="13" t="s">
        <v>46</v>
      </c>
      <c r="D20" s="15">
        <v>56</v>
      </c>
      <c r="E20" s="13" t="s">
        <v>130</v>
      </c>
      <c r="F20" s="13" t="s">
        <v>142</v>
      </c>
      <c r="G20" s="14" t="s">
        <v>143</v>
      </c>
      <c r="H20" s="16">
        <v>0.3999794512425623</v>
      </c>
      <c r="I20" s="16">
        <v>0.3236643114501269</v>
      </c>
      <c r="J20" s="16">
        <v>0.4083041265436996</v>
      </c>
      <c r="K20" s="16">
        <v>0.4642644184217922</v>
      </c>
      <c r="L20" s="13" t="s">
        <v>88</v>
      </c>
      <c r="M20" s="13" t="s">
        <v>89</v>
      </c>
      <c r="N20" s="16">
        <v>0.8108711493763013</v>
      </c>
      <c r="O20" s="14" t="s">
        <v>90</v>
      </c>
      <c r="P20" s="16">
        <v>0.1505487097213332</v>
      </c>
      <c r="Q20" s="14"/>
      <c r="R20" s="14" t="s">
        <v>144</v>
      </c>
    </row>
    <row r="21" spans="1:18" ht="39" customHeight="1" x14ac:dyDescent="0.25">
      <c r="A21" s="13" t="s">
        <v>145</v>
      </c>
      <c r="B21" s="14" t="s">
        <v>146</v>
      </c>
      <c r="C21" s="13" t="s">
        <v>46</v>
      </c>
      <c r="D21" s="15">
        <v>49</v>
      </c>
      <c r="E21" s="13" t="s">
        <v>130</v>
      </c>
      <c r="F21" s="13" t="s">
        <v>138</v>
      </c>
      <c r="G21" s="14" t="s">
        <v>112</v>
      </c>
      <c r="H21" s="16">
        <v>0.3999794512425623</v>
      </c>
      <c r="I21" s="16">
        <v>0.3236643114501269</v>
      </c>
      <c r="J21" s="16">
        <v>0.4083041265436996</v>
      </c>
      <c r="K21" s="16">
        <v>0.4642644184217922</v>
      </c>
      <c r="L21" s="13" t="s">
        <v>88</v>
      </c>
      <c r="M21" s="13" t="s">
        <v>89</v>
      </c>
      <c r="N21" s="16">
        <v>0.8108711493763013</v>
      </c>
      <c r="O21" s="14" t="s">
        <v>90</v>
      </c>
      <c r="P21" s="16">
        <v>0.1505487097213332</v>
      </c>
      <c r="Q21" s="14" t="s">
        <v>113</v>
      </c>
      <c r="R21" s="14" t="s">
        <v>139</v>
      </c>
    </row>
    <row r="22" spans="1:18" ht="39" customHeight="1" x14ac:dyDescent="0.25">
      <c r="A22" s="13" t="s">
        <v>147</v>
      </c>
      <c r="B22" s="14" t="s">
        <v>148</v>
      </c>
      <c r="C22" s="13" t="s">
        <v>46</v>
      </c>
      <c r="D22" s="15">
        <v>35</v>
      </c>
      <c r="E22" s="13" t="s">
        <v>130</v>
      </c>
      <c r="F22" s="13" t="s">
        <v>103</v>
      </c>
      <c r="G22" s="14" t="s">
        <v>104</v>
      </c>
      <c r="H22" s="16">
        <v>0.3999794512425623</v>
      </c>
      <c r="I22" s="16">
        <v>0.3063954626027922</v>
      </c>
      <c r="J22" s="16">
        <v>0.3891175237843072</v>
      </c>
      <c r="K22" s="16">
        <v>0.4444233036670445</v>
      </c>
      <c r="L22" s="13" t="s">
        <v>88</v>
      </c>
      <c r="M22" s="13" t="s">
        <v>89</v>
      </c>
      <c r="N22" s="16">
        <v>0.7982895177958287</v>
      </c>
      <c r="O22" s="14" t="s">
        <v>90</v>
      </c>
      <c r="P22" s="16">
        <v>0.1405962383796716</v>
      </c>
      <c r="Q22" s="14"/>
      <c r="R22" s="14" t="s">
        <v>105</v>
      </c>
    </row>
    <row r="23" spans="1:18" ht="39" customHeight="1" x14ac:dyDescent="0.25">
      <c r="A23" s="13" t="s">
        <v>149</v>
      </c>
      <c r="B23" s="14" t="s">
        <v>150</v>
      </c>
      <c r="C23" s="13" t="s">
        <v>45</v>
      </c>
      <c r="D23" s="15">
        <v>43</v>
      </c>
      <c r="E23" s="13" t="s">
        <v>130</v>
      </c>
      <c r="F23" s="13" t="s">
        <v>142</v>
      </c>
      <c r="G23" s="14" t="s">
        <v>143</v>
      </c>
      <c r="H23" s="16">
        <v>0.3742985573107679</v>
      </c>
      <c r="I23" s="16">
        <v>0.2899831691262169</v>
      </c>
      <c r="J23" s="16">
        <v>0.3720100320814312</v>
      </c>
      <c r="K23" s="16">
        <v>0.4374653317407829</v>
      </c>
      <c r="L23" s="13" t="s">
        <v>88</v>
      </c>
      <c r="M23" s="13" t="s">
        <v>89</v>
      </c>
      <c r="N23" s="16">
        <v>0.79645818168229</v>
      </c>
      <c r="O23" s="14" t="s">
        <v>90</v>
      </c>
      <c r="P23" s="16">
        <v>0.1701031348772964</v>
      </c>
      <c r="Q23" s="14"/>
      <c r="R23" s="14" t="s">
        <v>151</v>
      </c>
    </row>
    <row r="24" spans="1:18" ht="39" customHeight="1" x14ac:dyDescent="0.25">
      <c r="A24" s="13" t="s">
        <v>152</v>
      </c>
      <c r="B24" s="14" t="s">
        <v>153</v>
      </c>
      <c r="C24" s="13" t="s">
        <v>45</v>
      </c>
      <c r="D24" s="15">
        <v>32</v>
      </c>
      <c r="E24" s="13" t="s">
        <v>130</v>
      </c>
      <c r="F24" s="13" t="s">
        <v>103</v>
      </c>
      <c r="G24" s="14" t="s">
        <v>104</v>
      </c>
      <c r="H24" s="16">
        <v>0.3742985573107679</v>
      </c>
      <c r="I24" s="16">
        <v>0.2737839041299975</v>
      </c>
      <c r="J24" s="16">
        <v>0.3535099723961043</v>
      </c>
      <c r="K24" s="16">
        <v>0.4178761786149026</v>
      </c>
      <c r="L24" s="13" t="s">
        <v>88</v>
      </c>
      <c r="M24" s="13" t="s">
        <v>89</v>
      </c>
      <c r="N24" s="16">
        <v>0.7831741245677976</v>
      </c>
      <c r="O24" s="14" t="s">
        <v>90</v>
      </c>
      <c r="P24" s="16">
        <v>0.1591000800697422</v>
      </c>
      <c r="Q24" s="14"/>
      <c r="R24" s="14" t="s">
        <v>154</v>
      </c>
    </row>
    <row r="25" spans="1:18" ht="26" customHeight="1" x14ac:dyDescent="0.25">
      <c r="A25" s="13" t="s">
        <v>155</v>
      </c>
      <c r="B25" s="14" t="s">
        <v>156</v>
      </c>
      <c r="C25" s="13" t="s">
        <v>46</v>
      </c>
      <c r="D25" s="15">
        <v>51</v>
      </c>
      <c r="E25" s="13" t="s">
        <v>130</v>
      </c>
      <c r="F25" s="13" t="s">
        <v>111</v>
      </c>
      <c r="G25" s="14" t="s">
        <v>117</v>
      </c>
      <c r="H25" s="16">
        <v>0.3999794512425623</v>
      </c>
      <c r="I25" s="16">
        <v>0.2690698489773042</v>
      </c>
      <c r="J25" s="16">
        <v>0.3467525165905371</v>
      </c>
      <c r="K25" s="16">
        <v>0.3999794512425623</v>
      </c>
      <c r="L25" s="13" t="s">
        <v>118</v>
      </c>
      <c r="M25" s="13" t="s">
        <v>89</v>
      </c>
      <c r="N25" s="16">
        <v>0.7673336689218829</v>
      </c>
      <c r="O25" s="14" t="s">
        <v>90</v>
      </c>
      <c r="P25" s="16">
        <v>0.1199748678360338</v>
      </c>
      <c r="Q25" s="14" t="s">
        <v>157</v>
      </c>
      <c r="R25" s="14" t="s">
        <v>119</v>
      </c>
    </row>
    <row r="26" spans="1:18" ht="26" customHeight="1" x14ac:dyDescent="0.25">
      <c r="A26" s="13" t="s">
        <v>158</v>
      </c>
      <c r="B26" s="14" t="s">
        <v>159</v>
      </c>
      <c r="C26" s="13" t="s">
        <v>46</v>
      </c>
      <c r="D26" s="15">
        <v>56</v>
      </c>
      <c r="E26" s="13" t="s">
        <v>130</v>
      </c>
      <c r="F26" s="13" t="s">
        <v>124</v>
      </c>
      <c r="G26" s="14" t="s">
        <v>117</v>
      </c>
      <c r="H26" s="16">
        <v>0.3999794512425623</v>
      </c>
      <c r="I26" s="16">
        <v>0.2690698489773042</v>
      </c>
      <c r="J26" s="16">
        <v>0.3467525165905371</v>
      </c>
      <c r="K26" s="16">
        <v>0.3999794512425623</v>
      </c>
      <c r="L26" s="13" t="s">
        <v>118</v>
      </c>
      <c r="M26" s="13" t="s">
        <v>89</v>
      </c>
      <c r="N26" s="16">
        <v>0.7673336689218829</v>
      </c>
      <c r="O26" s="14" t="s">
        <v>90</v>
      </c>
      <c r="P26" s="16">
        <v>0.1199748678360338</v>
      </c>
      <c r="Q26" s="14" t="s">
        <v>160</v>
      </c>
      <c r="R26" s="14" t="s">
        <v>119</v>
      </c>
    </row>
    <row r="27" spans="1:18" ht="26" customHeight="1" x14ac:dyDescent="0.25">
      <c r="A27" s="13" t="s">
        <v>161</v>
      </c>
      <c r="B27" s="14" t="s">
        <v>162</v>
      </c>
      <c r="C27" s="13" t="s">
        <v>46</v>
      </c>
      <c r="D27" s="15">
        <v>40</v>
      </c>
      <c r="E27" s="13" t="s">
        <v>130</v>
      </c>
      <c r="F27" s="13" t="s">
        <v>142</v>
      </c>
      <c r="G27" s="14" t="s">
        <v>117</v>
      </c>
      <c r="H27" s="16">
        <v>0.3999794512425623</v>
      </c>
      <c r="I27" s="16">
        <v>0.2690698489773042</v>
      </c>
      <c r="J27" s="16">
        <v>0.3467525165905371</v>
      </c>
      <c r="K27" s="16">
        <v>0.3999794512425623</v>
      </c>
      <c r="L27" s="13" t="s">
        <v>118</v>
      </c>
      <c r="M27" s="13" t="s">
        <v>89</v>
      </c>
      <c r="N27" s="16">
        <v>0.7673336689218829</v>
      </c>
      <c r="O27" s="14" t="s">
        <v>90</v>
      </c>
      <c r="P27" s="16">
        <v>0.1199748678360338</v>
      </c>
      <c r="Q27" s="14" t="s">
        <v>163</v>
      </c>
      <c r="R27" s="14" t="s">
        <v>119</v>
      </c>
    </row>
    <row r="28" spans="1:18" ht="39" customHeight="1" x14ac:dyDescent="0.25">
      <c r="A28" s="13" t="s">
        <v>164</v>
      </c>
      <c r="B28" s="14" t="s">
        <v>165</v>
      </c>
      <c r="C28" s="13" t="s">
        <v>47</v>
      </c>
      <c r="D28" s="15">
        <v>58</v>
      </c>
      <c r="E28" s="13" t="s">
        <v>130</v>
      </c>
      <c r="F28" s="13" t="s">
        <v>99</v>
      </c>
      <c r="G28" s="14" t="s">
        <v>100</v>
      </c>
      <c r="H28" s="16">
        <v>0.2391779427856761</v>
      </c>
      <c r="I28" s="16">
        <v>0.260516057880693</v>
      </c>
      <c r="J28" s="16">
        <v>0.3062247468476116</v>
      </c>
      <c r="K28" s="16">
        <v>0.3346588931044845</v>
      </c>
      <c r="L28" s="13" t="s">
        <v>88</v>
      </c>
      <c r="M28" s="13" t="s">
        <v>89</v>
      </c>
      <c r="N28" s="16">
        <v>0.637133404493609</v>
      </c>
      <c r="O28" s="14" t="s">
        <v>90</v>
      </c>
      <c r="P28" s="16">
        <v>0.07204711417972963</v>
      </c>
      <c r="Q28" s="14"/>
      <c r="R28" s="14" t="s">
        <v>166</v>
      </c>
    </row>
    <row r="29" spans="1:18" ht="52" customHeight="1" x14ac:dyDescent="0.25">
      <c r="A29" s="13" t="s">
        <v>167</v>
      </c>
      <c r="B29" s="14" t="s">
        <v>168</v>
      </c>
      <c r="C29" s="13" t="s">
        <v>47</v>
      </c>
      <c r="D29" s="15">
        <v>66</v>
      </c>
      <c r="E29" s="13" t="s">
        <v>85</v>
      </c>
      <c r="F29" s="13" t="s">
        <v>169</v>
      </c>
      <c r="G29" s="14" t="s">
        <v>170</v>
      </c>
      <c r="H29" s="16">
        <v>0.4695200974274228</v>
      </c>
      <c r="I29" s="16">
        <v>0.2756887014561522</v>
      </c>
      <c r="J29" s="16">
        <v>0.3028973021444181</v>
      </c>
      <c r="K29" s="16">
        <v>0.3172523106589988</v>
      </c>
      <c r="L29" s="13" t="s">
        <v>88</v>
      </c>
      <c r="M29" s="13" t="s">
        <v>89</v>
      </c>
      <c r="N29" s="16">
        <v>0.6443748408816558</v>
      </c>
      <c r="O29" s="14" t="s">
        <v>90</v>
      </c>
      <c r="P29" s="16">
        <v>0.02484302718220105</v>
      </c>
      <c r="Q29" s="14"/>
      <c r="R29" s="14" t="s">
        <v>171</v>
      </c>
    </row>
    <row r="30" spans="1:18" ht="52" customHeight="1" x14ac:dyDescent="0.25">
      <c r="A30" s="13" t="s">
        <v>172</v>
      </c>
      <c r="B30" s="14" t="s">
        <v>173</v>
      </c>
      <c r="C30" s="13" t="s">
        <v>47</v>
      </c>
      <c r="D30" s="15">
        <v>70</v>
      </c>
      <c r="E30" s="13" t="s">
        <v>85</v>
      </c>
      <c r="F30" s="13" t="s">
        <v>169</v>
      </c>
      <c r="G30" s="14" t="s">
        <v>170</v>
      </c>
      <c r="H30" s="16">
        <v>0.4695200974274228</v>
      </c>
      <c r="I30" s="16">
        <v>0.2756887014561522</v>
      </c>
      <c r="J30" s="16">
        <v>0.3028973021444181</v>
      </c>
      <c r="K30" s="16">
        <v>0.3172523106589988</v>
      </c>
      <c r="L30" s="13" t="s">
        <v>88</v>
      </c>
      <c r="M30" s="13" t="s">
        <v>89</v>
      </c>
      <c r="N30" s="16">
        <v>0.6443748408816558</v>
      </c>
      <c r="O30" s="14" t="s">
        <v>90</v>
      </c>
      <c r="P30" s="16">
        <v>0.02484302718220105</v>
      </c>
      <c r="Q30" s="14"/>
      <c r="R30" s="14" t="s">
        <v>171</v>
      </c>
    </row>
    <row r="31" spans="1:18" ht="39" customHeight="1" x14ac:dyDescent="0.25">
      <c r="A31" s="13" t="s">
        <v>174</v>
      </c>
      <c r="B31" s="14" t="s">
        <v>175</v>
      </c>
      <c r="C31" s="13" t="s">
        <v>45</v>
      </c>
      <c r="D31" s="15">
        <v>51</v>
      </c>
      <c r="E31" s="13" t="s">
        <v>130</v>
      </c>
      <c r="F31" s="13" t="s">
        <v>142</v>
      </c>
      <c r="G31" s="14" t="s">
        <v>176</v>
      </c>
      <c r="H31" s="16">
        <v>0.3742985573107679</v>
      </c>
      <c r="I31" s="16">
        <v>0.1906932149068613</v>
      </c>
      <c r="J31" s="16">
        <v>0.2547096306904688</v>
      </c>
      <c r="K31" s="16">
        <v>0.3097043950478826</v>
      </c>
      <c r="L31" s="13" t="s">
        <v>88</v>
      </c>
      <c r="M31" s="13" t="s">
        <v>89</v>
      </c>
      <c r="N31" s="16">
        <v>0.6930158619892629</v>
      </c>
      <c r="O31" s="14" t="s">
        <v>90</v>
      </c>
      <c r="P31" s="16">
        <v>0.1057466635317154</v>
      </c>
      <c r="Q31" s="14" t="s">
        <v>177</v>
      </c>
      <c r="R31" s="14" t="s">
        <v>178</v>
      </c>
    </row>
    <row r="32" spans="1:18" ht="52" customHeight="1" x14ac:dyDescent="0.25">
      <c r="A32" s="13" t="s">
        <v>179</v>
      </c>
      <c r="B32" s="14" t="s">
        <v>180</v>
      </c>
      <c r="C32" s="13" t="s">
        <v>45</v>
      </c>
      <c r="D32" s="15">
        <v>40</v>
      </c>
      <c r="E32" s="13" t="s">
        <v>130</v>
      </c>
      <c r="F32" s="13" t="s">
        <v>169</v>
      </c>
      <c r="G32" s="14" t="s">
        <v>170</v>
      </c>
      <c r="H32" s="16">
        <v>0.3742985573107679</v>
      </c>
      <c r="I32" s="16">
        <v>0.1415850425168837</v>
      </c>
      <c r="J32" s="16">
        <v>0.1930481049375712</v>
      </c>
      <c r="K32" s="16">
        <v>0.2389987671089147</v>
      </c>
      <c r="L32" s="13" t="s">
        <v>88</v>
      </c>
      <c r="M32" s="13" t="s">
        <v>89</v>
      </c>
      <c r="N32" s="16">
        <v>0.612440370848706</v>
      </c>
      <c r="O32" s="14" t="s">
        <v>90</v>
      </c>
      <c r="P32" s="16">
        <v>0.07644789750061205</v>
      </c>
      <c r="Q32" s="14" t="s">
        <v>157</v>
      </c>
      <c r="R32" s="14" t="s">
        <v>181</v>
      </c>
    </row>
    <row r="33" spans="1:18" ht="52" customHeight="1" x14ac:dyDescent="0.25">
      <c r="A33" s="13" t="s">
        <v>182</v>
      </c>
      <c r="B33" s="14" t="s">
        <v>183</v>
      </c>
      <c r="C33" s="13" t="s">
        <v>48</v>
      </c>
      <c r="D33" s="15">
        <v>37</v>
      </c>
      <c r="E33" s="13" t="s">
        <v>130</v>
      </c>
      <c r="F33" s="13" t="s">
        <v>86</v>
      </c>
      <c r="G33" s="14" t="s">
        <v>87</v>
      </c>
      <c r="H33" s="16">
        <v>0.1012362535335929</v>
      </c>
      <c r="I33" s="16">
        <v>0.1352483882473338</v>
      </c>
      <c r="J33" s="16">
        <v>0.1578188737369246</v>
      </c>
      <c r="K33" s="16">
        <v>0.1838592821635703</v>
      </c>
      <c r="L33" s="13" t="s">
        <v>88</v>
      </c>
      <c r="M33" s="13" t="s">
        <v>89</v>
      </c>
      <c r="N33" s="16">
        <v>0.3782941938692249</v>
      </c>
      <c r="O33" s="14" t="s">
        <v>90</v>
      </c>
      <c r="P33" s="16">
        <v>0.05926710376598671</v>
      </c>
      <c r="Q33" s="14"/>
      <c r="R33" s="14" t="s">
        <v>184</v>
      </c>
    </row>
    <row r="34" spans="1:18" ht="39" customHeight="1" x14ac:dyDescent="0.25">
      <c r="A34" s="13" t="s">
        <v>185</v>
      </c>
      <c r="B34" s="14" t="s">
        <v>186</v>
      </c>
      <c r="C34" s="13" t="s">
        <v>47</v>
      </c>
      <c r="D34" s="15">
        <v>31</v>
      </c>
      <c r="E34" s="13" t="s">
        <v>130</v>
      </c>
      <c r="F34" s="13" t="s">
        <v>169</v>
      </c>
      <c r="G34" s="14" t="s">
        <v>187</v>
      </c>
      <c r="H34" s="16">
        <v>0.2391779427856761</v>
      </c>
      <c r="I34" s="16">
        <v>0.1335455827539208</v>
      </c>
      <c r="J34" s="16">
        <v>0.1618526808735856</v>
      </c>
      <c r="K34" s="16">
        <v>0.1803664638837456</v>
      </c>
      <c r="L34" s="13" t="s">
        <v>88</v>
      </c>
      <c r="M34" s="13" t="s">
        <v>89</v>
      </c>
      <c r="N34" s="16">
        <v>0.434445840528048</v>
      </c>
      <c r="O34" s="14" t="s">
        <v>90</v>
      </c>
      <c r="P34" s="16">
        <v>0.03285198862744772</v>
      </c>
      <c r="Q34" s="14"/>
      <c r="R34" s="14" t="s">
        <v>188</v>
      </c>
    </row>
    <row r="35" spans="1:18" ht="52" customHeight="1" x14ac:dyDescent="0.25">
      <c r="A35" s="13" t="s">
        <v>189</v>
      </c>
      <c r="B35" s="14" t="s">
        <v>190</v>
      </c>
      <c r="C35" s="13" t="s">
        <v>47</v>
      </c>
      <c r="D35" s="15">
        <v>52</v>
      </c>
      <c r="E35" s="13" t="s">
        <v>130</v>
      </c>
      <c r="F35" s="13" t="s">
        <v>169</v>
      </c>
      <c r="G35" s="14" t="s">
        <v>170</v>
      </c>
      <c r="H35" s="16">
        <v>0.2391779427856761</v>
      </c>
      <c r="I35" s="16">
        <v>0.1036186399805328</v>
      </c>
      <c r="J35" s="16">
        <v>0.1265084433317877</v>
      </c>
      <c r="K35" s="16">
        <v>0.1416626455221195</v>
      </c>
      <c r="L35" s="13" t="s">
        <v>88</v>
      </c>
      <c r="M35" s="13" t="s">
        <v>89</v>
      </c>
      <c r="N35" s="16">
        <v>0.3655357521696331</v>
      </c>
      <c r="O35" s="14" t="s">
        <v>90</v>
      </c>
      <c r="P35" s="16">
        <v>0.02484302718220105</v>
      </c>
      <c r="Q35" s="14"/>
      <c r="R35" s="14" t="s">
        <v>171</v>
      </c>
    </row>
    <row r="36" spans="1:18" ht="52" customHeight="1" x14ac:dyDescent="0.25">
      <c r="A36" s="13" t="s">
        <v>191</v>
      </c>
      <c r="B36" s="14" t="s">
        <v>192</v>
      </c>
      <c r="C36" s="13" t="s">
        <v>48</v>
      </c>
      <c r="D36" s="15">
        <v>36</v>
      </c>
      <c r="E36" s="13" t="s">
        <v>130</v>
      </c>
      <c r="F36" s="13" t="s">
        <v>142</v>
      </c>
      <c r="G36" s="14" t="s">
        <v>176</v>
      </c>
      <c r="H36" s="16">
        <v>0.1012362535335929</v>
      </c>
      <c r="I36" s="16">
        <v>0.05540122454707554</v>
      </c>
      <c r="J36" s="16">
        <v>0.06565841316167774</v>
      </c>
      <c r="K36" s="16">
        <v>0.0778987341502909</v>
      </c>
      <c r="L36" s="13" t="s">
        <v>88</v>
      </c>
      <c r="M36" s="13" t="s">
        <v>89</v>
      </c>
      <c r="N36" s="16">
        <v>0.1857865577641682</v>
      </c>
      <c r="O36" s="14" t="s">
        <v>90</v>
      </c>
      <c r="P36" s="16">
        <v>0.02308009541855786</v>
      </c>
      <c r="Q36" s="14"/>
      <c r="R36" s="14" t="s">
        <v>193</v>
      </c>
    </row>
  </sheetData>
  <mergeCells count="9">
    <mergeCell ref="A1:R1"/>
    <mergeCell ref="A2:R2"/>
    <mergeCell ref="A4:B4"/>
    <mergeCell ref="C4:D4"/>
    <mergeCell ref="E4:F4"/>
    <mergeCell ref="G4:H4"/>
    <mergeCell ref="I4:J4"/>
    <mergeCell ref="K4:L4"/>
    <mergeCell ref="M4:R4"/>
  </mergeCells>
  <conditionalFormatting sqref="K7:K36">
    <cfRule type="dataBar" priority="1">
      <dataBar>
        <cfvo type="num" val="0"/>
        <cfvo type="num" val="1"/>
        <color rgb="FFC0392B"/>
      </dataBar>
      <extLst>
        <ext xmlns:x14="http://schemas.microsoft.com/office/spreadsheetml/2009/9/main" uri="{B025F937-C7B1-47D3-B67F-A62EFF666E3E}">
          <x14:id>{DA7ABA51-AAAA-BBBB-0003-000000000001}</x14:id>
        </ext>
      </extLst>
    </cfRule>
  </conditionalFormatting>
  <conditionalFormatting sqref="L7:L36">
    <cfRule type="cellIs" dxfId="4" priority="2" operator="equal">
      <formula>"HYBRID"</formula>
    </cfRule>
  </conditionalFormatting>
  <hyperlinks>
    <hyperlink ref="A4" location="'JEV Synthèse'!A1" display="JEV Synthèse"/>
    <hyperlink ref="C4" location="'JEV Contreparties'!A1" display="JEV Contreparties"/>
    <hyperlink ref="E4" location="'JEV Segments'!A1" display="JEV Segments"/>
    <hyperlink ref="G4" location="'JEV Portefeuille'!A1" display="JEV Portefeuille"/>
    <hyperlink ref="I4" location="'JEV Scénarios'!A1" display="JEV Scénarios"/>
    <hyperlink ref="K4" location="'JEV Matrices'!A1" display="JEV Matrices"/>
    <hyperlink ref="M4" location="'JEV Provenance'!A1" display="JEV Provenanc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3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C0392B"/>
              <x14:negativeFillColor rgb="FFFF0000"/>
              <x14:negativeBorderColor rgb="FFFF0000"/>
              <x14:axisColor rgb="FF000000"/>
            </x14:dataBar>
          </x14:cfRule>
          <xm:sqref>K7:K36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L134"/>
  <sheetViews>
    <sheetView showGridLines="0" workbookViewId="0"/>
  </sheetViews>
  <sheetFormatPr defaultRowHeight="15"/>
  <cols>
    <col min="1" max="1" width="34.7109375" customWidth="1"/>
    <col min="2" max="12" width="11.7109375" customWidth="1"/>
  </cols>
  <sheetData>
    <row r="1" spans="1:12" ht="30" customHeight="1">
      <c r="A1" s="1" t="s">
        <v>194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195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22" customHeight="1">
      <c r="A4" s="5" t="s">
        <v>2</v>
      </c>
      <c r="B4" s="5" t="s">
        <v>3</v>
      </c>
      <c r="C4" s="5" t="s">
        <v>4</v>
      </c>
      <c r="D4" s="4" t="s">
        <v>5</v>
      </c>
      <c r="E4" s="5" t="s">
        <v>6</v>
      </c>
      <c r="F4" s="5" t="s">
        <v>7</v>
      </c>
      <c r="G4" s="5" t="s">
        <v>8</v>
      </c>
      <c r="H4" s="5"/>
      <c r="I4" s="5"/>
      <c r="J4" s="5"/>
      <c r="K4" s="5"/>
      <c r="L4" s="5"/>
    </row>
    <row r="6" spans="1:12" ht="30" customHeight="1">
      <c r="A6" s="6" t="s">
        <v>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8" spans="1:12">
      <c r="A8" s="12" t="s">
        <v>196</v>
      </c>
      <c r="B8" s="12" t="s">
        <v>33</v>
      </c>
      <c r="C8" s="12" t="s">
        <v>34</v>
      </c>
      <c r="D8" s="12" t="s">
        <v>35</v>
      </c>
      <c r="E8" s="12" t="s">
        <v>36</v>
      </c>
      <c r="F8" s="12" t="s">
        <v>37</v>
      </c>
      <c r="G8" s="12" t="s">
        <v>38</v>
      </c>
      <c r="H8" s="12" t="s">
        <v>39</v>
      </c>
      <c r="I8" s="12" t="s">
        <v>40</v>
      </c>
      <c r="J8" s="12" t="s">
        <v>41</v>
      </c>
      <c r="K8" s="12" t="s">
        <v>42</v>
      </c>
      <c r="L8" s="12" t="s">
        <v>43</v>
      </c>
    </row>
    <row r="9" spans="1:12">
      <c r="A9" s="13" t="s">
        <v>197</v>
      </c>
      <c r="B9" s="16">
        <v>0.9709986952715982</v>
      </c>
      <c r="C9" s="16">
        <v>0.9516159930874895</v>
      </c>
      <c r="D9" s="16">
        <v>0.9365344393542344</v>
      </c>
      <c r="E9" s="16">
        <v>0.9235187089794654</v>
      </c>
      <c r="F9" s="16">
        <v>0.9115548672105844</v>
      </c>
      <c r="G9" s="16">
        <v>0.9001651682858783</v>
      </c>
      <c r="H9" s="16">
        <v>0.889120279006208</v>
      </c>
      <c r="I9" s="16">
        <v>0.878308892858862</v>
      </c>
      <c r="J9" s="16">
        <v>0.8676764120362628</v>
      </c>
      <c r="K9" s="16">
        <v>0.8571956211528968</v>
      </c>
      <c r="L9" s="16">
        <v>0.8468525584751863</v>
      </c>
    </row>
    <row r="10" spans="1:12">
      <c r="A10" s="13" t="s">
        <v>130</v>
      </c>
      <c r="B10" s="16">
        <v>0.02052882789145981</v>
      </c>
      <c r="C10" s="16">
        <v>0.02805426246621531</v>
      </c>
      <c r="D10" s="16">
        <v>0.03103791556755132</v>
      </c>
      <c r="E10" s="16">
        <v>0.03218233250668048</v>
      </c>
      <c r="F10" s="16">
        <v>0.03251150022885173</v>
      </c>
      <c r="G10" s="16">
        <v>0.03246319138658461</v>
      </c>
      <c r="H10" s="16">
        <v>0.03223754399092722</v>
      </c>
      <c r="I10" s="16">
        <v>0.03192904659720358</v>
      </c>
      <c r="J10" s="16">
        <v>0.03158294375228415</v>
      </c>
      <c r="K10" s="16">
        <v>0.03122102136790606</v>
      </c>
      <c r="L10" s="16">
        <v>0.0308537830913895</v>
      </c>
    </row>
    <row r="11" spans="1:12">
      <c r="A11" s="13" t="s">
        <v>85</v>
      </c>
      <c r="B11" s="16">
        <v>0.00513633586021239</v>
      </c>
      <c r="C11" s="16">
        <v>0.01009035620695626</v>
      </c>
      <c r="D11" s="16">
        <v>0.01291455837861381</v>
      </c>
      <c r="E11" s="16">
        <v>0.01429121072665545</v>
      </c>
      <c r="F11" s="16">
        <v>0.01488270844736542</v>
      </c>
      <c r="G11" s="16">
        <v>0.01507766815976868</v>
      </c>
      <c r="H11" s="16">
        <v>0.01507815581754671</v>
      </c>
      <c r="I11" s="16">
        <v>0.01498486166487326</v>
      </c>
      <c r="J11" s="16">
        <v>0.0148471221661334</v>
      </c>
      <c r="K11" s="16">
        <v>0.0146889395822713</v>
      </c>
      <c r="L11" s="16">
        <v>0.01452195096378926</v>
      </c>
    </row>
    <row r="12" spans="1:12">
      <c r="A12" s="13" t="s">
        <v>198</v>
      </c>
      <c r="B12" s="16">
        <v>0.003336140976729591</v>
      </c>
      <c r="C12" s="16">
        <v>0.01023938823933893</v>
      </c>
      <c r="D12" s="16">
        <v>0.01951308669960039</v>
      </c>
      <c r="E12" s="16">
        <v>0.03000774778719854</v>
      </c>
      <c r="F12" s="16">
        <v>0.04105092411319828</v>
      </c>
      <c r="G12" s="16">
        <v>0.05229397216776828</v>
      </c>
      <c r="H12" s="16">
        <v>0.0635640211853179</v>
      </c>
      <c r="I12" s="16">
        <v>0.07477719887906101</v>
      </c>
      <c r="J12" s="16">
        <v>0.08589352204531957</v>
      </c>
      <c r="K12" s="16">
        <v>0.09689441789692575</v>
      </c>
      <c r="L12" s="16">
        <v>0.1077717074696349</v>
      </c>
    </row>
    <row r="15" spans="1:12">
      <c r="A15" s="10" t="s">
        <v>199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>
      <c r="A16" s="12" t="s">
        <v>200</v>
      </c>
      <c r="B16" s="12" t="s">
        <v>201</v>
      </c>
      <c r="C16" s="12" t="s">
        <v>202</v>
      </c>
    </row>
    <row r="17" spans="1:3">
      <c r="A17" s="10" t="s">
        <v>203</v>
      </c>
      <c r="C17" s="16">
        <v>0.8192360916334702</v>
      </c>
    </row>
    <row r="18" spans="1:3">
      <c r="A18" s="13" t="s">
        <v>204</v>
      </c>
      <c r="B18" s="16">
        <v>0.3999794512425623</v>
      </c>
    </row>
    <row r="19" spans="1:3">
      <c r="A19" s="13" t="s">
        <v>205</v>
      </c>
      <c r="B19" s="16">
        <v>0.2938392586863365</v>
      </c>
    </row>
    <row r="20" spans="1:3">
      <c r="A20" s="13" t="s">
        <v>206</v>
      </c>
      <c r="B20" s="16">
        <v>0.1254173817045714</v>
      </c>
    </row>
    <row r="21" spans="1:3">
      <c r="A21" s="10" t="s">
        <v>207</v>
      </c>
      <c r="C21" s="16">
        <v>0.814085716050425</v>
      </c>
    </row>
    <row r="22" spans="1:3">
      <c r="A22" s="13" t="s">
        <v>204</v>
      </c>
      <c r="B22" s="16">
        <v>0.3742985573107679</v>
      </c>
    </row>
    <row r="23" spans="1:3">
      <c r="A23" s="13" t="s">
        <v>205</v>
      </c>
      <c r="B23" s="16">
        <v>0.2622671673960825</v>
      </c>
    </row>
    <row r="24" spans="1:3">
      <c r="A24" s="13" t="s">
        <v>208</v>
      </c>
      <c r="B24" s="16">
        <v>0.1775199913435745</v>
      </c>
    </row>
    <row r="25" spans="1:3">
      <c r="A25" s="10" t="s">
        <v>209</v>
      </c>
      <c r="C25" s="16">
        <v>0.7370114303602556</v>
      </c>
    </row>
    <row r="26" spans="1:3">
      <c r="A26" s="13" t="s">
        <v>204</v>
      </c>
      <c r="B26" s="16">
        <v>0.3742985573107679</v>
      </c>
    </row>
    <row r="27" spans="1:3">
      <c r="A27" s="13" t="s">
        <v>205</v>
      </c>
      <c r="B27" s="16">
        <v>0.2622671673960825</v>
      </c>
    </row>
    <row r="28" spans="1:3">
      <c r="A28" s="13" t="s">
        <v>210</v>
      </c>
      <c r="B28" s="16">
        <v>0.1004457056534052</v>
      </c>
    </row>
    <row r="29" spans="1:3">
      <c r="A29" s="10" t="s">
        <v>211</v>
      </c>
      <c r="C29" s="16">
        <v>0.7311283466602289</v>
      </c>
    </row>
    <row r="30" spans="1:3">
      <c r="A30" s="13" t="s">
        <v>204</v>
      </c>
      <c r="B30" s="16">
        <v>0.3999794512425623</v>
      </c>
    </row>
    <row r="31" spans="1:3">
      <c r="A31" s="13" t="s">
        <v>205</v>
      </c>
      <c r="B31" s="16">
        <v>0.2938392586863365</v>
      </c>
    </row>
    <row r="32" spans="1:3">
      <c r="A32" s="13" t="s">
        <v>212</v>
      </c>
      <c r="B32" s="16">
        <v>0.03730963673133003</v>
      </c>
    </row>
    <row r="33" spans="1:3">
      <c r="A33" s="10" t="s">
        <v>213</v>
      </c>
      <c r="C33" s="16">
        <v>0.7103246773769448</v>
      </c>
    </row>
    <row r="34" spans="1:3">
      <c r="A34" s="13" t="s">
        <v>204</v>
      </c>
      <c r="B34" s="16">
        <v>0.3742985573107679</v>
      </c>
    </row>
    <row r="35" spans="1:3">
      <c r="A35" s="13" t="s">
        <v>205</v>
      </c>
      <c r="B35" s="16">
        <v>0.2622671673960825</v>
      </c>
    </row>
    <row r="36" spans="1:3">
      <c r="A36" s="13" t="s">
        <v>214</v>
      </c>
      <c r="B36" s="16">
        <v>0.07375895267009436</v>
      </c>
    </row>
    <row r="37" spans="1:3">
      <c r="A37" s="10" t="s">
        <v>215</v>
      </c>
      <c r="C37" s="16">
        <v>0.6948417159733646</v>
      </c>
    </row>
    <row r="38" spans="1:3">
      <c r="A38" s="13" t="s">
        <v>204</v>
      </c>
      <c r="B38" s="16">
        <v>0.3742985573107679</v>
      </c>
    </row>
    <row r="39" spans="1:3">
      <c r="A39" s="13" t="s">
        <v>205</v>
      </c>
      <c r="B39" s="16">
        <v>0.2622671673960825</v>
      </c>
    </row>
    <row r="40" spans="1:3">
      <c r="A40" s="13" t="s">
        <v>216</v>
      </c>
      <c r="B40" s="16">
        <v>0.05827599126651417</v>
      </c>
    </row>
    <row r="41" spans="1:3">
      <c r="A41" s="10" t="s">
        <v>217</v>
      </c>
      <c r="C41" s="16">
        <v>0.6938187099288988</v>
      </c>
    </row>
    <row r="42" spans="1:3">
      <c r="A42" s="13" t="s">
        <v>204</v>
      </c>
      <c r="B42" s="16">
        <v>0.3999794512425623</v>
      </c>
    </row>
    <row r="43" spans="1:3">
      <c r="A43" s="13" t="s">
        <v>205</v>
      </c>
      <c r="B43" s="16">
        <v>0.2938392586863365</v>
      </c>
    </row>
    <row r="44" spans="1:3">
      <c r="A44" s="10" t="s">
        <v>218</v>
      </c>
      <c r="C44" s="16">
        <v>0.6480085314985826</v>
      </c>
    </row>
    <row r="45" spans="1:3">
      <c r="A45" s="13" t="s">
        <v>204</v>
      </c>
      <c r="B45" s="16">
        <v>0.2391779427856761</v>
      </c>
    </row>
    <row r="46" spans="1:3">
      <c r="A46" s="13" t="s">
        <v>205</v>
      </c>
      <c r="B46" s="16">
        <v>0.2303421546417468</v>
      </c>
    </row>
    <row r="47" spans="1:3">
      <c r="A47" s="13" t="s">
        <v>210</v>
      </c>
      <c r="B47" s="16">
        <v>0.1165960672192404</v>
      </c>
    </row>
    <row r="48" spans="1:3">
      <c r="A48" s="13" t="s">
        <v>219</v>
      </c>
      <c r="B48" s="16">
        <v>0.06189236685191934</v>
      </c>
    </row>
    <row r="49" spans="1:3">
      <c r="A49" s="10" t="s">
        <v>220</v>
      </c>
      <c r="C49" s="16">
        <v>0.6365657247068505</v>
      </c>
    </row>
    <row r="50" spans="1:3">
      <c r="A50" s="13" t="s">
        <v>204</v>
      </c>
      <c r="B50" s="16">
        <v>0.3742985573107679</v>
      </c>
    </row>
    <row r="51" spans="1:3">
      <c r="A51" s="13" t="s">
        <v>205</v>
      </c>
      <c r="B51" s="16">
        <v>0.2622671673960825</v>
      </c>
    </row>
    <row r="52" spans="1:3">
      <c r="A52" s="10" t="s">
        <v>221</v>
      </c>
      <c r="C52" s="16">
        <v>0.6365657247068505</v>
      </c>
    </row>
    <row r="53" spans="1:3">
      <c r="A53" s="13" t="s">
        <v>204</v>
      </c>
      <c r="B53" s="16">
        <v>0.3742985573107679</v>
      </c>
    </row>
    <row r="54" spans="1:3">
      <c r="A54" s="13" t="s">
        <v>205</v>
      </c>
      <c r="B54" s="16">
        <v>0.2622671673960825</v>
      </c>
    </row>
    <row r="55" spans="1:3">
      <c r="A55" s="10" t="s">
        <v>222</v>
      </c>
      <c r="C55" s="16">
        <v>0.5161076493634182</v>
      </c>
    </row>
    <row r="56" spans="1:3">
      <c r="A56" s="13" t="s">
        <v>223</v>
      </c>
      <c r="B56" s="16">
        <v>0.1199748678360338</v>
      </c>
    </row>
    <row r="57" spans="1:3">
      <c r="A57" s="13" t="s">
        <v>224</v>
      </c>
      <c r="B57" s="16">
        <v>0.2800045834065285</v>
      </c>
    </row>
    <row r="58" spans="1:3">
      <c r="A58" s="13" t="s">
        <v>210</v>
      </c>
      <c r="B58" s="16">
        <v>0.116128198120856</v>
      </c>
    </row>
    <row r="59" spans="1:3">
      <c r="A59" s="10" t="s">
        <v>225</v>
      </c>
      <c r="C59" s="16">
        <v>0.4695200974274228</v>
      </c>
    </row>
    <row r="60" spans="1:3">
      <c r="A60" s="13" t="s">
        <v>204</v>
      </c>
      <c r="B60" s="16">
        <v>0.2391779427856761</v>
      </c>
    </row>
    <row r="61" spans="1:3">
      <c r="A61" s="13" t="s">
        <v>205</v>
      </c>
      <c r="B61" s="16">
        <v>0.2303421546417468</v>
      </c>
    </row>
    <row r="62" spans="1:3">
      <c r="A62" s="10" t="s">
        <v>226</v>
      </c>
      <c r="C62" s="16">
        <v>0.4642644184217922</v>
      </c>
    </row>
    <row r="63" spans="1:3">
      <c r="A63" s="13" t="s">
        <v>223</v>
      </c>
      <c r="B63" s="16">
        <v>0.1199748678360338</v>
      </c>
    </row>
    <row r="64" spans="1:3">
      <c r="A64" s="13" t="s">
        <v>224</v>
      </c>
      <c r="B64" s="16">
        <v>0.2800045834065285</v>
      </c>
    </row>
    <row r="65" spans="1:3">
      <c r="A65" s="13" t="s">
        <v>216</v>
      </c>
      <c r="B65" s="16">
        <v>0.06428496717922993</v>
      </c>
    </row>
    <row r="66" spans="1:3">
      <c r="A66" s="10" t="s">
        <v>227</v>
      </c>
      <c r="C66" s="16">
        <v>0.4642644184217922</v>
      </c>
    </row>
    <row r="67" spans="1:3">
      <c r="A67" s="13" t="s">
        <v>223</v>
      </c>
      <c r="B67" s="16">
        <v>0.1199748678360338</v>
      </c>
    </row>
    <row r="68" spans="1:3">
      <c r="A68" s="13" t="s">
        <v>224</v>
      </c>
      <c r="B68" s="16">
        <v>0.2800045834065285</v>
      </c>
    </row>
    <row r="69" spans="1:3">
      <c r="A69" s="13" t="s">
        <v>219</v>
      </c>
      <c r="B69" s="16">
        <v>0.06428496717922993</v>
      </c>
    </row>
    <row r="70" spans="1:3">
      <c r="A70" s="10" t="s">
        <v>228</v>
      </c>
      <c r="C70" s="16">
        <v>0.4642644184217922</v>
      </c>
    </row>
    <row r="71" spans="1:3">
      <c r="A71" s="13" t="s">
        <v>223</v>
      </c>
      <c r="B71" s="16">
        <v>0.1199748678360338</v>
      </c>
    </row>
    <row r="72" spans="1:3">
      <c r="A72" s="13" t="s">
        <v>224</v>
      </c>
      <c r="B72" s="16">
        <v>0.2800045834065285</v>
      </c>
    </row>
    <row r="73" spans="1:3">
      <c r="A73" s="13" t="s">
        <v>216</v>
      </c>
      <c r="B73" s="16">
        <v>0.06428496717922993</v>
      </c>
    </row>
    <row r="74" spans="1:3">
      <c r="A74" s="10" t="s">
        <v>229</v>
      </c>
      <c r="C74" s="16">
        <v>0.4444233036670445</v>
      </c>
    </row>
    <row r="75" spans="1:3">
      <c r="A75" s="13" t="s">
        <v>223</v>
      </c>
      <c r="B75" s="16">
        <v>0.1199748678360338</v>
      </c>
    </row>
    <row r="76" spans="1:3">
      <c r="A76" s="13" t="s">
        <v>224</v>
      </c>
      <c r="B76" s="16">
        <v>0.2800045834065285</v>
      </c>
    </row>
    <row r="77" spans="1:3">
      <c r="A77" s="13" t="s">
        <v>212</v>
      </c>
      <c r="B77" s="16">
        <v>0.04444385242448218</v>
      </c>
    </row>
    <row r="78" spans="1:3">
      <c r="A78" s="10" t="s">
        <v>230</v>
      </c>
      <c r="C78" s="16">
        <v>0.4374653317407829</v>
      </c>
    </row>
    <row r="79" spans="1:3">
      <c r="A79" s="13" t="s">
        <v>223</v>
      </c>
      <c r="B79" s="16">
        <v>0.1361948349147899</v>
      </c>
    </row>
    <row r="80" spans="1:3">
      <c r="A80" s="13" t="s">
        <v>224</v>
      </c>
      <c r="B80" s="16">
        <v>0.238103722395978</v>
      </c>
    </row>
    <row r="81" spans="1:3">
      <c r="A81" s="13" t="s">
        <v>219</v>
      </c>
      <c r="B81" s="16">
        <v>0.063166774430015</v>
      </c>
    </row>
    <row r="82" spans="1:3">
      <c r="A82" s="10" t="s">
        <v>231</v>
      </c>
      <c r="C82" s="16">
        <v>0.4178761786149026</v>
      </c>
    </row>
    <row r="83" spans="1:3">
      <c r="A83" s="13" t="s">
        <v>223</v>
      </c>
      <c r="B83" s="16">
        <v>0.1361948349147899</v>
      </c>
    </row>
    <row r="84" spans="1:3">
      <c r="A84" s="13" t="s">
        <v>224</v>
      </c>
      <c r="B84" s="16">
        <v>0.238103722395978</v>
      </c>
    </row>
    <row r="85" spans="1:3">
      <c r="A85" s="13" t="s">
        <v>212</v>
      </c>
      <c r="B85" s="16">
        <v>0.04357762130413462</v>
      </c>
    </row>
    <row r="86" spans="1:3">
      <c r="A86" s="10" t="s">
        <v>232</v>
      </c>
      <c r="C86" s="16">
        <v>0.3999794512425623</v>
      </c>
    </row>
    <row r="87" spans="1:3">
      <c r="A87" s="13" t="s">
        <v>223</v>
      </c>
      <c r="B87" s="16">
        <v>0.1199748678360338</v>
      </c>
    </row>
    <row r="88" spans="1:3">
      <c r="A88" s="13" t="s">
        <v>224</v>
      </c>
      <c r="B88" s="16">
        <v>0.2800045834065285</v>
      </c>
    </row>
    <row r="89" spans="1:3">
      <c r="A89" s="10" t="s">
        <v>233</v>
      </c>
      <c r="C89" s="16">
        <v>0.3999794512425623</v>
      </c>
    </row>
    <row r="90" spans="1:3">
      <c r="A90" s="13" t="s">
        <v>223</v>
      </c>
      <c r="B90" s="16">
        <v>0.1199748678360338</v>
      </c>
    </row>
    <row r="91" spans="1:3">
      <c r="A91" s="13" t="s">
        <v>224</v>
      </c>
      <c r="B91" s="16">
        <v>0.2800045834065285</v>
      </c>
    </row>
    <row r="92" spans="1:3">
      <c r="A92" s="10" t="s">
        <v>234</v>
      </c>
      <c r="C92" s="16">
        <v>0.3999794512425623</v>
      </c>
    </row>
    <row r="93" spans="1:3">
      <c r="A93" s="13" t="s">
        <v>223</v>
      </c>
      <c r="B93" s="16">
        <v>0.1199748678360338</v>
      </c>
    </row>
    <row r="94" spans="1:3">
      <c r="A94" s="13" t="s">
        <v>224</v>
      </c>
      <c r="B94" s="16">
        <v>0.2800045834065285</v>
      </c>
    </row>
    <row r="95" spans="1:3">
      <c r="A95" s="10" t="s">
        <v>235</v>
      </c>
      <c r="C95" s="16">
        <v>0.3346588931044845</v>
      </c>
    </row>
    <row r="96" spans="1:3">
      <c r="A96" s="13" t="s">
        <v>223</v>
      </c>
      <c r="B96" s="16">
        <v>0.04627981914257438</v>
      </c>
    </row>
    <row r="97" spans="1:3">
      <c r="A97" s="13" t="s">
        <v>224</v>
      </c>
      <c r="B97" s="16">
        <v>0.1928981236431017</v>
      </c>
    </row>
    <row r="98" spans="1:3">
      <c r="A98" s="13" t="s">
        <v>210</v>
      </c>
      <c r="B98" s="16">
        <v>0.09548095031880841</v>
      </c>
    </row>
    <row r="99" spans="1:3">
      <c r="A99" s="10" t="s">
        <v>236</v>
      </c>
      <c r="C99" s="16">
        <v>0.3172523106589988</v>
      </c>
    </row>
    <row r="100" spans="1:3">
      <c r="A100" s="13" t="s">
        <v>204</v>
      </c>
      <c r="B100" s="16">
        <v>0.2391779427856761</v>
      </c>
    </row>
    <row r="101" spans="1:3">
      <c r="A101" s="13" t="s">
        <v>205</v>
      </c>
      <c r="B101" s="16">
        <v>0.2303421546417468</v>
      </c>
    </row>
    <row r="102" spans="1:3">
      <c r="A102" s="13" t="s">
        <v>237</v>
      </c>
      <c r="B102" s="16">
        <v>-0.07054875892585422</v>
      </c>
    </row>
    <row r="103" spans="1:3">
      <c r="A103" s="13" t="s">
        <v>238</v>
      </c>
      <c r="B103" s="16">
        <v>-0.08171902784256968</v>
      </c>
    </row>
    <row r="104" spans="1:3">
      <c r="A104" s="10" t="s">
        <v>239</v>
      </c>
      <c r="C104" s="16">
        <v>0.3172523106589988</v>
      </c>
    </row>
    <row r="105" spans="1:3">
      <c r="A105" s="13" t="s">
        <v>204</v>
      </c>
      <c r="B105" s="16">
        <v>0.2391779427856761</v>
      </c>
    </row>
    <row r="106" spans="1:3">
      <c r="A106" s="13" t="s">
        <v>205</v>
      </c>
      <c r="B106" s="16">
        <v>0.2303421546417468</v>
      </c>
    </row>
    <row r="107" spans="1:3">
      <c r="A107" s="13" t="s">
        <v>237</v>
      </c>
      <c r="B107" s="16">
        <v>-0.07054875892585422</v>
      </c>
    </row>
    <row r="108" spans="1:3">
      <c r="A108" s="13" t="s">
        <v>238</v>
      </c>
      <c r="B108" s="16">
        <v>-0.08171902784256968</v>
      </c>
    </row>
    <row r="109" spans="1:3">
      <c r="A109" s="10" t="s">
        <v>240</v>
      </c>
      <c r="C109" s="16">
        <v>0.3097043950478826</v>
      </c>
    </row>
    <row r="110" spans="1:3">
      <c r="A110" s="13" t="s">
        <v>223</v>
      </c>
      <c r="B110" s="16">
        <v>0.1361948349147899</v>
      </c>
    </row>
    <row r="111" spans="1:3">
      <c r="A111" s="13" t="s">
        <v>224</v>
      </c>
      <c r="B111" s="16">
        <v>0.238103722395978</v>
      </c>
    </row>
    <row r="112" spans="1:3">
      <c r="A112" s="13" t="s">
        <v>237</v>
      </c>
      <c r="B112" s="16">
        <v>-0.06459416226288534</v>
      </c>
    </row>
    <row r="113" spans="1:3">
      <c r="A113" s="10" t="s">
        <v>241</v>
      </c>
      <c r="C113" s="16">
        <v>0.2389987671089147</v>
      </c>
    </row>
    <row r="114" spans="1:3">
      <c r="A114" s="13" t="s">
        <v>223</v>
      </c>
      <c r="B114" s="16">
        <v>0.1361948349147899</v>
      </c>
    </row>
    <row r="115" spans="1:3">
      <c r="A115" s="13" t="s">
        <v>224</v>
      </c>
      <c r="B115" s="16">
        <v>0.238103722395978</v>
      </c>
    </row>
    <row r="116" spans="1:3">
      <c r="A116" s="13" t="s">
        <v>237</v>
      </c>
      <c r="B116" s="16">
        <v>-0.06459416226288534</v>
      </c>
    </row>
    <row r="117" spans="1:3">
      <c r="A117" s="13" t="s">
        <v>238</v>
      </c>
      <c r="B117" s="16">
        <v>-0.07070562793896792</v>
      </c>
    </row>
    <row r="118" spans="1:3">
      <c r="A118" s="10" t="s">
        <v>242</v>
      </c>
      <c r="C118" s="16">
        <v>0.1838592821635703</v>
      </c>
    </row>
    <row r="119" spans="1:3">
      <c r="A119" s="13" t="s">
        <v>223</v>
      </c>
      <c r="B119" s="16">
        <v>0.0305385165990613</v>
      </c>
    </row>
    <row r="120" spans="1:3">
      <c r="A120" s="13" t="s">
        <v>224</v>
      </c>
      <c r="B120" s="16">
        <v>0.07069773693453164</v>
      </c>
    </row>
    <row r="121" spans="1:3">
      <c r="A121" s="13" t="s">
        <v>206</v>
      </c>
      <c r="B121" s="16">
        <v>0.08262302862997731</v>
      </c>
    </row>
    <row r="122" spans="1:3">
      <c r="A122" s="10" t="s">
        <v>243</v>
      </c>
      <c r="C122" s="16">
        <v>0.1803664638837456</v>
      </c>
    </row>
    <row r="123" spans="1:3">
      <c r="A123" s="13" t="s">
        <v>223</v>
      </c>
      <c r="B123" s="16">
        <v>0.04627981914257438</v>
      </c>
    </row>
    <row r="124" spans="1:3">
      <c r="A124" s="13" t="s">
        <v>224</v>
      </c>
      <c r="B124" s="16">
        <v>0.1928981236431017</v>
      </c>
    </row>
    <row r="125" spans="1:3">
      <c r="A125" s="13" t="s">
        <v>238</v>
      </c>
      <c r="B125" s="16">
        <v>-0.0588114789019305</v>
      </c>
    </row>
    <row r="126" spans="1:3">
      <c r="A126" s="10" t="s">
        <v>244</v>
      </c>
      <c r="C126" s="16">
        <v>0.1416626455221195</v>
      </c>
    </row>
    <row r="127" spans="1:3">
      <c r="A127" s="13" t="s">
        <v>223</v>
      </c>
      <c r="B127" s="16">
        <v>0.04627981914257438</v>
      </c>
    </row>
    <row r="128" spans="1:3">
      <c r="A128" s="13" t="s">
        <v>224</v>
      </c>
      <c r="B128" s="16">
        <v>0.1928981236431017</v>
      </c>
    </row>
    <row r="129" spans="1:3">
      <c r="A129" s="13" t="s">
        <v>237</v>
      </c>
      <c r="B129" s="16">
        <v>-0.04838619102475597</v>
      </c>
    </row>
    <row r="130" spans="1:3">
      <c r="A130" s="13" t="s">
        <v>238</v>
      </c>
      <c r="B130" s="16">
        <v>-0.04912910623880062</v>
      </c>
    </row>
    <row r="131" spans="1:3">
      <c r="A131" s="10" t="s">
        <v>245</v>
      </c>
      <c r="C131" s="16">
        <v>0.0778987341502909</v>
      </c>
    </row>
    <row r="132" spans="1:3">
      <c r="A132" s="13" t="s">
        <v>223</v>
      </c>
      <c r="B132" s="16">
        <v>0.0305385165990613</v>
      </c>
    </row>
    <row r="133" spans="1:3">
      <c r="A133" s="13" t="s">
        <v>224</v>
      </c>
      <c r="B133" s="16">
        <v>0.07069773693453164</v>
      </c>
    </row>
    <row r="134" spans="1:3">
      <c r="A134" s="13" t="s">
        <v>237</v>
      </c>
      <c r="B134" s="16">
        <v>-0.02333751938330204</v>
      </c>
    </row>
  </sheetData>
  <mergeCells count="5">
    <mergeCell ref="A1:L1"/>
    <mergeCell ref="A2:L2"/>
    <mergeCell ref="G4:L4"/>
    <mergeCell ref="A6:L6"/>
    <mergeCell ref="A15:L15"/>
  </mergeCells>
  <hyperlinks>
    <hyperlink ref="A4" location="'JEV Synthèse'!A1" display="JEV Synthèse"/>
    <hyperlink ref="B4" location="'JEV Contreparties'!A1" display="JEV Contreparties"/>
    <hyperlink ref="C4" location="'JEV Segments'!A1" display="JEV Segments"/>
    <hyperlink ref="D4" location="'JEV Portefeuille'!A1" display="JEV Portefeuille"/>
    <hyperlink ref="E4" location="'JEV Scénarios'!A1" display="JEV Scénarios"/>
    <hyperlink ref="F4" location="'JEV Matrices'!A1" display="JEV Matrices"/>
    <hyperlink ref="G4" location="'JEV Provenance'!A1" display="JEV Provenanc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M10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14.7109375" customWidth="1"/>
    <col min="2" max="2" width="11.7109375" customWidth="1"/>
    <col min="3" max="5" width="9.7109375" customWidth="1"/>
    <col min="6" max="6" width="10.7109375" customWidth="1"/>
    <col min="7" max="8" width="9.7109375" customWidth="1"/>
    <col min="9" max="10" width="10.7109375" customWidth="1"/>
    <col min="11" max="11" width="11.7109375" customWidth="1"/>
    <col min="12" max="12" width="14.7109375" customWidth="1"/>
    <col min="13" max="13" width="50.7109375" customWidth="1"/>
  </cols>
  <sheetData>
    <row r="1" spans="1:13" ht="30" customHeight="1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8" customHeight="1">
      <c r="A2" s="2" t="s">
        <v>247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22" customHeight="1">
      <c r="A4" s="5" t="s">
        <v>2</v>
      </c>
      <c r="B4" s="5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/>
      <c r="I4" s="5"/>
      <c r="J4" s="5"/>
      <c r="K4" s="5"/>
      <c r="L4" s="5"/>
      <c r="M4" s="5"/>
    </row>
    <row r="6" spans="1:13" ht="36" customHeight="1">
      <c r="A6" s="12" t="s">
        <v>30</v>
      </c>
      <c r="B6" s="12" t="s">
        <v>248</v>
      </c>
      <c r="C6" s="12" t="s">
        <v>249</v>
      </c>
      <c r="D6" s="12" t="s">
        <v>250</v>
      </c>
      <c r="E6" s="12" t="s">
        <v>251</v>
      </c>
      <c r="F6" s="12" t="s">
        <v>252</v>
      </c>
      <c r="G6" s="12" t="s">
        <v>253</v>
      </c>
      <c r="H6" s="12" t="s">
        <v>254</v>
      </c>
      <c r="I6" s="12" t="s">
        <v>255</v>
      </c>
      <c r="J6" s="12" t="s">
        <v>78</v>
      </c>
      <c r="K6" s="12" t="s">
        <v>256</v>
      </c>
      <c r="L6" s="12" t="s">
        <v>257</v>
      </c>
      <c r="M6" s="12" t="s">
        <v>258</v>
      </c>
    </row>
    <row r="7" spans="1:13" ht="26" customHeight="1">
      <c r="A7" s="13" t="s">
        <v>45</v>
      </c>
      <c r="B7" s="17">
        <v>38478</v>
      </c>
      <c r="C7" s="16">
        <v>0.02228452172759349</v>
      </c>
      <c r="D7" s="16">
        <v>0.06013953137204524</v>
      </c>
      <c r="E7" s="16">
        <v>0.1361948349147899</v>
      </c>
      <c r="F7" s="16">
        <v>0.136970230239038</v>
      </c>
      <c r="G7" s="16">
        <v>0.1313019573564728</v>
      </c>
      <c r="H7" s="16">
        <v>0.1428429645432215</v>
      </c>
      <c r="I7" s="17">
        <v>13638</v>
      </c>
      <c r="J7" s="13" t="s">
        <v>89</v>
      </c>
      <c r="K7" s="13" t="s">
        <v>259</v>
      </c>
      <c r="L7" s="13" t="s">
        <v>117</v>
      </c>
      <c r="M7" s="14" t="s">
        <v>260</v>
      </c>
    </row>
    <row r="8" spans="1:13" ht="26" customHeight="1">
      <c r="A8" s="13" t="s">
        <v>46</v>
      </c>
      <c r="B8" s="17">
        <v>16337</v>
      </c>
      <c r="C8" s="16">
        <v>0.01982593289831892</v>
      </c>
      <c r="D8" s="16">
        <v>0.05298941554018361</v>
      </c>
      <c r="E8" s="16">
        <v>0.1199748678360338</v>
      </c>
      <c r="F8" s="16">
        <v>0.1221269296740995</v>
      </c>
      <c r="G8" s="16">
        <v>0.1139697347344439</v>
      </c>
      <c r="H8" s="16">
        <v>0.1307817854302448</v>
      </c>
      <c r="I8" s="17">
        <v>5830</v>
      </c>
      <c r="J8" s="13" t="s">
        <v>89</v>
      </c>
      <c r="K8" s="13" t="s">
        <v>259</v>
      </c>
      <c r="L8" s="13" t="s">
        <v>117</v>
      </c>
      <c r="M8" s="14" t="s">
        <v>260</v>
      </c>
    </row>
    <row r="9" spans="1:13" ht="26" customHeight="1">
      <c r="A9" s="13" t="s">
        <v>47</v>
      </c>
      <c r="B9" s="17">
        <v>6689</v>
      </c>
      <c r="C9" s="16">
        <v>0.008568787701061871</v>
      </c>
      <c r="D9" s="16">
        <v>0.02098874215743753</v>
      </c>
      <c r="E9" s="16">
        <v>0.04627981914257438</v>
      </c>
      <c r="F9" s="16">
        <v>0.05182012847965739</v>
      </c>
      <c r="G9" s="16">
        <v>0.04354256609963982</v>
      </c>
      <c r="H9" s="16">
        <v>0.06156998192413402</v>
      </c>
      <c r="I9" s="17">
        <v>2335</v>
      </c>
      <c r="J9" s="13" t="s">
        <v>89</v>
      </c>
      <c r="K9" s="13" t="s">
        <v>259</v>
      </c>
      <c r="L9" s="13" t="s">
        <v>117</v>
      </c>
      <c r="M9" s="14" t="s">
        <v>260</v>
      </c>
    </row>
    <row r="10" spans="1:13" ht="26" customHeight="1">
      <c r="A10" s="13" t="s">
        <v>48</v>
      </c>
      <c r="B10" s="17">
        <v>2631</v>
      </c>
      <c r="C10" s="16">
        <v>0.005905715266551117</v>
      </c>
      <c r="D10" s="16">
        <v>0.01410080934964073</v>
      </c>
      <c r="E10" s="16">
        <v>0.0305385165990613</v>
      </c>
      <c r="F10" s="16">
        <v>0.03590859630032645</v>
      </c>
      <c r="G10" s="16">
        <v>0.02568136906847411</v>
      </c>
      <c r="H10" s="16">
        <v>0.04999965788132965</v>
      </c>
      <c r="I10" s="17">
        <v>919</v>
      </c>
      <c r="J10" s="13" t="s">
        <v>89</v>
      </c>
      <c r="K10" s="13" t="s">
        <v>259</v>
      </c>
      <c r="L10" s="13" t="s">
        <v>85</v>
      </c>
      <c r="M10" s="14" t="s">
        <v>260</v>
      </c>
    </row>
  </sheetData>
  <mergeCells count="3">
    <mergeCell ref="A1:M1"/>
    <mergeCell ref="A2:M2"/>
    <mergeCell ref="G4:M4"/>
  </mergeCells>
  <hyperlinks>
    <hyperlink ref="A4" location="'JEV Synthèse'!A1" display="JEV Synthèse"/>
    <hyperlink ref="B4" location="'JEV Contreparties'!A1" display="JEV Contreparties"/>
    <hyperlink ref="C4" location="'JEV Segments'!A1" display="JEV Segments"/>
    <hyperlink ref="D4" location="'JEV Portefeuille'!A1" display="JEV Portefeuille"/>
    <hyperlink ref="E4" location="'JEV Scénarios'!A1" display="JEV Scénarios"/>
    <hyperlink ref="F4" location="'JEV Matrices'!A1" display="JEV Matrices"/>
    <hyperlink ref="G4" location="'JEV Provenance'!A1" display="JEV Provenanc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I9"/>
  <sheetViews>
    <sheetView showGridLines="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defaultRowHeight="15"/>
  <cols>
    <col min="1" max="1" width="26.7109375" customWidth="1"/>
    <col min="2" max="4" width="10.7109375" customWidth="1"/>
    <col min="5" max="5" width="18.7109375" customWidth="1"/>
    <col min="6" max="8" width="16.7109375" customWidth="1"/>
    <col min="9" max="9" width="50.7109375" customWidth="1"/>
  </cols>
  <sheetData>
    <row r="1" spans="1:9" ht="30" customHeight="1">
      <c r="A1" s="1" t="s">
        <v>261</v>
      </c>
      <c r="B1" s="1"/>
      <c r="C1" s="1"/>
      <c r="D1" s="1"/>
      <c r="E1" s="1"/>
      <c r="F1" s="1"/>
      <c r="G1" s="1"/>
      <c r="H1" s="1"/>
      <c r="I1" s="1"/>
    </row>
    <row r="2" spans="1:9" ht="18" customHeight="1">
      <c r="A2" s="2" t="s">
        <v>262</v>
      </c>
      <c r="B2" s="2"/>
      <c r="C2" s="2"/>
      <c r="D2" s="2"/>
      <c r="E2" s="2"/>
      <c r="F2" s="2"/>
      <c r="G2" s="2"/>
      <c r="H2" s="2"/>
      <c r="I2" s="2"/>
    </row>
    <row r="3" spans="1:9" ht="4" customHeight="1">
      <c r="A3" s="3"/>
      <c r="B3" s="3"/>
      <c r="C3" s="3"/>
      <c r="D3" s="3"/>
      <c r="E3" s="3"/>
      <c r="F3" s="3"/>
      <c r="G3" s="3"/>
      <c r="H3" s="3"/>
      <c r="I3" s="3"/>
    </row>
    <row r="4" spans="1:9" ht="22" customHeight="1">
      <c r="A4" s="5" t="s">
        <v>2</v>
      </c>
      <c r="B4" s="5" t="s">
        <v>3</v>
      </c>
      <c r="C4" s="5" t="s">
        <v>4</v>
      </c>
      <c r="D4" s="5" t="s">
        <v>5</v>
      </c>
      <c r="E4" s="4" t="s">
        <v>6</v>
      </c>
      <c r="F4" s="5" t="s">
        <v>7</v>
      </c>
      <c r="G4" s="5" t="s">
        <v>8</v>
      </c>
      <c r="H4" s="5"/>
      <c r="I4" s="5"/>
    </row>
    <row r="6" spans="1:9" ht="36" customHeight="1">
      <c r="A6" s="12" t="s">
        <v>263</v>
      </c>
      <c r="B6" s="12" t="s">
        <v>264</v>
      </c>
      <c r="C6" s="12" t="s">
        <v>265</v>
      </c>
      <c r="D6" s="12" t="s">
        <v>266</v>
      </c>
      <c r="E6" s="12" t="s">
        <v>267</v>
      </c>
      <c r="F6" s="12" t="s">
        <v>268</v>
      </c>
      <c r="G6" s="12" t="s">
        <v>269</v>
      </c>
      <c r="H6" s="12" t="s">
        <v>270</v>
      </c>
      <c r="I6" s="12" t="s">
        <v>271</v>
      </c>
    </row>
    <row r="7" spans="1:9">
      <c r="A7" s="13" t="s">
        <v>27</v>
      </c>
      <c r="B7" s="15">
        <v>1</v>
      </c>
      <c r="C7" s="16">
        <v>0.1185222432255258</v>
      </c>
      <c r="D7" s="13" t="s">
        <v>118</v>
      </c>
      <c r="E7" s="17">
        <v>4642722371.0435</v>
      </c>
      <c r="F7" s="17">
        <v>4582786994</v>
      </c>
      <c r="G7" s="17">
        <v>5688655762</v>
      </c>
      <c r="H7" s="17">
        <v>6172360073</v>
      </c>
      <c r="I7" s="14" t="s">
        <v>272</v>
      </c>
    </row>
    <row r="8" spans="1:9">
      <c r="A8" s="13" t="s">
        <v>273</v>
      </c>
      <c r="B8" s="15">
        <v>1.5</v>
      </c>
      <c r="C8" s="16">
        <v>0.2252426722271697</v>
      </c>
      <c r="D8" s="13" t="s">
        <v>274</v>
      </c>
      <c r="E8" s="17">
        <v>8438016452.3485</v>
      </c>
      <c r="F8" s="17">
        <v>8412847558</v>
      </c>
      <c r="G8" s="17">
        <v>9662023762</v>
      </c>
      <c r="H8" s="17">
        <v>10208037533</v>
      </c>
      <c r="I8" s="14" t="s">
        <v>272</v>
      </c>
    </row>
    <row r="9" spans="1:9">
      <c r="A9" s="13" t="s">
        <v>275</v>
      </c>
      <c r="B9" s="15">
        <v>2</v>
      </c>
      <c r="C9" s="16">
        <v>0.3458049896687106</v>
      </c>
      <c r="D9" s="13" t="s">
        <v>274</v>
      </c>
      <c r="E9" s="17">
        <v>12604808446.543</v>
      </c>
      <c r="F9" s="17">
        <v>12556418333</v>
      </c>
      <c r="G9" s="17">
        <v>13982287811</v>
      </c>
      <c r="H9" s="17">
        <v>14481981196</v>
      </c>
      <c r="I9" s="14" t="s">
        <v>272</v>
      </c>
    </row>
  </sheetData>
  <mergeCells count="3">
    <mergeCell ref="A1:I1"/>
    <mergeCell ref="A2:I2"/>
    <mergeCell ref="G4:I4"/>
  </mergeCells>
  <hyperlinks>
    <hyperlink ref="A4" location="'JEV Synthèse'!A1" display="JEV Synthèse"/>
    <hyperlink ref="B4" location="'JEV Contreparties'!A1" display="JEV Contreparties"/>
    <hyperlink ref="C4" location="'JEV Segments'!A1" display="JEV Segments"/>
    <hyperlink ref="D4" location="'JEV Portefeuille'!A1" display="JEV Portefeuille"/>
    <hyperlink ref="E4" location="'JEV Scénarios'!A1" display="JEV Scénarios"/>
    <hyperlink ref="F4" location="'JEV Matrices'!A1" display="JEV Matrices"/>
    <hyperlink ref="G4" location="'JEV Provenance'!A1" display="JEV Provenanc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G43"/>
  <sheetViews>
    <sheetView showGridLines="0" workbookViewId="0"/>
  </sheetViews>
  <sheetFormatPr defaultRowHeight="15"/>
  <cols>
    <col min="1" max="1" width="18.7109375" customWidth="1"/>
    <col min="2" max="7" width="11.7109375" customWidth="1"/>
  </cols>
  <sheetData>
    <row r="1" spans="1:7" ht="30" customHeight="1">
      <c r="A1" s="1" t="s">
        <v>276</v>
      </c>
      <c r="B1" s="1"/>
      <c r="C1" s="1"/>
      <c r="D1" s="1"/>
      <c r="E1" s="1"/>
      <c r="F1" s="1"/>
      <c r="G1" s="1"/>
    </row>
    <row r="2" spans="1:7" ht="18" customHeight="1">
      <c r="A2" s="2" t="s">
        <v>277</v>
      </c>
      <c r="B2" s="2"/>
      <c r="C2" s="2"/>
      <c r="D2" s="2"/>
      <c r="E2" s="2"/>
      <c r="F2" s="2"/>
      <c r="G2" s="2"/>
    </row>
    <row r="3" spans="1:7" ht="4" customHeight="1">
      <c r="A3" s="3"/>
      <c r="B3" s="3"/>
      <c r="C3" s="3"/>
      <c r="D3" s="3"/>
      <c r="E3" s="3"/>
      <c r="F3" s="3"/>
      <c r="G3" s="3"/>
    </row>
    <row r="4" spans="1:7" ht="2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4" t="s">
        <v>7</v>
      </c>
      <c r="G4" s="5" t="s">
        <v>8</v>
      </c>
    </row>
    <row r="6" spans="1:7">
      <c r="A6" s="10" t="s">
        <v>278</v>
      </c>
      <c r="B6" s="10"/>
      <c r="C6" s="10"/>
      <c r="D6" s="10"/>
      <c r="E6" s="10"/>
      <c r="F6" s="10"/>
      <c r="G6" s="10"/>
    </row>
    <row r="7" spans="1:7">
      <c r="A7" s="12" t="s">
        <v>279</v>
      </c>
      <c r="B7" s="12" t="s">
        <v>197</v>
      </c>
      <c r="C7" s="12" t="s">
        <v>130</v>
      </c>
      <c r="D7" s="12" t="s">
        <v>85</v>
      </c>
      <c r="E7" s="12" t="s">
        <v>198</v>
      </c>
    </row>
    <row r="8" spans="1:7">
      <c r="A8" s="13" t="s">
        <v>197</v>
      </c>
      <c r="B8" s="16">
        <v>0.9709986952715982</v>
      </c>
      <c r="C8" s="16">
        <v>0.02052882789145981</v>
      </c>
      <c r="D8" s="16">
        <v>0.00513633586021239</v>
      </c>
      <c r="E8" s="16">
        <v>0.003336140976729591</v>
      </c>
    </row>
    <row r="9" spans="1:7">
      <c r="A9" s="13" t="s">
        <v>130</v>
      </c>
      <c r="B9" s="16">
        <v>0.3850957535387177</v>
      </c>
      <c r="C9" s="16">
        <v>0.3626144879267277</v>
      </c>
      <c r="D9" s="16">
        <v>0.1627810158201499</v>
      </c>
      <c r="E9" s="16">
        <v>0.08950874271440466</v>
      </c>
    </row>
    <row r="10" spans="1:7">
      <c r="A10" s="13" t="s">
        <v>85</v>
      </c>
      <c r="B10" s="16">
        <v>0.1697635135135135</v>
      </c>
      <c r="C10" s="16">
        <v>0.1317567567567567</v>
      </c>
      <c r="D10" s="16">
        <v>0.3429054054054054</v>
      </c>
      <c r="E10" s="16">
        <v>0.3555743243243243</v>
      </c>
    </row>
    <row r="11" spans="1:7">
      <c r="A11" s="13" t="s">
        <v>198</v>
      </c>
      <c r="B11" s="16">
        <v>0</v>
      </c>
      <c r="C11" s="16">
        <v>0</v>
      </c>
      <c r="D11" s="16">
        <v>0</v>
      </c>
      <c r="E11" s="16">
        <v>1</v>
      </c>
    </row>
    <row r="14" spans="1:7">
      <c r="A14" s="10" t="s">
        <v>280</v>
      </c>
      <c r="B14" s="10"/>
      <c r="C14" s="10"/>
      <c r="D14" s="10"/>
      <c r="E14" s="10"/>
      <c r="F14" s="10"/>
      <c r="G14" s="10"/>
    </row>
    <row r="15" spans="1:7">
      <c r="A15" s="12" t="s">
        <v>279</v>
      </c>
      <c r="B15" s="12" t="s">
        <v>197</v>
      </c>
      <c r="C15" s="12" t="s">
        <v>130</v>
      </c>
      <c r="D15" s="12" t="s">
        <v>85</v>
      </c>
      <c r="E15" s="12" t="s">
        <v>198</v>
      </c>
    </row>
    <row r="16" spans="1:7">
      <c r="A16" s="13" t="s">
        <v>197</v>
      </c>
      <c r="B16" s="16">
        <v>0.9654366988293523</v>
      </c>
      <c r="C16" s="16">
        <v>0.02494230181019381</v>
      </c>
      <c r="D16" s="16">
        <v>0.005867141228484832</v>
      </c>
      <c r="E16" s="16">
        <v>0.003753858131968968</v>
      </c>
    </row>
    <row r="17" spans="1:7">
      <c r="A17" s="13" t="s">
        <v>130</v>
      </c>
      <c r="B17" s="16">
        <v>0.3812351543942993</v>
      </c>
      <c r="C17" s="16">
        <v>0.3616389548693587</v>
      </c>
      <c r="D17" s="16">
        <v>0.168646080760095</v>
      </c>
      <c r="E17" s="16">
        <v>0.08847980997624703</v>
      </c>
    </row>
    <row r="18" spans="1:7">
      <c r="A18" s="13" t="s">
        <v>85</v>
      </c>
      <c r="B18" s="16">
        <v>0.1720818291215403</v>
      </c>
      <c r="C18" s="16">
        <v>0.1323706377858002</v>
      </c>
      <c r="D18" s="16">
        <v>0.3489771359807461</v>
      </c>
      <c r="E18" s="16">
        <v>0.3465703971119133</v>
      </c>
    </row>
    <row r="19" spans="1:7">
      <c r="A19" s="13" t="s">
        <v>198</v>
      </c>
      <c r="B19" s="16">
        <v>0</v>
      </c>
      <c r="C19" s="16">
        <v>0</v>
      </c>
      <c r="D19" s="16">
        <v>0</v>
      </c>
      <c r="E19" s="16">
        <v>1</v>
      </c>
    </row>
    <row r="22" spans="1:7">
      <c r="A22" s="10" t="s">
        <v>281</v>
      </c>
      <c r="B22" s="10"/>
      <c r="C22" s="10"/>
      <c r="D22" s="10"/>
      <c r="E22" s="10"/>
      <c r="F22" s="10"/>
      <c r="G22" s="10"/>
    </row>
    <row r="23" spans="1:7">
      <c r="A23" s="12" t="s">
        <v>279</v>
      </c>
      <c r="B23" s="12" t="s">
        <v>197</v>
      </c>
      <c r="C23" s="12" t="s">
        <v>130</v>
      </c>
      <c r="D23" s="12" t="s">
        <v>85</v>
      </c>
      <c r="E23" s="12" t="s">
        <v>198</v>
      </c>
    </row>
    <row r="24" spans="1:7">
      <c r="A24" s="13" t="s">
        <v>197</v>
      </c>
      <c r="B24" s="16">
        <v>0.9745822850138701</v>
      </c>
      <c r="C24" s="16">
        <v>0.01657957551125734</v>
      </c>
      <c r="D24" s="16">
        <v>0.005483517192439198</v>
      </c>
      <c r="E24" s="16">
        <v>0.003354622282433392</v>
      </c>
    </row>
    <row r="25" spans="1:7">
      <c r="A25" s="13" t="s">
        <v>130</v>
      </c>
      <c r="B25" s="16">
        <v>0.3651685393258427</v>
      </c>
      <c r="C25" s="16">
        <v>0.3651685393258427</v>
      </c>
      <c r="D25" s="16">
        <v>0.1704119850187266</v>
      </c>
      <c r="E25" s="16">
        <v>0.09925093632958802</v>
      </c>
    </row>
    <row r="26" spans="1:7">
      <c r="A26" s="13" t="s">
        <v>85</v>
      </c>
      <c r="B26" s="16">
        <v>0.1357615894039735</v>
      </c>
      <c r="C26" s="16">
        <v>0.1291390728476821</v>
      </c>
      <c r="D26" s="16">
        <v>0.3443708609271523</v>
      </c>
      <c r="E26" s="16">
        <v>0.3907284768211921</v>
      </c>
    </row>
    <row r="27" spans="1:7">
      <c r="A27" s="13" t="s">
        <v>198</v>
      </c>
      <c r="B27" s="16">
        <v>0</v>
      </c>
      <c r="C27" s="16">
        <v>0</v>
      </c>
      <c r="D27" s="16">
        <v>0</v>
      </c>
      <c r="E27" s="16">
        <v>1</v>
      </c>
    </row>
    <row r="30" spans="1:7">
      <c r="A30" s="10" t="s">
        <v>282</v>
      </c>
      <c r="B30" s="10"/>
      <c r="C30" s="10"/>
      <c r="D30" s="10"/>
      <c r="E30" s="10"/>
      <c r="F30" s="10"/>
      <c r="G30" s="10"/>
    </row>
    <row r="31" spans="1:7">
      <c r="A31" s="12" t="s">
        <v>279</v>
      </c>
      <c r="B31" s="12" t="s">
        <v>197</v>
      </c>
      <c r="C31" s="12" t="s">
        <v>130</v>
      </c>
      <c r="D31" s="12" t="s">
        <v>85</v>
      </c>
      <c r="E31" s="12" t="s">
        <v>198</v>
      </c>
    </row>
    <row r="32" spans="1:7">
      <c r="A32" s="13" t="s">
        <v>197</v>
      </c>
      <c r="B32" s="16">
        <v>0.9877187595947191</v>
      </c>
      <c r="C32" s="16">
        <v>0.008750383788762665</v>
      </c>
      <c r="D32" s="16">
        <v>0.001688670555726128</v>
      </c>
      <c r="E32" s="16">
        <v>0.00184218606079214</v>
      </c>
    </row>
    <row r="33" spans="1:7">
      <c r="A33" s="13" t="s">
        <v>130</v>
      </c>
      <c r="B33" s="16">
        <v>0.443609022556391</v>
      </c>
      <c r="C33" s="16">
        <v>0.3609022556390977</v>
      </c>
      <c r="D33" s="16">
        <v>0.112781954887218</v>
      </c>
      <c r="E33" s="16">
        <v>0.08270676691729323</v>
      </c>
    </row>
    <row r="34" spans="1:7">
      <c r="A34" s="13" t="s">
        <v>85</v>
      </c>
      <c r="B34" s="16">
        <v>0.2619047619047619</v>
      </c>
      <c r="C34" s="16">
        <v>0.1666666666666667</v>
      </c>
      <c r="D34" s="16">
        <v>0.2857142857142857</v>
      </c>
      <c r="E34" s="16">
        <v>0.2857142857142857</v>
      </c>
    </row>
    <row r="35" spans="1:7">
      <c r="A35" s="13" t="s">
        <v>198</v>
      </c>
      <c r="B35" s="16">
        <v>0</v>
      </c>
      <c r="C35" s="16">
        <v>0</v>
      </c>
      <c r="D35" s="16">
        <v>0</v>
      </c>
      <c r="E35" s="16">
        <v>1</v>
      </c>
    </row>
    <row r="38" spans="1:7">
      <c r="A38" s="10" t="s">
        <v>283</v>
      </c>
      <c r="B38" s="10"/>
      <c r="C38" s="10"/>
      <c r="D38" s="10"/>
      <c r="E38" s="10"/>
      <c r="F38" s="10"/>
      <c r="G38" s="10"/>
    </row>
    <row r="39" spans="1:7">
      <c r="A39" s="12" t="s">
        <v>279</v>
      </c>
      <c r="B39" s="12" t="s">
        <v>197</v>
      </c>
      <c r="C39" s="12" t="s">
        <v>130</v>
      </c>
      <c r="D39" s="12" t="s">
        <v>85</v>
      </c>
      <c r="E39" s="12" t="s">
        <v>198</v>
      </c>
    </row>
    <row r="40" spans="1:7">
      <c r="A40" s="13" t="s">
        <v>197</v>
      </c>
      <c r="B40" s="16">
        <v>0.9848308051341891</v>
      </c>
      <c r="C40" s="16">
        <v>0.01244651886425515</v>
      </c>
      <c r="D40" s="16">
        <v>0.001555814858031894</v>
      </c>
      <c r="E40" s="16">
        <v>0.001166861143523921</v>
      </c>
    </row>
    <row r="41" spans="1:7">
      <c r="A41" s="13" t="s">
        <v>130</v>
      </c>
      <c r="B41" s="16">
        <v>0.5686274509803921</v>
      </c>
      <c r="C41" s="16">
        <v>0.3725490196078431</v>
      </c>
      <c r="D41" s="16">
        <v>0.0196078431372549</v>
      </c>
      <c r="E41" s="16">
        <v>0.0392156862745098</v>
      </c>
    </row>
    <row r="42" spans="1:7">
      <c r="A42" s="13" t="s">
        <v>85</v>
      </c>
      <c r="B42" s="16">
        <v>0.3188344594594594</v>
      </c>
      <c r="C42" s="16">
        <v>0.09222972972972972</v>
      </c>
      <c r="D42" s="16">
        <v>0.2400337837837838</v>
      </c>
      <c r="E42" s="16">
        <v>0.348902027027027</v>
      </c>
    </row>
    <row r="43" spans="1:7">
      <c r="A43" s="13" t="s">
        <v>198</v>
      </c>
      <c r="B43" s="16">
        <v>0</v>
      </c>
      <c r="C43" s="16">
        <v>0</v>
      </c>
      <c r="D43" s="16">
        <v>0</v>
      </c>
      <c r="E43" s="16">
        <v>1</v>
      </c>
    </row>
  </sheetData>
  <mergeCells count="7">
    <mergeCell ref="A1:G1"/>
    <mergeCell ref="A2:G2"/>
    <mergeCell ref="A6:G6"/>
    <mergeCell ref="A14:G14"/>
    <mergeCell ref="A22:G22"/>
    <mergeCell ref="A30:G30"/>
    <mergeCell ref="A38:G38"/>
  </mergeCells>
  <conditionalFormatting sqref="B16:E19">
    <cfRule type="colorScale" priority="2">
      <colorScale>
        <cfvo type="min" val="0"/>
        <cfvo type="max" val="0"/>
        <color rgb="FFFFFFFF"/>
        <color rgb="FF9CC9DD"/>
      </colorScale>
    </cfRule>
  </conditionalFormatting>
  <conditionalFormatting sqref="B24:E27">
    <cfRule type="colorScale" priority="3">
      <colorScale>
        <cfvo type="min" val="0"/>
        <cfvo type="max" val="0"/>
        <color rgb="FFFFFFFF"/>
        <color rgb="FF9CC9DD"/>
      </colorScale>
    </cfRule>
  </conditionalFormatting>
  <conditionalFormatting sqref="B32:E35">
    <cfRule type="colorScale" priority="4">
      <colorScale>
        <cfvo type="min" val="0"/>
        <cfvo type="max" val="0"/>
        <color rgb="FFFFFFFF"/>
        <color rgb="FF9CC9DD"/>
      </colorScale>
    </cfRule>
  </conditionalFormatting>
  <conditionalFormatting sqref="B40:E43">
    <cfRule type="colorScale" priority="5">
      <colorScale>
        <cfvo type="min" val="0"/>
        <cfvo type="max" val="0"/>
        <color rgb="FFFFFFFF"/>
        <color rgb="FF9CC9DD"/>
      </colorScale>
    </cfRule>
  </conditionalFormatting>
  <conditionalFormatting sqref="B8:E11">
    <cfRule type="colorScale" priority="1">
      <colorScale>
        <cfvo type="min" val="0"/>
        <cfvo type="max" val="0"/>
        <color rgb="FFFFFFFF"/>
        <color rgb="FF9CC9DD"/>
      </colorScale>
    </cfRule>
  </conditionalFormatting>
  <hyperlinks>
    <hyperlink ref="A4" location="'JEV Synthèse'!A1" display="JEV Synthèse"/>
    <hyperlink ref="B4" location="'JEV Contreparties'!A1" display="JEV Contreparties"/>
    <hyperlink ref="C4" location="'JEV Segments'!A1" display="JEV Segments"/>
    <hyperlink ref="D4" location="'JEV Portefeuille'!A1" display="JEV Portefeuille"/>
    <hyperlink ref="E4" location="'JEV Scénarios'!A1" display="JEV Scénarios"/>
    <hyperlink ref="F4" location="'JEV Matrices'!A1" display="JEV Matrices"/>
    <hyperlink ref="G4" location="'JEV Provenance'!A1" display="JEV Provenanc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005C83"/>
    <pageSetUpPr fitToPage="1"/>
  </sheetPr>
  <dimension ref="A1:G26"/>
  <sheetViews>
    <sheetView showGridLines="0" workbookViewId="0"/>
  </sheetViews>
  <sheetFormatPr defaultRowHeight="15"/>
  <cols>
    <col min="1" max="1" width="14.7109375" customWidth="1"/>
    <col min="2" max="2" width="100.7109375" customWidth="1"/>
  </cols>
  <sheetData>
    <row r="1" spans="1:7" ht="30" customHeight="1">
      <c r="A1" s="1" t="s">
        <v>284</v>
      </c>
      <c r="B1" s="1"/>
    </row>
    <row r="2" spans="1:7" ht="18" customHeight="1">
      <c r="A2" s="2" t="s">
        <v>285</v>
      </c>
      <c r="B2" s="2"/>
    </row>
    <row r="3" spans="1:7" ht="4" customHeight="1">
      <c r="A3" s="3"/>
      <c r="B3" s="3"/>
    </row>
    <row r="4" spans="1:7" ht="22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4" t="s">
        <v>8</v>
      </c>
    </row>
    <row r="6" spans="1:7">
      <c r="A6" s="12" t="s">
        <v>286</v>
      </c>
      <c r="B6" s="12" t="s">
        <v>287</v>
      </c>
    </row>
    <row r="7" spans="1:7" ht="21" customHeight="1">
      <c r="A7" s="13" t="s">
        <v>288</v>
      </c>
      <c r="B7" s="14" t="s">
        <v>289</v>
      </c>
    </row>
    <row r="8" spans="1:7" ht="21" customHeight="1">
      <c r="A8" s="13" t="s">
        <v>290</v>
      </c>
      <c r="B8" s="14" t="s">
        <v>291</v>
      </c>
    </row>
    <row r="9" spans="1:7" ht="21" customHeight="1">
      <c r="A9" s="13" t="s">
        <v>118</v>
      </c>
      <c r="B9" s="14" t="s">
        <v>292</v>
      </c>
    </row>
    <row r="10" spans="1:7" ht="21" customHeight="1">
      <c r="A10" s="13" t="s">
        <v>293</v>
      </c>
      <c r="B10" s="14" t="s">
        <v>294</v>
      </c>
    </row>
    <row r="11" spans="1:7" ht="21" customHeight="1">
      <c r="A11" s="13" t="s">
        <v>295</v>
      </c>
      <c r="B11" s="14" t="s">
        <v>296</v>
      </c>
    </row>
    <row r="12" spans="1:7" ht="21" customHeight="1">
      <c r="A12" s="13" t="s">
        <v>274</v>
      </c>
      <c r="B12" s="14" t="s">
        <v>297</v>
      </c>
    </row>
    <row r="13" spans="1:7" ht="21" customHeight="1">
      <c r="A13" s="13" t="s">
        <v>298</v>
      </c>
      <c r="B13" s="14" t="s">
        <v>299</v>
      </c>
    </row>
    <row r="14" spans="1:7" ht="21" customHeight="1">
      <c r="A14" s="13" t="s">
        <v>88</v>
      </c>
      <c r="B14" s="14" t="s">
        <v>300</v>
      </c>
    </row>
    <row r="15" spans="1:7" ht="36" customHeight="1">
      <c r="A15" s="13" t="s">
        <v>256</v>
      </c>
      <c r="B15" s="14" t="s">
        <v>301</v>
      </c>
    </row>
    <row r="16" spans="1:7" ht="36" customHeight="1">
      <c r="A16" s="13" t="s">
        <v>302</v>
      </c>
      <c r="B16" s="14" t="s">
        <v>303</v>
      </c>
    </row>
    <row r="17" spans="1:2" ht="36" customHeight="1">
      <c r="A17" s="13" t="s">
        <v>304</v>
      </c>
      <c r="B17" s="14" t="s">
        <v>305</v>
      </c>
    </row>
    <row r="18" spans="1:2" ht="36" customHeight="1">
      <c r="A18" s="13" t="s">
        <v>306</v>
      </c>
      <c r="B18" s="14" t="s">
        <v>307</v>
      </c>
    </row>
    <row r="20" spans="1:2">
      <c r="A20" s="12" t="s">
        <v>308</v>
      </c>
      <c r="B20" s="12" t="s">
        <v>309</v>
      </c>
    </row>
    <row r="21" spans="1:2" ht="30" customHeight="1">
      <c r="A21" s="13" t="s">
        <v>310</v>
      </c>
      <c r="B21" s="14" t="s">
        <v>311</v>
      </c>
    </row>
    <row r="22" spans="1:2" ht="30" customHeight="1">
      <c r="A22" s="13" t="s">
        <v>32</v>
      </c>
      <c r="B22" s="14" t="s">
        <v>312</v>
      </c>
    </row>
    <row r="23" spans="1:2" ht="30" customHeight="1">
      <c r="A23" s="13" t="s">
        <v>45</v>
      </c>
      <c r="B23" s="14" t="s">
        <v>313</v>
      </c>
    </row>
    <row r="24" spans="1:2" ht="30" customHeight="1">
      <c r="A24" s="13" t="s">
        <v>46</v>
      </c>
      <c r="B24" s="14" t="s">
        <v>314</v>
      </c>
    </row>
    <row r="25" spans="1:2" ht="30" customHeight="1">
      <c r="A25" s="13" t="s">
        <v>47</v>
      </c>
      <c r="B25" s="14" t="s">
        <v>315</v>
      </c>
    </row>
    <row r="26" spans="1:2" ht="30" customHeight="1">
      <c r="A26" s="13" t="s">
        <v>48</v>
      </c>
      <c r="B26" s="14" t="s">
        <v>316</v>
      </c>
    </row>
  </sheetData>
  <mergeCells count="2">
    <mergeCell ref="A1:B1"/>
    <mergeCell ref="A2:B2"/>
  </mergeCells>
  <hyperlinks>
    <hyperlink ref="A4" location="'JEV Synthèse'!A1" display="JEV Synthèse"/>
    <hyperlink ref="B4" location="'JEV Contreparties'!A1" display="JEV Contreparties"/>
    <hyperlink ref="C4" location="'JEV Segments'!A1" display="JEV Segments"/>
    <hyperlink ref="D4" location="'JEV Portefeuille'!A1" display="JEV Portefeuille"/>
    <hyperlink ref="E4" location="'JEV Scénarios'!A1" display="JEV Scénarios"/>
    <hyperlink ref="F4" location="'JEV Matrices'!A1" display="JEV Matrices"/>
    <hyperlink ref="G4" location="'JEV Provenance'!A1" display="JEV Provenance"/>
  </hyperlinks>
  <pageMargins left="0.7" right="0.7" top="0.75" bottom="0.75" header="0.3" footer="0.3"/>
  <pageSetup paperSize="9" fitToHeight="0" orientation="landscape"/>
  <headerFooter>
    <oddFooter>&amp;L&amp;8ECOBANK SÉNÉGAL · Credit Risk · INTERNAL USE ONLY&amp;R&amp;8&amp;P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JEV Synthèse</vt:lpstr>
      <vt:lpstr>_jev</vt:lpstr>
      <vt:lpstr>JEV Contreparties</vt:lpstr>
      <vt:lpstr>JEV Portefeuille</vt:lpstr>
      <vt:lpstr>JEV Segments</vt:lpstr>
      <vt:lpstr>JEV Scénarios</vt:lpstr>
      <vt:lpstr>JEV Matrices</vt:lpstr>
      <vt:lpstr>JEV Provenance</vt:lpstr>
    </vt:vector>
  </TitlesOfParts>
  <Company>Ecobank Sénégal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Impayés 30-90j — Couche TypeSafe</dc:title>
  <dc:creator/>
  <dc:description>INTERNAL USE ONLY</dc:description>
  <cp:lastModifiedBy/>
  <dcterms:created xsi:type="dcterms:W3CDTF">2026-10-03T10:11:26Z</dcterms:created>
  <dcterms:modified xsi:type="dcterms:W3CDTF">2026-10-03T10:11:26Z</dcterms:modified>
</cp:coreProperties>
</file>