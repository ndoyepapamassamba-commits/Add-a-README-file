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EXECUTIVE" sheetId="1" r:id="rId1"/>
    <sheet name="RISK" sheetId="2" r:id="rId2"/>
    <sheet name="MOVEMENT" sheetId="3" r:id="rId3"/>
    <sheet name="CONCENTRATION" sheetId="4" r:id="rId4"/>
    <sheet name="INSIGHTS" sheetId="5" r:id="rId5"/>
    <sheet name="AUDIT" sheetId="6" r:id="rId6"/>
    <sheet name="_data" sheetId="7" state="hidden" r:id="rId7"/>
  </sheets>
  <definedNames>
    <definedName name="_xlnm.Print_Area" localSheetId="0">'EXECUTIVE'!$A$1:$X$89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gt;=1000000000]#,##0.00,,,&quot; Md&quot;;[&gt;=1000000]#,##0.0,,&quot; M&quot;;#,##0"/>
    <numFmt numFmtId="165" formatCode=";;;"/>
    <numFmt numFmtId="166" formatCode="0.0%"/>
  </numFmts>
  <fonts count="72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7.5"/>
      <color rgb="FFC8A951"/>
      <name val="Segoe UI"/>
      <family val="2"/>
    </font>
    <font>
      <b/>
      <sz val="18"/>
      <color rgb="FFFFFFFF"/>
      <name val="Segoe UI"/>
      <family val="2"/>
    </font>
    <font>
      <b/>
      <sz val="8.5"/>
      <color rgb="FFE0EAFF"/>
      <name val="Segoe UI"/>
      <family val="2"/>
    </font>
    <font>
      <sz val="7.5"/>
      <color rgb="FFBFD3FF"/>
      <name val="Segoe UI"/>
      <family val="2"/>
    </font>
    <font>
      <b/>
      <sz val="22"/>
      <color rgb="FFFFFFFF"/>
      <name val="Segoe UI"/>
      <family val="2"/>
    </font>
    <font>
      <sz val="7.5"/>
      <color rgb="FFD6E4FF"/>
      <name val="Segoe UI"/>
      <family val="2"/>
    </font>
    <font>
      <b/>
      <sz val="9.5"/>
      <color rgb="FFE6EEFF"/>
      <name val="Segoe UI"/>
      <family val="2"/>
    </font>
    <font>
      <b/>
      <sz val="22"/>
      <color rgb="FF001B4D"/>
      <name val="Segoe UI"/>
      <family val="2"/>
    </font>
    <font>
      <sz val="7.5"/>
      <color rgb="FF64748B"/>
      <name val="Segoe UI"/>
      <family val="2"/>
    </font>
    <font>
      <b/>
      <sz val="9.5"/>
      <color rgb="FFDC2626"/>
      <name val="Segoe UI"/>
      <family val="2"/>
    </font>
    <font>
      <b/>
      <sz val="9.5"/>
      <color rgb="FF16A34A"/>
      <name val="Segoe UI"/>
      <family val="2"/>
    </font>
    <font>
      <b/>
      <sz val="9.5"/>
      <color rgb="FF64748B"/>
      <name val="Segoe UI"/>
      <family val="2"/>
    </font>
    <font>
      <b/>
      <sz val="9.5"/>
      <color rgb="FFFCA5A5"/>
      <name val="Segoe UI"/>
      <family val="2"/>
    </font>
    <font>
      <b/>
      <sz val="16"/>
      <color rgb="FF001B4D"/>
      <name val="Segoe UI"/>
      <family val="2"/>
    </font>
    <font>
      <b/>
      <sz val="16"/>
      <color rgb="FFDC2626"/>
      <name val="Segoe UI"/>
      <family val="2"/>
    </font>
    <font>
      <b/>
      <sz val="16"/>
      <color rgb="FF2563EB"/>
      <name val="Segoe UI"/>
      <family val="2"/>
    </font>
    <font>
      <b/>
      <sz val="9"/>
      <color rgb="FF001B4D"/>
      <name val="Segoe UI"/>
      <family val="2"/>
    </font>
    <font>
      <b/>
      <sz val="10"/>
      <color rgb="FFDC2626"/>
      <name val="Segoe UI"/>
      <family val="2"/>
    </font>
    <font>
      <b/>
      <sz val="18"/>
      <color rgb="FFC8A951"/>
      <name val="Segoe UI"/>
      <family val="2"/>
    </font>
    <font>
      <b/>
      <sz val="10.5"/>
      <color rgb="FF001B4D"/>
      <name val="Segoe UI"/>
      <family val="2"/>
    </font>
    <font>
      <i/>
      <sz val="7.5"/>
      <color rgb="FF64748B"/>
      <name val="Segoe UI"/>
      <family val="2"/>
    </font>
    <font>
      <b/>
      <sz val="8"/>
      <color rgb="FFFFFFFF"/>
      <name val="Segoe UI"/>
      <family val="2"/>
    </font>
    <font>
      <b/>
      <sz val="7.5"/>
      <color rgb="FFDC2626"/>
      <name val="Segoe UI"/>
      <family val="2"/>
    </font>
    <font>
      <sz val="8.5"/>
      <color rgb="FF334155"/>
      <name val="Segoe UI"/>
      <family val="2"/>
    </font>
    <font>
      <sz val="7"/>
      <color rgb="FF334155"/>
      <name val="Segoe UI"/>
      <family val="2"/>
    </font>
    <font>
      <sz val="7"/>
      <color rgb="FF64748B"/>
      <name val="Segoe UI"/>
      <family val="2"/>
    </font>
    <font>
      <b/>
      <sz val="13"/>
      <color rgb="FFDC2626"/>
      <name val="Segoe UI"/>
      <family val="2"/>
    </font>
    <font>
      <sz val="7.5"/>
      <color rgb="FF334155"/>
      <name val="Segoe UI"/>
      <family val="2"/>
    </font>
    <font>
      <b/>
      <sz val="13"/>
      <color rgb="FFC8A951"/>
      <name val="Segoe UI"/>
      <family val="2"/>
    </font>
    <font>
      <b/>
      <sz val="13"/>
      <color rgb="FFF97316"/>
      <name val="Segoe UI"/>
      <family val="2"/>
    </font>
    <font>
      <b/>
      <sz val="8.5"/>
      <color rgb="FFFFFFFF"/>
      <name val="Segoe UI"/>
      <family val="2"/>
    </font>
    <font>
      <b/>
      <sz val="9"/>
      <color rgb="FFFFFFFF"/>
      <name val="Segoe UI"/>
      <family val="2"/>
    </font>
    <font>
      <b/>
      <sz val="12"/>
      <color rgb="FFFFFFFF"/>
      <name val="Segoe UI"/>
      <family val="2"/>
    </font>
    <font>
      <sz val="9"/>
      <color rgb="FFFFFFFF"/>
      <name val="Segoe UI"/>
      <family val="2"/>
    </font>
    <font>
      <i/>
      <sz val="8"/>
      <color rgb="FFFFF7ED"/>
      <name val="Segoe UI"/>
      <family val="2"/>
    </font>
    <font>
      <b/>
      <sz val="12"/>
      <color rgb="FF001B4D"/>
      <name val="Segoe UI"/>
      <family val="2"/>
    </font>
    <font>
      <sz val="9"/>
      <color rgb="FF334155"/>
      <name val="Segoe UI"/>
      <family val="2"/>
    </font>
    <font>
      <i/>
      <sz val="8"/>
      <color rgb="FF64748B"/>
      <name val="Segoe UI"/>
      <family val="2"/>
    </font>
    <font>
      <b/>
      <sz val="16"/>
      <color rgb="FF003DA5"/>
      <name val="Segoe UI"/>
      <family val="2"/>
    </font>
    <font>
      <b/>
      <sz val="16"/>
      <color rgb="FFF59E0B"/>
      <name val="Segoe UI"/>
      <family val="2"/>
    </font>
    <font>
      <b/>
      <sz val="16"/>
      <color rgb="FFF97316"/>
      <name val="Segoe UI"/>
      <family val="2"/>
    </font>
    <font>
      <b/>
      <sz val="16"/>
      <color rgb="FF991B1B"/>
      <name val="Segoe UI"/>
      <family val="2"/>
    </font>
    <font>
      <b/>
      <sz val="16"/>
      <color rgb="FF16A34A"/>
      <name val="Segoe UI"/>
      <family val="2"/>
    </font>
    <font>
      <b/>
      <sz val="10"/>
      <color rgb="FFFFFFFF"/>
      <name val="Segoe UI"/>
      <family val="2"/>
    </font>
    <font>
      <b/>
      <sz val="11"/>
      <color rgb="FF001B4D"/>
      <name val="Segoe UI"/>
      <family val="2"/>
    </font>
    <font>
      <sz val="8"/>
      <color rgb="FF64748B"/>
      <name val="Segoe UI"/>
      <family val="2"/>
    </font>
    <font>
      <b/>
      <sz val="9.5"/>
      <color rgb="FF06B6D4"/>
      <name val="Segoe UI"/>
      <family val="2"/>
    </font>
    <font>
      <b/>
      <sz val="9.5"/>
      <color rgb="FFF97316"/>
      <name val="Segoe UI"/>
      <family val="2"/>
    </font>
    <font>
      <b/>
      <sz val="9.5"/>
      <color rgb="FF22C55E"/>
      <name val="Segoe UI"/>
      <family val="2"/>
    </font>
    <font>
      <b/>
      <sz val="7.5"/>
      <color rgb="FFFFFFFF"/>
      <name val="Segoe UI"/>
      <family val="2"/>
    </font>
    <font>
      <b/>
      <sz val="15"/>
      <color rgb="FF001B4D"/>
      <name val="Segoe UI"/>
      <family val="2"/>
    </font>
    <font>
      <sz val="6.5"/>
      <color rgb="FF64748B"/>
      <name val="Segoe UI"/>
      <family val="2"/>
    </font>
    <font>
      <b/>
      <sz val="8.5"/>
      <color rgb="FF92400E"/>
      <name val="Segoe UI"/>
      <family val="2"/>
    </font>
    <font>
      <b/>
      <sz val="9.5"/>
      <color rgb="FF001B4D"/>
      <name val="Segoe UI"/>
      <family val="2"/>
    </font>
    <font>
      <b/>
      <sz val="9.5"/>
      <color rgb="FFFFFFFF"/>
      <name val="Segoe UI"/>
      <family val="2"/>
    </font>
    <font>
      <b/>
      <sz val="9"/>
      <color rgb="FFC8A951"/>
      <name val="Segoe UI"/>
      <family val="2"/>
    </font>
    <font>
      <b/>
      <sz val="8.5"/>
      <color rgb="FF001B4D"/>
      <name val="Segoe UI"/>
      <family val="2"/>
    </font>
    <font>
      <sz val="8.5"/>
      <color rgb="FF0F172A"/>
      <name val="Segoe UI"/>
      <family val="2"/>
    </font>
    <font>
      <b/>
      <sz val="30"/>
      <color rgb="FFC8A951"/>
      <name val="Segoe UI"/>
      <family val="2"/>
    </font>
    <font>
      <b/>
      <sz val="9.5"/>
      <color rgb="FF334155"/>
      <name val="Segoe UI"/>
      <family val="2"/>
    </font>
    <font>
      <b/>
      <sz val="18"/>
      <color rgb="FFDC2626"/>
      <name val="Segoe UI"/>
      <family val="2"/>
    </font>
    <font>
      <b/>
      <sz val="18"/>
      <color rgb="FF001B4D"/>
      <name val="Segoe UI"/>
      <family val="2"/>
    </font>
    <font>
      <b/>
      <sz val="18"/>
      <color rgb="FFF97316"/>
      <name val="Segoe UI"/>
      <family val="2"/>
    </font>
    <font>
      <b/>
      <sz val="18"/>
      <color rgb="FFF59E0B"/>
      <name val="Segoe UI"/>
      <family val="2"/>
    </font>
    <font>
      <b/>
      <sz val="18"/>
      <color rgb="FF16A34A"/>
      <name val="Segoe UI"/>
      <family val="2"/>
    </font>
    <font>
      <b/>
      <sz val="18"/>
      <color rgb="FF2563EB"/>
      <name val="Segoe UI"/>
      <family val="2"/>
    </font>
    <font>
      <b/>
      <sz val="18"/>
      <color rgb="FF06B6D4"/>
      <name val="Segoe UI"/>
      <family val="2"/>
    </font>
    <font>
      <sz val="9.5"/>
      <color rgb="FF334155"/>
      <name val="Segoe UI"/>
      <family val="2"/>
    </font>
    <font>
      <sz val="9"/>
      <color rgb="FF0F172A"/>
      <name val="Segoe UI"/>
      <family val="2"/>
    </font>
    <font>
      <b/>
      <sz val="9"/>
      <color rgb="FF16A34A"/>
      <name val="Segoe UI"/>
      <family val="2"/>
    </font>
  </fonts>
  <fills count="54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F3E7BF"/>
        </stop>
      </gradientFill>
    </fill>
    <fill>
      <gradientFill degree="90">
        <stop position="0">
          <color rgb="FF003DA5"/>
        </stop>
        <stop position="1">
          <color rgb="FF2563EB"/>
        </stop>
      </gradientFill>
    </fill>
    <fill>
      <patternFill patternType="solid">
        <fgColor rgb="FFEAF2FF"/>
        <bgColor indexed="64"/>
      </patternFill>
    </fill>
    <fill>
      <patternFill patternType="solid">
        <fgColor rgb="FFFFFFFF"/>
        <bgColor indexed="64"/>
      </patternFill>
    </fill>
    <fill>
      <gradientFill degree="45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9D5EA"/>
        </stop>
        <stop position="1">
          <color rgb="FFFFFFFF"/>
        </stop>
      </gradientFill>
    </fill>
    <fill>
      <gradientFill degree="90">
        <stop position="0">
          <color rgb="FFC9D5EA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EAF2FF"/>
        </stop>
      </gradientFill>
    </fill>
    <fill>
      <gradientFill degree="45">
        <stop position="0">
          <color rgb="FF003DA5"/>
        </stop>
        <stop position="1">
          <color rgb="FF06B6D4"/>
        </stop>
      </gradientFill>
    </fill>
    <fill>
      <gradientFill degree="0">
        <stop position="0">
          <color rgb="FFD5DEEE"/>
        </stop>
        <stop position="1">
          <color rgb="FFFFFFFF"/>
        </stop>
      </gradientFill>
    </fill>
    <fill>
      <patternFill patternType="solid">
        <fgColor rgb="FFDC262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E7131"/>
        <bgColor indexed="64"/>
      </patternFill>
    </fill>
    <fill>
      <patternFill patternType="solid">
        <fgColor rgb="FFF97216"/>
        <bgColor indexed="64"/>
      </patternFill>
    </fill>
    <fill>
      <patternFill patternType="solid">
        <fgColor rgb="FF5485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D531D"/>
        <bgColor indexed="64"/>
      </patternFill>
    </fill>
    <fill>
      <patternFill patternType="solid">
        <fgColor rgb="FFEF591B"/>
        <bgColor indexed="64"/>
      </patternFill>
    </fill>
    <fill>
      <patternFill patternType="solid">
        <fgColor rgb="FFDCE8FE"/>
        <bgColor indexed="64"/>
      </patternFill>
    </fill>
    <fill>
      <patternFill patternType="solid">
        <fgColor rgb="FF779FF3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06B6D4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B86E57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2621A"/>
        <bgColor indexed="64"/>
      </patternFill>
    </fill>
    <fill>
      <patternFill patternType="solid">
        <fgColor rgb="FFE3EDFE"/>
        <bgColor indexed="64"/>
      </patternFill>
    </fill>
    <fill>
      <patternFill patternType="solid">
        <fgColor rgb="FF3770ED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4EEFE"/>
        <bgColor indexed="64"/>
      </patternFill>
    </fill>
    <fill>
      <patternFill patternType="solid">
        <fgColor rgb="FFDBE7FD"/>
        <bgColor indexed="64"/>
      </patternFill>
    </fill>
    <fill>
      <patternFill patternType="solid">
        <fgColor rgb="FFD1E0FC"/>
        <bgColor indexed="64"/>
      </patternFill>
    </fill>
    <fill>
      <patternFill patternType="solid">
        <fgColor rgb="FF2D64E2"/>
        <bgColor indexed="64"/>
      </patternFill>
    </fill>
    <fill>
      <gradientFill degree="0">
        <stop position="0">
          <color rgb="FFDC2626"/>
        </stop>
        <stop position="1">
          <color rgb="FFEF9D9D"/>
        </stop>
      </gradientFill>
    </fill>
    <fill>
      <gradientFill degree="0">
        <stop position="0">
          <color rgb="FFC8A951"/>
        </stop>
        <stop position="1">
          <color rgb="FFE6D8B1"/>
        </stop>
      </gradientFill>
    </fill>
    <fill>
      <gradientFill degree="0">
        <stop position="0">
          <color rgb="FFF97316"/>
        </stop>
        <stop position="1">
          <color rgb="FFFCC096"/>
        </stop>
      </gradientFill>
    </fill>
    <fill>
      <gradientFill degree="0">
        <stop position="0">
          <color rgb="FFF59E0B"/>
        </stop>
        <stop position="1">
          <color rgb="FFFBD391"/>
        </stop>
      </gradientFill>
    </fill>
    <fill>
      <gradientFill degree="0">
        <stop position="0">
          <color rgb="FF16A34A"/>
        </stop>
        <stop position="1">
          <color rgb="FF96D6AE"/>
        </stop>
      </gradientFill>
    </fill>
    <fill>
      <gradientFill degree="0">
        <stop position="0">
          <color rgb="FF2563EB"/>
        </stop>
        <stop position="1">
          <color rgb="FF9DB9F6"/>
        </stop>
      </gradientFill>
    </fill>
    <fill>
      <gradientFill degree="0">
        <stop position="0">
          <color rgb="FF06B6D4"/>
        </stop>
        <stop position="1">
          <color rgb="FF8FDEEC"/>
        </stop>
      </gradientFill>
    </fill>
  </fills>
  <borders count="57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 style="thin">
        <color rgb="FFDBE6F7"/>
      </left>
      <right style="thin">
        <color rgb="FFDBE6F7"/>
      </right>
      <top style="thin">
        <color rgb="FFDBE6F7"/>
      </top>
      <bottom style="thin">
        <color rgb="FFDBE6F7"/>
      </bottom>
      <diagonal/>
    </border>
    <border>
      <left style="thin">
        <color rgb="FFFFFFFF"/>
      </left>
      <right style="thin">
        <color rgb="FFDBE6F7"/>
      </right>
      <top style="thin">
        <color rgb="FFDBE6F7"/>
      </top>
      <bottom style="thin">
        <color rgb="FFDBE6F7"/>
      </bottom>
      <diagonal/>
    </border>
    <border>
      <left style="thick">
        <color rgb="FFC8A951"/>
      </left>
      <right/>
      <top style="thin">
        <color rgb="FF003DA5"/>
      </top>
      <bottom/>
      <diagonal/>
    </border>
    <border>
      <left style="thick">
        <color rgb="FFC8A951"/>
      </left>
      <right/>
      <top/>
      <bottom/>
      <diagonal/>
    </border>
    <border>
      <left/>
      <right/>
      <top/>
      <bottom/>
      <diagonal/>
    </border>
    <border>
      <left style="thick">
        <color rgb="FFC8A951"/>
      </left>
      <right/>
      <top/>
      <bottom style="thin">
        <color rgb="FF003DA5"/>
      </bottom>
      <diagonal/>
    </border>
    <border>
      <left style="thick">
        <color rgb="FF06B6D4"/>
      </left>
      <right style="thin">
        <color rgb="FFDBE6F7"/>
      </right>
      <top style="thin">
        <color rgb="FFDBE6F7"/>
      </top>
      <bottom/>
      <diagonal/>
    </border>
    <border>
      <left style="thick">
        <color rgb="FF06B6D4"/>
      </left>
      <right style="thin">
        <color rgb="FFDBE6F7"/>
      </right>
      <top/>
      <bottom/>
      <diagonal/>
    </border>
    <border>
      <left/>
      <right style="thin">
        <color rgb="FFDBE6F7"/>
      </right>
      <top/>
      <bottom/>
      <diagonal/>
    </border>
    <border>
      <left style="thick">
        <color rgb="FF06B6D4"/>
      </left>
      <right style="thin">
        <color rgb="FFDBE6F7"/>
      </right>
      <top/>
      <bottom style="thin">
        <color rgb="FFDBE6F7"/>
      </bottom>
      <diagonal/>
    </border>
    <border>
      <left style="thick">
        <color rgb="FFF59E0B"/>
      </left>
      <right style="thin">
        <color rgb="FFDBE6F7"/>
      </right>
      <top style="thin">
        <color rgb="FFDBE6F7"/>
      </top>
      <bottom/>
      <diagonal/>
    </border>
    <border>
      <left style="thick">
        <color rgb="FFF59E0B"/>
      </left>
      <right style="thin">
        <color rgb="FFDBE6F7"/>
      </right>
      <top/>
      <bottom/>
      <diagonal/>
    </border>
    <border>
      <left style="thick">
        <color rgb="FFF59E0B"/>
      </left>
      <right style="thin">
        <color rgb="FFDBE6F7"/>
      </right>
      <top/>
      <bottom style="thin">
        <color rgb="FFDBE6F7"/>
      </bottom>
      <diagonal/>
    </border>
    <border>
      <left style="thick">
        <color rgb="FFF97316"/>
      </left>
      <right style="thin">
        <color rgb="FFDBE6F7"/>
      </right>
      <top style="thin">
        <color rgb="FFDBE6F7"/>
      </top>
      <bottom/>
      <diagonal/>
    </border>
    <border>
      <left style="thick">
        <color rgb="FFF97316"/>
      </left>
      <right style="thin">
        <color rgb="FFDBE6F7"/>
      </right>
      <top/>
      <bottom/>
      <diagonal/>
    </border>
    <border>
      <left style="thick">
        <color rgb="FFF97316"/>
      </left>
      <right style="thin">
        <color rgb="FFDBE6F7"/>
      </right>
      <top/>
      <bottom style="thin">
        <color rgb="FFDBE6F7"/>
      </bottom>
      <diagonal/>
    </border>
    <border>
      <left style="thick">
        <color rgb="FFDC2626"/>
      </left>
      <right style="thin">
        <color rgb="FFDBE6F7"/>
      </right>
      <top style="thin">
        <color rgb="FFDBE6F7"/>
      </top>
      <bottom/>
      <diagonal/>
    </border>
    <border>
      <left style="thick">
        <color rgb="FFDC2626"/>
      </left>
      <right style="thin">
        <color rgb="FFDBE6F7"/>
      </right>
      <top/>
      <bottom/>
      <diagonal/>
    </border>
    <border>
      <left style="thick">
        <color rgb="FFDC2626"/>
      </left>
      <right style="thin">
        <color rgb="FFDBE6F7"/>
      </right>
      <top/>
      <bottom style="thin">
        <color rgb="FFDBE6F7"/>
      </bottom>
      <diagonal/>
    </border>
    <border>
      <left style="thick">
        <color rgb="FFC8A951"/>
      </left>
      <right style="thin">
        <color rgb="FFDBE6F7"/>
      </right>
      <top style="thin">
        <color rgb="FFDBE6F7"/>
      </top>
      <bottom/>
      <diagonal/>
    </border>
    <border>
      <left style="thick">
        <color rgb="FFC8A951"/>
      </left>
      <right style="thin">
        <color rgb="FFDBE6F7"/>
      </right>
      <top/>
      <bottom/>
      <diagonal/>
    </border>
    <border>
      <left style="thick">
        <color rgb="FFC8A951"/>
      </left>
      <right style="thin">
        <color rgb="FFDBE6F7"/>
      </right>
      <top/>
      <bottom style="thin">
        <color rgb="FFDBE6F7"/>
      </bottom>
      <diagonal/>
    </border>
    <border>
      <left style="thick">
        <color rgb="FFDC2626"/>
      </left>
      <right/>
      <top style="thin">
        <color rgb="FF003DA5"/>
      </top>
      <bottom/>
      <diagonal/>
    </border>
    <border>
      <left style="thick">
        <color rgb="FFDC2626"/>
      </left>
      <right/>
      <top/>
      <bottom/>
      <diagonal/>
    </border>
    <border>
      <left style="thick">
        <color rgb="FFDC2626"/>
      </left>
      <right/>
      <top/>
      <bottom style="thin">
        <color rgb="FF003DA5"/>
      </bottom>
      <diagonal/>
    </border>
    <border>
      <left style="thin">
        <color rgb="FFDBE6F7"/>
      </left>
      <right style="thin">
        <color rgb="FFDBE6F7"/>
      </right>
      <top style="thick">
        <color rgb="FFC8A951"/>
      </top>
      <bottom/>
      <diagonal/>
    </border>
    <border>
      <left style="thin">
        <color rgb="FFDBE6F7"/>
      </left>
      <right style="thin">
        <color rgb="FFDBE6F7"/>
      </right>
      <top/>
      <bottom/>
      <diagonal/>
    </border>
    <border>
      <left style="thin">
        <color rgb="FFDBE6F7"/>
      </left>
      <right style="thin">
        <color rgb="FFDBE6F7"/>
      </right>
      <top/>
      <bottom style="thin">
        <color rgb="FFDBE6F7"/>
      </bottom>
      <diagonal/>
    </border>
    <border>
      <left style="thin">
        <color rgb="FFDBE6F7"/>
      </left>
      <right style="thin">
        <color rgb="FFDBE6F7"/>
      </right>
      <top style="thick">
        <color rgb="FFDC2626"/>
      </top>
      <bottom/>
      <diagonal/>
    </border>
    <border>
      <left style="thin">
        <color rgb="FFDBE6F7"/>
      </left>
      <right style="thin">
        <color rgb="FFDBE6F7"/>
      </right>
      <top style="thick">
        <color rgb="FF2563EB"/>
      </top>
      <bottom/>
      <diagonal/>
    </border>
    <border>
      <left/>
      <right/>
      <top/>
      <bottom style="thin">
        <color rgb="FF003DA5"/>
      </bottom>
      <diagonal/>
    </border>
    <border>
      <left/>
      <right/>
      <top/>
      <bottom style="thin">
        <color rgb="FFC8A951"/>
      </bottom>
      <diagonal/>
    </border>
    <border>
      <left/>
      <right/>
      <top/>
      <bottom style="thin">
        <color rgb="FF06B6D4"/>
      </bottom>
      <diagonal/>
    </border>
    <border>
      <left/>
      <right/>
      <top/>
      <bottom style="thin">
        <color rgb="FFDC2626"/>
      </bottom>
      <diagonal/>
    </border>
    <border>
      <left/>
      <right/>
      <top style="thin">
        <color rgb="FFE2E8F0"/>
      </top>
      <bottom/>
      <diagonal/>
    </border>
    <border>
      <left/>
      <right/>
      <top style="thick">
        <color rgb="FFDC2626"/>
      </top>
      <bottom/>
      <diagonal/>
    </border>
    <border>
      <left/>
      <right/>
      <top style="thick">
        <color rgb="FFC8A951"/>
      </top>
      <bottom/>
      <diagonal/>
    </border>
    <border>
      <left/>
      <right/>
      <top style="thick">
        <color rgb="FFF97316"/>
      </top>
      <bottom/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rgb="FFEEF2F7"/>
      </bottom>
      <diagonal/>
    </border>
    <border>
      <left/>
      <right/>
      <top/>
      <bottom style="thin">
        <color rgb="FF2563EB"/>
      </bottom>
      <diagonal/>
    </border>
    <border>
      <left style="thick">
        <color rgb="FFF59E0B"/>
      </left>
      <right/>
      <top/>
      <bottom/>
      <diagonal/>
    </border>
    <border>
      <left style="thick">
        <color rgb="FF003DA5"/>
      </left>
      <right style="thin">
        <color rgb="FFDBE6F7"/>
      </right>
      <top style="thin">
        <color rgb="FFDBE6F7"/>
      </top>
      <bottom/>
      <diagonal/>
    </border>
    <border>
      <left style="thick">
        <color rgb="FF003DA5"/>
      </left>
      <right style="thin">
        <color rgb="FFDBE6F7"/>
      </right>
      <top/>
      <bottom/>
      <diagonal/>
    </border>
    <border>
      <left style="thick">
        <color rgb="FF003DA5"/>
      </left>
      <right style="thin">
        <color rgb="FFDBE6F7"/>
      </right>
      <top/>
      <bottom style="thin">
        <color rgb="FFDBE6F7"/>
      </bottom>
      <diagonal/>
    </border>
    <border>
      <left/>
      <right/>
      <top/>
      <bottom style="medium">
        <color rgb="FFC8A951"/>
      </bottom>
      <diagonal/>
    </border>
    <border>
      <left style="thin">
        <color rgb="FFDBE6F7"/>
      </left>
      <right/>
      <top/>
      <bottom/>
      <diagonal/>
    </border>
    <border>
      <left/>
      <right/>
      <top/>
      <bottom style="thin">
        <color rgb="FFDBE6F7"/>
      </bottom>
      <diagonal/>
    </border>
    <border>
      <left style="thin">
        <color rgb="FFDBE6F7"/>
      </left>
      <right/>
      <top/>
      <bottom style="thin">
        <color rgb="FFDBE6F7"/>
      </bottom>
      <diagonal/>
    </border>
    <border>
      <left/>
      <right style="thin">
        <color rgb="FFDBE6F7"/>
      </right>
      <top/>
      <bottom style="thin">
        <color rgb="FFDBE6F7"/>
      </bottom>
      <diagonal/>
    </border>
    <border>
      <left/>
      <right/>
      <top/>
      <bottom style="thin">
        <color rgb="FFE6EDF7"/>
      </bottom>
      <diagonal/>
    </border>
    <border>
      <left/>
      <right/>
      <top/>
      <bottom style="thin">
        <color rgb="FF16A34A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1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center" indent="2"/>
    </xf>
    <xf numFmtId="0" fontId="5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8" borderId="3" xfId="0" applyNumberFormat="1" applyFont="1" applyFill="1" applyBorder="1" applyAlignment="1">
      <alignment horizontal="left" vertical="center" indent="1"/>
    </xf>
    <xf numFmtId="0" fontId="1" fillId="8" borderId="4" xfId="0" applyNumberFormat="1" applyFont="1" applyFill="1" applyBorder="1" applyAlignment="1">
      <alignment horizontal="left" vertical="center" indent="1"/>
    </xf>
    <xf numFmtId="0" fontId="1" fillId="9" borderId="5" xfId="0" applyNumberFormat="1" applyFont="1" applyFill="1" applyBorder="1" applyAlignment="1">
      <alignment horizontal="left" vertical="bottom" indent="1"/>
    </xf>
    <xf numFmtId="164" fontId="6" fillId="9" borderId="6" xfId="0" applyNumberFormat="1" applyFont="1" applyFill="1" applyBorder="1" applyAlignment="1">
      <alignment horizontal="left" vertical="center" indent="1"/>
    </xf>
    <xf numFmtId="0" fontId="7" fillId="9" borderId="6" xfId="0" applyNumberFormat="1" applyFont="1" applyFill="1" applyBorder="1" applyAlignment="1">
      <alignment horizontal="left" vertical="top" indent="1"/>
    </xf>
    <xf numFmtId="0" fontId="8" fillId="9" borderId="6" xfId="0" applyNumberFormat="1" applyFont="1" applyFill="1" applyBorder="1" applyAlignment="1">
      <alignment horizontal="left" vertical="center" indent="1"/>
    </xf>
    <xf numFmtId="0" fontId="1" fillId="9" borderId="7" xfId="0" applyNumberFormat="1" applyFont="1" applyFill="1" applyBorder="1" applyAlignment="1">
      <alignment vertical="center"/>
    </xf>
    <xf numFmtId="0" fontId="1" fillId="9" borderId="8" xfId="0" applyNumberFormat="1" applyFont="1" applyFill="1" applyBorder="1" applyAlignment="1">
      <alignment horizontal="left" vertical="top" indent="1"/>
    </xf>
    <xf numFmtId="0" fontId="1" fillId="10" borderId="0" xfId="0" applyNumberFormat="1" applyFont="1" applyFill="1" applyBorder="1" applyAlignment="1">
      <alignment vertical="center"/>
    </xf>
    <xf numFmtId="0" fontId="1" fillId="11" borderId="0" xfId="0" applyNumberFormat="1" applyFont="1" applyFill="1" applyBorder="1" applyAlignment="1">
      <alignment vertical="center"/>
    </xf>
    <xf numFmtId="0" fontId="1" fillId="8" borderId="9" xfId="0" applyNumberFormat="1" applyFont="1" applyFill="1" applyBorder="1" applyAlignment="1">
      <alignment horizontal="left" vertical="bottom" indent="1"/>
    </xf>
    <xf numFmtId="164" fontId="9" fillId="8" borderId="10" xfId="0" applyNumberFormat="1" applyFont="1" applyFill="1" applyBorder="1" applyAlignment="1">
      <alignment horizontal="left" vertical="center" indent="1"/>
    </xf>
    <xf numFmtId="0" fontId="10" fillId="8" borderId="10" xfId="0" applyNumberFormat="1" applyFont="1" applyFill="1" applyBorder="1" applyAlignment="1">
      <alignment horizontal="left" vertical="top" indent="1"/>
    </xf>
    <xf numFmtId="0" fontId="11" fillId="8" borderId="10" xfId="0" applyNumberFormat="1" applyFont="1" applyFill="1" applyBorder="1" applyAlignment="1">
      <alignment horizontal="left" vertical="center" indent="1"/>
    </xf>
    <xf numFmtId="0" fontId="1" fillId="8" borderId="11" xfId="0" applyNumberFormat="1" applyFont="1" applyFill="1" applyBorder="1" applyAlignment="1">
      <alignment vertical="center"/>
    </xf>
    <xf numFmtId="0" fontId="1" fillId="8" borderId="12" xfId="0" applyNumberFormat="1" applyFont="1" applyFill="1" applyBorder="1" applyAlignment="1">
      <alignment horizontal="left" vertical="top" indent="1"/>
    </xf>
    <xf numFmtId="0" fontId="1" fillId="12" borderId="13" xfId="0" applyNumberFormat="1" applyFont="1" applyFill="1" applyBorder="1" applyAlignment="1">
      <alignment horizontal="left" vertical="bottom" indent="1"/>
    </xf>
    <xf numFmtId="164" fontId="9" fillId="12" borderId="14" xfId="0" applyNumberFormat="1" applyFont="1" applyFill="1" applyBorder="1" applyAlignment="1">
      <alignment horizontal="left" vertical="center" indent="1"/>
    </xf>
    <xf numFmtId="0" fontId="10" fillId="12" borderId="14" xfId="0" applyNumberFormat="1" applyFont="1" applyFill="1" applyBorder="1" applyAlignment="1">
      <alignment horizontal="left" vertical="top" indent="1"/>
    </xf>
    <xf numFmtId="0" fontId="12" fillId="12" borderId="14" xfId="0" applyNumberFormat="1" applyFont="1" applyFill="1" applyBorder="1" applyAlignment="1">
      <alignment horizontal="left" vertical="center" indent="1"/>
    </xf>
    <xf numFmtId="0" fontId="1" fillId="12" borderId="11" xfId="0" applyNumberFormat="1" applyFont="1" applyFill="1" applyBorder="1" applyAlignment="1">
      <alignment vertical="center"/>
    </xf>
    <xf numFmtId="0" fontId="1" fillId="12" borderId="15" xfId="0" applyNumberFormat="1" applyFont="1" applyFill="1" applyBorder="1" applyAlignment="1">
      <alignment horizontal="left" vertical="top" indent="1"/>
    </xf>
    <xf numFmtId="0" fontId="1" fillId="8" borderId="16" xfId="0" applyNumberFormat="1" applyFont="1" applyFill="1" applyBorder="1" applyAlignment="1">
      <alignment horizontal="left" vertical="bottom" indent="1"/>
    </xf>
    <xf numFmtId="164" fontId="9" fillId="8" borderId="17" xfId="0" applyNumberFormat="1" applyFont="1" applyFill="1" applyBorder="1" applyAlignment="1">
      <alignment horizontal="left" vertical="center" indent="1"/>
    </xf>
    <xf numFmtId="0" fontId="10" fillId="8" borderId="17" xfId="0" applyNumberFormat="1" applyFont="1" applyFill="1" applyBorder="1" applyAlignment="1">
      <alignment horizontal="left" vertical="top" indent="1"/>
    </xf>
    <xf numFmtId="0" fontId="13" fillId="8" borderId="17" xfId="0" applyNumberFormat="1" applyFont="1" applyFill="1" applyBorder="1" applyAlignment="1">
      <alignment horizontal="left" vertical="center" indent="1"/>
    </xf>
    <xf numFmtId="0" fontId="1" fillId="8" borderId="18" xfId="0" applyNumberFormat="1" applyFont="1" applyFill="1" applyBorder="1" applyAlignment="1">
      <alignment horizontal="left" vertical="top" indent="1"/>
    </xf>
    <xf numFmtId="0" fontId="1" fillId="12" borderId="19" xfId="0" applyNumberFormat="1" applyFont="1" applyFill="1" applyBorder="1" applyAlignment="1">
      <alignment horizontal="left" vertical="bottom" indent="1"/>
    </xf>
    <xf numFmtId="164" fontId="9" fillId="12" borderId="20" xfId="0" applyNumberFormat="1" applyFont="1" applyFill="1" applyBorder="1" applyAlignment="1">
      <alignment horizontal="left" vertical="center" indent="1"/>
    </xf>
    <xf numFmtId="0" fontId="10" fillId="12" borderId="20" xfId="0" applyNumberFormat="1" applyFont="1" applyFill="1" applyBorder="1" applyAlignment="1">
      <alignment horizontal="left" vertical="top" indent="1"/>
    </xf>
    <xf numFmtId="0" fontId="11" fillId="12" borderId="20" xfId="0" applyNumberFormat="1" applyFont="1" applyFill="1" applyBorder="1" applyAlignment="1">
      <alignment horizontal="left" vertical="center" indent="1"/>
    </xf>
    <xf numFmtId="0" fontId="1" fillId="12" borderId="21" xfId="0" applyNumberFormat="1" applyFont="1" applyFill="1" applyBorder="1" applyAlignment="1">
      <alignment horizontal="left" vertical="top" indent="1"/>
    </xf>
    <xf numFmtId="0" fontId="1" fillId="8" borderId="22" xfId="0" applyNumberFormat="1" applyFont="1" applyFill="1" applyBorder="1" applyAlignment="1">
      <alignment horizontal="left" vertical="bottom" indent="1"/>
    </xf>
    <xf numFmtId="164" fontId="9" fillId="8" borderId="23" xfId="0" applyNumberFormat="1" applyFont="1" applyFill="1" applyBorder="1" applyAlignment="1">
      <alignment horizontal="left" vertical="center" indent="1"/>
    </xf>
    <xf numFmtId="0" fontId="10" fillId="8" borderId="23" xfId="0" applyNumberFormat="1" applyFont="1" applyFill="1" applyBorder="1" applyAlignment="1">
      <alignment horizontal="left" vertical="top" indent="1"/>
    </xf>
    <xf numFmtId="0" fontId="12" fillId="8" borderId="23" xfId="0" applyNumberFormat="1" applyFont="1" applyFill="1" applyBorder="1" applyAlignment="1">
      <alignment horizontal="left" vertical="center" indent="1"/>
    </xf>
    <xf numFmtId="0" fontId="1" fillId="8" borderId="24" xfId="0" applyNumberFormat="1" applyFont="1" applyFill="1" applyBorder="1" applyAlignment="1">
      <alignment horizontal="left" vertical="top" indent="1"/>
    </xf>
    <xf numFmtId="0" fontId="1" fillId="13" borderId="5" xfId="0" applyNumberFormat="1" applyFont="1" applyFill="1" applyBorder="1" applyAlignment="1">
      <alignment horizontal="left" vertical="bottom" indent="1"/>
    </xf>
    <xf numFmtId="164" fontId="6" fillId="13" borderId="6" xfId="0" applyNumberFormat="1" applyFont="1" applyFill="1" applyBorder="1" applyAlignment="1">
      <alignment horizontal="left" vertical="center" indent="1"/>
    </xf>
    <xf numFmtId="0" fontId="7" fillId="13" borderId="6" xfId="0" applyNumberFormat="1" applyFont="1" applyFill="1" applyBorder="1" applyAlignment="1">
      <alignment horizontal="left" vertical="top" indent="1"/>
    </xf>
    <xf numFmtId="0" fontId="14" fillId="13" borderId="6" xfId="0" applyNumberFormat="1" applyFont="1" applyFill="1" applyBorder="1" applyAlignment="1">
      <alignment horizontal="left" vertical="center" indent="1"/>
    </xf>
    <xf numFmtId="0" fontId="1" fillId="13" borderId="7" xfId="0" applyNumberFormat="1" applyFont="1" applyFill="1" applyBorder="1" applyAlignment="1">
      <alignment vertical="center"/>
    </xf>
    <xf numFmtId="0" fontId="1" fillId="13" borderId="8" xfId="0" applyNumberFormat="1" applyFont="1" applyFill="1" applyBorder="1" applyAlignment="1">
      <alignment horizontal="left" vertical="top" indent="1"/>
    </xf>
    <xf numFmtId="0" fontId="1" fillId="8" borderId="13" xfId="0" applyNumberFormat="1" applyFont="1" applyFill="1" applyBorder="1" applyAlignment="1">
      <alignment horizontal="left" vertical="bottom" indent="1"/>
    </xf>
    <xf numFmtId="3" fontId="9" fillId="8" borderId="14" xfId="0" applyNumberFormat="1" applyFont="1" applyFill="1" applyBorder="1" applyAlignment="1">
      <alignment horizontal="left" vertical="center" indent="1"/>
    </xf>
    <xf numFmtId="0" fontId="10" fillId="8" borderId="14" xfId="0" applyNumberFormat="1" applyFont="1" applyFill="1" applyBorder="1" applyAlignment="1">
      <alignment horizontal="left" vertical="top" indent="1"/>
    </xf>
    <xf numFmtId="0" fontId="13" fillId="8" borderId="14" xfId="0" applyNumberFormat="1" applyFont="1" applyFill="1" applyBorder="1" applyAlignment="1">
      <alignment horizontal="left" vertical="center" indent="1"/>
    </xf>
    <xf numFmtId="0" fontId="1" fillId="8" borderId="15" xfId="0" applyNumberFormat="1" applyFont="1" applyFill="1" applyBorder="1" applyAlignment="1">
      <alignment horizontal="left" vertical="top" indent="1"/>
    </xf>
    <xf numFmtId="0" fontId="1" fillId="9" borderId="25" xfId="0" applyNumberFormat="1" applyFont="1" applyFill="1" applyBorder="1" applyAlignment="1">
      <alignment horizontal="left" vertical="bottom" indent="1"/>
    </xf>
    <xf numFmtId="164" fontId="6" fillId="9" borderId="26" xfId="0" applyNumberFormat="1" applyFont="1" applyFill="1" applyBorder="1" applyAlignment="1">
      <alignment horizontal="left" vertical="center" indent="1"/>
    </xf>
    <xf numFmtId="0" fontId="7" fillId="9" borderId="26" xfId="0" applyNumberFormat="1" applyFont="1" applyFill="1" applyBorder="1" applyAlignment="1">
      <alignment horizontal="left" vertical="top" indent="1"/>
    </xf>
    <xf numFmtId="0" fontId="8" fillId="9" borderId="26" xfId="0" applyNumberFormat="1" applyFont="1" applyFill="1" applyBorder="1" applyAlignment="1">
      <alignment horizontal="left" vertical="center" indent="1"/>
    </xf>
    <xf numFmtId="0" fontId="1" fillId="9" borderId="27" xfId="0" applyNumberFormat="1" applyFont="1" applyFill="1" applyBorder="1" applyAlignment="1">
      <alignment horizontal="left" vertical="top" indent="1"/>
    </xf>
    <xf numFmtId="0" fontId="1" fillId="8" borderId="28" xfId="0" applyNumberFormat="1" applyFont="1" applyFill="1" applyBorder="1" applyAlignment="1">
      <alignment horizontal="left" vertical="center" indent="1"/>
    </xf>
    <xf numFmtId="0" fontId="15" fillId="8" borderId="29" xfId="0" applyNumberFormat="1" applyFont="1" applyFill="1" applyBorder="1" applyAlignment="1">
      <alignment horizontal="left" vertical="center" indent="1"/>
    </xf>
    <xf numFmtId="0" fontId="10" fillId="8" borderId="30" xfId="0" applyNumberFormat="1" applyFont="1" applyFill="1" applyBorder="1" applyAlignment="1">
      <alignment horizontal="left" vertical="top" indent="1"/>
    </xf>
    <xf numFmtId="0" fontId="1" fillId="14" borderId="0" xfId="0" applyNumberFormat="1" applyFont="1" applyFill="1" applyBorder="1" applyAlignment="1">
      <alignment vertical="center"/>
    </xf>
    <xf numFmtId="0" fontId="1" fillId="8" borderId="31" xfId="0" applyNumberFormat="1" applyFont="1" applyFill="1" applyBorder="1" applyAlignment="1">
      <alignment horizontal="left" vertical="center" indent="1"/>
    </xf>
    <xf numFmtId="0" fontId="16" fillId="8" borderId="29" xfId="0" applyNumberFormat="1" applyFont="1" applyFill="1" applyBorder="1" applyAlignment="1">
      <alignment horizontal="left" vertical="center" indent="1"/>
    </xf>
    <xf numFmtId="0" fontId="1" fillId="8" borderId="32" xfId="0" applyNumberFormat="1" applyFont="1" applyFill="1" applyBorder="1" applyAlignment="1">
      <alignment horizontal="left" vertical="center" indent="1"/>
    </xf>
    <xf numFmtId="0" fontId="17" fillId="8" borderId="29" xfId="0" applyNumberFormat="1" applyFont="1" applyFill="1" applyBorder="1" applyAlignment="1">
      <alignment horizontal="left" vertical="center" indent="1"/>
    </xf>
    <xf numFmtId="0" fontId="1" fillId="0" borderId="33" xfId="0" applyNumberFormat="1" applyFont="1" applyFill="1" applyBorder="1" applyAlignment="1">
      <alignment horizontal="left" vertical="bottom"/>
    </xf>
    <xf numFmtId="0" fontId="1" fillId="0" borderId="34" xfId="0" applyNumberFormat="1" applyFont="1" applyFill="1" applyBorder="1" applyAlignment="1">
      <alignment horizontal="left" vertical="bottom"/>
    </xf>
    <xf numFmtId="0" fontId="1" fillId="0" borderId="35" xfId="0" applyNumberFormat="1" applyFont="1" applyFill="1" applyBorder="1" applyAlignment="1">
      <alignment horizontal="left" vertical="bottom"/>
    </xf>
    <xf numFmtId="0" fontId="18" fillId="0" borderId="26" xfId="0" applyNumberFormat="1" applyFont="1" applyFill="1" applyBorder="1" applyAlignment="1">
      <alignment horizontal="left" vertical="center" indent="1"/>
    </xf>
    <xf numFmtId="0" fontId="19" fillId="0" borderId="0" xfId="0" applyNumberFormat="1" applyFont="1" applyFill="1" applyBorder="1" applyAlignment="1">
      <alignment horizontal="right" vertical="center"/>
    </xf>
    <xf numFmtId="0" fontId="10" fillId="0" borderId="26" xfId="0" applyNumberFormat="1" applyFont="1" applyFill="1" applyBorder="1" applyAlignment="1">
      <alignment horizontal="left" vertical="top" indent="1"/>
    </xf>
    <xf numFmtId="0" fontId="1" fillId="0" borderId="36" xfId="0" applyNumberFormat="1" applyFont="1" applyFill="1" applyBorder="1" applyAlignment="1">
      <alignment horizontal="left" vertical="bottom"/>
    </xf>
    <xf numFmtId="0" fontId="20" fillId="0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1" fillId="0" borderId="37" xfId="0" applyNumberFormat="1" applyFont="1" applyFill="1" applyBorder="1" applyAlignment="1">
      <alignment vertical="center"/>
    </xf>
    <xf numFmtId="3" fontId="3" fillId="15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indent="1"/>
    </xf>
    <xf numFmtId="0" fontId="25" fillId="0" borderId="0" xfId="0" applyNumberFormat="1" applyFont="1" applyFill="1" applyBorder="1" applyAlignment="1">
      <alignment horizontal="left" vertical="center" indent="1"/>
    </xf>
    <xf numFmtId="0" fontId="1" fillId="16" borderId="0" xfId="0" applyNumberFormat="1" applyFont="1" applyFill="1" applyBorder="1" applyAlignment="1">
      <alignment vertical="center"/>
    </xf>
    <xf numFmtId="9" fontId="26" fillId="16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/>
    </xf>
    <xf numFmtId="3" fontId="3" fillId="17" borderId="0" xfId="0" applyNumberFormat="1" applyFont="1" applyFill="1" applyBorder="1" applyAlignment="1">
      <alignment horizontal="center" vertical="center"/>
    </xf>
    <xf numFmtId="3" fontId="3" fillId="18" borderId="0" xfId="0" applyNumberFormat="1" applyFont="1" applyFill="1" applyBorder="1" applyAlignment="1">
      <alignment horizontal="center" vertical="center"/>
    </xf>
    <xf numFmtId="3" fontId="3" fillId="19" borderId="0" xfId="0" applyNumberFormat="1" applyFont="1" applyFill="1" applyBorder="1" applyAlignment="1">
      <alignment horizontal="center" vertical="center"/>
    </xf>
    <xf numFmtId="0" fontId="1" fillId="0" borderId="38" xfId="0" applyNumberFormat="1" applyFont="1" applyFill="1" applyBorder="1" applyAlignment="1">
      <alignment horizontal="left" vertical="center" indent="1"/>
    </xf>
    <xf numFmtId="0" fontId="28" fillId="0" borderId="0" xfId="0" applyNumberFormat="1" applyFont="1" applyFill="1" applyBorder="1" applyAlignment="1">
      <alignment horizontal="left" vertical="center" indent="1"/>
    </xf>
    <xf numFmtId="0" fontId="29" fillId="0" borderId="0" xfId="0" applyNumberFormat="1" applyFont="1" applyFill="1" applyBorder="1" applyAlignment="1">
      <alignment horizontal="left" vertical="top" wrapText="1" indent="1"/>
    </xf>
    <xf numFmtId="0" fontId="1" fillId="0" borderId="39" xfId="0" applyNumberFormat="1" applyFont="1" applyFill="1" applyBorder="1" applyAlignment="1">
      <alignment horizontal="left" vertical="center" indent="1"/>
    </xf>
    <xf numFmtId="0" fontId="30" fillId="0" borderId="0" xfId="0" applyNumberFormat="1" applyFont="1" applyFill="1" applyBorder="1" applyAlignment="1">
      <alignment horizontal="left" vertical="center" indent="1"/>
    </xf>
    <xf numFmtId="0" fontId="1" fillId="0" borderId="40" xfId="0" applyNumberFormat="1" applyFont="1" applyFill="1" applyBorder="1" applyAlignment="1">
      <alignment horizontal="left" vertical="center" indent="1"/>
    </xf>
    <xf numFmtId="0" fontId="31" fillId="0" borderId="0" xfId="0" applyNumberFormat="1" applyFont="1" applyFill="1" applyBorder="1" applyAlignment="1">
      <alignment horizontal="left" vertical="center" indent="1"/>
    </xf>
    <xf numFmtId="0" fontId="32" fillId="2" borderId="0" xfId="0" applyNumberFormat="1" applyFont="1" applyFill="1" applyBorder="1" applyAlignment="1">
      <alignment horizontal="left" vertical="center" indent="1"/>
    </xf>
    <xf numFmtId="0" fontId="32" fillId="2" borderId="0" xfId="0" applyNumberFormat="1" applyFont="1" applyFill="1" applyBorder="1" applyAlignment="1">
      <alignment horizontal="center" vertical="center" wrapText="1"/>
    </xf>
    <xf numFmtId="0" fontId="18" fillId="8" borderId="41" xfId="0" applyNumberFormat="1" applyFont="1" applyFill="1" applyBorder="1" applyAlignment="1">
      <alignment horizontal="left" vertical="center" indent="1"/>
    </xf>
    <xf numFmtId="164" fontId="33" fillId="20" borderId="42" xfId="0" applyNumberFormat="1" applyFont="1" applyFill="1" applyBorder="1" applyAlignment="1">
      <alignment horizontal="center" vertical="center"/>
    </xf>
    <xf numFmtId="164" fontId="33" fillId="21" borderId="42" xfId="0" applyNumberFormat="1" applyFont="1" applyFill="1" applyBorder="1" applyAlignment="1">
      <alignment horizontal="center" vertical="center"/>
    </xf>
    <xf numFmtId="164" fontId="18" fillId="22" borderId="42" xfId="0" applyNumberFormat="1" applyFont="1" applyFill="1" applyBorder="1" applyAlignment="1">
      <alignment horizontal="center" vertical="center"/>
    </xf>
    <xf numFmtId="164" fontId="18" fillId="23" borderId="42" xfId="0" applyNumberFormat="1" applyFont="1" applyFill="1" applyBorder="1" applyAlignment="1">
      <alignment horizontal="center" vertical="center"/>
    </xf>
    <xf numFmtId="164" fontId="33" fillId="15" borderId="42" xfId="0" applyNumberFormat="1" applyFont="1" applyFill="1" applyBorder="1" applyAlignment="1">
      <alignment horizontal="center" vertical="center"/>
    </xf>
    <xf numFmtId="164" fontId="33" fillId="24" borderId="42" xfId="0" applyNumberFormat="1" applyFont="1" applyFill="1" applyBorder="1" applyAlignment="1">
      <alignment horizontal="center" vertical="center"/>
    </xf>
    <xf numFmtId="164" fontId="33" fillId="25" borderId="42" xfId="0" applyNumberFormat="1" applyFont="1" applyFill="1" applyBorder="1" applyAlignment="1">
      <alignment horizontal="center" vertical="center"/>
    </xf>
    <xf numFmtId="3" fontId="18" fillId="26" borderId="42" xfId="0" applyNumberFormat="1" applyFont="1" applyFill="1" applyBorder="1" applyAlignment="1">
      <alignment horizontal="center" vertical="center"/>
    </xf>
    <xf numFmtId="3" fontId="18" fillId="27" borderId="42" xfId="0" applyNumberFormat="1" applyFont="1" applyFill="1" applyBorder="1" applyAlignment="1">
      <alignment horizontal="center" vertical="center"/>
    </xf>
    <xf numFmtId="3" fontId="33" fillId="15" borderId="42" xfId="0" applyNumberFormat="1" applyFont="1" applyFill="1" applyBorder="1" applyAlignment="1">
      <alignment horizontal="center" vertical="center"/>
    </xf>
    <xf numFmtId="3" fontId="18" fillId="23" borderId="42" xfId="0" applyNumberFormat="1" applyFont="1" applyFill="1" applyBorder="1" applyAlignment="1">
      <alignment horizontal="center" vertical="center"/>
    </xf>
    <xf numFmtId="0" fontId="33" fillId="15" borderId="0" xfId="0" applyNumberFormat="1" applyFont="1" applyFill="1" applyBorder="1" applyAlignment="1">
      <alignment horizontal="center" vertical="center" wrapText="1"/>
    </xf>
    <xf numFmtId="0" fontId="34" fillId="18" borderId="42" xfId="0" applyNumberFormat="1" applyFont="1" applyFill="1" applyBorder="1" applyAlignment="1">
      <alignment horizontal="center" vertical="center"/>
    </xf>
    <xf numFmtId="0" fontId="35" fillId="18" borderId="42" xfId="0" applyNumberFormat="1" applyFont="1" applyFill="1" applyBorder="1" applyAlignment="1">
      <alignment horizontal="center" vertical="center"/>
    </xf>
    <xf numFmtId="0" fontId="36" fillId="18" borderId="42" xfId="0" applyNumberFormat="1" applyFont="1" applyFill="1" applyBorder="1" applyAlignment="1">
      <alignment horizontal="center" vertical="center"/>
    </xf>
    <xf numFmtId="0" fontId="34" fillId="17" borderId="42" xfId="0" applyNumberFormat="1" applyFont="1" applyFill="1" applyBorder="1" applyAlignment="1">
      <alignment horizontal="center" vertical="center"/>
    </xf>
    <xf numFmtId="0" fontId="35" fillId="17" borderId="42" xfId="0" applyNumberFormat="1" applyFont="1" applyFill="1" applyBorder="1" applyAlignment="1">
      <alignment horizontal="center" vertical="center"/>
    </xf>
    <xf numFmtId="0" fontId="36" fillId="17" borderId="42" xfId="0" applyNumberFormat="1" applyFont="1" applyFill="1" applyBorder="1" applyAlignment="1">
      <alignment horizontal="center" vertical="center"/>
    </xf>
    <xf numFmtId="0" fontId="34" fillId="15" borderId="42" xfId="0" applyNumberFormat="1" applyFont="1" applyFill="1" applyBorder="1" applyAlignment="1">
      <alignment horizontal="center" vertical="center"/>
    </xf>
    <xf numFmtId="0" fontId="35" fillId="15" borderId="42" xfId="0" applyNumberFormat="1" applyFont="1" applyFill="1" applyBorder="1" applyAlignment="1">
      <alignment horizontal="center" vertical="center"/>
    </xf>
    <xf numFmtId="0" fontId="36" fillId="15" borderId="42" xfId="0" applyNumberFormat="1" applyFont="1" applyFill="1" applyBorder="1" applyAlignment="1">
      <alignment horizontal="center" vertical="center"/>
    </xf>
    <xf numFmtId="0" fontId="33" fillId="18" borderId="0" xfId="0" applyNumberFormat="1" applyFont="1" applyFill="1" applyBorder="1" applyAlignment="1">
      <alignment horizontal="center" vertical="center" wrapText="1"/>
    </xf>
    <xf numFmtId="0" fontId="37" fillId="28" borderId="42" xfId="0" applyNumberFormat="1" applyFont="1" applyFill="1" applyBorder="1" applyAlignment="1">
      <alignment horizontal="center" vertical="center"/>
    </xf>
    <xf numFmtId="0" fontId="38" fillId="28" borderId="42" xfId="0" applyNumberFormat="1" applyFont="1" applyFill="1" applyBorder="1" applyAlignment="1">
      <alignment horizontal="center" vertical="center"/>
    </xf>
    <xf numFmtId="0" fontId="39" fillId="28" borderId="42" xfId="0" applyNumberFormat="1" applyFont="1" applyFill="1" applyBorder="1" applyAlignment="1">
      <alignment horizontal="center" vertical="center"/>
    </xf>
    <xf numFmtId="0" fontId="33" fillId="19" borderId="0" xfId="0" applyNumberFormat="1" applyFont="1" applyFill="1" applyBorder="1" applyAlignment="1">
      <alignment horizontal="center" vertical="center" wrapText="1"/>
    </xf>
    <xf numFmtId="0" fontId="37" fillId="29" borderId="42" xfId="0" applyNumberFormat="1" applyFont="1" applyFill="1" applyBorder="1" applyAlignment="1">
      <alignment horizontal="center" vertical="center"/>
    </xf>
    <xf numFmtId="0" fontId="38" fillId="29" borderId="42" xfId="0" applyNumberFormat="1" applyFont="1" applyFill="1" applyBorder="1" applyAlignment="1">
      <alignment horizontal="center" vertical="center"/>
    </xf>
    <xf numFmtId="0" fontId="39" fillId="29" borderId="42" xfId="0" applyNumberFormat="1" applyFont="1" applyFill="1" applyBorder="1" applyAlignment="1">
      <alignment horizontal="center" vertical="center"/>
    </xf>
    <xf numFmtId="0" fontId="37" fillId="30" borderId="42" xfId="0" applyNumberFormat="1" applyFont="1" applyFill="1" applyBorder="1" applyAlignment="1">
      <alignment horizontal="center" vertical="center"/>
    </xf>
    <xf numFmtId="0" fontId="38" fillId="30" borderId="42" xfId="0" applyNumberFormat="1" applyFont="1" applyFill="1" applyBorder="1" applyAlignment="1">
      <alignment horizontal="center" vertical="center"/>
    </xf>
    <xf numFmtId="0" fontId="39" fillId="30" borderId="42" xfId="0" applyNumberFormat="1" applyFont="1" applyFill="1" applyBorder="1" applyAlignment="1">
      <alignment horizontal="center" vertical="center"/>
    </xf>
    <xf numFmtId="0" fontId="23" fillId="31" borderId="43" xfId="0" applyNumberFormat="1" applyFont="1" applyFill="1" applyBorder="1" applyAlignment="1">
      <alignment horizontal="center" vertical="center"/>
    </xf>
    <xf numFmtId="3" fontId="40" fillId="7" borderId="43" xfId="0" applyNumberFormat="1" applyFont="1" applyFill="1" applyBorder="1" applyAlignment="1">
      <alignment horizontal="center" vertical="center"/>
    </xf>
    <xf numFmtId="0" fontId="18" fillId="7" borderId="43" xfId="0" applyNumberFormat="1" applyFont="1" applyFill="1" applyBorder="1" applyAlignment="1">
      <alignment horizontal="center" vertical="center"/>
    </xf>
    <xf numFmtId="0" fontId="27" fillId="32" borderId="43" xfId="0" applyNumberFormat="1" applyFont="1" applyFill="1" applyBorder="1" applyAlignment="1">
      <alignment horizontal="center" vertical="center" wrapText="1"/>
    </xf>
    <xf numFmtId="0" fontId="23" fillId="15" borderId="43" xfId="0" applyNumberFormat="1" applyFont="1" applyFill="1" applyBorder="1" applyAlignment="1">
      <alignment horizontal="center" vertical="center"/>
    </xf>
    <xf numFmtId="3" fontId="16" fillId="7" borderId="43" xfId="0" applyNumberFormat="1" applyFont="1" applyFill="1" applyBorder="1" applyAlignment="1">
      <alignment horizontal="center" vertical="center"/>
    </xf>
    <xf numFmtId="0" fontId="23" fillId="18" borderId="43" xfId="0" applyNumberFormat="1" applyFont="1" applyFill="1" applyBorder="1" applyAlignment="1">
      <alignment horizontal="center" vertical="center"/>
    </xf>
    <xf numFmtId="3" fontId="41" fillId="7" borderId="43" xfId="0" applyNumberFormat="1" applyFont="1" applyFill="1" applyBorder="1" applyAlignment="1">
      <alignment horizontal="center" vertical="center"/>
    </xf>
    <xf numFmtId="0" fontId="23" fillId="17" borderId="43" xfId="0" applyNumberFormat="1" applyFont="1" applyFill="1" applyBorder="1" applyAlignment="1">
      <alignment horizontal="center" vertical="center"/>
    </xf>
    <xf numFmtId="3" fontId="42" fillId="7" borderId="43" xfId="0" applyNumberFormat="1" applyFont="1" applyFill="1" applyBorder="1" applyAlignment="1">
      <alignment horizontal="center" vertical="center"/>
    </xf>
    <xf numFmtId="0" fontId="23" fillId="33" borderId="43" xfId="0" applyNumberFormat="1" applyFont="1" applyFill="1" applyBorder="1" applyAlignment="1">
      <alignment horizontal="center" vertical="center"/>
    </xf>
    <xf numFmtId="3" fontId="43" fillId="7" borderId="43" xfId="0" applyNumberFormat="1" applyFont="1" applyFill="1" applyBorder="1" applyAlignment="1">
      <alignment horizontal="center" vertical="center"/>
    </xf>
    <xf numFmtId="0" fontId="23" fillId="19" borderId="43" xfId="0" applyNumberFormat="1" applyFont="1" applyFill="1" applyBorder="1" applyAlignment="1">
      <alignment horizontal="center" vertical="center"/>
    </xf>
    <xf numFmtId="3" fontId="44" fillId="7" borderId="43" xfId="0" applyNumberFormat="1" applyFont="1" applyFill="1" applyBorder="1" applyAlignment="1">
      <alignment horizontal="center" vertical="center"/>
    </xf>
    <xf numFmtId="0" fontId="23" fillId="34" borderId="43" xfId="0" applyNumberFormat="1" applyFont="1" applyFill="1" applyBorder="1" applyAlignment="1">
      <alignment horizontal="center" vertical="center"/>
    </xf>
    <xf numFmtId="3" fontId="15" fillId="7" borderId="43" xfId="0" applyNumberFormat="1" applyFont="1" applyFill="1" applyBorder="1" applyAlignment="1">
      <alignment horizontal="center" vertical="center"/>
    </xf>
    <xf numFmtId="0" fontId="45" fillId="31" borderId="0" xfId="0" applyNumberFormat="1" applyFont="1" applyFill="1" applyBorder="1" applyAlignment="1">
      <alignment horizontal="center" vertical="center"/>
    </xf>
    <xf numFmtId="0" fontId="1" fillId="7" borderId="44" xfId="0" applyNumberFormat="1" applyFont="1" applyFill="1" applyBorder="1" applyAlignment="1">
      <alignment horizontal="left" vertical="center" wrapText="1" indent="1"/>
    </xf>
    <xf numFmtId="0" fontId="46" fillId="7" borderId="44" xfId="0" applyNumberFormat="1" applyFont="1" applyFill="1" applyBorder="1" applyAlignment="1">
      <alignment horizontal="right" vertical="center"/>
    </xf>
    <xf numFmtId="165" fontId="1" fillId="7" borderId="44" xfId="0" applyNumberFormat="1" applyFont="1" applyFill="1" applyBorder="1" applyAlignment="1">
      <alignment vertical="center"/>
    </xf>
    <xf numFmtId="0" fontId="47" fillId="7" borderId="44" xfId="0" applyNumberFormat="1" applyFont="1" applyFill="1" applyBorder="1" applyAlignment="1">
      <alignment horizontal="right" vertical="center"/>
    </xf>
    <xf numFmtId="0" fontId="45" fillId="15" borderId="0" xfId="0" applyNumberFormat="1" applyFont="1" applyFill="1" applyBorder="1" applyAlignment="1">
      <alignment horizontal="center" vertical="center"/>
    </xf>
    <xf numFmtId="0" fontId="1" fillId="8" borderId="44" xfId="0" applyNumberFormat="1" applyFont="1" applyFill="1" applyBorder="1" applyAlignment="1">
      <alignment horizontal="left" vertical="center" wrapText="1" indent="1"/>
    </xf>
    <xf numFmtId="0" fontId="11" fillId="8" borderId="44" xfId="0" applyNumberFormat="1" applyFont="1" applyFill="1" applyBorder="1" applyAlignment="1">
      <alignment horizontal="right" vertical="center"/>
    </xf>
    <xf numFmtId="165" fontId="1" fillId="8" borderId="44" xfId="0" applyNumberFormat="1" applyFont="1" applyFill="1" applyBorder="1" applyAlignment="1">
      <alignment vertical="center"/>
    </xf>
    <xf numFmtId="0" fontId="47" fillId="8" borderId="44" xfId="0" applyNumberFormat="1" applyFont="1" applyFill="1" applyBorder="1" applyAlignment="1">
      <alignment horizontal="right" vertical="center"/>
    </xf>
    <xf numFmtId="0" fontId="45" fillId="35" borderId="0" xfId="0" applyNumberFormat="1" applyFont="1" applyFill="1" applyBorder="1" applyAlignment="1">
      <alignment horizontal="center" vertical="center"/>
    </xf>
    <xf numFmtId="0" fontId="48" fillId="8" borderId="44" xfId="0" applyNumberFormat="1" applyFont="1" applyFill="1" applyBorder="1" applyAlignment="1">
      <alignment horizontal="right" vertical="center"/>
    </xf>
    <xf numFmtId="0" fontId="45" fillId="17" borderId="0" xfId="0" applyNumberFormat="1" applyFont="1" applyFill="1" applyBorder="1" applyAlignment="1">
      <alignment horizontal="center" vertical="center"/>
    </xf>
    <xf numFmtId="0" fontId="49" fillId="8" borderId="44" xfId="0" applyNumberFormat="1" applyFont="1" applyFill="1" applyBorder="1" applyAlignment="1">
      <alignment horizontal="right" vertical="center"/>
    </xf>
    <xf numFmtId="0" fontId="45" fillId="19" borderId="0" xfId="0" applyNumberFormat="1" applyFont="1" applyFill="1" applyBorder="1" applyAlignment="1">
      <alignment horizontal="center" vertical="center"/>
    </xf>
    <xf numFmtId="0" fontId="12" fillId="8" borderId="44" xfId="0" applyNumberFormat="1" applyFont="1" applyFill="1" applyBorder="1" applyAlignment="1">
      <alignment horizontal="right" vertical="center"/>
    </xf>
    <xf numFmtId="0" fontId="45" fillId="36" borderId="0" xfId="0" applyNumberFormat="1" applyFont="1" applyFill="1" applyBorder="1" applyAlignment="1">
      <alignment horizontal="center" vertical="center"/>
    </xf>
    <xf numFmtId="0" fontId="50" fillId="8" borderId="44" xfId="0" applyNumberFormat="1" applyFont="1" applyFill="1" applyBorder="1" applyAlignment="1">
      <alignment horizontal="right" vertical="center"/>
    </xf>
    <xf numFmtId="0" fontId="45" fillId="34" borderId="0" xfId="0" applyNumberFormat="1" applyFont="1" applyFill="1" applyBorder="1" applyAlignment="1">
      <alignment horizontal="center" vertical="center"/>
    </xf>
    <xf numFmtId="3" fontId="33" fillId="37" borderId="42" xfId="0" applyNumberFormat="1" applyFont="1" applyFill="1" applyBorder="1" applyAlignment="1">
      <alignment horizontal="center" vertical="center"/>
    </xf>
    <xf numFmtId="3" fontId="18" fillId="38" borderId="42" xfId="0" applyNumberFormat="1" applyFont="1" applyFill="1" applyBorder="1" applyAlignment="1">
      <alignment horizontal="center" vertical="center"/>
    </xf>
    <xf numFmtId="0" fontId="18" fillId="32" borderId="41" xfId="0" applyNumberFormat="1" applyFont="1" applyFill="1" applyBorder="1" applyAlignment="1">
      <alignment horizontal="left" vertical="center" indent="1"/>
    </xf>
    <xf numFmtId="3" fontId="33" fillId="39" borderId="42" xfId="0" applyNumberFormat="1" applyFont="1" applyFill="1" applyBorder="1" applyAlignment="1">
      <alignment horizontal="center" vertical="center"/>
    </xf>
    <xf numFmtId="3" fontId="18" fillId="40" borderId="42" xfId="0" applyNumberFormat="1" applyFont="1" applyFill="1" applyBorder="1" applyAlignment="1">
      <alignment horizontal="center" vertical="center"/>
    </xf>
    <xf numFmtId="3" fontId="33" fillId="41" borderId="42" xfId="0" applyNumberFormat="1" applyFont="1" applyFill="1" applyBorder="1" applyAlignment="1">
      <alignment horizontal="center" vertical="center"/>
    </xf>
    <xf numFmtId="0" fontId="1" fillId="0" borderId="45" xfId="0" applyNumberFormat="1" applyFont="1" applyFill="1" applyBorder="1" applyAlignment="1">
      <alignment horizontal="left" vertical="bottom"/>
    </xf>
    <xf numFmtId="0" fontId="51" fillId="4" borderId="0" xfId="0" applyNumberFormat="1" applyFont="1" applyFill="1" applyBorder="1" applyAlignment="1">
      <alignment horizontal="left" vertical="center" indent="1"/>
    </xf>
    <xf numFmtId="0" fontId="52" fillId="7" borderId="0" xfId="0" applyNumberFormat="1" applyFont="1" applyFill="1" applyBorder="1" applyAlignment="1">
      <alignment horizontal="left" vertical="center" indent="1"/>
    </xf>
    <xf numFmtId="0" fontId="53" fillId="32" borderId="0" xfId="0" applyNumberFormat="1" applyFont="1" applyFill="1" applyBorder="1" applyAlignment="1">
      <alignment horizontal="left" vertical="center" wrapText="1" indent="1"/>
    </xf>
    <xf numFmtId="0" fontId="54" fillId="42" borderId="46" xfId="0" applyNumberFormat="1" applyFont="1" applyFill="1" applyBorder="1" applyAlignment="1">
      <alignment horizontal="left" vertical="center" indent="1"/>
    </xf>
    <xf numFmtId="166" fontId="6" fillId="9" borderId="6" xfId="0" applyNumberFormat="1" applyFont="1" applyFill="1" applyBorder="1" applyAlignment="1">
      <alignment horizontal="left" vertical="center" indent="1"/>
    </xf>
    <xf numFmtId="0" fontId="1" fillId="8" borderId="47" xfId="0" applyNumberFormat="1" applyFont="1" applyFill="1" applyBorder="1" applyAlignment="1">
      <alignment horizontal="left" vertical="bottom" indent="1"/>
    </xf>
    <xf numFmtId="166" fontId="9" fillId="8" borderId="48" xfId="0" applyNumberFormat="1" applyFont="1" applyFill="1" applyBorder="1" applyAlignment="1">
      <alignment horizontal="left" vertical="center" indent="1"/>
    </xf>
    <xf numFmtId="0" fontId="10" fillId="8" borderId="48" xfId="0" applyNumberFormat="1" applyFont="1" applyFill="1" applyBorder="1" applyAlignment="1">
      <alignment horizontal="left" vertical="top" indent="1"/>
    </xf>
    <xf numFmtId="0" fontId="13" fillId="8" borderId="48" xfId="0" applyNumberFormat="1" applyFont="1" applyFill="1" applyBorder="1" applyAlignment="1">
      <alignment horizontal="left" vertical="center" indent="1"/>
    </xf>
    <xf numFmtId="0" fontId="1" fillId="8" borderId="49" xfId="0" applyNumberFormat="1" applyFont="1" applyFill="1" applyBorder="1" applyAlignment="1">
      <alignment horizontal="left" vertical="top" indent="1"/>
    </xf>
    <xf numFmtId="0" fontId="1" fillId="12" borderId="47" xfId="0" applyNumberFormat="1" applyFont="1" applyFill="1" applyBorder="1" applyAlignment="1">
      <alignment horizontal="left" vertical="bottom" indent="1"/>
    </xf>
    <xf numFmtId="3" fontId="9" fillId="12" borderId="48" xfId="0" applyNumberFormat="1" applyFont="1" applyFill="1" applyBorder="1" applyAlignment="1">
      <alignment horizontal="left" vertical="center" indent="1"/>
    </xf>
    <xf numFmtId="0" fontId="10" fillId="12" borderId="48" xfId="0" applyNumberFormat="1" applyFont="1" applyFill="1" applyBorder="1" applyAlignment="1">
      <alignment horizontal="left" vertical="top" indent="1"/>
    </xf>
    <xf numFmtId="0" fontId="13" fillId="12" borderId="48" xfId="0" applyNumberFormat="1" applyFont="1" applyFill="1" applyBorder="1" applyAlignment="1">
      <alignment horizontal="left" vertical="center" indent="1"/>
    </xf>
    <xf numFmtId="0" fontId="1" fillId="12" borderId="49" xfId="0" applyNumberFormat="1" applyFont="1" applyFill="1" applyBorder="1" applyAlignment="1">
      <alignment horizontal="left" vertical="top" indent="1"/>
    </xf>
    <xf numFmtId="166" fontId="6" fillId="13" borderId="6" xfId="0" applyNumberFormat="1" applyFont="1" applyFill="1" applyBorder="1" applyAlignment="1">
      <alignment horizontal="left" vertical="center" indent="1"/>
    </xf>
    <xf numFmtId="0" fontId="8" fillId="13" borderId="6" xfId="0" applyNumberFormat="1" applyFont="1" applyFill="1" applyBorder="1" applyAlignment="1">
      <alignment horizontal="left" vertical="center" indent="1"/>
    </xf>
    <xf numFmtId="0" fontId="32" fillId="2" borderId="0" xfId="0" applyNumberFormat="1" applyFont="1" applyFill="1" applyBorder="1" applyAlignment="1">
      <alignment horizontal="center" vertical="center"/>
    </xf>
    <xf numFmtId="0" fontId="18" fillId="8" borderId="0" xfId="0" applyNumberFormat="1" applyFont="1" applyFill="1" applyBorder="1" applyAlignment="1">
      <alignment horizontal="left" vertical="center" indent="1"/>
    </xf>
    <xf numFmtId="166" fontId="55" fillId="43" borderId="42" xfId="0" applyNumberFormat="1" applyFont="1" applyFill="1" applyBorder="1" applyAlignment="1">
      <alignment horizontal="center" vertical="center"/>
    </xf>
    <xf numFmtId="166" fontId="55" fillId="44" borderId="42" xfId="0" applyNumberFormat="1" applyFont="1" applyFill="1" applyBorder="1" applyAlignment="1">
      <alignment horizontal="center" vertical="center"/>
    </xf>
    <xf numFmtId="166" fontId="55" fillId="45" borderId="42" xfId="0" applyNumberFormat="1" applyFont="1" applyFill="1" applyBorder="1" applyAlignment="1">
      <alignment horizontal="center" vertical="center"/>
    </xf>
    <xf numFmtId="3" fontId="38" fillId="8" borderId="0" xfId="0" applyNumberFormat="1" applyFont="1" applyFill="1" applyBorder="1" applyAlignment="1">
      <alignment horizontal="center" vertical="center"/>
    </xf>
    <xf numFmtId="0" fontId="18" fillId="32" borderId="0" xfId="0" applyNumberFormat="1" applyFont="1" applyFill="1" applyBorder="1" applyAlignment="1">
      <alignment horizontal="left" vertical="center" indent="1"/>
    </xf>
    <xf numFmtId="166" fontId="56" fillId="15" borderId="42" xfId="0" applyNumberFormat="1" applyFont="1" applyFill="1" applyBorder="1" applyAlignment="1">
      <alignment horizontal="center" vertical="center"/>
    </xf>
    <xf numFmtId="3" fontId="38" fillId="32" borderId="0" xfId="0" applyNumberFormat="1" applyFont="1" applyFill="1" applyBorder="1" applyAlignment="1">
      <alignment horizontal="center" vertical="center"/>
    </xf>
    <xf numFmtId="166" fontId="56" fillId="46" borderId="42" xfId="0" applyNumberFormat="1" applyFont="1" applyFill="1" applyBorder="1" applyAlignment="1">
      <alignment horizontal="center" vertical="center"/>
    </xf>
    <xf numFmtId="0" fontId="32" fillId="2" borderId="50" xfId="0" applyNumberFormat="1" applyFont="1" applyFill="1" applyBorder="1" applyAlignment="1">
      <alignment horizontal="center" vertical="center" wrapText="1"/>
    </xf>
    <xf numFmtId="0" fontId="32" fillId="2" borderId="50" xfId="0" applyNumberFormat="1" applyFont="1" applyFill="1" applyBorder="1" applyAlignment="1">
      <alignment horizontal="left" vertical="center" wrapText="1" indent="1"/>
    </xf>
    <xf numFmtId="0" fontId="32" fillId="2" borderId="50" xfId="0" applyNumberFormat="1" applyFont="1" applyFill="1" applyBorder="1" applyAlignment="1">
      <alignment horizontal="right" vertical="center" wrapText="1"/>
    </xf>
    <xf numFmtId="0" fontId="57" fillId="8" borderId="0" xfId="0" applyNumberFormat="1" applyFont="1" applyFill="1" applyBorder="1" applyAlignment="1">
      <alignment horizontal="center" vertical="center"/>
    </xf>
    <xf numFmtId="0" fontId="58" fillId="8" borderId="0" xfId="0" applyNumberFormat="1" applyFont="1" applyFill="1" applyBorder="1" applyAlignment="1">
      <alignment horizontal="left" vertical="center"/>
    </xf>
    <xf numFmtId="164" fontId="59" fillId="8" borderId="0" xfId="0" applyNumberFormat="1" applyFont="1" applyFill="1" applyBorder="1" applyAlignment="1">
      <alignment horizontal="right" vertical="center"/>
    </xf>
    <xf numFmtId="166" fontId="59" fillId="8" borderId="0" xfId="0" applyNumberFormat="1" applyFont="1" applyFill="1" applyBorder="1" applyAlignment="1">
      <alignment horizontal="center" vertical="center"/>
    </xf>
    <xf numFmtId="0" fontId="57" fillId="32" borderId="0" xfId="0" applyNumberFormat="1" applyFont="1" applyFill="1" applyBorder="1" applyAlignment="1">
      <alignment horizontal="center" vertical="center"/>
    </xf>
    <xf numFmtId="0" fontId="58" fillId="32" borderId="0" xfId="0" applyNumberFormat="1" applyFont="1" applyFill="1" applyBorder="1" applyAlignment="1">
      <alignment horizontal="left" vertical="center"/>
    </xf>
    <xf numFmtId="164" fontId="59" fillId="32" borderId="0" xfId="0" applyNumberFormat="1" applyFont="1" applyFill="1" applyBorder="1" applyAlignment="1">
      <alignment horizontal="right" vertical="center"/>
    </xf>
    <xf numFmtId="166" fontId="59" fillId="32" borderId="0" xfId="0" applyNumberFormat="1" applyFont="1" applyFill="1" applyBorder="1" applyAlignment="1">
      <alignment horizontal="center" vertical="center"/>
    </xf>
    <xf numFmtId="0" fontId="32" fillId="2" borderId="50" xfId="0" applyNumberFormat="1" applyFont="1" applyFill="1" applyBorder="1" applyAlignment="1">
      <alignment horizontal="left" vertical="center"/>
    </xf>
    <xf numFmtId="0" fontId="32" fillId="2" borderId="50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47" borderId="0" xfId="0" applyNumberFormat="1" applyFont="1" applyFill="1" applyBorder="1" applyAlignment="1">
      <alignment vertical="center"/>
    </xf>
    <xf numFmtId="0" fontId="60" fillId="8" borderId="51" xfId="0" applyNumberFormat="1" applyFont="1" applyFill="1" applyBorder="1" applyAlignment="1">
      <alignment horizontal="center" vertical="center"/>
    </xf>
    <xf numFmtId="0" fontId="61" fillId="8" borderId="11" xfId="0" applyNumberFormat="1" applyFont="1" applyFill="1" applyBorder="1" applyAlignment="1">
      <alignment horizontal="left" vertical="bottom"/>
    </xf>
    <xf numFmtId="0" fontId="62" fillId="8" borderId="11" xfId="0" applyNumberFormat="1" applyFont="1" applyFill="1" applyBorder="1" applyAlignment="1">
      <alignment horizontal="left" vertical="center"/>
    </xf>
    <xf numFmtId="0" fontId="1" fillId="8" borderId="51" xfId="0" applyNumberFormat="1" applyFont="1" applyFill="1" applyBorder="1" applyAlignment="1">
      <alignment vertical="center"/>
    </xf>
    <xf numFmtId="0" fontId="25" fillId="8" borderId="11" xfId="0" applyNumberFormat="1" applyFont="1" applyFill="1" applyBorder="1" applyAlignment="1">
      <alignment horizontal="left" vertical="top" wrapText="1"/>
    </xf>
    <xf numFmtId="0" fontId="1" fillId="8" borderId="52" xfId="0" applyNumberFormat="1" applyFont="1" applyFill="1" applyBorder="1" applyAlignment="1">
      <alignment vertical="center"/>
    </xf>
    <xf numFmtId="0" fontId="1" fillId="8" borderId="53" xfId="0" applyNumberFormat="1" applyFont="1" applyFill="1" applyBorder="1" applyAlignment="1">
      <alignment vertical="center"/>
    </xf>
    <xf numFmtId="0" fontId="1" fillId="8" borderId="54" xfId="0" applyNumberFormat="1" applyFont="1" applyFill="1" applyBorder="1" applyAlignment="1">
      <alignment vertical="center"/>
    </xf>
    <xf numFmtId="0" fontId="1" fillId="48" borderId="0" xfId="0" applyNumberFormat="1" applyFont="1" applyFill="1" applyBorder="1" applyAlignment="1">
      <alignment vertical="center"/>
    </xf>
    <xf numFmtId="0" fontId="63" fillId="8" borderId="11" xfId="0" applyNumberFormat="1" applyFont="1" applyFill="1" applyBorder="1" applyAlignment="1">
      <alignment horizontal="left" vertical="center"/>
    </xf>
    <xf numFmtId="0" fontId="1" fillId="49" borderId="0" xfId="0" applyNumberFormat="1" applyFont="1" applyFill="1" applyBorder="1" applyAlignment="1">
      <alignment vertical="center"/>
    </xf>
    <xf numFmtId="0" fontId="64" fillId="8" borderId="11" xfId="0" applyNumberFormat="1" applyFont="1" applyFill="1" applyBorder="1" applyAlignment="1">
      <alignment horizontal="left" vertical="center"/>
    </xf>
    <xf numFmtId="0" fontId="1" fillId="50" borderId="0" xfId="0" applyNumberFormat="1" applyFont="1" applyFill="1" applyBorder="1" applyAlignment="1">
      <alignment vertical="center"/>
    </xf>
    <xf numFmtId="0" fontId="65" fillId="8" borderId="11" xfId="0" applyNumberFormat="1" applyFont="1" applyFill="1" applyBorder="1" applyAlignment="1">
      <alignment horizontal="left" vertical="center"/>
    </xf>
    <xf numFmtId="0" fontId="1" fillId="51" borderId="0" xfId="0" applyNumberFormat="1" applyFont="1" applyFill="1" applyBorder="1" applyAlignment="1">
      <alignment vertical="center"/>
    </xf>
    <xf numFmtId="0" fontId="66" fillId="8" borderId="11" xfId="0" applyNumberFormat="1" applyFont="1" applyFill="1" applyBorder="1" applyAlignment="1">
      <alignment horizontal="left" vertical="center"/>
    </xf>
    <xf numFmtId="0" fontId="1" fillId="52" borderId="0" xfId="0" applyNumberFormat="1" applyFont="1" applyFill="1" applyBorder="1" applyAlignment="1">
      <alignment vertical="center"/>
    </xf>
    <xf numFmtId="0" fontId="67" fillId="8" borderId="11" xfId="0" applyNumberFormat="1" applyFont="1" applyFill="1" applyBorder="1" applyAlignment="1">
      <alignment horizontal="left" vertical="center"/>
    </xf>
    <xf numFmtId="0" fontId="1" fillId="53" borderId="0" xfId="0" applyNumberFormat="1" applyFont="1" applyFill="1" applyBorder="1" applyAlignment="1">
      <alignment vertical="center"/>
    </xf>
    <xf numFmtId="0" fontId="68" fillId="8" borderId="11" xfId="0" applyNumberFormat="1" applyFont="1" applyFill="1" applyBorder="1" applyAlignment="1">
      <alignment horizontal="left" vertical="center"/>
    </xf>
    <xf numFmtId="0" fontId="69" fillId="0" borderId="0" xfId="0" applyNumberFormat="1" applyFont="1" applyFill="1" applyBorder="1" applyAlignment="1">
      <alignment horizontal="left" vertical="center" indent="1"/>
    </xf>
    <xf numFmtId="0" fontId="70" fillId="8" borderId="55" xfId="0" applyNumberFormat="1" applyFont="1" applyFill="1" applyBorder="1" applyAlignment="1">
      <alignment horizontal="left" vertical="center" indent="1"/>
    </xf>
    <xf numFmtId="0" fontId="70" fillId="32" borderId="55" xfId="0" applyNumberFormat="1" applyFont="1" applyFill="1" applyBorder="1" applyAlignment="1">
      <alignment horizontal="left" vertical="center" indent="1"/>
    </xf>
    <xf numFmtId="0" fontId="1" fillId="0" borderId="56" xfId="0" applyNumberFormat="1" applyFont="1" applyFill="1" applyBorder="1" applyAlignment="1">
      <alignment horizontal="left" vertical="bottom"/>
    </xf>
    <xf numFmtId="0" fontId="71" fillId="29" borderId="0" xfId="0" applyNumberFormat="1" applyFont="1" applyFill="1" applyBorder="1" applyAlignment="1">
      <alignment horizontal="center" vertical="center"/>
    </xf>
    <xf numFmtId="0" fontId="59" fillId="32" borderId="0" xfId="0" applyNumberFormat="1" applyFont="1" applyFill="1" applyBorder="1" applyAlignment="1">
      <alignment horizontal="left" vertical="center" wrapText="1" indent="1"/>
    </xf>
    <xf numFmtId="0" fontId="59" fillId="8" borderId="0" xfId="0" applyNumberFormat="1" applyFont="1" applyFill="1" applyBorder="1" applyAlignment="1">
      <alignment horizontal="left" vertical="center" wrapText="1" indent="1"/>
    </xf>
    <xf numFmtId="0" fontId="39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'_data'!$A$14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60A5FA">
                    <a:alpha val="55000"/>
                  </a:srgbClr>
                </a:gs>
                <a:gs pos="100000">
                  <a:srgbClr val="60A5FA">
                    <a:alpha val="8000"/>
                  </a:srgbClr>
                </a:gs>
              </a:gsLst>
              <a:lin ang="5400000" scaled="0"/>
            </a:gradFill>
            <a:ln w="22225" cap="rnd">
              <a:solidFill>
                <a:srgbClr val="60A5FA"/>
              </a:solidFill>
              <a:round/>
            </a:ln>
          </c:spP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'_data'!$B$14:$J$14</c:f>
              <c:numCache>
                <c:formatCode>#,##0</c:formatCode>
                <c:ptCount val="9"/>
                <c:pt idx="0">
                  <c:v>850385585746</c:v>
                </c:pt>
                <c:pt idx="1">
                  <c:v>850385585746</c:v>
                </c:pt>
                <c:pt idx="2">
                  <c:v>850385585746</c:v>
                </c:pt>
                <c:pt idx="3">
                  <c:v>850385585746</c:v>
                </c:pt>
                <c:pt idx="4">
                  <c:v>850385585746</c:v>
                </c:pt>
                <c:pt idx="5">
                  <c:v>850385585746</c:v>
                </c:pt>
                <c:pt idx="6">
                  <c:v>850385585746</c:v>
                </c:pt>
                <c:pt idx="7">
                  <c:v>850385585746</c:v>
                </c:pt>
                <c:pt idx="8">
                  <c:v>850385585746</c:v>
                </c:pt>
              </c:numCache>
            </c:numRef>
          </c:val>
        </c:ser>
        <c:axId val="101"/>
        <c:axId val="102"/>
      </c:areaChart>
      <c:lineChart>
        <c:grouping val="standard"/>
        <c:varyColors val="0"/>
        <c:ser>
          <c:idx val="1"/>
          <c:order val="1"/>
          <c:tx>
            <c:strRef>
              <c:f>'_data'!$A$15</c:f>
              <c:strCache>
                <c:ptCount val="1"/>
                <c:pt idx="0">
                  <c:v>Impayés</c:v>
                </c:pt>
              </c:strCache>
            </c:strRef>
          </c:tx>
          <c:spPr>
            <a:ln w="31750" cap="rnd">
              <a:solidFill>
                <a:srgbClr val="06B6D4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06B6D4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'_data'!$B$15:$J$15</c:f>
              <c:numCache>
                <c:formatCode>#,##0</c:formatCode>
                <c:ptCount val="9"/>
                <c:pt idx="0">
                  <c:v>29184523554</c:v>
                </c:pt>
                <c:pt idx="1">
                  <c:v>29420095999</c:v>
                </c:pt>
                <c:pt idx="2">
                  <c:v>29702243448</c:v>
                </c:pt>
                <c:pt idx="3">
                  <c:v>29928927133</c:v>
                </c:pt>
                <c:pt idx="4">
                  <c:v>30088767435</c:v>
                </c:pt>
                <c:pt idx="5">
                  <c:v>30408508959</c:v>
                </c:pt>
                <c:pt idx="6">
                  <c:v>31308379288</c:v>
                </c:pt>
                <c:pt idx="7">
                  <c:v>31559855616</c:v>
                </c:pt>
                <c:pt idx="8">
                  <c:v>31893133004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'_data'!$A$16</c:f>
              <c:strCache>
                <c:ptCount val="1"/>
                <c:pt idx="0">
                  <c:v>Stage 2</c:v>
                </c:pt>
              </c:strCache>
            </c:strRef>
          </c:tx>
          <c:spPr>
            <a:ln w="28575" cap="rnd">
              <a:solidFill>
                <a:srgbClr val="C8A951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C8A951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'_data'!$B$16:$J$16</c:f>
              <c:numCache>
                <c:formatCode>#,##0</c:formatCode>
                <c:ptCount val="9"/>
                <c:pt idx="0">
                  <c:v>269638115746</c:v>
                </c:pt>
                <c:pt idx="1">
                  <c:v>265469334553</c:v>
                </c:pt>
                <c:pt idx="2">
                  <c:v>267459762762</c:v>
                </c:pt>
                <c:pt idx="3">
                  <c:v>260155324243</c:v>
                </c:pt>
                <c:pt idx="4">
                  <c:v>251913499667</c:v>
                </c:pt>
                <c:pt idx="5">
                  <c:v>247382030353</c:v>
                </c:pt>
                <c:pt idx="6">
                  <c:v>256897530911</c:v>
                </c:pt>
                <c:pt idx="7">
                  <c:v>260405484457</c:v>
                </c:pt>
                <c:pt idx="8">
                  <c:v>259457540560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'_data'!$A$17</c:f>
              <c:strCache>
                <c:ptCount val="1"/>
                <c:pt idx="0">
                  <c:v>Stage 3</c:v>
                </c:pt>
              </c:strCache>
            </c:strRef>
          </c:tx>
          <c:spPr>
            <a:ln w="28575" cap="rnd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DC2626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'_data'!$B$17:$J$17</c:f>
              <c:numCache>
                <c:formatCode>#,##0</c:formatCode>
                <c:ptCount val="9"/>
                <c:pt idx="0">
                  <c:v>263523119585</c:v>
                </c:pt>
                <c:pt idx="1">
                  <c:v>275253548816</c:v>
                </c:pt>
                <c:pt idx="2">
                  <c:v>278163621132</c:v>
                </c:pt>
                <c:pt idx="3">
                  <c:v>288562532063</c:v>
                </c:pt>
                <c:pt idx="4">
                  <c:v>302210258189</c:v>
                </c:pt>
                <c:pt idx="5">
                  <c:v>311191155804</c:v>
                </c:pt>
                <c:pt idx="6">
                  <c:v>313715142480</c:v>
                </c:pt>
                <c:pt idx="7">
                  <c:v>320285953006</c:v>
                </c:pt>
                <c:pt idx="8">
                  <c:v>323775211401</c:v>
                </c:pt>
              </c:numCache>
            </c:numRef>
          </c:val>
          <c:smooth val="0"/>
        </c:ser>
        <c:marker val="1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</c:scaling>
        <c:delete val="0"/>
        <c:axPos val="r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doughnutChart>
        <c:varyColors val="1"/>
        <c:ser>
          <c:idx val="0"/>
          <c:order val="0"/>
          <c:tx>
            <c:strRef>
              <c:f>'_data'!$A$19</c:f>
              <c:strCache>
                <c:ptCount val="1"/>
                <c:pt idx="0">
                  <c:v>Encours</c:v>
                </c:pt>
              </c:strCache>
            </c:strRef>
          </c:tx>
          <c:dPt>
            <c:idx val="0"/>
            <c:bubble3D val="0"/>
            <c:spPr>
              <a:solidFill>
                <a:srgbClr val="003DA5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8A951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DC2626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Segoe U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'_data'!$B$18:$D$18</c:f>
              <c:strCache>
                <c:ptCount val="3"/>
                <c:pt idx="0">
                  <c:v>Stage 1</c:v>
                </c:pt>
                <c:pt idx="1">
                  <c:v>Stage 2</c:v>
                </c:pt>
                <c:pt idx="2">
                  <c:v>Stage 3</c:v>
                </c:pt>
              </c:strCache>
            </c:strRef>
          </c:cat>
          <c:val>
            <c:numRef>
              <c:f>'_data'!$B$19:$D$19</c:f>
              <c:numCache>
                <c:formatCode>#,##0</c:formatCode>
                <c:ptCount val="3"/>
                <c:pt idx="0">
                  <c:v>267152833785</c:v>
                </c:pt>
                <c:pt idx="1">
                  <c:v>259457540560</c:v>
                </c:pt>
                <c:pt idx="2">
                  <c:v>323775211401</c:v>
                </c:pt>
              </c:numCache>
            </c:numRef>
          </c:val>
        </c:ser>
        <c:firstSliceAng val="0"/>
        <c:holeSize val="64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'_data'!$A$21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'_data'!$B$20:$E$20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'_data'!$B$21:$E$21</c:f>
              <c:numCache>
                <c:formatCode>#,##0</c:formatCode>
                <c:ptCount val="4"/>
                <c:pt idx="0">
                  <c:v>0</c:v>
                </c:pt>
                <c:pt idx="1">
                  <c:v>31559855616</c:v>
                </c:pt>
                <c:pt idx="2">
                  <c:v>31568337947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'_data'!$A$22</c:f>
              <c:strCache>
                <c:ptCount val="1"/>
                <c:pt idx="0">
                  <c:v>Mouvement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406EBC">
                      <a:alpha val="100000"/>
                    </a:srgbClr>
                  </a:gs>
                  <a:gs pos="100000">
                    <a:srgbClr val="003DA5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D6BF7D">
                      <a:alpha val="100000"/>
                    </a:srgbClr>
                  </a:gs>
                  <a:gs pos="100000">
                    <a:srgbClr val="C8A951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31,56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+8,5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+324,8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31,89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'_data'!$B$20:$E$20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'_data'!$B$22:$E$22</c:f>
              <c:numCache>
                <c:formatCode>#,##0</c:formatCode>
                <c:ptCount val="4"/>
                <c:pt idx="0">
                  <c:v>31559855616</c:v>
                </c:pt>
                <c:pt idx="1">
                  <c:v>8482331</c:v>
                </c:pt>
                <c:pt idx="2">
                  <c:v>324795057</c:v>
                </c:pt>
                <c:pt idx="3">
                  <c:v>31893133004</c:v>
                </c:pt>
              </c:numCache>
            </c:numRef>
          </c:val>
        </c:ser>
        <c:gapWidth val="4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'_data'!$A$24</c:f>
              <c:strCache>
                <c:ptCount val="1"/>
                <c:pt idx="0">
                  <c:v>Encours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50BA77">
                      <a:alpha val="100000"/>
                    </a:srgbClr>
                  </a:gs>
                  <a:gs pos="100000">
                    <a:srgbClr val="16A34A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44C8DF">
                      <a:alpha val="100000"/>
                    </a:srgbClr>
                  </a:gs>
                  <a:gs pos="100000">
                    <a:srgbClr val="06B6D4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8B648">
                      <a:alpha val="100000"/>
                    </a:srgbClr>
                  </a:gs>
                  <a:gs pos="100000">
                    <a:srgbClr val="F59E0B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'_data'!$B$23:$F$23</c:f>
              <c:strCache>
                <c:ptCount val="5"/>
                <c:pt idx="0">
                  <c:v>Sain</c:v>
                </c:pt>
                <c:pt idx="1">
                  <c:v>1-30 j</c:v>
                </c:pt>
                <c:pt idx="2">
                  <c:v>31-60 j</c:v>
                </c:pt>
                <c:pt idx="3">
                  <c:v>61-90 j</c:v>
                </c:pt>
                <c:pt idx="4">
                  <c:v>&gt; 90 j / S3</c:v>
                </c:pt>
              </c:strCache>
            </c:strRef>
          </c:cat>
          <c:val>
            <c:numRef>
              <c:f>'_data'!$B$24:$F$24</c:f>
              <c:numCache>
                <c:formatCode>#,##0</c:formatCode>
                <c:ptCount val="5"/>
                <c:pt idx="0">
                  <c:v>212430843536</c:v>
                </c:pt>
                <c:pt idx="1">
                  <c:v>227810397300</c:v>
                </c:pt>
                <c:pt idx="2">
                  <c:v>86369133509</c:v>
                </c:pt>
                <c:pt idx="3">
                  <c:v>0</c:v>
                </c:pt>
                <c:pt idx="4">
                  <c:v>323775211401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8530253681.2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'_data'!$A$26</c:f>
              <c:strCache>
                <c:ptCount val="1"/>
                <c:pt idx="0">
                  <c:v>Clients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50BA77">
                      <a:alpha val="100000"/>
                    </a:srgbClr>
                  </a:gs>
                  <a:gs pos="100000">
                    <a:srgbClr val="16A34A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44C8DF">
                      <a:alpha val="100000"/>
                    </a:srgbClr>
                  </a:gs>
                  <a:gs pos="100000">
                    <a:srgbClr val="06B6D4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8B648">
                      <a:alpha val="100000"/>
                    </a:srgbClr>
                  </a:gs>
                  <a:gs pos="100000">
                    <a:srgbClr val="F59E0B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'_data'!$B$25:$F$25</c:f>
              <c:strCache>
                <c:ptCount val="5"/>
                <c:pt idx="0">
                  <c:v>Sain</c:v>
                </c:pt>
                <c:pt idx="1">
                  <c:v>1-30 j</c:v>
                </c:pt>
                <c:pt idx="2">
                  <c:v>31-60 j</c:v>
                </c:pt>
                <c:pt idx="3">
                  <c:v>61-90 j</c:v>
                </c:pt>
                <c:pt idx="4">
                  <c:v>&gt; 90 j / S3</c:v>
                </c:pt>
              </c:strCache>
            </c:strRef>
          </c:cat>
          <c:val>
            <c:numRef>
              <c:f>'_data'!$B$26:$F$26</c:f>
              <c:numCache>
                <c:formatCode>#,##0</c:formatCode>
                <c:ptCount val="5"/>
                <c:pt idx="0">
                  <c:v>153</c:v>
                </c:pt>
                <c:pt idx="1">
                  <c:v>199</c:v>
                </c:pt>
                <c:pt idx="2">
                  <c:v>84</c:v>
                </c:pt>
                <c:pt idx="3">
                  <c:v>0</c:v>
                </c:pt>
                <c:pt idx="4">
                  <c:v>264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16.8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'_data'!$A$28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'_data'!$B$27:$E$27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'_data'!$B$28:$E$28</c:f>
              <c:numCache>
                <c:formatCode>#,##0</c:formatCode>
                <c:ptCount val="4"/>
                <c:pt idx="0">
                  <c:v>0</c:v>
                </c:pt>
                <c:pt idx="1">
                  <c:v>31559855616</c:v>
                </c:pt>
                <c:pt idx="2">
                  <c:v>31568337947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'_data'!$A$29</c:f>
              <c:strCache>
                <c:ptCount val="1"/>
                <c:pt idx="0">
                  <c:v>Mouvement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406EBC">
                      <a:alpha val="100000"/>
                    </a:srgbClr>
                  </a:gs>
                  <a:gs pos="100000">
                    <a:srgbClr val="003DA5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D6BF7D">
                      <a:alpha val="100000"/>
                    </a:srgbClr>
                  </a:gs>
                  <a:gs pos="100000">
                    <a:srgbClr val="C8A951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31,56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+8,5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+324,8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31,89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'_data'!$B$27:$E$27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'_data'!$B$29:$E$29</c:f>
              <c:numCache>
                <c:formatCode>#,##0</c:formatCode>
                <c:ptCount val="4"/>
                <c:pt idx="0">
                  <c:v>31559855616</c:v>
                </c:pt>
                <c:pt idx="1">
                  <c:v>8482331</c:v>
                </c:pt>
                <c:pt idx="2">
                  <c:v>324795057</c:v>
                </c:pt>
                <c:pt idx="3">
                  <c:v>31893133004</c:v>
                </c:pt>
              </c:numCache>
            </c:numRef>
          </c:val>
        </c:ser>
        <c:gapWidth val="4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'_data'!$A$31</c:f>
              <c:strCache>
                <c:ptCount val="1"/>
                <c:pt idx="0">
                  <c:v>Impayés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'_data'!$B$30:$J$30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'_data'!$B$31:$J$31</c:f>
              <c:numCache>
                <c:formatCode>#,##0</c:formatCode>
                <c:ptCount val="9"/>
                <c:pt idx="0">
                  <c:v>29184523554</c:v>
                </c:pt>
                <c:pt idx="1">
                  <c:v>29420095999</c:v>
                </c:pt>
                <c:pt idx="2">
                  <c:v>29702243448</c:v>
                </c:pt>
                <c:pt idx="3">
                  <c:v>29928927133</c:v>
                </c:pt>
                <c:pt idx="4">
                  <c:v>30088767435</c:v>
                </c:pt>
                <c:pt idx="5">
                  <c:v>30408508959</c:v>
                </c:pt>
                <c:pt idx="6">
                  <c:v>31308379288</c:v>
                </c:pt>
                <c:pt idx="7">
                  <c:v>31559855616</c:v>
                </c:pt>
                <c:pt idx="8">
                  <c:v>31893133004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271759604.799995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'_data'!$A$33</c:f>
              <c:strCache>
                <c:ptCount val="1"/>
                <c:pt idx="0">
                  <c:v>1-30 j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'_data'!$B$32:$J$32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'_data'!$B$33:$J$33</c:f>
              <c:numCache>
                <c:formatCode>#,##0</c:formatCode>
                <c:ptCount val="9"/>
                <c:pt idx="0">
                  <c:v>241209532103</c:v>
                </c:pt>
                <c:pt idx="1">
                  <c:v>233822420729</c:v>
                </c:pt>
                <c:pt idx="2">
                  <c:v>231105596360</c:v>
                </c:pt>
                <c:pt idx="3">
                  <c:v>221870424802</c:v>
                </c:pt>
                <c:pt idx="4">
                  <c:v>220332479940</c:v>
                </c:pt>
                <c:pt idx="5">
                  <c:v>214679799882</c:v>
                </c:pt>
                <c:pt idx="6">
                  <c:v>219891068922</c:v>
                </c:pt>
                <c:pt idx="7">
                  <c:v>225639173546</c:v>
                </c:pt>
                <c:pt idx="8">
                  <c:v>227810397300</c:v>
                </c:pt>
              </c:numCache>
            </c:numRef>
          </c:val>
        </c:ser>
        <c:ser>
          <c:idx val="1"/>
          <c:order val="1"/>
          <c:tx>
            <c:strRef>
              <c:f>'_data'!$A$34</c:f>
              <c:strCache>
                <c:ptCount val="1"/>
                <c:pt idx="0">
                  <c:v>31-60 j</c:v>
                </c:pt>
              </c:strCache>
            </c:strRef>
          </c:tx>
          <c:spPr>
            <a:gradFill rotWithShape="1">
              <a:gsLst>
                <a:gs pos="0">
                  <a:srgbClr val="F8BB54">
                    <a:alpha val="100000"/>
                  </a:srgbClr>
                </a:gs>
                <a:gs pos="100000">
                  <a:srgbClr val="F59E0B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'_data'!$B$32:$J$32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'_data'!$B$34:$J$34</c:f>
              <c:numCache>
                <c:formatCode>#,##0</c:formatCode>
                <c:ptCount val="9"/>
                <c:pt idx="0">
                  <c:v>97919154363</c:v>
                </c:pt>
                <c:pt idx="1">
                  <c:v>100736196861</c:v>
                </c:pt>
                <c:pt idx="2">
                  <c:v>100820998088</c:v>
                </c:pt>
                <c:pt idx="3">
                  <c:v>102686058724</c:v>
                </c:pt>
                <c:pt idx="4">
                  <c:v>95240867443</c:v>
                </c:pt>
                <c:pt idx="5">
                  <c:v>95336464373</c:v>
                </c:pt>
                <c:pt idx="6">
                  <c:v>95555921752</c:v>
                </c:pt>
                <c:pt idx="7">
                  <c:v>89488301160</c:v>
                </c:pt>
                <c:pt idx="8">
                  <c:v>86369133509</c:v>
                </c:pt>
              </c:numCache>
            </c:numRef>
          </c:val>
        </c:ser>
        <c:ser>
          <c:idx val="2"/>
          <c:order val="2"/>
          <c:tx>
            <c:strRef>
              <c:f>'_data'!$A$35</c:f>
              <c:strCache>
                <c:ptCount val="1"/>
                <c:pt idx="0">
                  <c:v>61-90 j</c:v>
                </c:pt>
              </c:strCache>
            </c:strRef>
          </c:tx>
          <c:spPr>
            <a:gradFill rotWithShape="1">
              <a:gsLst>
                <a:gs pos="0">
                  <a:srgbClr val="FB9D5C">
                    <a:alpha val="100000"/>
                  </a:srgbClr>
                </a:gs>
                <a:gs pos="100000">
                  <a:srgbClr val="F97316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'_data'!$B$32:$J$32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'_data'!$B$35:$J$35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'_data'!$A$36</c:f>
              <c:strCache>
                <c:ptCount val="1"/>
                <c:pt idx="0">
                  <c:v>&gt; 90 j / S3</c:v>
                </c:pt>
              </c:strCache>
            </c:strRef>
          </c:tx>
          <c:spPr>
            <a:gradFill rotWithShape="1">
              <a:gsLst>
                <a:gs pos="0">
                  <a:srgbClr val="E76767">
                    <a:alpha val="100000"/>
                  </a:srgbClr>
                </a:gs>
                <a:gs pos="100000">
                  <a:srgbClr val="DC2626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'_data'!$B$32:$J$32</c:f>
              <c:strCache>
                <c:ptCount val="9"/>
                <c:pt idx="0">
                  <c:v>31/01/2026</c:v>
                </c:pt>
                <c:pt idx="1">
                  <c:v>28/02/2026</c:v>
                </c:pt>
                <c:pt idx="2">
                  <c:v>31/03/2026</c:v>
                </c:pt>
                <c:pt idx="3">
                  <c:v>30/04/2026</c:v>
                </c:pt>
                <c:pt idx="4">
                  <c:v>31/05/2026</c:v>
                </c:pt>
                <c:pt idx="5">
                  <c:v>30/06/2026</c:v>
                </c:pt>
                <c:pt idx="6">
                  <c:v>31/07/2026</c:v>
                </c:pt>
                <c:pt idx="7">
                  <c:v>31/08/2026</c:v>
                </c:pt>
                <c:pt idx="8">
                  <c:v>30/09/2026</c:v>
                </c:pt>
              </c:strCache>
            </c:strRef>
          </c:cat>
          <c:val>
            <c:numRef>
              <c:f>'_data'!$B$36:$J$36</c:f>
              <c:numCache>
                <c:formatCode>#,##0</c:formatCode>
                <c:ptCount val="9"/>
                <c:pt idx="0">
                  <c:v>263523119585</c:v>
                </c:pt>
                <c:pt idx="1">
                  <c:v>275253548816</c:v>
                </c:pt>
                <c:pt idx="2">
                  <c:v>278163621132</c:v>
                </c:pt>
                <c:pt idx="3">
                  <c:v>288562532063</c:v>
                </c:pt>
                <c:pt idx="4">
                  <c:v>302210258189</c:v>
                </c:pt>
                <c:pt idx="5">
                  <c:v>311191155804</c:v>
                </c:pt>
                <c:pt idx="6">
                  <c:v>313715142480</c:v>
                </c:pt>
                <c:pt idx="7">
                  <c:v>320285953006</c:v>
                </c:pt>
                <c:pt idx="8">
                  <c:v>323775211401</c:v>
                </c:pt>
              </c:numCache>
            </c:numRef>
          </c:val>
        </c:ser>
        <c:gapWidth val="55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'_data'!$A$38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4D77C0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cat>
            <c:strRef>
              <c:f>'_data'!$B$37:$K$37</c:f>
              <c:strCache>
                <c:ptCount val="10"/>
                <c:pt idx="0">
                  <c:v>SOCIETE 0378</c:v>
                </c:pt>
                <c:pt idx="1">
                  <c:v>SOCIETE 0388</c:v>
                </c:pt>
                <c:pt idx="2">
                  <c:v>SOCIETE 0353</c:v>
                </c:pt>
                <c:pt idx="3">
                  <c:v>SOCIETE 0483</c:v>
                </c:pt>
                <c:pt idx="4">
                  <c:v>SOCIETE 0370</c:v>
                </c:pt>
                <c:pt idx="5">
                  <c:v>SOCIETE 0355</c:v>
                </c:pt>
                <c:pt idx="6">
                  <c:v>SOCIETE 0490</c:v>
                </c:pt>
                <c:pt idx="7">
                  <c:v>SOCIETE 0461</c:v>
                </c:pt>
                <c:pt idx="8">
                  <c:v>SOCIETE 0377</c:v>
                </c:pt>
                <c:pt idx="9">
                  <c:v>SOCIETE 0561</c:v>
                </c:pt>
              </c:strCache>
            </c:strRef>
          </c:cat>
          <c:val>
            <c:numRef>
              <c:f>'_data'!$B$38:$K$38</c:f>
              <c:numCache>
                <c:formatCode>#,##0</c:formatCode>
                <c:ptCount val="10"/>
                <c:pt idx="0">
                  <c:v>8328977341</c:v>
                </c:pt>
                <c:pt idx="1">
                  <c:v>7548065011</c:v>
                </c:pt>
                <c:pt idx="2">
                  <c:v>7343241906</c:v>
                </c:pt>
                <c:pt idx="3">
                  <c:v>7272009508</c:v>
                </c:pt>
                <c:pt idx="4">
                  <c:v>7175418326</c:v>
                </c:pt>
                <c:pt idx="5">
                  <c:v>6870007185</c:v>
                </c:pt>
                <c:pt idx="6">
                  <c:v>6765102455</c:v>
                </c:pt>
                <c:pt idx="7">
                  <c:v>6733824970</c:v>
                </c:pt>
                <c:pt idx="8">
                  <c:v>6373917185</c:v>
                </c:pt>
                <c:pt idx="9">
                  <c:v>6333941106</c:v>
                </c:pt>
              </c:numCache>
            </c:numRef>
          </c:val>
        </c:ser>
        <c:gapWidth val="40"/>
        <c:axId val="301"/>
        <c:axId val="302"/>
      </c:barChart>
      <c:lineChart>
        <c:grouping val="standard"/>
        <c:varyColors val="0"/>
        <c:ser>
          <c:idx val="1"/>
          <c:order val="1"/>
          <c:tx>
            <c:strRef>
              <c:f>'_data'!$A$39</c:f>
              <c:strCache>
                <c:ptCount val="1"/>
                <c:pt idx="0">
                  <c:v>Part cumulée</c:v>
                </c:pt>
              </c:strCache>
            </c:strRef>
          </c:tx>
          <c:spPr>
            <a:ln w="28575" cap="rnd">
              <a:solidFill>
                <a:srgbClr val="C8A951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C8A951"/>
                </a:solidFill>
                <a:round/>
              </a:ln>
            </c:spPr>
          </c:marker>
          <c:cat>
            <c:strRef>
              <c:f>'_data'!$B$37:$K$37</c:f>
              <c:strCache>
                <c:ptCount val="10"/>
                <c:pt idx="0">
                  <c:v>SOCIETE 0378</c:v>
                </c:pt>
                <c:pt idx="1">
                  <c:v>SOCIETE 0388</c:v>
                </c:pt>
                <c:pt idx="2">
                  <c:v>SOCIETE 0353</c:v>
                </c:pt>
                <c:pt idx="3">
                  <c:v>SOCIETE 0483</c:v>
                </c:pt>
                <c:pt idx="4">
                  <c:v>SOCIETE 0370</c:v>
                </c:pt>
                <c:pt idx="5">
                  <c:v>SOCIETE 0355</c:v>
                </c:pt>
                <c:pt idx="6">
                  <c:v>SOCIETE 0490</c:v>
                </c:pt>
                <c:pt idx="7">
                  <c:v>SOCIETE 0461</c:v>
                </c:pt>
                <c:pt idx="8">
                  <c:v>SOCIETE 0377</c:v>
                </c:pt>
                <c:pt idx="9">
                  <c:v>SOCIETE 0561</c:v>
                </c:pt>
              </c:strCache>
            </c:strRef>
          </c:cat>
          <c:val>
            <c:numRef>
              <c:f>'_data'!$B$39:$K$39</c:f>
              <c:numCache>
                <c:formatCode>0%</c:formatCode>
                <c:ptCount val="10"/>
                <c:pt idx="0">
                  <c:v>0.00979435385619032</c:v>
                </c:pt>
                <c:pt idx="1">
                  <c:v>0.018670403894571988</c:v>
                </c:pt>
                <c:pt idx="2">
                  <c:v>0.027305594835112388</c:v>
                </c:pt>
                <c:pt idx="3">
                  <c:v>0.03585702095273718</c:v>
                </c:pt>
                <c:pt idx="4">
                  <c:v>0.04429486191132465</c:v>
                </c:pt>
                <c:pt idx="5">
                  <c:v>0.052373558563941706</c:v>
                </c:pt>
                <c:pt idx="6">
                  <c:v>0.06032889384760049</c:v>
                </c:pt>
                <c:pt idx="7">
                  <c:v>0.06824744877476657</c:v>
                </c:pt>
                <c:pt idx="8">
                  <c:v>0.07574277476786709</c:v>
                </c:pt>
                <c:pt idx="9">
                  <c:v>0.08319109140465904</c:v>
                </c:pt>
              </c:numCache>
            </c:numRef>
          </c:val>
          <c:smooth val="0"/>
        </c:ser>
        <c:marker val="1"/>
        <c:axId val="303"/>
        <c:axId val="304"/>
      </c:lineChart>
      <c:catAx>
        <c:axId val="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2"/>
        <c:crosses val="autoZero"/>
        <c:auto val="1"/>
        <c:lblAlgn val="ctr"/>
        <c:lblOffset val="100"/>
        <c:noMultiLvlLbl val="0"/>
      </c:catAx>
      <c:valAx>
        <c:axId val="3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1"/>
        <c:crosses val="autoZero"/>
        <c:crossBetween val="between"/>
      </c:valAx>
      <c:catAx>
        <c:axId val="3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4"/>
        <c:crosses val="autoZero"/>
        <c:auto val="1"/>
        <c:lblAlgn val="ctr"/>
        <c:lblOffset val="100"/>
        <c:noMultiLvlLbl val="0"/>
      </c:catAx>
      <c:valAx>
        <c:axId val="304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3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'_data'!$A$41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4D77C0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'_data'!$B$40:$B$40</c:f>
              <c:strCache>
                <c:ptCount val="1"/>
                <c:pt idx="0">
                  <c:v>X</c:v>
                </c:pt>
              </c:strCache>
            </c:strRef>
          </c:cat>
          <c:val>
            <c:numRef>
              <c:f>'_data'!$B$41:$B$41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'_data'!$A$43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51CCE1">
                    <a:alpha val="100000"/>
                  </a:srgbClr>
                </a:gs>
                <a:gs pos="100000">
                  <a:srgbClr val="06B6D4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'_data'!$B$42:$B$42</c:f>
              <c:strCache>
                <c:ptCount val="1"/>
                <c:pt idx="0">
                  <c:v>GUEYE</c:v>
                </c:pt>
              </c:strCache>
            </c:strRef>
          </c:cat>
          <c:val>
            <c:numRef>
              <c:f>'_data'!$B$43:$B$43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'_data'!$A$45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6692F1">
                    <a:alpha val="100000"/>
                  </a:srgbClr>
                </a:gs>
                <a:gs pos="100000">
                  <a:srgbClr val="2563EB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'_data'!$B$44:$B$44</c:f>
              <c:strCache>
                <c:ptCount val="1"/>
                <c:pt idx="0">
                  <c:v>AGRICULTURE</c:v>
                </c:pt>
              </c:strCache>
            </c:strRef>
          </c:cat>
          <c:val>
            <c:numRef>
              <c:f>'_data'!$B$45:$B$45</c:f>
              <c:numCache>
                <c:formatCode>#,##0</c:formatCode>
                <c:ptCount val="1"/>
                <c:pt idx="0">
                  <c:v>850385585746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062981982182.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'_data'!$A$47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D9C385">
                    <a:alpha val="100000"/>
                  </a:srgbClr>
                </a:gs>
                <a:gs pos="100000">
                  <a:srgbClr val="C8A951">
                    <a:alpha val="100000"/>
                  </a:srgbClr>
                </a:gs>
              </a:gsLst>
              <a:lin ang="5400000" scaled="0"/>
            </a:gradFill>
            <a:ln>
              <a:noFill/>
            </a:ln>
          </c:spPr>
          <c:invertIfNegative val="0"/>
          <c:dLbls>
            <c:numFmt formatCode="[&gt;=1000000000]#,##0.00,,,&quot; Md&quot;;[&gt;=1000000]#,##0.0,,&quot; M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50" b="0">
                    <a:solidFill>
                      <a:srgbClr val="001B4D"/>
                    </a:solidFill>
                    <a:latin typeface="Segoe U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'_data'!$B$46:$D$46</c:f>
              <c:strCache>
                <c:ptCount val="3"/>
                <c:pt idx="0">
                  <c:v>CRLN</c:v>
                </c:pt>
                <c:pt idx="1">
                  <c:v>CDGN</c:v>
                </c:pt>
                <c:pt idx="2">
                  <c:v>IDAC</c:v>
                </c:pt>
              </c:strCache>
            </c:strRef>
          </c:cat>
          <c:val>
            <c:numRef>
              <c:f>'_data'!$B$47:$D$47</c:f>
              <c:numCache>
                <c:formatCode>#,##0</c:formatCode>
                <c:ptCount val="3"/>
                <c:pt idx="0">
                  <c:v>309529629469</c:v>
                </c:pt>
                <c:pt idx="1">
                  <c:v>273070396433</c:v>
                </c:pt>
                <c:pt idx="2">
                  <c:v>267785559844</c:v>
                </c:pt>
              </c:numCache>
            </c:numRef>
          </c:val>
        </c:ser>
        <c:gapWidth val="55"/>
        <c:axId val="201"/>
        <c:axId val="202"/>
      </c:barChart>
      <c:catAx>
        <c:axId val="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386912036836.25"/>
        </c:scaling>
        <c:delete val="1"/>
        <c:axPos val="b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ubbleChart>
        <c:varyColors val="0"/>
        <c:ser>
          <c:idx val="0"/>
          <c:order val="0"/>
          <c:tx>
            <c:v>Clients</c:v>
          </c:tx>
          <c:spPr>
            <a:gradFill rotWithShape="1">
              <a:gsLst>
                <a:gs pos="0">
                  <a:srgbClr val="60A5FA">
                    <a:alpha val="100000"/>
                  </a:srgbClr>
                </a:gs>
                <a:gs pos="100000">
                  <a:srgbClr val="003DA5">
                    <a:alpha val="100000"/>
                  </a:srgbClr>
                </a:gs>
              </a:gsLst>
              <a:lin ang="5400000" scaled="0"/>
            </a:gradFill>
            <a:ln w="9525" cap="rnd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rgbClr val="FACA79">
                      <a:alpha val="85000"/>
                    </a:srgbClr>
                  </a:gs>
                  <a:gs pos="100000">
                    <a:srgbClr val="F59E0B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rgbClr val="FCB27F">
                      <a:alpha val="85000"/>
                    </a:srgbClr>
                  </a:gs>
                  <a:gs pos="100000">
                    <a:srgbClr val="F97316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rgbClr val="7394CE">
                      <a:alpha val="85000"/>
                    </a:srgbClr>
                  </a:gs>
                  <a:gs pos="100000">
                    <a:srgbClr val="003DA5">
                      <a:alpha val="85000"/>
                    </a:srgbClr>
                  </a:gs>
                </a:gsLst>
                <a:lin ang="5400000" scaled="0"/>
              </a:gradFill>
              <a:ln w="9525" cap="rnd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0378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0388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0353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0483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>
                      <a:defRPr sz="700" b="0"/>
                    </a:pPr>
                    <a:r>
                      <a:rPr lang="fr-FR" sz="700" b="0">
                        <a:solidFill>
                          <a:srgbClr val="0F172A"/>
                        </a:solidFill>
                        <a:latin typeface="Segoe UI"/>
                      </a:rPr>
                      <a:t>SOCIETE 0370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</c:dLbls>
          <c:xVal>
            <c:numRef>
              <c:f>'_data'!$B$49:$U$49</c:f>
              <c:numCache>
                <c:formatCode>General</c:formatCode>
                <c:ptCount val="20"/>
                <c:pt idx="0">
                  <c:v>0.00979435385619032</c:v>
                </c:pt>
                <c:pt idx="1">
                  <c:v>0.008876050038381668</c:v>
                </c:pt>
                <c:pt idx="2">
                  <c:v>0.0086351909405404</c:v>
                </c:pt>
                <c:pt idx="3">
                  <c:v>0.008551426117624791</c:v>
                </c:pt>
                <c:pt idx="4">
                  <c:v>0.008437840958587475</c:v>
                </c:pt>
                <c:pt idx="5">
                  <c:v>0.00807869665261705</c:v>
                </c:pt>
                <c:pt idx="6">
                  <c:v>0.007955335283658788</c:v>
                </c:pt>
                <c:pt idx="7">
                  <c:v>0.007918554927166078</c:v>
                </c:pt>
                <c:pt idx="8">
                  <c:v>0.007495325993100514</c:v>
                </c:pt>
                <c:pt idx="9">
                  <c:v>0.007448316636791951</c:v>
                </c:pt>
                <c:pt idx="10">
                  <c:v>0.007364149131839229</c:v>
                </c:pt>
                <c:pt idx="11">
                  <c:v>0.007345297173070506</c:v>
                </c:pt>
                <c:pt idx="12">
                  <c:v>0.007019241697004595</c:v>
                </c:pt>
                <c:pt idx="13">
                  <c:v>0.007009026853120125</c:v>
                </c:pt>
                <c:pt idx="14">
                  <c:v>0.0066519879320833235</c:v>
                </c:pt>
                <c:pt idx="15">
                  <c:v>0.006481634847049648</c:v>
                </c:pt>
                <c:pt idx="16">
                  <c:v>0.006405500641478414</c:v>
                </c:pt>
                <c:pt idx="17">
                  <c:v>0.006337570792985834</c:v>
                </c:pt>
                <c:pt idx="18">
                  <c:v>0.00616177771569742</c:v>
                </c:pt>
                <c:pt idx="19">
                  <c:v>0.006069583315516915</c:v>
                </c:pt>
              </c:numCache>
            </c:numRef>
          </c:xVal>
          <c:yVal>
            <c:numRef>
              <c:f>'_data'!$B$50:$U$50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bubbleSize>
            <c:numRef>
              <c:f>'_data'!$B$51:$U$51</c:f>
              <c:numCache>
                <c:formatCode>General</c:formatCode>
                <c:ptCount val="20"/>
                <c:pt idx="0">
                  <c:v>8328977341</c:v>
                </c:pt>
                <c:pt idx="1">
                  <c:v>7548065011</c:v>
                </c:pt>
                <c:pt idx="2">
                  <c:v>7343241906</c:v>
                </c:pt>
                <c:pt idx="3">
                  <c:v>7272009508</c:v>
                </c:pt>
                <c:pt idx="4">
                  <c:v>7175418326</c:v>
                </c:pt>
                <c:pt idx="5">
                  <c:v>6870007185</c:v>
                </c:pt>
                <c:pt idx="6">
                  <c:v>6765102455</c:v>
                </c:pt>
                <c:pt idx="7">
                  <c:v>6733824970</c:v>
                </c:pt>
                <c:pt idx="8">
                  <c:v>6373917185</c:v>
                </c:pt>
                <c:pt idx="9">
                  <c:v>6333941106</c:v>
                </c:pt>
                <c:pt idx="10">
                  <c:v>6262366273</c:v>
                </c:pt>
                <c:pt idx="11">
                  <c:v>6246334839</c:v>
                </c:pt>
                <c:pt idx="12">
                  <c:v>5969061962</c:v>
                </c:pt>
                <c:pt idx="13">
                  <c:v>5960375406</c:v>
                </c:pt>
                <c:pt idx="14">
                  <c:v>5656754654</c:v>
                </c:pt>
                <c:pt idx="15">
                  <c:v>5511888846</c:v>
                </c:pt>
                <c:pt idx="16">
                  <c:v>5447145415</c:v>
                </c:pt>
                <c:pt idx="17">
                  <c:v>5389378851</c:v>
                </c:pt>
                <c:pt idx="18">
                  <c:v>5239886952</c:v>
                </c:pt>
                <c:pt idx="19">
                  <c:v>5161486163</c:v>
                </c:pt>
              </c:numCache>
            </c:numRef>
          </c:bubbleSize>
          <c:bubble3D val="0"/>
        </c:ser>
        <c:bubbleScale val="55"/>
        <c:showNegBubbles val="0"/>
        <c:axId val="401"/>
        <c:axId val="402"/>
      </c:bubbleChart>
      <c:valAx>
        <c:axId val="401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402"/>
        <c:crosses val="autoZero"/>
        <c:crossBetween val="between"/>
      </c:valAx>
      <c:valAx>
        <c:axId val="4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+0%;-0%;0%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4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drawings/_rels/drawing1.xml.rels><?xml version="1.0" encoding="UTF-8" standalone="yes"?>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Relationship Id="rIdC3" Type="http://schemas.openxmlformats.org/officeDocument/2006/relationships/chart" Target="../charts/chart3.xml"/></Relationships>
</file>

<file path=xl/drawings/_rels/drawing2.xml.rels><?xml version="1.0" encoding="UTF-8" standalone="yes"?><Relationships xmlns="http://schemas.openxmlformats.org/package/2006/relationships"><Relationship Id="rIdC1" Type="http://schemas.openxmlformats.org/officeDocument/2006/relationships/chart" Target="../charts/chart4.xml"/><Relationship Id="rIdC2" Type="http://schemas.openxmlformats.org/officeDocument/2006/relationships/chart" Target="../charts/chart5.xml"/></Relationships>
</file>

<file path=xl/drawings/_rels/drawing3.xml.rels><?xml version="1.0" encoding="UTF-8" standalone="yes"?><Relationships xmlns="http://schemas.openxmlformats.org/package/2006/relationships"><Relationship Id="rIdC1" Type="http://schemas.openxmlformats.org/officeDocument/2006/relationships/chart" Target="../charts/chart6.xml"/><Relationship Id="rIdC2" Type="http://schemas.openxmlformats.org/officeDocument/2006/relationships/chart" Target="../charts/chart7.xml"/><Relationship Id="rIdC3" Type="http://schemas.openxmlformats.org/officeDocument/2006/relationships/chart" Target="../charts/chart8.xml"/></Relationships>
</file>

<file path=xl/drawings/_rels/drawing4.xml.rels><?xml version="1.0" encoding="UTF-8" standalone="yes"?><Relationships xmlns="http://schemas.openxmlformats.org/package/2006/relationships"><Relationship Id="rIdC1" Type="http://schemas.openxmlformats.org/officeDocument/2006/relationships/chart" Target="../charts/chart9.xml"/><Relationship Id="rIdC2" Type="http://schemas.openxmlformats.org/officeDocument/2006/relationships/chart" Target="../charts/chart10.xml"/><Relationship Id="rIdC3" Type="http://schemas.openxmlformats.org/officeDocument/2006/relationships/chart" Target="../charts/chart11.xml"/><Relationship Id="rIdC4" Type="http://schemas.openxmlformats.org/officeDocument/2006/relationships/chart" Target="../charts/chart12.xml"/><Relationship Id="rIdC5" Type="http://schemas.openxmlformats.org/officeDocument/2006/relationships/chart" Target="../charts/chart13.xml"/><Relationship Id="rIdC6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33</xdr:row>
      <xdr:rowOff>38100</xdr:rowOff>
    </xdr:from>
    <xdr:to>
      <xdr:col>15</xdr:col>
      <xdr:colOff>0</xdr:colOff>
      <xdr:row>48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16</xdr:col>
      <xdr:colOff>38100</xdr:colOff>
      <xdr:row>33</xdr:row>
      <xdr:rowOff>38100</xdr:rowOff>
    </xdr:from>
    <xdr:to>
      <xdr:col>24</xdr:col>
      <xdr:colOff>0</xdr:colOff>
      <xdr:row>48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0</xdr:col>
      <xdr:colOff>38100</xdr:colOff>
      <xdr:row>50</xdr:row>
      <xdr:rowOff>38100</xdr:rowOff>
    </xdr:from>
    <xdr:to>
      <xdr:col>15</xdr:col>
      <xdr:colOff>0</xdr:colOff>
      <xdr:row>65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36</xdr:row>
      <xdr:rowOff>38100</xdr:rowOff>
    </xdr:from>
    <xdr:to>
      <xdr:col>12</xdr:col>
      <xdr:colOff>0</xdr:colOff>
      <xdr:row>50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12</xdr:col>
      <xdr:colOff>38100</xdr:colOff>
      <xdr:row>36</xdr:row>
      <xdr:rowOff>38100</xdr:rowOff>
    </xdr:from>
    <xdr:to>
      <xdr:col>24</xdr:col>
      <xdr:colOff>0</xdr:colOff>
      <xdr:row>50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30</xdr:row>
      <xdr:rowOff>38100</xdr:rowOff>
    </xdr:from>
    <xdr:to>
      <xdr:col>24</xdr:col>
      <xdr:colOff>0</xdr:colOff>
      <xdr:row>47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0</xdr:col>
      <xdr:colOff>38100</xdr:colOff>
      <xdr:row>64</xdr:row>
      <xdr:rowOff>38100</xdr:rowOff>
    </xdr:from>
    <xdr:to>
      <xdr:col>12</xdr:col>
      <xdr:colOff>0</xdr:colOff>
      <xdr:row>78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12</xdr:col>
      <xdr:colOff>38100</xdr:colOff>
      <xdr:row>64</xdr:row>
      <xdr:rowOff>38100</xdr:rowOff>
    </xdr:from>
    <xdr:to>
      <xdr:col>24</xdr:col>
      <xdr:colOff>0</xdr:colOff>
      <xdr:row>78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33</xdr:row>
      <xdr:rowOff>38100</xdr:rowOff>
    </xdr:from>
    <xdr:to>
      <xdr:col>15</xdr:col>
      <xdr:colOff>0</xdr:colOff>
      <xdr:row>49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0</xdr:col>
      <xdr:colOff>38100</xdr:colOff>
      <xdr:row>51</xdr:row>
      <xdr:rowOff>38100</xdr:rowOff>
    </xdr:from>
    <xdr:to>
      <xdr:col>12</xdr:col>
      <xdr:colOff>0</xdr:colOff>
      <xdr:row>64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12</xdr:col>
      <xdr:colOff>38100</xdr:colOff>
      <xdr:row>51</xdr:row>
      <xdr:rowOff>38100</xdr:rowOff>
    </xdr:from>
    <xdr:to>
      <xdr:col>24</xdr:col>
      <xdr:colOff>0</xdr:colOff>
      <xdr:row>64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  <xdr:twoCellAnchor editAs="oneCell">
    <xdr:from>
      <xdr:col>0</xdr:col>
      <xdr:colOff>38100</xdr:colOff>
      <xdr:row>66</xdr:row>
      <xdr:rowOff>38100</xdr:rowOff>
    </xdr:from>
    <xdr:to>
      <xdr:col>12</xdr:col>
      <xdr:colOff>0</xdr:colOff>
      <xdr:row>79</xdr:row>
      <xdr:rowOff>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4"/>
        </a:graphicData>
      </a:graphic>
    </xdr:graphicFrame>
    <xdr:clientData/>
  </xdr:twoCellAnchor>
  <xdr:twoCellAnchor editAs="oneCell">
    <xdr:from>
      <xdr:col>12</xdr:col>
      <xdr:colOff>38100</xdr:colOff>
      <xdr:row>66</xdr:row>
      <xdr:rowOff>38100</xdr:rowOff>
    </xdr:from>
    <xdr:to>
      <xdr:col>24</xdr:col>
      <xdr:colOff>0</xdr:colOff>
      <xdr:row>79</xdr:row>
      <xdr:rowOff>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5"/>
        </a:graphicData>
      </a:graphic>
    </xdr:graphicFrame>
    <xdr:clientData/>
  </xdr:twoCellAnchor>
  <xdr:twoCellAnchor editAs="oneCell">
    <xdr:from>
      <xdr:col>0</xdr:col>
      <xdr:colOff>38100</xdr:colOff>
      <xdr:row>81</xdr:row>
      <xdr:rowOff>38100</xdr:rowOff>
    </xdr:from>
    <xdr:to>
      <xdr:col>24</xdr:col>
      <xdr:colOff>0</xdr:colOff>
      <xdr:row>99</xdr:row>
      <xdr:rowOff>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6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3DA5"/>
    <pageSetUpPr fitToPage="1"/>
  </sheetPr>
  <dimension ref="A1:Y89"/>
  <sheetViews>
    <sheetView showGridLines="0" tabSelected="1" zoomScale="85" zoomScaleNormal="85" workbookViewId="0"/>
  </sheetViews>
  <sheetFormatPr defaultRowHeight="15"/>
  <cols>
    <col min="1" max="1" width="6.1" customWidth="1"/>
    <col min="2" max="2" width="6.1" customWidth="1"/>
    <col min="3" max="3" width="6.1" customWidth="1"/>
    <col min="4" max="4" width="6.1" customWidth="1"/>
    <col min="5" max="5" width="1.6" customWidth="1"/>
    <col min="6" max="6" width="6.1" customWidth="1"/>
    <col min="7" max="7" width="6.1" customWidth="1"/>
    <col min="8" max="8" width="6.1" customWidth="1"/>
    <col min="9" max="9" width="6.1" customWidth="1"/>
    <col min="10" max="10" width="1.6" customWidth="1"/>
    <col min="11" max="11" width="6.1" customWidth="1"/>
    <col min="12" max="12" width="6.1" customWidth="1"/>
    <col min="13" max="13" width="6.1" customWidth="1"/>
    <col min="14" max="14" width="6.1" customWidth="1"/>
    <col min="15" max="15" width="1.6" customWidth="1"/>
    <col min="16" max="16" width="6.1" customWidth="1"/>
    <col min="17" max="17" width="6.1" customWidth="1"/>
    <col min="18" max="18" width="6.1" customWidth="1"/>
    <col min="19" max="19" width="6.1" customWidth="1"/>
    <col min="20" max="20" width="1.6" customWidth="1"/>
    <col min="21" max="21" width="6.1" customWidth="1"/>
    <col min="22" max="22" width="6.1" customWidth="1"/>
    <col min="23" max="23" width="6.1" customWidth="1"/>
    <col min="24" max="24" width="6.1" customWidth="1"/>
    <col min="25" max="25" width="1.6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EXECUTIVE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T1" s="2"/>
      <c r="U1" s="2"/>
      <c r="V1" s="2"/>
      <c r="W1" s="2"/>
      <c r="X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CREDIT RISK INTELLIGENCE
</t>
          </r>
          <r>
            <rPr>
              <rFont val="Segoe UI"/>
              <color rgb="FFC7D7F5"/>
              <sz val="10.5"/>
            </rPr>
            <t xml:space="preserve">Portfolio Monitoring &amp; Early Warning  ·  Vue Comité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REPORTING DATE</t>
        </is>
      </c>
      <c r="Q3" s="5"/>
      <c r="R3" s="5"/>
      <c r="S3" s="5"/>
      <c r="T3" s="5"/>
      <c r="U3" s="5"/>
      <c r="V3" s="5"/>
      <c r="W3" s="5"/>
      <c r="X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inlineStr">
        <is>
          <t xml:space="preserve">30 SEPTEMBER 2026</t>
        </is>
      </c>
      <c r="Q4" s="6"/>
      <c r="R4" s="6"/>
      <c r="S4" s="6"/>
      <c r="T4" s="6"/>
      <c r="U4" s="6"/>
      <c r="V4" s="6"/>
      <c r="W4" s="6"/>
      <c r="X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 t="inlineStr">
        <is>
          <t xml:space="preserve">PORTFOLIO MONITORING</t>
        </is>
      </c>
      <c r="Q5" s="7"/>
      <c r="R5" s="7"/>
      <c r="S5" s="7"/>
      <c r="T5" s="7"/>
      <c r="U5" s="7"/>
      <c r="V5" s="7"/>
      <c r="W5" s="7"/>
      <c r="X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 t="inlineStr">
        <is>
          <t xml:space="preserve">Portefeuille Ecobank Sénégal · 700 clients · 2 500 lignes ACTE 7</t>
        </is>
      </c>
      <c r="Q6" s="8"/>
      <c r="R6" s="8"/>
      <c r="S6" s="8"/>
      <c r="T6" s="8"/>
      <c r="U6" s="8"/>
      <c r="V6" s="8"/>
      <c r="W6" s="8"/>
      <c r="X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" customHeight="1">
      <c r="A8" s="10" t="inlineStr">
        <is>
          <r>
            <rPr>
              <rFont val="Segoe UI"/>
              <color rgb="FFC8A951"/>
              <sz val="8.5"/>
            </rPr>
            <t xml:space="preserve">◆  </t>
          </r>
          <r>
            <rPr>
              <rFont val="Segoe UI"/>
              <b/>
              <color rgb="FFFFFFFF"/>
              <sz val="8.5"/>
            </rPr>
            <t xml:space="preserve">EXECUTIVE</t>
          </r>
        </is>
      </c>
      <c r="B8" s="10"/>
      <c r="C8" s="10"/>
      <c r="D8" s="10"/>
      <c r="E8" s="11" t="inlineStr">
        <is>
          <r>
            <rPr>
              <rFont val="Segoe UI"/>
              <color rgb="FF7C93C9"/>
              <sz val="8.5"/>
            </rPr>
            <t xml:space="preserve">▲  </t>
          </r>
          <r>
            <rPr>
              <rFont val="Segoe UI"/>
              <b/>
              <color rgb="FF003DA5"/>
              <sz val="8.5"/>
            </rPr>
            <t xml:space="preserve">RISK</t>
          </r>
        </is>
      </c>
      <c r="F8" s="11"/>
      <c r="G8" s="11"/>
      <c r="H8" s="11"/>
      <c r="I8" s="11" t="inlineStr">
        <is>
          <r>
            <rPr>
              <rFont val="Segoe UI"/>
              <color rgb="FF7C93C9"/>
              <sz val="8.5"/>
            </rPr>
            <t xml:space="preserve">⇅  </t>
          </r>
          <r>
            <rPr>
              <rFont val="Segoe UI"/>
              <b/>
              <color rgb="FF003DA5"/>
              <sz val="8.5"/>
            </rPr>
            <t xml:space="preserve">MOVEMENT</t>
          </r>
        </is>
      </c>
      <c r="J8" s="11"/>
      <c r="K8" s="11"/>
      <c r="L8" s="11"/>
      <c r="M8" s="11" t="inlineStr">
        <is>
          <r>
            <rPr>
              <rFont val="Segoe UI"/>
              <color rgb="FF7C93C9"/>
              <sz val="8.5"/>
            </rPr>
            <t xml:space="preserve">◎  </t>
          </r>
          <r>
            <rPr>
              <rFont val="Segoe UI"/>
              <b/>
              <color rgb="FF003DA5"/>
              <sz val="8.5"/>
            </rPr>
            <t xml:space="preserve">CONCENTRATION</t>
          </r>
        </is>
      </c>
      <c r="N8" s="11"/>
      <c r="O8" s="11"/>
      <c r="P8" s="11"/>
      <c r="Q8" s="11" t="inlineStr">
        <is>
          <r>
            <rPr>
              <rFont val="Segoe UI"/>
              <color rgb="FF7C93C9"/>
              <sz val="8.5"/>
            </rPr>
            <t xml:space="preserve">✦  </t>
          </r>
          <r>
            <rPr>
              <rFont val="Segoe UI"/>
              <b/>
              <color rgb="FF003DA5"/>
              <sz val="8.5"/>
            </rPr>
            <t xml:space="preserve">INSIGHTS</t>
          </r>
        </is>
      </c>
      <c r="R8" s="11"/>
      <c r="S8" s="11"/>
      <c r="T8" s="11"/>
      <c r="U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V8" s="11"/>
      <c r="W8" s="11"/>
      <c r="X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2"/>
      <c r="G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H10" s="13"/>
      <c r="I10" s="13"/>
      <c r="J10" s="13"/>
      <c r="K10" s="13"/>
      <c r="L10" s="13"/>
      <c r="M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N10" s="13"/>
      <c r="O10" s="13"/>
      <c r="P10" s="13"/>
      <c r="Q10" s="13"/>
      <c r="R10" s="13"/>
      <c r="S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T10" s="13"/>
      <c r="U10" s="13"/>
      <c r="V10" s="13"/>
      <c r="W10" s="13"/>
      <c r="X10" s="13"/>
    </row>
    <row r="11" ht="10" customHeight="1"/>
    <row r="12" ht="6" customHeight="1"/>
    <row r="13" ht="17" customHeight="1">
      <c r="A13" s="14" t="inlineStr">
        <is>
          <r>
            <rPr>
              <rFont val="Segoe UI"/>
              <color rgb="FFC8A951"/>
              <sz val="9"/>
            </rPr>
            <t xml:space="preserve">◆  </t>
          </r>
          <r>
            <rPr>
              <rFont val="Segoe UI"/>
              <b/>
              <color rgb="FFE6EEFF"/>
              <sz val="7.5"/>
            </rPr>
            <t xml:space="preserve">TOTAL EXPOSURE</t>
          </r>
        </is>
      </c>
      <c r="B13" s="14"/>
      <c r="C13" s="14"/>
      <c r="D13" s="14"/>
      <c r="F13" s="22" t="inlineStr">
        <is>
          <r>
            <rPr>
              <rFont val="Segoe UI"/>
              <color rgb="FF06B6D4"/>
              <sz val="9"/>
            </rPr>
            <t xml:space="preserve">●  </t>
          </r>
          <r>
            <rPr>
              <rFont val="Segoe UI"/>
              <b/>
              <color rgb="FF334155"/>
              <sz val="7.5"/>
            </rPr>
            <t xml:space="preserve">TOTAL ARREARS</t>
          </r>
        </is>
      </c>
      <c r="G13" s="22"/>
      <c r="H13" s="22"/>
      <c r="I13" s="22"/>
      <c r="K13" s="28" t="inlineStr">
        <is>
          <r>
            <rPr>
              <rFont val="Segoe UI"/>
              <color rgb="FFF59E0B"/>
              <sz val="9"/>
            </rPr>
            <t xml:space="preserve">◔  </t>
          </r>
          <r>
            <rPr>
              <rFont val="Segoe UI"/>
              <b/>
              <color rgb="FF334155"/>
              <sz val="7.5"/>
            </rPr>
            <t xml:space="preserve">31–60 DAYS</t>
          </r>
        </is>
      </c>
      <c r="L13" s="28"/>
      <c r="M13" s="28"/>
      <c r="N13" s="28"/>
      <c r="P13" s="34" t="inlineStr">
        <is>
          <r>
            <rPr>
              <rFont val="Segoe UI"/>
              <color rgb="FFF97316"/>
              <sz val="9"/>
            </rPr>
            <t xml:space="preserve">◑  </t>
          </r>
          <r>
            <rPr>
              <rFont val="Segoe UI"/>
              <b/>
              <color rgb="FF334155"/>
              <sz val="7.5"/>
            </rPr>
            <t xml:space="preserve">61–90 DAYS</t>
          </r>
        </is>
      </c>
      <c r="Q13" s="34"/>
      <c r="R13" s="34"/>
      <c r="S13" s="34"/>
      <c r="U13" s="39" t="inlineStr">
        <is>
          <r>
            <rPr>
              <rFont val="Segoe UI"/>
              <color rgb="FFDC2626"/>
              <sz val="9"/>
            </rPr>
            <t xml:space="preserve">●  </t>
          </r>
          <r>
            <rPr>
              <rFont val="Segoe UI"/>
              <b/>
              <color rgb="FF334155"/>
              <sz val="7.5"/>
            </rPr>
            <t xml:space="preserve">&gt; 90 DAYS / S3</t>
          </r>
        </is>
      </c>
      <c r="V13" s="39"/>
      <c r="W13" s="39"/>
      <c r="X13" s="39"/>
    </row>
    <row r="14" ht="19" customHeight="1">
      <c r="A14" s="15">
        <v>850385585746</v>
      </c>
      <c r="B14" s="15"/>
      <c r="C14" s="15"/>
      <c r="D14" s="15"/>
      <c r="E14" s="20"/>
      <c r="F14" s="23">
        <v>31893133004</v>
      </c>
      <c r="G14" s="23"/>
      <c r="H14" s="23"/>
      <c r="I14" s="23"/>
      <c r="J14" s="20"/>
      <c r="K14" s="29">
        <v>86369133509</v>
      </c>
      <c r="L14" s="29"/>
      <c r="M14" s="29"/>
      <c r="N14" s="29"/>
      <c r="O14" s="20"/>
      <c r="P14" s="35">
        <v>0</v>
      </c>
      <c r="Q14" s="35"/>
      <c r="R14" s="35"/>
      <c r="S14" s="35"/>
      <c r="T14" s="20"/>
      <c r="U14" s="40">
        <v>323775211401</v>
      </c>
      <c r="V14" s="40"/>
      <c r="W14" s="40"/>
      <c r="X14" s="40"/>
      <c r="Y14" s="20"/>
    </row>
    <row r="15" ht="19" customHeight="1">
      <c r="A15" s="15"/>
      <c r="B15" s="15"/>
      <c r="C15" s="15"/>
      <c r="D15" s="15"/>
      <c r="E15" s="20"/>
      <c r="F15" s="23"/>
      <c r="G15" s="23"/>
      <c r="H15" s="23"/>
      <c r="I15" s="23"/>
      <c r="J15" s="20"/>
      <c r="K15" s="29"/>
      <c r="L15" s="29"/>
      <c r="M15" s="29"/>
      <c r="N15" s="29"/>
      <c r="O15" s="20"/>
      <c r="P15" s="35"/>
      <c r="Q15" s="35"/>
      <c r="R15" s="35"/>
      <c r="S15" s="35"/>
      <c r="T15" s="20"/>
      <c r="U15" s="40"/>
      <c r="V15" s="40"/>
      <c r="W15" s="40"/>
      <c r="X15" s="40"/>
      <c r="Y15" s="20"/>
    </row>
    <row r="16" ht="13" customHeight="1">
      <c r="A16" s="16" t="inlineStr">
        <is>
          <t xml:space="preserve">XOF · encours brut · 700 clients</t>
        </is>
      </c>
      <c r="B16" s="16"/>
      <c r="C16" s="16"/>
      <c r="D16" s="16"/>
      <c r="E16" s="20"/>
      <c r="F16" s="24" t="inlineStr">
        <is>
          <t xml:space="preserve">XOF · impayés · 547 clients</t>
        </is>
      </c>
      <c r="G16" s="24"/>
      <c r="H16" s="24"/>
      <c r="I16" s="24"/>
      <c r="J16" s="20"/>
      <c r="K16" s="30" t="inlineStr">
        <is>
          <t xml:space="preserve">XOF · encours · 84 clients</t>
        </is>
      </c>
      <c r="L16" s="30"/>
      <c r="M16" s="30"/>
      <c r="N16" s="30"/>
      <c r="O16" s="20"/>
      <c r="P16" s="36" t="inlineStr">
        <is>
          <t xml:space="preserve">XOF · encours · 0 clients</t>
        </is>
      </c>
      <c r="Q16" s="36"/>
      <c r="R16" s="36"/>
      <c r="S16" s="36"/>
      <c r="T16" s="20"/>
      <c r="U16" s="41" t="inlineStr">
        <is>
          <t xml:space="preserve">XOF · encours · 264 clients</t>
        </is>
      </c>
      <c r="V16" s="41"/>
      <c r="W16" s="41"/>
      <c r="X16" s="41"/>
      <c r="Y16" s="20"/>
    </row>
    <row r="17" ht="18" customHeight="1">
      <c r="A17" s="17" t="inlineStr">
        <is>
          <t xml:space="preserve">■ 0,0 %</t>
        </is>
      </c>
      <c r="B17" s="17"/>
      <c r="C17" s="18"/>
      <c r="D17" s="18"/>
      <c r="E17" s="20"/>
      <c r="F17" s="25" t="inlineStr">
        <is>
          <t xml:space="preserve">▲ 1,1 %</t>
        </is>
      </c>
      <c r="G17" s="25"/>
      <c r="H17" s="26"/>
      <c r="I17" s="26"/>
      <c r="J17" s="20"/>
      <c r="K17" s="31" t="inlineStr">
        <is>
          <t xml:space="preserve">▼ -3,5 %</t>
        </is>
      </c>
      <c r="L17" s="31"/>
      <c r="M17" s="32"/>
      <c r="N17" s="32"/>
      <c r="O17" s="20"/>
      <c r="P17" s="37" t="inlineStr">
        <is>
          <t xml:space="preserve">—</t>
        </is>
      </c>
      <c r="Q17" s="37"/>
      <c r="R17" s="26"/>
      <c r="S17" s="26"/>
      <c r="T17" s="20"/>
      <c r="U17" s="42" t="inlineStr">
        <is>
          <t xml:space="preserve">▲ 1,1 %</t>
        </is>
      </c>
      <c r="V17" s="42"/>
      <c r="W17" s="32"/>
      <c r="X17" s="32"/>
      <c r="Y17" s="20"/>
    </row>
    <row r="18" ht="14" customHeight="1">
      <c r="A18" s="19" t="inlineStr">
        <is>
          <r>
            <rPr>
              <rFont val="Segoe UI"/>
              <i/>
              <color rgb="FFD6E4FF"/>
              <sz val="7"/>
            </rPr>
            <t xml:space="preserve">vs 31/08/2026   </t>
          </r>
          <r>
            <rPr>
              <rFont val="Segoe UI"/>
              <b/>
              <color rgb="FF86EFAC"/>
              <sz val="7"/>
            </rPr>
            <t xml:space="preserve">● FAVORABLE</t>
          </r>
        </is>
      </c>
      <c r="B18" s="19"/>
      <c r="C18" s="19"/>
      <c r="D18" s="19"/>
      <c r="E18" s="20"/>
      <c r="F18" s="27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F59E0B"/>
              <sz val="7"/>
            </rPr>
            <t xml:space="preserve">● À SURVEILLER</t>
          </r>
        </is>
      </c>
      <c r="G18" s="27"/>
      <c r="H18" s="27"/>
      <c r="I18" s="27"/>
      <c r="J18" s="20"/>
      <c r="K18" s="33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16A34A"/>
              <sz val="7"/>
            </rPr>
            <t xml:space="preserve">● FAVORABLE</t>
          </r>
        </is>
      </c>
      <c r="L18" s="33"/>
      <c r="M18" s="33"/>
      <c r="N18" s="33"/>
      <c r="O18" s="20"/>
      <c r="P18" s="38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64748B"/>
              <sz val="7"/>
            </rPr>
            <t xml:space="preserve"/>
          </r>
        </is>
      </c>
      <c r="Q18" s="38"/>
      <c r="R18" s="38"/>
      <c r="S18" s="38"/>
      <c r="T18" s="20"/>
      <c r="U18" s="43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F59E0B"/>
              <sz val="7"/>
            </rPr>
            <t xml:space="preserve">● À SURVEILLER</t>
          </r>
        </is>
      </c>
      <c r="V18" s="43"/>
      <c r="W18" s="43"/>
      <c r="X18" s="43"/>
      <c r="Y18" s="20"/>
    </row>
    <row r="19" ht="5" customHeight="1">
      <c r="B19" s="21"/>
      <c r="C19" s="21"/>
      <c r="D19" s="21"/>
      <c r="E19" s="20"/>
      <c r="G19" s="21"/>
      <c r="H19" s="21"/>
      <c r="I19" s="21"/>
      <c r="J19" s="20"/>
      <c r="L19" s="21"/>
      <c r="M19" s="21"/>
      <c r="N19" s="21"/>
      <c r="O19" s="20"/>
      <c r="Q19" s="21"/>
      <c r="R19" s="21"/>
      <c r="S19" s="21"/>
      <c r="T19" s="20"/>
      <c r="V19" s="21"/>
      <c r="W19" s="21"/>
      <c r="X19" s="21"/>
      <c r="Y19" s="20"/>
    </row>
    <row r="20" ht="10" customHeight="1"/>
    <row r="21" ht="17" customHeight="1">
      <c r="A21" s="44" t="inlineStr">
        <is>
          <r>
            <rPr>
              <rFont val="Segoe UI"/>
              <color rgb="FFC8A951"/>
              <sz val="9"/>
            </rPr>
            <t xml:space="preserve">▲  </t>
          </r>
          <r>
            <rPr>
              <rFont val="Segoe UI"/>
              <b/>
              <color rgb="FF334155"/>
              <sz val="7.5"/>
            </rPr>
            <t xml:space="preserve">STAGE 2</t>
          </r>
        </is>
      </c>
      <c r="B21" s="44"/>
      <c r="C21" s="44"/>
      <c r="D21" s="44"/>
      <c r="F21" s="39" t="inlineStr">
        <is>
          <r>
            <rPr>
              <rFont val="Segoe UI"/>
              <color rgb="FFDC2626"/>
              <sz val="9"/>
            </rPr>
            <t xml:space="preserve">▲  </t>
          </r>
          <r>
            <rPr>
              <rFont val="Segoe UI"/>
              <b/>
              <color rgb="FF334155"/>
              <sz val="7.5"/>
            </rPr>
            <t xml:space="preserve">STAGE 3</t>
          </r>
        </is>
      </c>
      <c r="G21" s="39"/>
      <c r="H21" s="39"/>
      <c r="I21" s="39"/>
      <c r="K21" s="49" t="inlineStr">
        <is>
          <r>
            <rPr>
              <rFont val="Segoe UI"/>
              <color rgb="FFC8A951"/>
              <sz val="9"/>
            </rPr>
            <t xml:space="preserve">◆  </t>
          </r>
          <r>
            <rPr>
              <rFont val="Segoe UI"/>
              <b/>
              <color rgb="FFE6EEFF"/>
              <sz val="7.5"/>
            </rPr>
            <t xml:space="preserve">PROVISIONS (ECL)</t>
          </r>
        </is>
      </c>
      <c r="L21" s="49"/>
      <c r="M21" s="49"/>
      <c r="N21" s="49"/>
      <c r="P21" s="55" t="inlineStr">
        <is>
          <r>
            <rPr>
              <rFont val="Segoe UI"/>
              <color rgb="FFF59E0B"/>
              <sz val="9"/>
            </rPr>
            <t xml:space="preserve">◉  </t>
          </r>
          <r>
            <rPr>
              <rFont val="Segoe UI"/>
              <b/>
              <color rgb="FF334155"/>
              <sz val="7.5"/>
            </rPr>
            <t xml:space="preserve">WATCHLIST</t>
          </r>
        </is>
      </c>
      <c r="Q21" s="55"/>
      <c r="R21" s="55"/>
      <c r="S21" s="55"/>
      <c r="U21" s="60" t="inlineStr">
        <is>
          <r>
            <rPr>
              <rFont val="Segoe UI"/>
              <color rgb="FFC8A951"/>
              <sz val="9"/>
            </rPr>
            <t xml:space="preserve">■  </t>
          </r>
          <r>
            <rPr>
              <rFont val="Segoe UI"/>
              <b/>
              <color rgb="FFE6EEFF"/>
              <sz val="7.5"/>
            </rPr>
            <t xml:space="preserve">CRITICAL EXPOSURES</t>
          </r>
        </is>
      </c>
      <c r="V21" s="60"/>
      <c r="W21" s="60"/>
      <c r="X21" s="60"/>
    </row>
    <row r="22" ht="19" customHeight="1">
      <c r="A22" s="45">
        <v>259457540560</v>
      </c>
      <c r="B22" s="45"/>
      <c r="C22" s="45"/>
      <c r="D22" s="45"/>
      <c r="E22" s="20"/>
      <c r="F22" s="40">
        <v>323775211401</v>
      </c>
      <c r="G22" s="40"/>
      <c r="H22" s="40"/>
      <c r="I22" s="40"/>
      <c r="J22" s="20"/>
      <c r="K22" s="50">
        <v>37319879435</v>
      </c>
      <c r="L22" s="50"/>
      <c r="M22" s="50"/>
      <c r="N22" s="50"/>
      <c r="O22" s="20"/>
      <c r="P22" s="56">
        <v>289</v>
      </c>
      <c r="Q22" s="56"/>
      <c r="R22" s="56"/>
      <c r="S22" s="56"/>
      <c r="T22" s="20"/>
      <c r="U22" s="61">
        <v>3489258395</v>
      </c>
      <c r="V22" s="61"/>
      <c r="W22" s="61"/>
      <c r="X22" s="61"/>
      <c r="Y22" s="20"/>
    </row>
    <row r="23" ht="19" customHeight="1">
      <c r="A23" s="45"/>
      <c r="B23" s="45"/>
      <c r="C23" s="45"/>
      <c r="D23" s="45"/>
      <c r="E23" s="20"/>
      <c r="F23" s="40"/>
      <c r="G23" s="40"/>
      <c r="H23" s="40"/>
      <c r="I23" s="40"/>
      <c r="J23" s="20"/>
      <c r="K23" s="50"/>
      <c r="L23" s="50"/>
      <c r="M23" s="50"/>
      <c r="N23" s="50"/>
      <c r="O23" s="20"/>
      <c r="P23" s="56"/>
      <c r="Q23" s="56"/>
      <c r="R23" s="56"/>
      <c r="S23" s="56"/>
      <c r="T23" s="20"/>
      <c r="U23" s="61"/>
      <c r="V23" s="61"/>
      <c r="W23" s="61"/>
      <c r="X23" s="61"/>
      <c r="Y23" s="20"/>
    </row>
    <row r="24" ht="13" customHeight="1">
      <c r="A24" s="46" t="inlineStr">
        <is>
          <t xml:space="preserve">XOF · 30,5 % de l'encours</t>
        </is>
      </c>
      <c r="B24" s="46"/>
      <c r="C24" s="46"/>
      <c r="D24" s="46"/>
      <c r="E24" s="20"/>
      <c r="F24" s="41" t="inlineStr">
        <is>
          <t xml:space="preserve">XOF · 38,1 % de l'encours</t>
        </is>
      </c>
      <c r="G24" s="41"/>
      <c r="H24" s="41"/>
      <c r="I24" s="41"/>
      <c r="J24" s="20"/>
      <c r="K24" s="51" t="inlineStr">
        <is>
          <t xml:space="preserve">XOF · couverture 4,4 %</t>
        </is>
      </c>
      <c r="L24" s="51"/>
      <c r="M24" s="51"/>
      <c r="N24" s="51"/>
      <c r="O24" s="20"/>
      <c r="P24" s="57" t="inlineStr">
        <is>
          <t xml:space="preserve">dossiers · 322,71 Md XOF</t>
        </is>
      </c>
      <c r="Q24" s="57"/>
      <c r="R24" s="57"/>
      <c r="S24" s="57"/>
      <c r="T24" s="20"/>
      <c r="U24" s="62" t="inlineStr">
        <is>
          <t xml:space="preserve">XOF · 6 dossiers critiques</t>
        </is>
      </c>
      <c r="V24" s="62"/>
      <c r="W24" s="62"/>
      <c r="X24" s="62"/>
      <c r="Y24" s="20"/>
    </row>
    <row r="25" ht="18" customHeight="1">
      <c r="A25" s="47" t="inlineStr">
        <is>
          <t xml:space="preserve">▼ -0,4 %</t>
        </is>
      </c>
      <c r="B25" s="47"/>
      <c r="C25" s="26"/>
      <c r="D25" s="26"/>
      <c r="E25" s="20"/>
      <c r="F25" s="42" t="inlineStr">
        <is>
          <t xml:space="preserve">▲ 1,1 %</t>
        </is>
      </c>
      <c r="G25" s="42"/>
      <c r="H25" s="32"/>
      <c r="I25" s="32"/>
      <c r="J25" s="20"/>
      <c r="K25" s="52" t="inlineStr">
        <is>
          <t xml:space="preserve">▲ 0,5 %</t>
        </is>
      </c>
      <c r="L25" s="52"/>
      <c r="M25" s="53"/>
      <c r="N25" s="53"/>
      <c r="O25" s="20"/>
      <c r="P25" s="58" t="inlineStr">
        <is>
          <t xml:space="preserve">—</t>
        </is>
      </c>
      <c r="Q25" s="58"/>
      <c r="R25" s="26"/>
      <c r="S25" s="26"/>
      <c r="T25" s="20"/>
      <c r="U25" s="63" t="inlineStr">
        <is>
          <t xml:space="preserve">—</t>
        </is>
      </c>
      <c r="V25" s="63"/>
      <c r="W25" s="18"/>
      <c r="X25" s="18"/>
      <c r="Y25" s="20"/>
    </row>
    <row r="26" ht="14" customHeight="1">
      <c r="A26" s="48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16A34A"/>
              <sz val="7"/>
            </rPr>
            <t xml:space="preserve">● FAVORABLE</t>
          </r>
        </is>
      </c>
      <c r="B26" s="48"/>
      <c r="C26" s="48"/>
      <c r="D26" s="48"/>
      <c r="E26" s="20"/>
      <c r="F26" s="43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F59E0B"/>
              <sz val="7"/>
            </rPr>
            <t xml:space="preserve">● À SURVEILLER</t>
          </r>
        </is>
      </c>
      <c r="G26" s="43"/>
      <c r="H26" s="43"/>
      <c r="I26" s="43"/>
      <c r="J26" s="20"/>
      <c r="K26" s="54" t="inlineStr">
        <is>
          <r>
            <rPr>
              <rFont val="Segoe UI"/>
              <i/>
              <color rgb="FFD6E4FF"/>
              <sz val="7"/>
            </rPr>
            <t xml:space="preserve">vs 31/08/2026   </t>
          </r>
          <r>
            <rPr>
              <rFont val="Segoe UI"/>
              <b/>
              <color rgb="FFD6E4FF"/>
              <sz val="7"/>
            </rPr>
            <t xml:space="preserve">● STABLE</t>
          </r>
        </is>
      </c>
      <c r="L26" s="54"/>
      <c r="M26" s="54"/>
      <c r="N26" s="54"/>
      <c r="O26" s="20"/>
      <c r="P26" s="59" t="inlineStr">
        <is>
          <r>
            <rPr>
              <rFont val="Segoe UI"/>
              <i/>
              <color rgb="FF64748B"/>
              <sz val="7"/>
            </rPr>
            <t xml:space="preserve">vs 31/08/2026   </t>
          </r>
          <r>
            <rPr>
              <rFont val="Segoe UI"/>
              <b/>
              <color rgb="FF64748B"/>
              <sz val="7"/>
            </rPr>
            <t xml:space="preserve"/>
          </r>
        </is>
      </c>
      <c r="Q26" s="59"/>
      <c r="R26" s="59"/>
      <c r="S26" s="59"/>
      <c r="T26" s="20"/>
      <c r="U26" s="64" t="inlineStr">
        <is>
          <r>
            <rPr>
              <rFont val="Segoe UI"/>
              <i/>
              <color rgb="FFD6E4FF"/>
              <sz val="7"/>
            </rPr>
            <t xml:space="preserve">vs 31/08/2026   </t>
          </r>
          <r>
            <rPr>
              <rFont val="Segoe UI"/>
              <b/>
              <color rgb="FFD6E4FF"/>
              <sz val="7"/>
            </rPr>
            <t xml:space="preserve"/>
          </r>
        </is>
      </c>
      <c r="V26" s="64"/>
      <c r="W26" s="64"/>
      <c r="X26" s="64"/>
      <c r="Y26" s="20"/>
    </row>
    <row r="27" ht="5" customHeight="1">
      <c r="B27" s="21"/>
      <c r="C27" s="21"/>
      <c r="D27" s="21"/>
      <c r="E27" s="20"/>
      <c r="G27" s="21"/>
      <c r="H27" s="21"/>
      <c r="I27" s="21"/>
      <c r="J27" s="20"/>
      <c r="L27" s="21"/>
      <c r="M27" s="21"/>
      <c r="N27" s="21"/>
      <c r="O27" s="20"/>
      <c r="Q27" s="21"/>
      <c r="R27" s="21"/>
      <c r="S27" s="21"/>
      <c r="T27" s="20"/>
      <c r="V27" s="21"/>
      <c r="W27" s="21"/>
      <c r="X27" s="21"/>
      <c r="Y27" s="20"/>
    </row>
    <row r="28" ht="12" customHeight="1"/>
    <row r="29" ht="18" customHeight="1">
      <c r="A29" s="65" t="inlineStr">
        <is>
          <r>
            <rPr>
              <rFont val="Segoe UI"/>
              <b/>
              <color rgb="FFC8A951"/>
              <sz val="10"/>
            </rPr>
            <t xml:space="preserve">⚠  </t>
          </r>
          <r>
            <rPr>
              <rFont val="Segoe UI"/>
              <b/>
              <color rgb="FF334155"/>
              <sz val="8"/>
            </rPr>
            <t xml:space="preserve">CONCENTRATION ALERT</t>
          </r>
        </is>
      </c>
      <c r="B29" s="65"/>
      <c r="C29" s="65"/>
      <c r="D29" s="65"/>
      <c r="E29" s="65"/>
      <c r="F29" s="65"/>
      <c r="G29" s="65"/>
      <c r="H29" s="65"/>
      <c r="I29" s="65"/>
      <c r="K29" s="69" t="inlineStr">
        <is>
          <r>
            <rPr>
              <rFont val="Segoe UI"/>
              <b/>
              <color rgb="FFDC2626"/>
              <sz val="10"/>
            </rPr>
            <t xml:space="preserve">▲  </t>
          </r>
          <r>
            <rPr>
              <rFont val="Segoe UI"/>
              <b/>
              <color rgb="FF334155"/>
              <sz val="8"/>
            </rPr>
            <t xml:space="preserve">NEW ARREARS</t>
          </r>
        </is>
      </c>
      <c r="L29" s="69"/>
      <c r="M29" s="69"/>
      <c r="N29" s="69"/>
      <c r="O29" s="69"/>
      <c r="P29" s="69"/>
      <c r="Q29" s="69"/>
      <c r="R29" s="69"/>
      <c r="S29" s="69"/>
      <c r="U29" s="71" t="inlineStr">
        <is>
          <r>
            <rPr>
              <rFont val="Segoe UI"/>
              <b/>
              <color rgb="FF2563EB"/>
              <sz val="10"/>
            </rPr>
            <t xml:space="preserve">✦  </t>
          </r>
          <r>
            <rPr>
              <rFont val="Segoe UI"/>
              <b/>
              <color rgb="FF334155"/>
              <sz val="8"/>
            </rPr>
            <t xml:space="preserve">JEV OUTLOOK</t>
          </r>
        </is>
      </c>
      <c r="V29" s="71"/>
      <c r="W29" s="71"/>
      <c r="X29" s="71"/>
    </row>
    <row r="30" ht="26" customHeight="1">
      <c r="A30" s="66" t="inlineStr">
        <is>
          <t xml:space="preserve">TOP 5 CLIENTS = 4,4 %</t>
        </is>
      </c>
      <c r="B30" s="66"/>
      <c r="C30" s="66"/>
      <c r="D30" s="66"/>
      <c r="E30" s="66"/>
      <c r="F30" s="66"/>
      <c r="G30" s="66"/>
      <c r="H30" s="66"/>
      <c r="I30" s="66"/>
      <c r="J30" s="68"/>
      <c r="K30" s="70" t="inlineStr">
        <is>
          <t xml:space="preserve">+333,3 M XOF</t>
        </is>
      </c>
      <c r="L30" s="70"/>
      <c r="M30" s="70"/>
      <c r="N30" s="70"/>
      <c r="O30" s="70"/>
      <c r="P30" s="70"/>
      <c r="Q30" s="70"/>
      <c r="R30" s="70"/>
      <c r="S30" s="70"/>
      <c r="T30" s="68"/>
      <c r="U30" s="72" t="inlineStr">
        <is>
          <t xml:space="preserve">PD 12M 3,8 %</t>
        </is>
      </c>
      <c r="V30" s="72"/>
      <c r="W30" s="72"/>
      <c r="X30" s="72"/>
      <c r="Y30" s="68"/>
    </row>
    <row r="31" ht="16" customHeight="1">
      <c r="A31" s="67" t="inlineStr">
        <is>
          <t xml:space="preserve">+0,0 pts vs 31/08/2026</t>
        </is>
      </c>
      <c r="B31" s="67"/>
      <c r="C31" s="67"/>
      <c r="D31" s="67"/>
      <c r="E31" s="67"/>
      <c r="F31" s="67"/>
      <c r="G31" s="67"/>
      <c r="H31" s="67"/>
      <c r="I31" s="67"/>
      <c r="J31" s="68"/>
      <c r="K31" s="67" t="inlineStr">
        <is>
          <t xml:space="preserve">nouveaux impayés et aggravations · aucune régularisation sur la période</t>
        </is>
      </c>
      <c r="L31" s="67"/>
      <c r="M31" s="67"/>
      <c r="N31" s="67"/>
      <c r="O31" s="67"/>
      <c r="P31" s="67"/>
      <c r="Q31" s="67"/>
      <c r="R31" s="67"/>
      <c r="S31" s="67"/>
      <c r="T31" s="68"/>
      <c r="U31" s="67" t="inlineStr">
        <is>
          <t xml:space="preserve">MARKOV · confiance faible · indicatif</t>
        </is>
      </c>
      <c r="V31" s="67"/>
      <c r="W31" s="67"/>
      <c r="X31" s="67"/>
      <c r="Y31" s="68"/>
    </row>
    <row r="32">
      <c r="J32" s="68"/>
      <c r="T32" s="68"/>
      <c r="Y32" s="68"/>
    </row>
    <row r="33" ht="24" customHeight="1">
      <c r="A33" s="73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PORTFOLIO TREND</t>
          </r>
          <r>
            <rPr>
              <rFont val="Segoe UI"/>
              <i/>
              <color rgb="FF64748B"/>
              <sz val="8"/>
            </rPr>
            <t xml:space="preserve">    encours (aire) · impayés, Stage 2, Stage 3 (courbes, axe droit)</t>
          </r>
        </is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Q33" s="74" t="inlineStr">
        <is>
          <r>
            <rPr>
              <rFont val="Segoe UI"/>
              <b/>
              <color rgb="FFC8A951"/>
              <sz val="11"/>
            </rPr>
            <t xml:space="preserve">·  </t>
          </r>
          <r>
            <rPr>
              <rFont val="Segoe UI"/>
              <b/>
              <color rgb="FF001B4D"/>
              <sz val="11"/>
            </rPr>
            <t xml:space="preserve">RISK DISTRIBUTION</t>
          </r>
          <r>
            <rPr>
              <rFont val="Segoe UI"/>
              <i/>
              <color rgb="FF64748B"/>
              <sz val="8"/>
            </rPr>
            <t xml:space="preserve">    encours par stage IFRS 9</t>
          </r>
        </is>
      </c>
      <c r="R33" s="74"/>
      <c r="S33" s="74"/>
      <c r="T33" s="74"/>
      <c r="U33" s="74"/>
      <c r="V33" s="74"/>
      <c r="W33" s="74"/>
      <c r="X33" s="74"/>
    </row>
    <row r="50" ht="24" customHeight="1">
      <c r="A50" s="75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WHY DID IT MOVE?</t>
          </r>
          <r>
            <rPr>
              <rFont val="Segoe UI"/>
              <i/>
              <color rgb="FF64748B"/>
              <sz val="8"/>
            </rPr>
            <t xml:space="preserve">    pont des impayés 31/08/2026 → 30/09/2026</t>
          </r>
        </is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Q50" s="75" t="inlineStr">
        <is>
          <r>
            <rPr>
              <rFont val="Segoe UI"/>
              <b/>
              <color rgb="FFC8A951"/>
              <sz val="11"/>
            </rPr>
            <t xml:space="preserve">·  </t>
          </r>
          <r>
            <rPr>
              <rFont val="Segoe UI"/>
              <b/>
              <color rgb="FF001B4D"/>
              <sz val="11"/>
            </rPr>
            <t xml:space="preserve">TOP DRIVERS</t>
          </r>
          <r>
            <rPr>
              <rFont val="Segoe UI"/>
              <i/>
              <color rgb="FF64748B"/>
              <sz val="8"/>
            </rPr>
            <t xml:space="preserve">    plus fortes variations d'impayés</t>
          </r>
        </is>
      </c>
      <c r="R50" s="75"/>
      <c r="S50" s="75"/>
      <c r="T50" s="75"/>
      <c r="U50" s="75"/>
      <c r="V50" s="75"/>
      <c r="W50" s="75"/>
      <c r="X50" s="75"/>
    </row>
    <row r="51" ht="17" customHeight="1">
      <c r="Q51" s="76" t="inlineStr">
        <is>
          <t xml:space="preserve">SOCIETE 0403</t>
        </is>
      </c>
      <c r="R51" s="76"/>
      <c r="S51" s="76"/>
      <c r="T51" s="76"/>
      <c r="U51" s="76"/>
      <c r="V51" s="77" t="inlineStr">
        <is>
          <t xml:space="preserve">+280,1 M</t>
        </is>
      </c>
      <c r="W51" s="77"/>
      <c r="X51" s="77"/>
    </row>
    <row r="52" ht="13" customHeight="1">
      <c r="Q52" s="78" t="inlineStr">
        <is>
          <t xml:space="preserve">459,0 M XOF d'impayés · 33 j · Stage 2 · GUEYE</t>
        </is>
      </c>
      <c r="R52" s="78"/>
      <c r="S52" s="78"/>
      <c r="T52" s="78"/>
      <c r="U52" s="78"/>
      <c r="V52" s="78"/>
      <c r="W52" s="78"/>
      <c r="X52" s="78"/>
    </row>
    <row r="53" ht="17" customHeight="1">
      <c r="Q53" s="76" t="inlineStr">
        <is>
          <t xml:space="preserve">SOCIETE 0666</t>
        </is>
      </c>
      <c r="R53" s="76"/>
      <c r="S53" s="76"/>
      <c r="T53" s="76"/>
      <c r="U53" s="76"/>
      <c r="V53" s="77" t="inlineStr">
        <is>
          <t xml:space="preserve">+29,5 M</t>
        </is>
      </c>
      <c r="W53" s="77"/>
      <c r="X53" s="77"/>
    </row>
    <row r="54" ht="13" customHeight="1">
      <c r="Q54" s="78" t="inlineStr">
        <is>
          <t xml:space="preserve">30,2 M XOF d'impayés · 308 j · Stage 3 · GUEYE</t>
        </is>
      </c>
      <c r="R54" s="78"/>
      <c r="S54" s="78"/>
      <c r="T54" s="78"/>
      <c r="U54" s="78"/>
      <c r="V54" s="78"/>
      <c r="W54" s="78"/>
      <c r="X54" s="78"/>
    </row>
    <row r="55" ht="17" customHeight="1">
      <c r="Q55" s="76" t="inlineStr">
        <is>
          <t xml:space="preserve">SOCIETE 0518</t>
        </is>
      </c>
      <c r="R55" s="76"/>
      <c r="S55" s="76"/>
      <c r="T55" s="76"/>
      <c r="U55" s="76"/>
      <c r="V55" s="77" t="inlineStr">
        <is>
          <t xml:space="preserve">+5,6 M</t>
        </is>
      </c>
      <c r="W55" s="77"/>
      <c r="X55" s="77"/>
    </row>
    <row r="56" ht="13" customHeight="1">
      <c r="Q56" s="78" t="inlineStr">
        <is>
          <t xml:space="preserve">5,6 M XOF d'impayés · 12 j · Stage 2 · GUEYE</t>
        </is>
      </c>
      <c r="R56" s="78"/>
      <c r="S56" s="78"/>
      <c r="T56" s="78"/>
      <c r="U56" s="78"/>
      <c r="V56" s="78"/>
      <c r="W56" s="78"/>
      <c r="X56" s="78"/>
    </row>
    <row r="57" ht="17" customHeight="1">
      <c r="Q57" s="76" t="inlineStr">
        <is>
          <t xml:space="preserve">SOCIETE 0043</t>
        </is>
      </c>
      <c r="R57" s="76"/>
      <c r="S57" s="76"/>
      <c r="T57" s="76"/>
      <c r="U57" s="76"/>
      <c r="V57" s="77" t="inlineStr">
        <is>
          <t xml:space="preserve">+3,8 M</t>
        </is>
      </c>
      <c r="W57" s="77"/>
      <c r="X57" s="77"/>
    </row>
    <row r="58" ht="13" customHeight="1">
      <c r="Q58" s="78" t="inlineStr">
        <is>
          <t xml:space="preserve">5,6 M XOF d'impayés · 19 j · Stage 2 · GUEYE</t>
        </is>
      </c>
      <c r="R58" s="78"/>
      <c r="S58" s="78"/>
      <c r="T58" s="78"/>
      <c r="U58" s="78"/>
      <c r="V58" s="78"/>
      <c r="W58" s="78"/>
      <c r="X58" s="78"/>
    </row>
    <row r="59" ht="17" customHeight="1">
      <c r="Q59" s="76" t="inlineStr">
        <is>
          <t xml:space="preserve">SOCIETE 0170</t>
        </is>
      </c>
      <c r="R59" s="76"/>
      <c r="S59" s="76"/>
      <c r="T59" s="76"/>
      <c r="U59" s="76"/>
      <c r="V59" s="77" t="inlineStr">
        <is>
          <t xml:space="preserve">+3,4 M</t>
        </is>
      </c>
      <c r="W59" s="77"/>
      <c r="X59" s="77"/>
    </row>
    <row r="60" ht="13" customHeight="1">
      <c r="Q60" s="78" t="inlineStr">
        <is>
          <t xml:space="preserve">4,4 M XOF d'impayés · 11 j · Stage 2 · GUEYE</t>
        </is>
      </c>
      <c r="R60" s="78"/>
      <c r="S60" s="78"/>
      <c r="T60" s="78"/>
      <c r="U60" s="78"/>
      <c r="V60" s="78"/>
      <c r="W60" s="78"/>
      <c r="X60" s="78"/>
    </row>
    <row r="61" ht="17" customHeight="1">
      <c r="Q61" s="76" t="inlineStr">
        <is>
          <t xml:space="preserve">SOCIETE 0041</t>
        </is>
      </c>
      <c r="R61" s="76"/>
      <c r="S61" s="76"/>
      <c r="T61" s="76"/>
      <c r="U61" s="76"/>
      <c r="V61" s="77" t="inlineStr">
        <is>
          <t xml:space="preserve">+2,9 M</t>
        </is>
      </c>
      <c r="W61" s="77"/>
      <c r="X61" s="77"/>
    </row>
    <row r="62" ht="13" customHeight="1">
      <c r="Q62" s="78" t="inlineStr">
        <is>
          <t xml:space="preserve">2,9 M XOF d'impayés · 38 j · Stage 2 · GUEYE</t>
        </is>
      </c>
      <c r="R62" s="78"/>
      <c r="S62" s="78"/>
      <c r="T62" s="78"/>
      <c r="U62" s="78"/>
      <c r="V62" s="78"/>
      <c r="W62" s="78"/>
      <c r="X62" s="78"/>
    </row>
    <row r="63" ht="17" customHeight="1">
      <c r="Q63" s="76" t="inlineStr">
        <is>
          <t xml:space="preserve">SOCIETE 0038</t>
        </is>
      </c>
      <c r="R63" s="76"/>
      <c r="S63" s="76"/>
      <c r="T63" s="76"/>
      <c r="U63" s="76"/>
      <c r="V63" s="77" t="inlineStr">
        <is>
          <t xml:space="preserve">+2,8 M</t>
        </is>
      </c>
      <c r="W63" s="77"/>
      <c r="X63" s="77"/>
    </row>
    <row r="64" ht="13" customHeight="1">
      <c r="Q64" s="78" t="inlineStr">
        <is>
          <t xml:space="preserve">8,4 M XOF d'impayés · 281 j · Stage 3 · GUEYE</t>
        </is>
      </c>
      <c r="R64" s="78"/>
      <c r="S64" s="78"/>
      <c r="T64" s="78"/>
      <c r="U64" s="78"/>
      <c r="V64" s="78"/>
      <c r="W64" s="78"/>
      <c r="X64" s="78"/>
    </row>
    <row r="67" ht="24" customHeight="1">
      <c r="A67" s="79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TOP RISKS</t>
          </r>
          <r>
            <rPr>
              <rFont val="Segoe UI"/>
              <i/>
              <color rgb="FF64748B"/>
              <sz val="8"/>
            </rPr>
            <t xml:space="preserve">    dossiers prioritaires classés par criticité puis impayé</t>
          </r>
        </is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Q67" s="74" t="inlineStr">
        <is>
          <r>
            <rPr>
              <rFont val="Segoe UI"/>
              <b/>
              <color rgb="FFC8A951"/>
              <sz val="11"/>
            </rPr>
            <t xml:space="preserve">·  </t>
          </r>
          <r>
            <rPr>
              <rFont val="Segoe UI"/>
              <b/>
              <color rgb="FF001B4D"/>
              <sz val="11"/>
            </rPr>
            <t xml:space="preserve">ACTIONS REQUIRED</t>
          </r>
          <r>
            <rPr>
              <rFont val="Segoe UI"/>
              <i/>
              <color rgb="FF64748B"/>
              <sz val="8"/>
            </rPr>
            <t xml:space="preserve">    tableau de bord du plan d'actions</t>
          </r>
        </is>
      </c>
      <c r="R67" s="74"/>
      <c r="S67" s="74"/>
      <c r="T67" s="74"/>
      <c r="U67" s="74"/>
      <c r="V67" s="74"/>
      <c r="W67" s="74"/>
      <c r="X67" s="74"/>
    </row>
    <row r="68" ht="19" customHeight="1">
      <c r="A68" s="80" t="inlineStr">
        <is>
          <t xml:space="preserve">#01</t>
        </is>
      </c>
      <c r="B68" s="80"/>
      <c r="C68" s="81" t="inlineStr">
        <is>
          <t xml:space="preserve">SOCIETE 0078</t>
        </is>
      </c>
      <c r="D68" s="81"/>
      <c r="E68" s="81"/>
      <c r="F68" s="81"/>
      <c r="G68" s="81"/>
      <c r="H68" s="81"/>
      <c r="I68" s="81"/>
      <c r="J68" s="81"/>
      <c r="K68" s="84"/>
      <c r="L68" s="84"/>
      <c r="M68" s="85" t="inlineStr">
        <is>
          <t xml:space="preserve">CRITICAL</t>
        </is>
      </c>
      <c r="N68" s="85"/>
      <c r="O68" s="85"/>
      <c r="Q68" s="88">
        <v>6</v>
      </c>
      <c r="R68" s="88"/>
      <c r="S68" s="89" t="inlineStr">
        <is>
          <r>
            <rPr>
              <rFont val="Segoe UI"/>
              <b/>
              <color rgb="FFDC2626"/>
              <sz val="9.5"/>
            </rPr>
            <t xml:space="preserve">CRITICAL</t>
          </r>
          <r>
            <rPr>
              <rFont val="Segoe UI"/>
              <color rgb="FF334155"/>
              <sz val="8.5"/>
            </rPr>
            <t xml:space="preserve">  ·  Critique</t>
          </r>
        </is>
      </c>
      <c r="T68" s="89"/>
      <c r="U68" s="89"/>
      <c r="V68" s="89"/>
      <c r="W68" s="89"/>
      <c r="X68" s="89"/>
    </row>
    <row r="69" ht="17" customHeight="1">
      <c r="A69" s="80"/>
      <c r="B69" s="80"/>
      <c r="C69" s="82" t="inlineStr">
        <is>
          <r>
            <rPr>
              <rFont val="Segoe UI"/>
              <b/>
              <color rgb="FF003DA5"/>
              <sz val="9"/>
            </rPr>
            <t xml:space="preserve">131,5 M XOF</t>
          </r>
          <r>
            <rPr>
              <rFont val="Segoe UI"/>
              <color rgb="FF334155"/>
              <sz val="8.5"/>
            </rPr>
            <t xml:space="preserve">  ·  286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69" s="82"/>
      <c r="E69" s="82"/>
      <c r="F69" s="82"/>
      <c r="G69" s="82"/>
      <c r="H69" s="82"/>
      <c r="I69" s="82"/>
      <c r="J69" s="82"/>
      <c r="K69" s="84"/>
      <c r="L69" s="84"/>
      <c r="M69" s="86" t="inlineStr">
        <is>
          <t xml:space="preserve">ACTION REQUIRED</t>
        </is>
      </c>
      <c r="N69" s="86"/>
      <c r="O69" s="86"/>
      <c r="Q69" s="88"/>
      <c r="R69" s="88"/>
      <c r="S69" s="90" t="inlineStr">
        <is>
          <t xml:space="preserve">encours 3,49 Md XOF</t>
        </is>
      </c>
      <c r="T69" s="90"/>
      <c r="U69" s="90"/>
      <c r="V69" s="90"/>
      <c r="W69" s="90"/>
      <c r="X69" s="90"/>
    </row>
    <row r="70" ht="14" customHeight="1">
      <c r="A70" s="80"/>
      <c r="B70" s="80"/>
      <c r="C70" s="83" t="inlineStr">
        <is>
          <t xml:space="preserve">JEV PD 12M 15,4 % (HYBRID)  ·  Contrepartie déjà douteuse : mise en demeure et proposition d'un protocole d'apurement daté avant le 15/10/2026 ; rechercher des actifs sais</t>
        </is>
      </c>
      <c r="D70" s="83"/>
      <c r="E70" s="83"/>
      <c r="F70" s="83"/>
      <c r="G70" s="83"/>
      <c r="H70" s="83"/>
      <c r="I70" s="83"/>
      <c r="J70" s="83"/>
      <c r="S70" s="92">
        <v>0</v>
      </c>
      <c r="T70" s="91"/>
      <c r="U70" s="91"/>
      <c r="V70" s="91"/>
      <c r="W70" s="93" t="inlineStr">
        <is>
          <t xml:space="preserve">avancement</t>
        </is>
      </c>
      <c r="X70" s="93"/>
    </row>
    <row r="71" ht="7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</row>
    <row r="72" ht="19" customHeight="1">
      <c r="A72" s="80" t="inlineStr">
        <is>
          <t xml:space="preserve">#02</t>
        </is>
      </c>
      <c r="B72" s="80"/>
      <c r="C72" s="81" t="inlineStr">
        <is>
          <t xml:space="preserve">SOCIETE 0450</t>
        </is>
      </c>
      <c r="D72" s="81"/>
      <c r="E72" s="81"/>
      <c r="F72" s="81"/>
      <c r="G72" s="81"/>
      <c r="H72" s="81"/>
      <c r="I72" s="81"/>
      <c r="J72" s="81"/>
      <c r="K72" s="84"/>
      <c r="L72" s="84"/>
      <c r="M72" s="85" t="inlineStr">
        <is>
          <t xml:space="preserve">CRITICAL</t>
        </is>
      </c>
      <c r="N72" s="85"/>
      <c r="O72" s="85"/>
      <c r="Q72" s="94">
        <v>48</v>
      </c>
      <c r="R72" s="94"/>
      <c r="S72" s="89" t="inlineStr">
        <is>
          <r>
            <rPr>
              <rFont val="Segoe UI"/>
              <b/>
              <color rgb="FFF97316"/>
              <sz val="9.5"/>
            </rPr>
            <t xml:space="preserve">HIGH</t>
          </r>
          <r>
            <rPr>
              <rFont val="Segoe UI"/>
              <color rgb="FF334155"/>
              <sz val="8.5"/>
            </rPr>
            <t xml:space="preserve">  ·  Priorité haute</t>
          </r>
        </is>
      </c>
      <c r="T72" s="89"/>
      <c r="U72" s="89"/>
      <c r="V72" s="89"/>
      <c r="W72" s="89"/>
      <c r="X72" s="89"/>
    </row>
    <row r="73" ht="17" customHeight="1">
      <c r="A73" s="80"/>
      <c r="B73" s="80"/>
      <c r="C73" s="82" t="inlineStr">
        <is>
          <r>
            <rPr>
              <rFont val="Segoe UI"/>
              <b/>
              <color rgb="FF003DA5"/>
              <sz val="9"/>
            </rPr>
            <t xml:space="preserve">3,03 Md XOF</t>
          </r>
          <r>
            <rPr>
              <rFont val="Segoe UI"/>
              <color rgb="FF334155"/>
              <sz val="8.5"/>
            </rPr>
            <t xml:space="preserve">  ·  304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3" s="82"/>
      <c r="E73" s="82"/>
      <c r="F73" s="82"/>
      <c r="G73" s="82"/>
      <c r="H73" s="82"/>
      <c r="I73" s="82"/>
      <c r="J73" s="82"/>
      <c r="K73" s="84"/>
      <c r="L73" s="84"/>
      <c r="M73" s="86" t="inlineStr">
        <is>
          <t xml:space="preserve">ACTION REQUIRED</t>
        </is>
      </c>
      <c r="N73" s="86"/>
      <c r="O73" s="86"/>
      <c r="Q73" s="94"/>
      <c r="R73" s="94"/>
      <c r="S73" s="90" t="inlineStr">
        <is>
          <t xml:space="preserve">encours 130,04 Md XOF</t>
        </is>
      </c>
      <c r="T73" s="90"/>
      <c r="U73" s="90"/>
      <c r="V73" s="90"/>
      <c r="W73" s="90"/>
      <c r="X73" s="90"/>
    </row>
    <row r="74" ht="14" customHeight="1">
      <c r="A74" s="80"/>
      <c r="B74" s="80"/>
      <c r="C74" s="83" t="inlineStr">
        <is>
          <t xml:space="preserve">JEV PD 12M 100,0 % (OBSERVED)  ·  Surveillance renforcée</t>
        </is>
      </c>
      <c r="D74" s="83"/>
      <c r="E74" s="83"/>
      <c r="F74" s="83"/>
      <c r="G74" s="83"/>
      <c r="H74" s="83"/>
      <c r="I74" s="83"/>
      <c r="J74" s="83"/>
      <c r="S74" s="92">
        <v>0.15</v>
      </c>
      <c r="T74" s="91"/>
      <c r="U74" s="91"/>
      <c r="V74" s="91"/>
      <c r="W74" s="93" t="inlineStr">
        <is>
          <t xml:space="preserve">avancement</t>
        </is>
      </c>
      <c r="X74" s="93"/>
    </row>
    <row r="75" ht="7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</row>
    <row r="76" ht="19" customHeight="1">
      <c r="A76" s="80" t="inlineStr">
        <is>
          <t xml:space="preserve">#03</t>
        </is>
      </c>
      <c r="B76" s="80"/>
      <c r="C76" s="81" t="inlineStr">
        <is>
          <t xml:space="preserve">SOCIETE 0088</t>
        </is>
      </c>
      <c r="D76" s="81"/>
      <c r="E76" s="81"/>
      <c r="F76" s="81"/>
      <c r="G76" s="81"/>
      <c r="H76" s="81"/>
      <c r="I76" s="81"/>
      <c r="J76" s="81"/>
      <c r="K76" s="84"/>
      <c r="L76" s="84"/>
      <c r="M76" s="85" t="inlineStr">
        <is>
          <t xml:space="preserve">CRITICAL</t>
        </is>
      </c>
      <c r="N76" s="85"/>
      <c r="O76" s="85"/>
      <c r="Q76" s="95">
        <v>235</v>
      </c>
      <c r="R76" s="95"/>
      <c r="S76" s="89" t="inlineStr">
        <is>
          <r>
            <rPr>
              <rFont val="Segoe UI"/>
              <b/>
              <color rgb="FFF59E0B"/>
              <sz val="9.5"/>
            </rPr>
            <t xml:space="preserve">WATCH</t>
          </r>
          <r>
            <rPr>
              <rFont val="Segoe UI"/>
              <color rgb="FF334155"/>
              <sz val="8.5"/>
            </rPr>
            <t xml:space="preserve">  ·  Surveillance</t>
          </r>
        </is>
      </c>
      <c r="T76" s="89"/>
      <c r="U76" s="89"/>
      <c r="V76" s="89"/>
      <c r="W76" s="89"/>
      <c r="X76" s="89"/>
    </row>
    <row r="77" ht="17" customHeight="1">
      <c r="A77" s="80"/>
      <c r="B77" s="80"/>
      <c r="C77" s="82" t="inlineStr">
        <is>
          <r>
            <rPr>
              <rFont val="Segoe UI"/>
              <b/>
              <color rgb="FF003DA5"/>
              <sz val="9"/>
            </rPr>
            <t xml:space="preserve">75,4 M XOF</t>
          </r>
          <r>
            <rPr>
              <rFont val="Segoe UI"/>
              <color rgb="FF334155"/>
              <sz val="8.5"/>
            </rPr>
            <t xml:space="preserve">  ·  307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7" s="82"/>
      <c r="E77" s="82"/>
      <c r="F77" s="82"/>
      <c r="G77" s="82"/>
      <c r="H77" s="82"/>
      <c r="I77" s="82"/>
      <c r="J77" s="82"/>
      <c r="K77" s="84"/>
      <c r="L77" s="84"/>
      <c r="M77" s="86" t="inlineStr">
        <is>
          <t xml:space="preserve">ACTION REQUIRED</t>
        </is>
      </c>
      <c r="N77" s="86"/>
      <c r="O77" s="86"/>
      <c r="Q77" s="95"/>
      <c r="R77" s="95"/>
      <c r="S77" s="90" t="inlineStr">
        <is>
          <t xml:space="preserve">encours 189,18 Md XOF</t>
        </is>
      </c>
      <c r="T77" s="90"/>
      <c r="U77" s="90"/>
      <c r="V77" s="90"/>
      <c r="W77" s="90"/>
      <c r="X77" s="90"/>
    </row>
    <row r="78" ht="14" customHeight="1">
      <c r="A78" s="80"/>
      <c r="B78" s="80"/>
      <c r="C78" s="83" t="inlineStr">
        <is>
          <t xml:space="preserve">JEV PD 12M 100,0 % (OBSERVED)  ·  Surveillance renforcée</t>
        </is>
      </c>
      <c r="D78" s="83"/>
      <c r="E78" s="83"/>
      <c r="F78" s="83"/>
      <c r="G78" s="83"/>
      <c r="H78" s="83"/>
      <c r="I78" s="83"/>
      <c r="J78" s="83"/>
      <c r="S78" s="92">
        <v>0</v>
      </c>
      <c r="T78" s="91"/>
      <c r="U78" s="91"/>
      <c r="V78" s="91"/>
      <c r="W78" s="93" t="inlineStr">
        <is>
          <t xml:space="preserve">avancement</t>
        </is>
      </c>
      <c r="X78" s="93"/>
    </row>
    <row r="79" ht="7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</row>
    <row r="80" ht="19" customHeight="1">
      <c r="A80" s="80" t="inlineStr">
        <is>
          <t xml:space="preserve">#04</t>
        </is>
      </c>
      <c r="B80" s="80"/>
      <c r="C80" s="81" t="inlineStr">
        <is>
          <t xml:space="preserve">SOCIETE 0208</t>
        </is>
      </c>
      <c r="D80" s="81"/>
      <c r="E80" s="81"/>
      <c r="F80" s="81"/>
      <c r="G80" s="81"/>
      <c r="H80" s="81"/>
      <c r="I80" s="81"/>
      <c r="J80" s="81"/>
      <c r="K80" s="84"/>
      <c r="L80" s="84"/>
      <c r="M80" s="85" t="inlineStr">
        <is>
          <t xml:space="preserve">CRITICAL</t>
        </is>
      </c>
      <c r="N80" s="85"/>
      <c r="O80" s="85"/>
      <c r="Q80" s="96">
        <v>0</v>
      </c>
      <c r="R80" s="96"/>
      <c r="S80" s="89" t="inlineStr">
        <is>
          <r>
            <rPr>
              <rFont val="Segoe UI"/>
              <b/>
              <color rgb="FF16A34A"/>
              <sz val="9.5"/>
            </rPr>
            <t xml:space="preserve">CURED</t>
          </r>
          <r>
            <rPr>
              <rFont val="Segoe UI"/>
              <color rgb="FF334155"/>
              <sz val="8.5"/>
            </rPr>
            <t xml:space="preserve">  ·  Régularisé</t>
          </r>
        </is>
      </c>
      <c r="T80" s="89"/>
      <c r="U80" s="89"/>
      <c r="V80" s="89"/>
      <c r="W80" s="89"/>
      <c r="X80" s="89"/>
    </row>
    <row r="81" ht="17" customHeight="1">
      <c r="A81" s="80"/>
      <c r="B81" s="80"/>
      <c r="C81" s="82" t="inlineStr">
        <is>
          <r>
            <rPr>
              <rFont val="Segoe UI"/>
              <b/>
              <color rgb="FF003DA5"/>
              <sz val="9"/>
            </rPr>
            <t xml:space="preserve">90,4 M XOF</t>
          </r>
          <r>
            <rPr>
              <rFont val="Segoe UI"/>
              <color rgb="FF334155"/>
              <sz val="8.5"/>
            </rPr>
            <t xml:space="preserve">  ·  296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81" s="82"/>
      <c r="E81" s="82"/>
      <c r="F81" s="82"/>
      <c r="G81" s="82"/>
      <c r="H81" s="82"/>
      <c r="I81" s="82"/>
      <c r="J81" s="82"/>
      <c r="K81" s="84"/>
      <c r="L81" s="84"/>
      <c r="M81" s="86" t="inlineStr">
        <is>
          <t xml:space="preserve">ACTION REQUIRED</t>
        </is>
      </c>
      <c r="N81" s="86"/>
      <c r="O81" s="86"/>
      <c r="Q81" s="96"/>
      <c r="R81" s="96"/>
      <c r="S81" s="90" t="inlineStr">
        <is>
          <t xml:space="preserve">impayés résorbés 0 XOF</t>
        </is>
      </c>
      <c r="T81" s="90"/>
      <c r="U81" s="90"/>
      <c r="V81" s="90"/>
      <c r="W81" s="90"/>
      <c r="X81" s="90"/>
    </row>
    <row r="82" ht="14" customHeight="1">
      <c r="A82" s="80"/>
      <c r="B82" s="80"/>
      <c r="C82" s="83" t="inlineStr">
        <is>
          <t xml:space="preserve">JEV PD 12M 100,0 % (OBSERVED)  ·  Surveillance renforcée</t>
        </is>
      </c>
      <c r="D82" s="83"/>
      <c r="E82" s="83"/>
      <c r="F82" s="83"/>
      <c r="G82" s="83"/>
      <c r="H82" s="83"/>
      <c r="I82" s="83"/>
      <c r="J82" s="83"/>
      <c r="S82" s="92">
        <v>0</v>
      </c>
      <c r="T82" s="91"/>
      <c r="U82" s="91"/>
      <c r="V82" s="91"/>
      <c r="W82" s="93" t="inlineStr">
        <is>
          <t xml:space="preserve">avancement</t>
        </is>
      </c>
      <c r="X82" s="93"/>
    </row>
    <row r="83" ht="7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</row>
    <row r="86" ht="24" customHeight="1">
      <c r="A86" s="74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KEY INSIGHTS</t>
          </r>
          <r>
            <rPr>
              <rFont val="Segoe UI"/>
              <i/>
              <color rgb="FF64748B"/>
              <sz val="8"/>
            </rPr>
            <t xml:space="preserve">    calculés sur les données de l'arrêté</t>
          </r>
        </is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</row>
    <row r="87" ht="16" customHeight="1">
      <c r="A87" s="97" t="inlineStr">
        <is>
          <r>
            <rPr>
              <rFont val="Segoe UI"/>
              <b/>
              <color rgb="FFC8A951"/>
              <sz val="12"/>
            </rPr>
            <t xml:space="preserve">01  </t>
          </r>
          <r>
            <rPr>
              <rFont val="Segoe UI"/>
              <b/>
              <color rgb="FF334155"/>
              <sz val="8.5"/>
            </rPr>
            <t xml:space="preserve">IMPAYÉS EN HAUSSE</t>
          </r>
        </is>
      </c>
      <c r="B87" s="97"/>
      <c r="C87" s="97"/>
      <c r="D87" s="97"/>
      <c r="E87" s="97"/>
      <c r="F87" s="97"/>
      <c r="G87" s="100" t="inlineStr">
        <is>
          <r>
            <rPr>
              <rFont val="Segoe UI"/>
              <b/>
              <color rgb="FFC8A951"/>
              <sz val="12"/>
            </rPr>
            <t xml:space="preserve">02  </t>
          </r>
          <r>
            <rPr>
              <rFont val="Segoe UI"/>
              <b/>
              <color rgb="FF334155"/>
              <sz val="8.5"/>
            </rPr>
            <t xml:space="preserve">CONCENTRATION</t>
          </r>
        </is>
      </c>
      <c r="H87" s="100"/>
      <c r="I87" s="100"/>
      <c r="J87" s="100"/>
      <c r="K87" s="100"/>
      <c r="L87" s="100"/>
      <c r="M87" s="102" t="inlineStr">
        <is>
          <r>
            <rPr>
              <rFont val="Segoe UI"/>
              <b/>
              <color rgb="FFC8A951"/>
              <sz val="12"/>
            </rPr>
            <t xml:space="preserve">03  </t>
          </r>
          <r>
            <rPr>
              <rFont val="Segoe UI"/>
              <b/>
              <color rgb="FF334155"/>
              <sz val="8.5"/>
            </rPr>
            <t xml:space="preserve">MIGRATION</t>
          </r>
        </is>
      </c>
      <c r="N87" s="102"/>
      <c r="O87" s="102"/>
      <c r="P87" s="102"/>
      <c r="Q87" s="102"/>
      <c r="R87" s="102"/>
      <c r="S87" s="97" t="inlineStr">
        <is>
          <r>
            <rPr>
              <rFont val="Segoe UI"/>
              <b/>
              <color rgb="FFC8A951"/>
              <sz val="12"/>
            </rPr>
            <t xml:space="preserve">04  </t>
          </r>
          <r>
            <rPr>
              <rFont val="Segoe UI"/>
              <b/>
              <color rgb="FF334155"/>
              <sz val="8.5"/>
            </rPr>
            <t xml:space="preserve">ACTION</t>
          </r>
        </is>
      </c>
      <c r="T87" s="97"/>
      <c r="U87" s="97"/>
      <c r="V87" s="97"/>
      <c r="W87" s="97"/>
      <c r="X87" s="97"/>
    </row>
    <row r="88" ht="22" customHeight="1">
      <c r="A88" s="98" t="inlineStr">
        <is>
          <t xml:space="preserve">+333,3 M XOF</t>
        </is>
      </c>
      <c r="B88" s="98"/>
      <c r="C88" s="98"/>
      <c r="D88" s="98"/>
      <c r="E88" s="98"/>
      <c r="F88" s="98"/>
      <c r="G88" s="101" t="inlineStr">
        <is>
          <t xml:space="preserve">TOP 10 = 8,3 %</t>
        </is>
      </c>
      <c r="H88" s="101"/>
      <c r="I88" s="101"/>
      <c r="J88" s="101"/>
      <c r="K88" s="101"/>
      <c r="L88" s="101"/>
      <c r="M88" s="103" t="inlineStr">
        <is>
          <t xml:space="preserve">9 dossiers</t>
        </is>
      </c>
      <c r="N88" s="103"/>
      <c r="O88" s="103"/>
      <c r="P88" s="103"/>
      <c r="Q88" s="103"/>
      <c r="R88" s="103"/>
      <c r="S88" s="98" t="inlineStr">
        <is>
          <t xml:space="preserve">54 dossiers</t>
        </is>
      </c>
      <c r="T88" s="98"/>
      <c r="U88" s="98"/>
      <c r="V88" s="98"/>
      <c r="W88" s="98"/>
      <c r="X88" s="98"/>
    </row>
    <row r="89" ht="46" customHeight="1">
      <c r="A89" s="99" t="inlineStr">
        <is>
          <t xml:space="preserve">Les impayés passent de 31,56 Md à 31,89 Md XOF depuis le 31/08/2026. Nouveaux impayés : 8,5 M (3 % des hausses) ; régularisations : 0 ; remboursements partiels : 0.</t>
        </is>
      </c>
      <c r="B89" s="99"/>
      <c r="C89" s="99"/>
      <c r="D89" s="99"/>
      <c r="E89" s="99"/>
      <c r="F89" s="99"/>
      <c r="G89" s="99" t="inlineStr">
        <is>
          <t xml:space="preserve">Les 10 premiers clients portent 70,74 Md XOF sur 850,39 Md. Premier client : SOCIETE 0378 (1,0 %). Premier segment : X (100 %).</t>
        </is>
      </c>
      <c r="H89" s="99"/>
      <c r="I89" s="99"/>
      <c r="J89" s="99"/>
      <c r="K89" s="99"/>
      <c r="L89" s="99"/>
      <c r="M89" s="99" t="inlineStr">
        <is>
          <t xml:space="preserve">9 clients ont migré vers une tranche d'impayé plus dégradée (1,3 % des clients suivis), dont 6 au-delà de 90 jours ou en Stage 3 pour 3,49 Md XOF d'encours.</t>
        </is>
      </c>
      <c r="N89" s="99"/>
      <c r="O89" s="99"/>
      <c r="P89" s="99"/>
      <c r="Q89" s="99"/>
      <c r="R89" s="99"/>
      <c r="S89" s="99" t="inlineStr">
        <is>
          <t xml:space="preserve">6 dossiers critiques (3,49 Md XOF) et 48 en priorité haute nécessitent une intervention. Premier dossier : SOCIETE 0450 (3,03 Md, 304 j).</t>
        </is>
      </c>
      <c r="T89" s="99"/>
      <c r="U89" s="99"/>
      <c r="V89" s="99"/>
      <c r="W89" s="99"/>
      <c r="X89" s="99"/>
    </row>
  </sheetData>
  <mergeCells count="175">
    <mergeCell ref="A1:R1"/>
    <mergeCell ref="S1:X1"/>
    <mergeCell ref="A2:O6"/>
    <mergeCell ref="P2:X2"/>
    <mergeCell ref="P3:X3"/>
    <mergeCell ref="P4:X4"/>
    <mergeCell ref="P5:X5"/>
    <mergeCell ref="P6:X6"/>
    <mergeCell ref="A8:D8"/>
    <mergeCell ref="E8:H8"/>
    <mergeCell ref="I8:L8"/>
    <mergeCell ref="M8:P8"/>
    <mergeCell ref="Q8:T8"/>
    <mergeCell ref="U8:X8"/>
    <mergeCell ref="A10:F10"/>
    <mergeCell ref="G10:L10"/>
    <mergeCell ref="M10:R10"/>
    <mergeCell ref="S10:X10"/>
    <mergeCell ref="A13:D13"/>
    <mergeCell ref="A14:D15"/>
    <mergeCell ref="A16:D16"/>
    <mergeCell ref="A17:B17"/>
    <mergeCell ref="C17:D17"/>
    <mergeCell ref="A18:D18"/>
    <mergeCell ref="F13:I13"/>
    <mergeCell ref="F14:I15"/>
    <mergeCell ref="F16:I16"/>
    <mergeCell ref="F17:G17"/>
    <mergeCell ref="H17:I17"/>
    <mergeCell ref="F18:I18"/>
    <mergeCell ref="K13:N13"/>
    <mergeCell ref="K14:N15"/>
    <mergeCell ref="K16:N16"/>
    <mergeCell ref="K17:L17"/>
    <mergeCell ref="M17:N17"/>
    <mergeCell ref="K18:N18"/>
    <mergeCell ref="P13:S13"/>
    <mergeCell ref="P14:S15"/>
    <mergeCell ref="P16:S16"/>
    <mergeCell ref="P17:Q17"/>
    <mergeCell ref="R17:S17"/>
    <mergeCell ref="P18:S18"/>
    <mergeCell ref="U13:X13"/>
    <mergeCell ref="U14:X15"/>
    <mergeCell ref="U16:X16"/>
    <mergeCell ref="U17:V17"/>
    <mergeCell ref="W17:X17"/>
    <mergeCell ref="U18:X18"/>
    <mergeCell ref="A21:D21"/>
    <mergeCell ref="A22:D23"/>
    <mergeCell ref="A24:D24"/>
    <mergeCell ref="A25:B25"/>
    <mergeCell ref="C25:D25"/>
    <mergeCell ref="A26:D26"/>
    <mergeCell ref="F21:I21"/>
    <mergeCell ref="F22:I23"/>
    <mergeCell ref="F24:I24"/>
    <mergeCell ref="F25:G25"/>
    <mergeCell ref="H25:I25"/>
    <mergeCell ref="F26:I26"/>
    <mergeCell ref="K21:N21"/>
    <mergeCell ref="K22:N23"/>
    <mergeCell ref="K24:N24"/>
    <mergeCell ref="K25:L25"/>
    <mergeCell ref="M25:N25"/>
    <mergeCell ref="K26:N26"/>
    <mergeCell ref="P21:S21"/>
    <mergeCell ref="P22:S23"/>
    <mergeCell ref="P24:S24"/>
    <mergeCell ref="P25:Q25"/>
    <mergeCell ref="R25:S25"/>
    <mergeCell ref="P26:S26"/>
    <mergeCell ref="U21:X21"/>
    <mergeCell ref="U22:X23"/>
    <mergeCell ref="U24:X24"/>
    <mergeCell ref="U25:V25"/>
    <mergeCell ref="W25:X25"/>
    <mergeCell ref="U26:X26"/>
    <mergeCell ref="A29:I29"/>
    <mergeCell ref="A30:I30"/>
    <mergeCell ref="A31:I31"/>
    <mergeCell ref="K29:S29"/>
    <mergeCell ref="K30:S30"/>
    <mergeCell ref="K31:S31"/>
    <mergeCell ref="U29:X29"/>
    <mergeCell ref="U30:X30"/>
    <mergeCell ref="U31:X31"/>
    <mergeCell ref="A33:O33"/>
    <mergeCell ref="Q33:X33"/>
    <mergeCell ref="A50:O50"/>
    <mergeCell ref="Q50:X50"/>
    <mergeCell ref="Q51:U51"/>
    <mergeCell ref="V51:X51"/>
    <mergeCell ref="Q52:X52"/>
    <mergeCell ref="Q53:U53"/>
    <mergeCell ref="V53:X53"/>
    <mergeCell ref="Q54:X54"/>
    <mergeCell ref="Q55:U55"/>
    <mergeCell ref="V55:X55"/>
    <mergeCell ref="Q56:X56"/>
    <mergeCell ref="Q57:U57"/>
    <mergeCell ref="V57:X57"/>
    <mergeCell ref="Q58:X58"/>
    <mergeCell ref="Q59:U59"/>
    <mergeCell ref="V59:X59"/>
    <mergeCell ref="Q60:X60"/>
    <mergeCell ref="Q61:U61"/>
    <mergeCell ref="V61:X61"/>
    <mergeCell ref="Q62:X62"/>
    <mergeCell ref="Q63:U63"/>
    <mergeCell ref="V63:X63"/>
    <mergeCell ref="Q64:X64"/>
    <mergeCell ref="A67:O67"/>
    <mergeCell ref="Q67:X67"/>
    <mergeCell ref="A68:B70"/>
    <mergeCell ref="C68:J68"/>
    <mergeCell ref="C69:J69"/>
    <mergeCell ref="C70:J70"/>
    <mergeCell ref="K68:L69"/>
    <mergeCell ref="M68:O68"/>
    <mergeCell ref="M69:O69"/>
    <mergeCell ref="A72:B74"/>
    <mergeCell ref="C72:J72"/>
    <mergeCell ref="C73:J73"/>
    <mergeCell ref="C74:J74"/>
    <mergeCell ref="K72:L73"/>
    <mergeCell ref="M72:O72"/>
    <mergeCell ref="M73:O73"/>
    <mergeCell ref="A76:B78"/>
    <mergeCell ref="C76:J76"/>
    <mergeCell ref="C77:J77"/>
    <mergeCell ref="C78:J78"/>
    <mergeCell ref="K76:L77"/>
    <mergeCell ref="M76:O76"/>
    <mergeCell ref="M77:O77"/>
    <mergeCell ref="A80:B82"/>
    <mergeCell ref="C80:J80"/>
    <mergeCell ref="C81:J81"/>
    <mergeCell ref="C82:J82"/>
    <mergeCell ref="K80:L81"/>
    <mergeCell ref="M80:O80"/>
    <mergeCell ref="M81:O81"/>
    <mergeCell ref="Q68:R69"/>
    <mergeCell ref="S68:X68"/>
    <mergeCell ref="S69:X69"/>
    <mergeCell ref="S70:V70"/>
    <mergeCell ref="W70:X70"/>
    <mergeCell ref="Q72:R73"/>
    <mergeCell ref="S72:X72"/>
    <mergeCell ref="S73:X73"/>
    <mergeCell ref="S74:V74"/>
    <mergeCell ref="W74:X74"/>
    <mergeCell ref="Q76:R77"/>
    <mergeCell ref="S76:X76"/>
    <mergeCell ref="S77:X77"/>
    <mergeCell ref="S78:V78"/>
    <mergeCell ref="W78:X78"/>
    <mergeCell ref="Q80:R81"/>
    <mergeCell ref="S80:X80"/>
    <mergeCell ref="S81:X81"/>
    <mergeCell ref="S82:V82"/>
    <mergeCell ref="W82:X82"/>
    <mergeCell ref="A86:X86"/>
    <mergeCell ref="A87:F87"/>
    <mergeCell ref="A88:F88"/>
    <mergeCell ref="A89:F89"/>
    <mergeCell ref="G87:L87"/>
    <mergeCell ref="G88:L88"/>
    <mergeCell ref="G89:L89"/>
    <mergeCell ref="M87:R87"/>
    <mergeCell ref="M88:R88"/>
    <mergeCell ref="M89:R89"/>
    <mergeCell ref="S87:X87"/>
    <mergeCell ref="S88:X88"/>
    <mergeCell ref="S89:X89"/>
  </mergeCells>
  <conditionalFormatting sqref="S70">
    <cfRule type="dataBar" priority="1">
      <dataBar>
        <cfvo type="num" val="0"/>
        <cfvo type="num" val="1"/>
        <color rgb="FFDC2626"/>
      </dataBar>
    </cfRule>
  </conditionalFormatting>
  <conditionalFormatting sqref="S74">
    <cfRule type="dataBar" priority="2">
      <dataBar>
        <cfvo type="num" val="0"/>
        <cfvo type="num" val="1"/>
        <color rgb="FFF97316"/>
      </dataBar>
    </cfRule>
  </conditionalFormatting>
  <conditionalFormatting sqref="S78">
    <cfRule type="dataBar" priority="3">
      <dataBar>
        <cfvo type="num" val="0"/>
        <cfvo type="num" val="1"/>
        <color rgb="FFF59E0B"/>
      </dataBar>
    </cfRule>
  </conditionalFormatting>
  <conditionalFormatting sqref="S82">
    <cfRule type="dataBar" priority="4">
      <dataBar>
        <cfvo type="num" val="0"/>
        <cfvo type="num" val="1"/>
        <color rgb="FF16A34A"/>
      </dataBar>
    </cfRule>
  </conditionalFormatting>
  <hyperlinks>
    <hyperlink ref="E8" location="'RISK'!A1" display="RISK"/>
    <hyperlink ref="I8" location="'MOVEMENT'!A1" display="MOVEMENT"/>
    <hyperlink ref="M8" location="'CONCENTRATION'!A1" display="CONCENTRATION"/>
    <hyperlink ref="Q8" location="'INSIGHTS'!A1" display="INSIGHTS"/>
    <hyperlink ref="U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&amp;L&amp;8&amp;K64748BEXECUTIVE · INTERNAL USE ONLY&amp;R&amp;8&amp;K64748BPage &amp;P / &amp;N</oddFooter>
  </headerFooter>
  <rowBreaks count="2" manualBreakCount="2">
    <brk id="32" max="16383" man="1"/>
    <brk id="66" max="16383" man="1"/>
  </rowBreak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'_data'!B1:J1</xm:f>
              <xm:sqref>C17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'_data'!B2:J2</xm:f>
              <xm:sqref>H17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'_data'!B3:J3</xm:f>
              <xm:sqref>M17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'_data'!B4:J4</xm:f>
              <xm:sqref>R17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'_data'!B5:J5</xm:f>
              <xm:sqref>W17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'_data'!B6:J6</xm:f>
              <xm:sqref>C25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'_data'!B7:J7</xm:f>
              <xm:sqref>H25</xm:sqref>
            </x14:sparkline>
          </x14:sparklines>
        </x14:sparklineGroup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'_data'!B8:J8</xm:f>
              <xm:sqref>M25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'_data'!B9:J9</xm:f>
              <xm:sqref>K68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'_data'!B10:J10</xm:f>
              <xm:sqref>K72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'_data'!B11:J11</xm:f>
              <xm:sqref>K76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'_data'!B12:J12</xm:f>
              <xm:sqref>K80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X36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RISK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T1" s="2"/>
      <c r="U1" s="2"/>
      <c r="V1" s="2"/>
      <c r="W1" s="2"/>
      <c r="X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RISK ANALYTICS
</t>
          </r>
          <r>
            <rPr>
              <rFont val="Segoe UI"/>
              <color rgb="FFC7D7F5"/>
              <sz val="10.5"/>
            </rPr>
            <t xml:space="preserve">Heatmaps, matrice de risque et distribution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REPORTING DATE</t>
        </is>
      </c>
      <c r="Q3" s="5"/>
      <c r="R3" s="5"/>
      <c r="S3" s="5"/>
      <c r="T3" s="5"/>
      <c r="U3" s="5"/>
      <c r="V3" s="5"/>
      <c r="W3" s="5"/>
      <c r="X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inlineStr">
        <is>
          <t xml:space="preserve">30 SEPTEMBER 2026</t>
        </is>
      </c>
      <c r="Q4" s="6"/>
      <c r="R4" s="6"/>
      <c r="S4" s="6"/>
      <c r="T4" s="6"/>
      <c r="U4" s="6"/>
      <c r="V4" s="6"/>
      <c r="W4" s="6"/>
      <c r="X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 t="inlineStr">
        <is>
          <t xml:space="preserve">PORTFOLIO MONITORING</t>
        </is>
      </c>
      <c r="Q5" s="7"/>
      <c r="R5" s="7"/>
      <c r="S5" s="7"/>
      <c r="T5" s="7"/>
      <c r="U5" s="7"/>
      <c r="V5" s="7"/>
      <c r="W5" s="7"/>
      <c r="X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 t="inlineStr">
        <is>
          <t xml:space="preserve">Portefeuille Ecobank Sénégal · 700 clients · 2 500 lignes ACTE 7</t>
        </is>
      </c>
      <c r="Q6" s="8"/>
      <c r="R6" s="8"/>
      <c r="S6" s="8"/>
      <c r="T6" s="8"/>
      <c r="U6" s="8"/>
      <c r="V6" s="8"/>
      <c r="W6" s="8"/>
      <c r="X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◆  </t>
          </r>
          <r>
            <rPr>
              <rFont val="Segoe UI"/>
              <b/>
              <color rgb="FF003DA5"/>
              <sz val="8.5"/>
            </rPr>
            <t xml:space="preserve">EXECUTIVE</t>
          </r>
        </is>
      </c>
      <c r="B8" s="11"/>
      <c r="C8" s="11"/>
      <c r="D8" s="11"/>
      <c r="E8" s="10" t="inlineStr">
        <is>
          <r>
            <rPr>
              <rFont val="Segoe UI"/>
              <color rgb="FFC8A951"/>
              <sz val="8.5"/>
            </rPr>
            <t xml:space="preserve">▲  </t>
          </r>
          <r>
            <rPr>
              <rFont val="Segoe UI"/>
              <b/>
              <color rgb="FFFFFFFF"/>
              <sz val="8.5"/>
            </rPr>
            <t xml:space="preserve">RISK</t>
          </r>
        </is>
      </c>
      <c r="F8" s="10"/>
      <c r="G8" s="10"/>
      <c r="H8" s="10"/>
      <c r="I8" s="11" t="inlineStr">
        <is>
          <r>
            <rPr>
              <rFont val="Segoe UI"/>
              <color rgb="FF7C93C9"/>
              <sz val="8.5"/>
            </rPr>
            <t xml:space="preserve">⇅  </t>
          </r>
          <r>
            <rPr>
              <rFont val="Segoe UI"/>
              <b/>
              <color rgb="FF003DA5"/>
              <sz val="8.5"/>
            </rPr>
            <t xml:space="preserve">MOVEMENT</t>
          </r>
        </is>
      </c>
      <c r="J8" s="11"/>
      <c r="K8" s="11"/>
      <c r="L8" s="11"/>
      <c r="M8" s="11" t="inlineStr">
        <is>
          <r>
            <rPr>
              <rFont val="Segoe UI"/>
              <color rgb="FF7C93C9"/>
              <sz val="8.5"/>
            </rPr>
            <t xml:space="preserve">◎  </t>
          </r>
          <r>
            <rPr>
              <rFont val="Segoe UI"/>
              <b/>
              <color rgb="FF003DA5"/>
              <sz val="8.5"/>
            </rPr>
            <t xml:space="preserve">CONCENTRATION</t>
          </r>
        </is>
      </c>
      <c r="N8" s="11"/>
      <c r="O8" s="11"/>
      <c r="P8" s="11"/>
      <c r="Q8" s="11" t="inlineStr">
        <is>
          <r>
            <rPr>
              <rFont val="Segoe UI"/>
              <color rgb="FF7C93C9"/>
              <sz val="8.5"/>
            </rPr>
            <t xml:space="preserve">✦  </t>
          </r>
          <r>
            <rPr>
              <rFont val="Segoe UI"/>
              <b/>
              <color rgb="FF003DA5"/>
              <sz val="8.5"/>
            </rPr>
            <t xml:space="preserve">INSIGHTS</t>
          </r>
        </is>
      </c>
      <c r="R8" s="11"/>
      <c r="S8" s="11"/>
      <c r="T8" s="11"/>
      <c r="U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V8" s="11"/>
      <c r="W8" s="11"/>
      <c r="X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2"/>
      <c r="G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H10" s="13"/>
      <c r="I10" s="13"/>
      <c r="J10" s="13"/>
      <c r="K10" s="13"/>
      <c r="L10" s="13"/>
      <c r="M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N10" s="13"/>
      <c r="O10" s="13"/>
      <c r="P10" s="13"/>
      <c r="Q10" s="13"/>
      <c r="R10" s="13"/>
      <c r="S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T10" s="13"/>
      <c r="U10" s="13"/>
      <c r="V10" s="13"/>
      <c r="W10" s="13"/>
      <c r="X10" s="13"/>
    </row>
    <row r="11" ht="10" customHeight="1"/>
    <row r="12" ht="24" customHeight="1">
      <c r="A12" s="73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HEATMAP · SEGMENT × TRANCHE D'IMPAYÉ</t>
          </r>
          <r>
            <rPr>
              <rFont val="Segoe UI"/>
              <i/>
              <color rgb="FF64748B"/>
              <sz val="8"/>
            </rPr>
            <t xml:space="preserve">    encours XOF par tranche (bleu clair → bleu → orange → rouge)</t>
          </r>
        </is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</row>
    <row r="13" ht="26" customHeight="1">
      <c r="A13" s="104" t="inlineStr">
        <is>
          <t xml:space="preserve">Segment</t>
        </is>
      </c>
      <c r="B13" s="104"/>
      <c r="C13" s="104"/>
      <c r="D13" s="104"/>
      <c r="E13" s="104"/>
      <c r="F13" s="105" t="inlineStr">
        <is>
          <t xml:space="preserve">Sain</t>
        </is>
      </c>
      <c r="G13" s="105"/>
      <c r="H13" s="105"/>
      <c r="I13" s="105" t="inlineStr">
        <is>
          <t xml:space="preserve">1-30 j</t>
        </is>
      </c>
      <c r="J13" s="105"/>
      <c r="K13" s="105"/>
      <c r="L13" s="105" t="inlineStr">
        <is>
          <t xml:space="preserve">31-60 j</t>
        </is>
      </c>
      <c r="M13" s="105"/>
      <c r="N13" s="105"/>
      <c r="O13" s="105" t="inlineStr">
        <is>
          <t xml:space="preserve">61-90 j</t>
        </is>
      </c>
      <c r="P13" s="105"/>
      <c r="Q13" s="105"/>
      <c r="R13" s="105" t="inlineStr">
        <is>
          <t xml:space="preserve">&gt; 90 j / S3</t>
        </is>
      </c>
      <c r="S13" s="105"/>
      <c r="T13" s="105"/>
    </row>
    <row r="14" ht="21" customHeight="1">
      <c r="A14" s="106" t="inlineStr">
        <is>
          <t xml:space="preserve">X</t>
        </is>
      </c>
      <c r="B14" s="106"/>
      <c r="C14" s="106"/>
      <c r="D14" s="106"/>
      <c r="E14" s="106"/>
      <c r="F14" s="107">
        <v>212430843536</v>
      </c>
      <c r="G14" s="107"/>
      <c r="H14" s="107"/>
      <c r="I14" s="108">
        <v>227810397300</v>
      </c>
      <c r="J14" s="108"/>
      <c r="K14" s="108"/>
      <c r="L14" s="109">
        <v>86369133509</v>
      </c>
      <c r="M14" s="109"/>
      <c r="N14" s="109"/>
      <c r="O14" s="110"/>
      <c r="P14" s="110"/>
      <c r="Q14" s="110"/>
      <c r="R14" s="111">
        <v>323775211401</v>
      </c>
      <c r="S14" s="111"/>
      <c r="T14" s="111"/>
    </row>
    <row r="16" ht="24" customHeight="1">
      <c r="A16" s="73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HEATMAP · SEGMENT × STAGE IFRS 9</t>
          </r>
          <r>
            <rPr>
              <rFont val="Segoe UI"/>
              <i/>
              <color rgb="FF64748B"/>
              <sz val="8"/>
            </rPr>
            <t xml:space="preserve">    encours XOF</t>
          </r>
        </is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</row>
    <row r="17" ht="26" customHeight="1">
      <c r="A17" s="104" t="inlineStr">
        <is>
          <t xml:space="preserve">Segment</t>
        </is>
      </c>
      <c r="B17" s="104"/>
      <c r="C17" s="104"/>
      <c r="D17" s="104"/>
      <c r="E17" s="104"/>
      <c r="F17" s="105" t="inlineStr">
        <is>
          <t xml:space="preserve">Stage 1</t>
        </is>
      </c>
      <c r="G17" s="105"/>
      <c r="H17" s="105"/>
      <c r="I17" s="105"/>
      <c r="J17" s="105"/>
      <c r="K17" s="105"/>
      <c r="L17" s="105" t="inlineStr">
        <is>
          <t xml:space="preserve">Stage 2</t>
        </is>
      </c>
      <c r="M17" s="105"/>
      <c r="N17" s="105"/>
      <c r="O17" s="105"/>
      <c r="P17" s="105"/>
      <c r="Q17" s="105"/>
      <c r="R17" s="105" t="inlineStr">
        <is>
          <t xml:space="preserve">Stage 3</t>
        </is>
      </c>
      <c r="S17" s="105"/>
      <c r="T17" s="105"/>
      <c r="U17" s="105"/>
      <c r="V17" s="105"/>
      <c r="W17" s="105"/>
    </row>
    <row r="18" ht="21" customHeight="1">
      <c r="A18" s="106" t="inlineStr">
        <is>
          <t xml:space="preserve">X</t>
        </is>
      </c>
      <c r="B18" s="106"/>
      <c r="C18" s="106"/>
      <c r="D18" s="106"/>
      <c r="E18" s="106"/>
      <c r="F18" s="112">
        <v>267152833785</v>
      </c>
      <c r="G18" s="112"/>
      <c r="H18" s="112"/>
      <c r="I18" s="112"/>
      <c r="J18" s="112"/>
      <c r="K18" s="112"/>
      <c r="L18" s="113">
        <v>259457540560</v>
      </c>
      <c r="M18" s="113"/>
      <c r="N18" s="113"/>
      <c r="O18" s="113"/>
      <c r="P18" s="113"/>
      <c r="Q18" s="113"/>
      <c r="R18" s="111">
        <v>323775211401</v>
      </c>
      <c r="S18" s="111"/>
      <c r="T18" s="111"/>
      <c r="U18" s="111"/>
      <c r="V18" s="111"/>
      <c r="W18" s="111"/>
    </row>
    <row r="20" ht="24" customHeight="1">
      <c r="A20" s="73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HEATMAP · GESTIONNAIRE × CRITICITÉ</t>
          </r>
          <r>
            <rPr>
              <rFont val="Segoe UI"/>
              <i/>
              <color rgb="FF64748B"/>
              <sz val="8"/>
            </rPr>
            <t xml:space="preserve">    nombre de dossiers suivis</t>
          </r>
        </is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ht="26" customHeight="1">
      <c r="A21" s="104" t="inlineStr">
        <is>
          <t xml:space="preserve">Gestionnaire</t>
        </is>
      </c>
      <c r="B21" s="104"/>
      <c r="C21" s="104"/>
      <c r="D21" s="104"/>
      <c r="E21" s="104"/>
      <c r="F21" s="105" t="inlineStr">
        <is>
          <t xml:space="preserve">CRITICAL</t>
        </is>
      </c>
      <c r="G21" s="105"/>
      <c r="H21" s="105"/>
      <c r="I21" s="105"/>
      <c r="J21" s="105" t="inlineStr">
        <is>
          <t xml:space="preserve">HIGH</t>
        </is>
      </c>
      <c r="K21" s="105"/>
      <c r="L21" s="105"/>
      <c r="M21" s="105"/>
      <c r="N21" s="105" t="inlineStr">
        <is>
          <t xml:space="preserve">WATCH</t>
        </is>
      </c>
      <c r="O21" s="105"/>
      <c r="P21" s="105"/>
      <c r="Q21" s="105"/>
      <c r="R21" s="105" t="inlineStr">
        <is>
          <t xml:space="preserve">CURED</t>
        </is>
      </c>
      <c r="S21" s="105"/>
      <c r="T21" s="105"/>
      <c r="U21" s="105"/>
    </row>
    <row r="22" ht="21" customHeight="1">
      <c r="A22" s="106" t="inlineStr">
        <is>
          <t xml:space="preserve">GUEYE</t>
        </is>
      </c>
      <c r="B22" s="106"/>
      <c r="C22" s="106"/>
      <c r="D22" s="106"/>
      <c r="E22" s="106"/>
      <c r="F22" s="114">
        <v>6</v>
      </c>
      <c r="G22" s="114"/>
      <c r="H22" s="114"/>
      <c r="I22" s="114"/>
      <c r="J22" s="115">
        <v>48</v>
      </c>
      <c r="K22" s="115"/>
      <c r="L22" s="115"/>
      <c r="M22" s="115"/>
      <c r="N22" s="116">
        <v>235</v>
      </c>
      <c r="O22" s="116"/>
      <c r="P22" s="116"/>
      <c r="Q22" s="116"/>
      <c r="R22" s="117"/>
      <c r="S22" s="117"/>
      <c r="T22" s="117"/>
      <c r="U22" s="117"/>
    </row>
    <row r="24" ht="24" customHeight="1">
      <c r="A24" s="74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RISK MATRIX</t>
          </r>
          <r>
            <rPr>
              <rFont val="Segoe UI"/>
              <i/>
              <color rgb="FF64748B"/>
              <sz val="8"/>
            </rPr>
            <t xml:space="preserve">    niveau de risque × taille d'exposition · clients, encours, impayés</t>
          </r>
        </is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 ht="30" customHeight="1">
      <c r="E25" s="105" t="inlineStr">
        <is>
          <t xml:space="preserve">LOW EXPOSURE
&lt; 100 M</t>
        </is>
      </c>
      <c r="F25" s="105"/>
      <c r="G25" s="105"/>
      <c r="H25" s="105"/>
      <c r="I25" s="105"/>
      <c r="J25" s="105"/>
      <c r="K25" s="105" t="inlineStr">
        <is>
          <t xml:space="preserve">MEDIUM EXPOSURE
100 M – 1 Md</t>
        </is>
      </c>
      <c r="L25" s="105"/>
      <c r="M25" s="105"/>
      <c r="N25" s="105"/>
      <c r="O25" s="105"/>
      <c r="P25" s="105"/>
      <c r="Q25" s="105" t="inlineStr">
        <is>
          <t xml:space="preserve">HIGH EXPOSURE
≥ 1 Md</t>
        </is>
      </c>
      <c r="R25" s="105"/>
      <c r="S25" s="105"/>
      <c r="T25" s="105"/>
      <c r="U25" s="105"/>
      <c r="V25" s="105"/>
    </row>
    <row r="26" ht="22" customHeight="1">
      <c r="A26" s="118" t="inlineStr">
        <is>
          <t xml:space="preserve">HIGH RISK</t>
        </is>
      </c>
      <c r="B26" s="118"/>
      <c r="C26" s="118"/>
      <c r="D26" s="118"/>
      <c r="E26" s="119" t="inlineStr">
        <is>
          <t xml:space="preserve">112 clients</t>
        </is>
      </c>
      <c r="F26" s="119"/>
      <c r="G26" s="119"/>
      <c r="H26" s="119"/>
      <c r="I26" s="119"/>
      <c r="J26" s="119"/>
      <c r="K26" s="122" t="inlineStr">
        <is>
          <t xml:space="preserve">63 clients</t>
        </is>
      </c>
      <c r="L26" s="122"/>
      <c r="M26" s="122"/>
      <c r="N26" s="122"/>
      <c r="O26" s="122"/>
      <c r="P26" s="122"/>
      <c r="Q26" s="125" t="inlineStr">
        <is>
          <t xml:space="preserve">89 clients</t>
        </is>
      </c>
      <c r="R26" s="125"/>
      <c r="S26" s="125"/>
      <c r="T26" s="125"/>
      <c r="U26" s="125"/>
      <c r="V26" s="125"/>
    </row>
    <row r="27" ht="20" customHeight="1">
      <c r="A27" s="118"/>
      <c r="B27" s="118"/>
      <c r="C27" s="118"/>
      <c r="D27" s="118"/>
      <c r="E27" s="120" t="inlineStr">
        <is>
          <t xml:space="preserve">8,39 Md XOF d'encours</t>
        </is>
      </c>
      <c r="F27" s="120"/>
      <c r="G27" s="120"/>
      <c r="H27" s="120"/>
      <c r="I27" s="120"/>
      <c r="J27" s="120"/>
      <c r="K27" s="123" t="inlineStr">
        <is>
          <t xml:space="preserve">22,88 Md XOF d'encours</t>
        </is>
      </c>
      <c r="L27" s="123"/>
      <c r="M27" s="123"/>
      <c r="N27" s="123"/>
      <c r="O27" s="123"/>
      <c r="P27" s="123"/>
      <c r="Q27" s="126" t="inlineStr">
        <is>
          <t xml:space="preserve">292,50 Md XOF d'encours</t>
        </is>
      </c>
      <c r="R27" s="126"/>
      <c r="S27" s="126"/>
      <c r="T27" s="126"/>
      <c r="U27" s="126"/>
      <c r="V27" s="126"/>
    </row>
    <row r="28" ht="18" customHeight="1">
      <c r="A28" s="118"/>
      <c r="B28" s="118"/>
      <c r="C28" s="118"/>
      <c r="D28" s="118"/>
      <c r="E28" s="121" t="inlineStr">
        <is>
          <t xml:space="preserve">impayés 395,5 M</t>
        </is>
      </c>
      <c r="F28" s="121"/>
      <c r="G28" s="121"/>
      <c r="H28" s="121"/>
      <c r="I28" s="121"/>
      <c r="J28" s="121"/>
      <c r="K28" s="124" t="inlineStr">
        <is>
          <t xml:space="preserve">impayés 1,23 Md</t>
        </is>
      </c>
      <c r="L28" s="124"/>
      <c r="M28" s="124"/>
      <c r="N28" s="124"/>
      <c r="O28" s="124"/>
      <c r="P28" s="124"/>
      <c r="Q28" s="127" t="inlineStr">
        <is>
          <t xml:space="preserve">impayés 15,66 Md</t>
        </is>
      </c>
      <c r="R28" s="127"/>
      <c r="S28" s="127"/>
      <c r="T28" s="127"/>
      <c r="U28" s="127"/>
      <c r="V28" s="127"/>
    </row>
    <row r="29" ht="22" customHeight="1">
      <c r="A29" s="128" t="inlineStr">
        <is>
          <t xml:space="preserve">MEDIUM RISK</t>
        </is>
      </c>
      <c r="B29" s="128"/>
      <c r="C29" s="128"/>
      <c r="D29" s="128"/>
      <c r="E29" s="129" t="inlineStr">
        <is>
          <t xml:space="preserve">114 clients</t>
        </is>
      </c>
      <c r="F29" s="129"/>
      <c r="G29" s="129"/>
      <c r="H29" s="129"/>
      <c r="I29" s="129"/>
      <c r="J29" s="129"/>
      <c r="K29" s="119" t="inlineStr">
        <is>
          <t xml:space="preserve">68 clients</t>
        </is>
      </c>
      <c r="L29" s="119"/>
      <c r="M29" s="119"/>
      <c r="N29" s="119"/>
      <c r="O29" s="119"/>
      <c r="P29" s="119"/>
      <c r="Q29" s="122" t="inlineStr">
        <is>
          <t xml:space="preserve">101 clients</t>
        </is>
      </c>
      <c r="R29" s="122"/>
      <c r="S29" s="122"/>
      <c r="T29" s="122"/>
      <c r="U29" s="122"/>
      <c r="V29" s="122"/>
    </row>
    <row r="30" ht="20" customHeight="1">
      <c r="A30" s="128"/>
      <c r="B30" s="128"/>
      <c r="C30" s="128"/>
      <c r="D30" s="128"/>
      <c r="E30" s="130" t="inlineStr">
        <is>
          <t xml:space="preserve">8,53 Md XOF d'encours</t>
        </is>
      </c>
      <c r="F30" s="130"/>
      <c r="G30" s="130"/>
      <c r="H30" s="130"/>
      <c r="I30" s="130"/>
      <c r="J30" s="130"/>
      <c r="K30" s="120" t="inlineStr">
        <is>
          <t xml:space="preserve">22,01 Md XOF d'encours</t>
        </is>
      </c>
      <c r="L30" s="120"/>
      <c r="M30" s="120"/>
      <c r="N30" s="120"/>
      <c r="O30" s="120"/>
      <c r="P30" s="120"/>
      <c r="Q30" s="123" t="inlineStr">
        <is>
          <t xml:space="preserve">283,64 Md XOF d'encours</t>
        </is>
      </c>
      <c r="R30" s="123"/>
      <c r="S30" s="123"/>
      <c r="T30" s="123"/>
      <c r="U30" s="123"/>
      <c r="V30" s="123"/>
    </row>
    <row r="31" ht="18" customHeight="1">
      <c r="A31" s="128"/>
      <c r="B31" s="128"/>
      <c r="C31" s="128"/>
      <c r="D31" s="128"/>
      <c r="E31" s="131" t="inlineStr">
        <is>
          <t xml:space="preserve">impayés 308,2 M</t>
        </is>
      </c>
      <c r="F31" s="131"/>
      <c r="G31" s="131"/>
      <c r="H31" s="131"/>
      <c r="I31" s="131"/>
      <c r="J31" s="131"/>
      <c r="K31" s="121" t="inlineStr">
        <is>
          <t xml:space="preserve">impayés 879,5 M</t>
        </is>
      </c>
      <c r="L31" s="121"/>
      <c r="M31" s="121"/>
      <c r="N31" s="121"/>
      <c r="O31" s="121"/>
      <c r="P31" s="121"/>
      <c r="Q31" s="124" t="inlineStr">
        <is>
          <t xml:space="preserve">impayés 13,43 Md</t>
        </is>
      </c>
      <c r="R31" s="124"/>
      <c r="S31" s="124"/>
      <c r="T31" s="124"/>
      <c r="U31" s="124"/>
      <c r="V31" s="124"/>
    </row>
    <row r="32" ht="22" customHeight="1">
      <c r="A32" s="132" t="inlineStr">
        <is>
          <t xml:space="preserve">LOW RISK</t>
        </is>
      </c>
      <c r="B32" s="132"/>
      <c r="C32" s="132"/>
      <c r="D32" s="132"/>
      <c r="E32" s="133" t="inlineStr">
        <is>
          <t xml:space="preserve">44 clients</t>
        </is>
      </c>
      <c r="F32" s="133"/>
      <c r="G32" s="133"/>
      <c r="H32" s="133"/>
      <c r="I32" s="133"/>
      <c r="J32" s="133"/>
      <c r="K32" s="136" t="inlineStr">
        <is>
          <t xml:space="preserve">36 clients</t>
        </is>
      </c>
      <c r="L32" s="136"/>
      <c r="M32" s="136"/>
      <c r="N32" s="136"/>
      <c r="O32" s="136"/>
      <c r="P32" s="136"/>
      <c r="Q32" s="119" t="inlineStr">
        <is>
          <t xml:space="preserve">73 clients</t>
        </is>
      </c>
      <c r="R32" s="119"/>
      <c r="S32" s="119"/>
      <c r="T32" s="119"/>
      <c r="U32" s="119"/>
      <c r="V32" s="119"/>
    </row>
    <row r="33" ht="20" customHeight="1">
      <c r="A33" s="132"/>
      <c r="B33" s="132"/>
      <c r="C33" s="132"/>
      <c r="D33" s="132"/>
      <c r="E33" s="134" t="inlineStr">
        <is>
          <t xml:space="preserve">3,14 Md XOF d'encours</t>
        </is>
      </c>
      <c r="F33" s="134"/>
      <c r="G33" s="134"/>
      <c r="H33" s="134"/>
      <c r="I33" s="134"/>
      <c r="J33" s="134"/>
      <c r="K33" s="137" t="inlineStr">
        <is>
          <t xml:space="preserve">10,39 Md XOF d'encours</t>
        </is>
      </c>
      <c r="L33" s="137"/>
      <c r="M33" s="137"/>
      <c r="N33" s="137"/>
      <c r="O33" s="137"/>
      <c r="P33" s="137"/>
      <c r="Q33" s="120" t="inlineStr">
        <is>
          <t xml:space="preserve">198,90 Md XOF d'encours</t>
        </is>
      </c>
      <c r="R33" s="120"/>
      <c r="S33" s="120"/>
      <c r="T33" s="120"/>
      <c r="U33" s="120"/>
      <c r="V33" s="120"/>
    </row>
    <row r="34" ht="18" customHeight="1">
      <c r="A34" s="132"/>
      <c r="B34" s="132"/>
      <c r="C34" s="132"/>
      <c r="D34" s="132"/>
      <c r="E34" s="135" t="inlineStr">
        <is>
          <t xml:space="preserve">impayés 0</t>
        </is>
      </c>
      <c r="F34" s="135"/>
      <c r="G34" s="135"/>
      <c r="H34" s="135"/>
      <c r="I34" s="135"/>
      <c r="J34" s="135"/>
      <c r="K34" s="138" t="inlineStr">
        <is>
          <t xml:space="preserve">impayés 0</t>
        </is>
      </c>
      <c r="L34" s="138"/>
      <c r="M34" s="138"/>
      <c r="N34" s="138"/>
      <c r="O34" s="138"/>
      <c r="P34" s="138"/>
      <c r="Q34" s="121" t="inlineStr">
        <is>
          <t xml:space="preserve">impayés 0</t>
        </is>
      </c>
      <c r="R34" s="121"/>
      <c r="S34" s="121"/>
      <c r="T34" s="121"/>
      <c r="U34" s="121"/>
      <c r="V34" s="121"/>
    </row>
    <row r="36" ht="24" customHeight="1">
      <c r="A36" s="75" t="inlineStr">
        <is>
          <r>
            <rPr>
              <rFont val="Segoe UI"/>
              <b/>
              <color rgb="FFC8A951"/>
              <sz val="11"/>
            </rPr>
            <t xml:space="preserve">05  </t>
          </r>
          <r>
            <rPr>
              <rFont val="Segoe UI"/>
              <b/>
              <color rgb="FF001B4D"/>
              <sz val="11"/>
            </rPr>
            <t xml:space="preserve">DISTRIBUTION PAR TRANCHE</t>
          </r>
          <r>
            <rPr>
              <rFont val="Segoe UI"/>
              <i/>
              <color rgb="FF64748B"/>
              <sz val="8"/>
            </rPr>
            <t xml:space="preserve">    encours et nombre de clients</t>
          </r>
        </is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</row>
  </sheetData>
  <mergeCells count="86">
    <mergeCell ref="A1:R1"/>
    <mergeCell ref="S1:X1"/>
    <mergeCell ref="A2:O6"/>
    <mergeCell ref="P2:X2"/>
    <mergeCell ref="P3:X3"/>
    <mergeCell ref="P4:X4"/>
    <mergeCell ref="P5:X5"/>
    <mergeCell ref="P6:X6"/>
    <mergeCell ref="A8:D8"/>
    <mergeCell ref="E8:H8"/>
    <mergeCell ref="I8:L8"/>
    <mergeCell ref="M8:P8"/>
    <mergeCell ref="Q8:T8"/>
    <mergeCell ref="U8:X8"/>
    <mergeCell ref="A10:F10"/>
    <mergeCell ref="G10:L10"/>
    <mergeCell ref="M10:R10"/>
    <mergeCell ref="S10:X10"/>
    <mergeCell ref="A12:X12"/>
    <mergeCell ref="A13:E13"/>
    <mergeCell ref="F13:H13"/>
    <mergeCell ref="I13:K13"/>
    <mergeCell ref="L13:N13"/>
    <mergeCell ref="O13:Q13"/>
    <mergeCell ref="R13:T13"/>
    <mergeCell ref="A14:E14"/>
    <mergeCell ref="F14:H14"/>
    <mergeCell ref="I14:K14"/>
    <mergeCell ref="L14:N14"/>
    <mergeCell ref="O14:Q14"/>
    <mergeCell ref="R14:T14"/>
    <mergeCell ref="A16:X16"/>
    <mergeCell ref="A17:E17"/>
    <mergeCell ref="F17:K17"/>
    <mergeCell ref="L17:Q17"/>
    <mergeCell ref="R17:W17"/>
    <mergeCell ref="A18:E18"/>
    <mergeCell ref="F18:K18"/>
    <mergeCell ref="L18:Q18"/>
    <mergeCell ref="R18:W18"/>
    <mergeCell ref="A20:X20"/>
    <mergeCell ref="A21:E21"/>
    <mergeCell ref="F21:I21"/>
    <mergeCell ref="J21:M21"/>
    <mergeCell ref="N21:Q21"/>
    <mergeCell ref="R21:U21"/>
    <mergeCell ref="A22:E22"/>
    <mergeCell ref="F22:I22"/>
    <mergeCell ref="J22:M22"/>
    <mergeCell ref="N22:Q22"/>
    <mergeCell ref="R22:U22"/>
    <mergeCell ref="A24:X24"/>
    <mergeCell ref="E25:J25"/>
    <mergeCell ref="K25:P25"/>
    <mergeCell ref="Q25:V25"/>
    <mergeCell ref="A26:D28"/>
    <mergeCell ref="E26:J26"/>
    <mergeCell ref="E27:J27"/>
    <mergeCell ref="E28:J28"/>
    <mergeCell ref="K26:P26"/>
    <mergeCell ref="K27:P27"/>
    <mergeCell ref="K28:P28"/>
    <mergeCell ref="Q26:V26"/>
    <mergeCell ref="Q27:V27"/>
    <mergeCell ref="Q28:V28"/>
    <mergeCell ref="A29:D31"/>
    <mergeCell ref="E29:J29"/>
    <mergeCell ref="E30:J30"/>
    <mergeCell ref="E31:J31"/>
    <mergeCell ref="K29:P29"/>
    <mergeCell ref="K30:P30"/>
    <mergeCell ref="K31:P31"/>
    <mergeCell ref="Q29:V29"/>
    <mergeCell ref="Q30:V30"/>
    <mergeCell ref="Q31:V31"/>
    <mergeCell ref="A32:D34"/>
    <mergeCell ref="E32:J32"/>
    <mergeCell ref="E33:J33"/>
    <mergeCell ref="E34:J34"/>
    <mergeCell ref="K32:P32"/>
    <mergeCell ref="K33:P33"/>
    <mergeCell ref="K34:P34"/>
    <mergeCell ref="Q32:V32"/>
    <mergeCell ref="Q33:V33"/>
    <mergeCell ref="Q34:V34"/>
    <mergeCell ref="A36:X36"/>
  </mergeCells>
  <hyperlinks>
    <hyperlink ref="A8" location="'EXECUTIVE'!A1" display="EXECUTIVE"/>
    <hyperlink ref="I8" location="'MOVEMENT'!A1" display="MOVEMENT"/>
    <hyperlink ref="M8" location="'CONCENTRATION'!A1" display="CONCENTRATION"/>
    <hyperlink ref="Q8" location="'INSIGHTS'!A1" display="INSIGHTS"/>
    <hyperlink ref="U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&amp;L&amp;8&amp;K64748BRISK · INTERNAL USE ONLY&amp;R&amp;8&amp;K64748BPage &amp;P / &amp;N</oddFooter>
  </headerFooter>
  <rowBreaks count="1" manualBreakCount="1">
    <brk id="23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6B6D4"/>
    <pageSetUpPr fitToPage="1"/>
  </sheetPr>
  <dimension ref="A1:X64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MOVEMENT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T1" s="2"/>
      <c r="U1" s="2"/>
      <c r="V1" s="2"/>
      <c r="W1" s="2"/>
      <c r="X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PORTFOLIO MOVEMENT
</t>
          </r>
          <r>
            <rPr>
              <rFont val="Segoe UI"/>
              <color rgb="FFC7D7F5"/>
              <sz val="10.5"/>
            </rPr>
            <t xml:space="preserve">Du 31/08/2026 au 30/09/2026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REPORTING DATE</t>
        </is>
      </c>
      <c r="Q3" s="5"/>
      <c r="R3" s="5"/>
      <c r="S3" s="5"/>
      <c r="T3" s="5"/>
      <c r="U3" s="5"/>
      <c r="V3" s="5"/>
      <c r="W3" s="5"/>
      <c r="X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inlineStr">
        <is>
          <t xml:space="preserve">30 SEPTEMBER 2026</t>
        </is>
      </c>
      <c r="Q4" s="6"/>
      <c r="R4" s="6"/>
      <c r="S4" s="6"/>
      <c r="T4" s="6"/>
      <c r="U4" s="6"/>
      <c r="V4" s="6"/>
      <c r="W4" s="6"/>
      <c r="X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 t="inlineStr">
        <is>
          <t xml:space="preserve">PORTFOLIO MONITORING</t>
        </is>
      </c>
      <c r="Q5" s="7"/>
      <c r="R5" s="7"/>
      <c r="S5" s="7"/>
      <c r="T5" s="7"/>
      <c r="U5" s="7"/>
      <c r="V5" s="7"/>
      <c r="W5" s="7"/>
      <c r="X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 t="inlineStr">
        <is>
          <t xml:space="preserve">Portefeuille Ecobank Sénégal · 700 clients · 2 500 lignes ACTE 7</t>
        </is>
      </c>
      <c r="Q6" s="8"/>
      <c r="R6" s="8"/>
      <c r="S6" s="8"/>
      <c r="T6" s="8"/>
      <c r="U6" s="8"/>
      <c r="V6" s="8"/>
      <c r="W6" s="8"/>
      <c r="X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◆  </t>
          </r>
          <r>
            <rPr>
              <rFont val="Segoe UI"/>
              <b/>
              <color rgb="FF003DA5"/>
              <sz val="8.5"/>
            </rPr>
            <t xml:space="preserve">EXECUTIVE</t>
          </r>
        </is>
      </c>
      <c r="B8" s="11"/>
      <c r="C8" s="11"/>
      <c r="D8" s="11"/>
      <c r="E8" s="11" t="inlineStr">
        <is>
          <r>
            <rPr>
              <rFont val="Segoe UI"/>
              <color rgb="FF7C93C9"/>
              <sz val="8.5"/>
            </rPr>
            <t xml:space="preserve">▲  </t>
          </r>
          <r>
            <rPr>
              <rFont val="Segoe UI"/>
              <b/>
              <color rgb="FF003DA5"/>
              <sz val="8.5"/>
            </rPr>
            <t xml:space="preserve">RISK</t>
          </r>
        </is>
      </c>
      <c r="F8" s="11"/>
      <c r="G8" s="11"/>
      <c r="H8" s="11"/>
      <c r="I8" s="10" t="inlineStr">
        <is>
          <r>
            <rPr>
              <rFont val="Segoe UI"/>
              <color rgb="FFC8A951"/>
              <sz val="8.5"/>
            </rPr>
            <t xml:space="preserve">⇅  </t>
          </r>
          <r>
            <rPr>
              <rFont val="Segoe UI"/>
              <b/>
              <color rgb="FFFFFFFF"/>
              <sz val="8.5"/>
            </rPr>
            <t xml:space="preserve">MOVEMENT</t>
          </r>
        </is>
      </c>
      <c r="J8" s="10"/>
      <c r="K8" s="10"/>
      <c r="L8" s="10"/>
      <c r="M8" s="11" t="inlineStr">
        <is>
          <r>
            <rPr>
              <rFont val="Segoe UI"/>
              <color rgb="FF7C93C9"/>
              <sz val="8.5"/>
            </rPr>
            <t xml:space="preserve">◎  </t>
          </r>
          <r>
            <rPr>
              <rFont val="Segoe UI"/>
              <b/>
              <color rgb="FF003DA5"/>
              <sz val="8.5"/>
            </rPr>
            <t xml:space="preserve">CONCENTRATION</t>
          </r>
        </is>
      </c>
      <c r="N8" s="11"/>
      <c r="O8" s="11"/>
      <c r="P8" s="11"/>
      <c r="Q8" s="11" t="inlineStr">
        <is>
          <r>
            <rPr>
              <rFont val="Segoe UI"/>
              <color rgb="FF7C93C9"/>
              <sz val="8.5"/>
            </rPr>
            <t xml:space="preserve">✦  </t>
          </r>
          <r>
            <rPr>
              <rFont val="Segoe UI"/>
              <b/>
              <color rgb="FF003DA5"/>
              <sz val="8.5"/>
            </rPr>
            <t xml:space="preserve">INSIGHTS</t>
          </r>
        </is>
      </c>
      <c r="R8" s="11"/>
      <c r="S8" s="11"/>
      <c r="T8" s="11"/>
      <c r="U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V8" s="11"/>
      <c r="W8" s="11"/>
      <c r="X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2"/>
      <c r="G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H10" s="13"/>
      <c r="I10" s="13"/>
      <c r="J10" s="13"/>
      <c r="K10" s="13"/>
      <c r="L10" s="13"/>
      <c r="M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N10" s="13"/>
      <c r="O10" s="13"/>
      <c r="P10" s="13"/>
      <c r="Q10" s="13"/>
      <c r="R10" s="13"/>
      <c r="S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T10" s="13"/>
      <c r="U10" s="13"/>
      <c r="V10" s="13"/>
      <c r="W10" s="13"/>
      <c r="X10" s="13"/>
    </row>
    <row r="11" ht="10" customHeight="1"/>
    <row r="12" ht="24" customHeight="1">
      <c r="A12" s="75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FLUX DES IMPAYÉS</t>
          </r>
          <r>
            <rPr>
              <rFont val="Segoe UI"/>
              <i/>
              <color rgb="FF64748B"/>
              <sz val="8"/>
            </rPr>
            <t xml:space="preserve">    nombre de clients et montants · N-1 = 31/08/2026</t>
          </r>
        </is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</row>
    <row r="13" ht="18" customHeight="1">
      <c r="A13" s="139" t="inlineStr">
        <is>
          <t xml:space="preserve">OPENING</t>
        </is>
      </c>
      <c r="B13" s="139"/>
      <c r="C13" s="139"/>
      <c r="D13" s="143" t="inlineStr">
        <is>
          <t xml:space="preserve">NEW ARREARS</t>
        </is>
      </c>
      <c r="E13" s="143"/>
      <c r="F13" s="143"/>
      <c r="G13" s="145" t="inlineStr">
        <is>
          <t xml:space="preserve">→ 31-60 J</t>
        </is>
      </c>
      <c r="H13" s="145"/>
      <c r="I13" s="145"/>
      <c r="J13" s="147" t="inlineStr">
        <is>
          <t xml:space="preserve">→ 61-90 J</t>
        </is>
      </c>
      <c r="K13" s="147"/>
      <c r="L13" s="147"/>
      <c r="M13" s="143" t="inlineStr">
        <is>
          <t xml:space="preserve">→ &gt; 90 J</t>
        </is>
      </c>
      <c r="N13" s="143"/>
      <c r="O13" s="143"/>
      <c r="P13" s="149" t="inlineStr">
        <is>
          <t xml:space="preserve">→ STAGE 3</t>
        </is>
      </c>
      <c r="Q13" s="149"/>
      <c r="R13" s="149"/>
      <c r="S13" s="151" t="inlineStr">
        <is>
          <t xml:space="preserve">CURES</t>
        </is>
      </c>
      <c r="T13" s="151"/>
      <c r="U13" s="151"/>
      <c r="V13" s="153" t="inlineStr">
        <is>
          <t xml:space="preserve">CLOSING</t>
        </is>
      </c>
      <c r="W13" s="153"/>
      <c r="X13" s="153"/>
    </row>
    <row r="14" ht="26" customHeight="1">
      <c r="A14" s="140">
        <v>545</v>
      </c>
      <c r="B14" s="140"/>
      <c r="C14" s="140"/>
      <c r="D14" s="144">
        <v>2</v>
      </c>
      <c r="E14" s="144"/>
      <c r="F14" s="144"/>
      <c r="G14" s="146">
        <v>2</v>
      </c>
      <c r="H14" s="146"/>
      <c r="I14" s="146"/>
      <c r="J14" s="148">
        <v>0</v>
      </c>
      <c r="K14" s="148"/>
      <c r="L14" s="148"/>
      <c r="M14" s="144">
        <v>6</v>
      </c>
      <c r="N14" s="144"/>
      <c r="O14" s="144"/>
      <c r="P14" s="150">
        <v>6</v>
      </c>
      <c r="Q14" s="150"/>
      <c r="R14" s="150"/>
      <c r="S14" s="152">
        <v>0</v>
      </c>
      <c r="T14" s="152"/>
      <c r="U14" s="152"/>
      <c r="V14" s="154">
        <v>547</v>
      </c>
      <c r="W14" s="154"/>
      <c r="X14" s="154"/>
    </row>
    <row r="15" ht="18" customHeight="1">
      <c r="A15" s="141" t="inlineStr">
        <is>
          <t xml:space="preserve">31,56 Md</t>
        </is>
      </c>
      <c r="B15" s="141"/>
      <c r="C15" s="141"/>
      <c r="D15" s="141" t="inlineStr">
        <is>
          <t xml:space="preserve">8,5 M</t>
        </is>
      </c>
      <c r="E15" s="141"/>
      <c r="F15" s="141"/>
      <c r="G15" s="141" t="inlineStr">
        <is>
          <t xml:space="preserve">121,2 M</t>
        </is>
      </c>
      <c r="H15" s="141"/>
      <c r="I15" s="141"/>
      <c r="J15" s="141" t="inlineStr">
        <is>
          <t xml:space="preserve">0</t>
        </is>
      </c>
      <c r="K15" s="141"/>
      <c r="L15" s="141"/>
      <c r="M15" s="141" t="inlineStr">
        <is>
          <t xml:space="preserve">3,49 Md</t>
        </is>
      </c>
      <c r="N15" s="141"/>
      <c r="O15" s="141"/>
      <c r="P15" s="141" t="inlineStr">
        <is>
          <t xml:space="preserve">3,49 Md</t>
        </is>
      </c>
      <c r="Q15" s="141"/>
      <c r="R15" s="141"/>
      <c r="S15" s="141" t="inlineStr">
        <is>
          <t xml:space="preserve">0</t>
        </is>
      </c>
      <c r="T15" s="141"/>
      <c r="U15" s="141"/>
      <c r="V15" s="141" t="inlineStr">
        <is>
          <t xml:space="preserve">31,89 Md</t>
        </is>
      </c>
      <c r="W15" s="141"/>
      <c r="X15" s="141"/>
    </row>
    <row r="16" ht="26" customHeight="1">
      <c r="A16" s="142" t="inlineStr">
        <is>
          <t xml:space="preserve">clients en impayé · impayés</t>
        </is>
      </c>
      <c r="B16" s="142"/>
      <c r="C16" s="142"/>
      <c r="D16" s="142" t="inlineStr">
        <is>
          <t xml:space="preserve">entrés en impayé · impayés</t>
        </is>
      </c>
      <c r="E16" s="142"/>
      <c r="F16" s="142"/>
      <c r="G16" s="142" t="inlineStr">
        <is>
          <t xml:space="preserve">entrés en tranche · encours</t>
        </is>
      </c>
      <c r="H16" s="142"/>
      <c r="I16" s="142"/>
      <c r="J16" s="142" t="inlineStr">
        <is>
          <t xml:space="preserve">entrés en tranche · encours</t>
        </is>
      </c>
      <c r="K16" s="142"/>
      <c r="L16" s="142"/>
      <c r="M16" s="142" t="inlineStr">
        <is>
          <t xml:space="preserve">entrés en tranche · encours</t>
        </is>
      </c>
      <c r="N16" s="142"/>
      <c r="O16" s="142"/>
      <c r="P16" s="142" t="inlineStr">
        <is>
          <t xml:space="preserve">nouveaux Stage 3 · encours</t>
        </is>
      </c>
      <c r="Q16" s="142"/>
      <c r="R16" s="142"/>
      <c r="S16" s="142" t="inlineStr">
        <is>
          <t xml:space="preserve">revenus à jour · impayés résorbés</t>
        </is>
      </c>
      <c r="T16" s="142"/>
      <c r="U16" s="142"/>
      <c r="V16" s="142" t="inlineStr">
        <is>
          <t xml:space="preserve">clients en impayé · impayés</t>
        </is>
      </c>
      <c r="W16" s="142"/>
      <c r="X16" s="142"/>
    </row>
    <row r="18" ht="24" customHeight="1">
      <c r="A18" s="75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THE STORY OF THE MONTH</t>
          </r>
          <r>
            <rPr>
              <rFont val="Segoe UI"/>
              <i/>
              <color rgb="FF64748B"/>
              <sz val="8"/>
            </rPr>
            <t xml:space="preserve">    impayés XOF · barres proportionnelles · entrées en rouge, sorties en vert</t>
          </r>
        </is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</row>
    <row r="19" ht="6" customHeight="1"/>
    <row r="20" ht="28" customHeight="1">
      <c r="A20" s="155" t="inlineStr">
        <is>
          <t xml:space="preserve">◆</t>
        </is>
      </c>
      <c r="B20" s="156" t="inlineStr">
        <is>
          <r>
            <rPr>
              <rFont val="Segoe UI"/>
              <b/>
              <color rgb="FF001B4D"/>
              <sz val="9"/>
            </rPr>
            <t xml:space="preserve">OPENING</t>
          </r>
          <r>
            <rPr>
              <rFont val="Segoe UI"/>
              <color rgb="FF64748B"/>
              <sz val="6.5"/>
            </rPr>
            <t xml:space="preserve">
impayés au 31/08/2026</t>
          </r>
        </is>
      </c>
      <c r="C20" s="156"/>
      <c r="D20" s="156"/>
      <c r="E20" s="156"/>
      <c r="F20" s="157" t="inlineStr">
        <is>
          <t xml:space="preserve">31,56 Md</t>
        </is>
      </c>
      <c r="G20" s="157"/>
      <c r="H20" s="157"/>
      <c r="I20" s="158">
        <v>31559855616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9" t="inlineStr">
        <is>
          <t xml:space="preserve">545 dossiers</t>
        </is>
      </c>
      <c r="W20" s="159"/>
      <c r="X20" s="159"/>
    </row>
    <row r="21" ht="25" customHeight="1">
      <c r="A21" s="160" t="inlineStr">
        <is>
          <t xml:space="preserve">＋</t>
        </is>
      </c>
      <c r="B21" s="161" t="inlineStr">
        <is>
          <r>
            <rPr>
              <rFont val="Segoe UI"/>
              <b/>
              <color rgb="FFDC2626"/>
              <sz val="9"/>
            </rPr>
            <t xml:space="preserve">NEW ARREARS</t>
          </r>
          <r>
            <rPr>
              <rFont val="Segoe UI"/>
              <color rgb="FF64748B"/>
              <sz val="6.5"/>
            </rPr>
            <t xml:space="preserve">
clients entrés en impayé</t>
          </r>
        </is>
      </c>
      <c r="C21" s="161"/>
      <c r="D21" s="161"/>
      <c r="E21" s="161"/>
      <c r="F21" s="162" t="inlineStr">
        <is>
          <t xml:space="preserve">+ 8,5 M</t>
        </is>
      </c>
      <c r="G21" s="162"/>
      <c r="H21" s="162"/>
      <c r="I21" s="163">
        <v>8482331</v>
      </c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4" t="inlineStr">
        <is>
          <t xml:space="preserve">2 dossiers</t>
        </is>
      </c>
      <c r="W21" s="164"/>
      <c r="X21" s="164"/>
    </row>
    <row r="22" ht="25" customHeight="1">
      <c r="A22" s="165" t="inlineStr">
        <is>
          <t xml:space="preserve">⇣</t>
        </is>
      </c>
      <c r="B22" s="161" t="inlineStr">
        <is>
          <r>
            <rPr>
              <rFont val="Segoe UI"/>
              <b/>
              <color rgb="FF06B6D4"/>
              <sz val="9"/>
            </rPr>
            <t xml:space="preserve">MIGRATIONS</t>
          </r>
          <r>
            <rPr>
              <rFont val="Segoe UI"/>
              <color rgb="FF64748B"/>
              <sz val="6.5"/>
            </rPr>
            <t xml:space="preserve">
dont dossiers passés en tranche plus dégradée (non additif)</t>
          </r>
        </is>
      </c>
      <c r="C22" s="161"/>
      <c r="D22" s="161"/>
      <c r="E22" s="161"/>
      <c r="F22" s="166" t="inlineStr">
        <is>
          <t xml:space="preserve">≈ 23,2 M</t>
        </is>
      </c>
      <c r="G22" s="166"/>
      <c r="H22" s="166"/>
      <c r="I22" s="163">
        <v>23156037</v>
      </c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4" t="inlineStr">
        <is>
          <t xml:space="preserve">9 dossiers</t>
        </is>
      </c>
      <c r="W22" s="164"/>
      <c r="X22" s="164"/>
    </row>
    <row r="23" ht="25" customHeight="1">
      <c r="A23" s="167" t="inlineStr">
        <is>
          <t xml:space="preserve">＋</t>
        </is>
      </c>
      <c r="B23" s="161" t="inlineStr">
        <is>
          <r>
            <rPr>
              <rFont val="Segoe UI"/>
              <b/>
              <color rgb="FFF97316"/>
              <sz val="9"/>
            </rPr>
            <t xml:space="preserve">AGGRAVATIONS</t>
          </r>
          <r>
            <rPr>
              <rFont val="Segoe UI"/>
              <color rgb="FF64748B"/>
              <sz val="6.5"/>
            </rPr>
            <t xml:space="preserve">
hausse des impayés existants</t>
          </r>
        </is>
      </c>
      <c r="C23" s="161"/>
      <c r="D23" s="161"/>
      <c r="E23" s="161"/>
      <c r="F23" s="168" t="inlineStr">
        <is>
          <t xml:space="preserve">+ 324,8 M</t>
        </is>
      </c>
      <c r="G23" s="168"/>
      <c r="H23" s="168"/>
      <c r="I23" s="163">
        <v>324795057</v>
      </c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4" t="inlineStr">
        <is>
          <t xml:space="preserve">9 dossiers</t>
        </is>
      </c>
      <c r="W23" s="164"/>
      <c r="X23" s="164"/>
    </row>
    <row r="24" ht="25" customHeight="1">
      <c r="A24" s="165" t="inlineStr">
        <is>
          <t xml:space="preserve">＋</t>
        </is>
      </c>
      <c r="B24" s="161" t="inlineStr">
        <is>
          <r>
            <rPr>
              <rFont val="Segoe UI"/>
              <b/>
              <color rgb="FF06B6D4"/>
              <sz val="9"/>
            </rPr>
            <t xml:space="preserve">NEW CLIENTS</t>
          </r>
          <r>
            <rPr>
              <rFont val="Segoe UI"/>
              <color rgb="FF64748B"/>
              <sz val="6.5"/>
            </rPr>
            <t xml:space="preserve">
impayés de nouveaux clients</t>
          </r>
        </is>
      </c>
      <c r="C24" s="161"/>
      <c r="D24" s="161"/>
      <c r="E24" s="161"/>
      <c r="F24" s="166" t="inlineStr">
        <is>
          <t xml:space="preserve">0</t>
        </is>
      </c>
      <c r="G24" s="166"/>
      <c r="H24" s="166"/>
      <c r="I24" s="163">
        <v>0</v>
      </c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4" t="inlineStr">
        <is>
          <t xml:space="preserve">0 dossiers</t>
        </is>
      </c>
      <c r="W24" s="164"/>
      <c r="X24" s="164"/>
    </row>
    <row r="25" ht="25" customHeight="1">
      <c r="A25" s="169" t="inlineStr">
        <is>
          <t xml:space="preserve">−</t>
        </is>
      </c>
      <c r="B25" s="161" t="inlineStr">
        <is>
          <r>
            <rPr>
              <rFont val="Segoe UI"/>
              <b/>
              <color rgb="FF16A34A"/>
              <sz val="9"/>
            </rPr>
            <t xml:space="preserve">CURES</t>
          </r>
          <r>
            <rPr>
              <rFont val="Segoe UI"/>
              <color rgb="FF64748B"/>
              <sz val="6.5"/>
            </rPr>
            <t xml:space="preserve">
dossiers revenus à jour</t>
          </r>
        </is>
      </c>
      <c r="C25" s="161"/>
      <c r="D25" s="161"/>
      <c r="E25" s="161"/>
      <c r="F25" s="170" t="inlineStr">
        <is>
          <t xml:space="preserve">0</t>
        </is>
      </c>
      <c r="G25" s="170"/>
      <c r="H25" s="170"/>
      <c r="I25" s="163">
        <v>0</v>
      </c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4" t="inlineStr">
        <is>
          <t xml:space="preserve">0 dossiers</t>
        </is>
      </c>
      <c r="W25" s="164"/>
      <c r="X25" s="164"/>
    </row>
    <row r="26" ht="25" customHeight="1">
      <c r="A26" s="171" t="inlineStr">
        <is>
          <t xml:space="preserve">−</t>
        </is>
      </c>
      <c r="B26" s="161" t="inlineStr">
        <is>
          <r>
            <rPr>
              <rFont val="Segoe UI"/>
              <b/>
              <color rgb="FF22C55E"/>
              <sz val="9"/>
            </rPr>
            <t xml:space="preserve">PAYMENTS</t>
          </r>
          <r>
            <rPr>
              <rFont val="Segoe UI"/>
              <color rgb="FF64748B"/>
              <sz val="6.5"/>
            </rPr>
            <t xml:space="preserve">
remboursements partiels</t>
          </r>
        </is>
      </c>
      <c r="C26" s="161"/>
      <c r="D26" s="161"/>
      <c r="E26" s="161"/>
      <c r="F26" s="172" t="inlineStr">
        <is>
          <t xml:space="preserve">0</t>
        </is>
      </c>
      <c r="G26" s="172"/>
      <c r="H26" s="172"/>
      <c r="I26" s="163">
        <v>0</v>
      </c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4" t="inlineStr">
        <is>
          <t xml:space="preserve">0 dossiers</t>
        </is>
      </c>
      <c r="W26" s="164"/>
      <c r="X26" s="164"/>
    </row>
    <row r="27" ht="25" customHeight="1">
      <c r="A27" s="165" t="inlineStr">
        <is>
          <t xml:space="preserve">−</t>
        </is>
      </c>
      <c r="B27" s="161" t="inlineStr">
        <is>
          <r>
            <rPr>
              <rFont val="Segoe UI"/>
              <b/>
              <color rgb="FF06B6D4"/>
              <sz val="9"/>
            </rPr>
            <t xml:space="preserve">EXITS</t>
          </r>
          <r>
            <rPr>
              <rFont val="Segoe UI"/>
              <color rgb="FF64748B"/>
              <sz val="6.5"/>
            </rPr>
            <t xml:space="preserve">
sorties du portefeuille</t>
          </r>
        </is>
      </c>
      <c r="C27" s="161"/>
      <c r="D27" s="161"/>
      <c r="E27" s="161"/>
      <c r="F27" s="166" t="inlineStr">
        <is>
          <t xml:space="preserve">0</t>
        </is>
      </c>
      <c r="G27" s="166"/>
      <c r="H27" s="166"/>
      <c r="I27" s="163">
        <v>0</v>
      </c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4" t="inlineStr">
        <is>
          <t xml:space="preserve">0 dossiers</t>
        </is>
      </c>
      <c r="W27" s="164"/>
      <c r="X27" s="164"/>
    </row>
    <row r="28" ht="28" customHeight="1">
      <c r="A28" s="173" t="inlineStr">
        <is>
          <t xml:space="preserve">■</t>
        </is>
      </c>
      <c r="B28" s="156" t="inlineStr">
        <is>
          <r>
            <rPr>
              <rFont val="Segoe UI"/>
              <b/>
              <color rgb="FF001B4D"/>
              <sz val="9"/>
            </rPr>
            <t xml:space="preserve">CLOSING</t>
          </r>
          <r>
            <rPr>
              <rFont val="Segoe UI"/>
              <color rgb="FF64748B"/>
              <sz val="6.5"/>
            </rPr>
            <t xml:space="preserve">
impayés au 30/09/2026</t>
          </r>
        </is>
      </c>
      <c r="C28" s="156"/>
      <c r="D28" s="156"/>
      <c r="E28" s="156"/>
      <c r="F28" s="157" t="inlineStr">
        <is>
          <t xml:space="preserve">31,89 Md</t>
        </is>
      </c>
      <c r="G28" s="157"/>
      <c r="H28" s="157"/>
      <c r="I28" s="158">
        <v>31893133004</v>
      </c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9" t="inlineStr">
        <is>
          <t xml:space="preserve">547 dossiers</t>
        </is>
      </c>
      <c r="W28" s="159"/>
      <c r="X28" s="159"/>
    </row>
    <row r="30" ht="24" customHeight="1">
      <c r="A30" s="75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WHY DID IT MOVE?</t>
          </r>
          <r>
            <rPr>
              <rFont val="Segoe UI"/>
              <i/>
              <color rgb="FF64748B"/>
              <sz val="8"/>
            </rPr>
            <t xml:space="preserve">    pont des impayés · bleu = base, rouge = détérioration, vert = amélioration, cyan = mouvements de périmètre, or = résultat</t>
          </r>
        </is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</row>
    <row r="49" ht="24" customHeight="1">
      <c r="A49" s="73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MATRICE DE MIGRATION</t>
          </r>
          <r>
            <rPr>
              <rFont val="Segoe UI"/>
              <i/>
              <color rgb="FF64748B"/>
              <sz val="8"/>
            </rPr>
            <t xml:space="preserve">    clients par tranche · N-1 en ligne, N en colonne · taux de migration</t>
          </r>
        </is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</row>
    <row r="50" ht="26" customHeight="1">
      <c r="A50" s="104" t="inlineStr">
        <is>
          <t xml:space="preserve">Tranche</t>
        </is>
      </c>
      <c r="B50" s="104"/>
      <c r="C50" s="104"/>
      <c r="D50" s="104"/>
      <c r="E50" s="104"/>
      <c r="F50" s="105" t="inlineStr">
        <is>
          <t xml:space="preserve">N · Sain</t>
        </is>
      </c>
      <c r="G50" s="105"/>
      <c r="H50" s="105"/>
      <c r="I50" s="105" t="inlineStr">
        <is>
          <t xml:space="preserve">N · 1-30 j</t>
        </is>
      </c>
      <c r="J50" s="105"/>
      <c r="K50" s="105"/>
      <c r="L50" s="105" t="inlineStr">
        <is>
          <t xml:space="preserve">N · 31-60 j</t>
        </is>
      </c>
      <c r="M50" s="105"/>
      <c r="N50" s="105"/>
      <c r="O50" s="105" t="inlineStr">
        <is>
          <t xml:space="preserve">N · 61-90 j</t>
        </is>
      </c>
      <c r="P50" s="105"/>
      <c r="Q50" s="105"/>
      <c r="R50" s="105" t="inlineStr">
        <is>
          <t xml:space="preserve">N · &gt; 90 j / S3</t>
        </is>
      </c>
      <c r="S50" s="105"/>
      <c r="T50" s="105"/>
    </row>
    <row r="51" ht="21" customHeight="1">
      <c r="A51" s="106" t="inlineStr">
        <is>
          <t xml:space="preserve">N-1 · Sain</t>
        </is>
      </c>
      <c r="B51" s="106"/>
      <c r="C51" s="106"/>
      <c r="D51" s="106"/>
      <c r="E51" s="106"/>
      <c r="F51" s="174">
        <v>153</v>
      </c>
      <c r="G51" s="174"/>
      <c r="H51" s="174"/>
      <c r="I51" s="175">
        <v>1</v>
      </c>
      <c r="J51" s="175"/>
      <c r="K51" s="175"/>
      <c r="L51" s="175">
        <v>1</v>
      </c>
      <c r="M51" s="175"/>
      <c r="N51" s="175"/>
      <c r="O51" s="117"/>
      <c r="P51" s="117"/>
      <c r="Q51" s="117"/>
      <c r="R51" s="117"/>
      <c r="S51" s="117"/>
      <c r="T51" s="117"/>
    </row>
    <row r="52" ht="21" customHeight="1">
      <c r="A52" s="176" t="inlineStr">
        <is>
          <t xml:space="preserve">N-1 · 1-30 j</t>
        </is>
      </c>
      <c r="B52" s="176"/>
      <c r="C52" s="176"/>
      <c r="D52" s="176"/>
      <c r="E52" s="176"/>
      <c r="F52" s="117"/>
      <c r="G52" s="117"/>
      <c r="H52" s="117"/>
      <c r="I52" s="177">
        <v>198</v>
      </c>
      <c r="J52" s="177"/>
      <c r="K52" s="177"/>
      <c r="L52" s="175">
        <v>1</v>
      </c>
      <c r="M52" s="175"/>
      <c r="N52" s="175"/>
      <c r="O52" s="117"/>
      <c r="P52" s="117"/>
      <c r="Q52" s="117"/>
      <c r="R52" s="178">
        <v>3</v>
      </c>
      <c r="S52" s="178"/>
      <c r="T52" s="178"/>
    </row>
    <row r="53" ht="21" customHeight="1">
      <c r="A53" s="106" t="inlineStr">
        <is>
          <t xml:space="preserve">N-1 · 31-60 j</t>
        </is>
      </c>
      <c r="B53" s="106"/>
      <c r="C53" s="106"/>
      <c r="D53" s="106"/>
      <c r="E53" s="106"/>
      <c r="F53" s="117"/>
      <c r="G53" s="117"/>
      <c r="H53" s="117"/>
      <c r="I53" s="117"/>
      <c r="J53" s="117"/>
      <c r="K53" s="117"/>
      <c r="L53" s="179">
        <v>82</v>
      </c>
      <c r="M53" s="179"/>
      <c r="N53" s="179"/>
      <c r="O53" s="117"/>
      <c r="P53" s="117"/>
      <c r="Q53" s="117"/>
      <c r="R53" s="178">
        <v>3</v>
      </c>
      <c r="S53" s="178"/>
      <c r="T53" s="178"/>
    </row>
    <row r="54" ht="21" customHeight="1">
      <c r="A54" s="176" t="inlineStr">
        <is>
          <t xml:space="preserve">N-1 · 61-90 j</t>
        </is>
      </c>
      <c r="B54" s="176"/>
      <c r="C54" s="176"/>
      <c r="D54" s="176"/>
      <c r="E54" s="176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</row>
    <row r="55" ht="21" customHeight="1">
      <c r="A55" s="106" t="inlineStr">
        <is>
          <t xml:space="preserve">N-1 · &gt; 90 j / S3</t>
        </is>
      </c>
      <c r="B55" s="106"/>
      <c r="C55" s="106"/>
      <c r="D55" s="106"/>
      <c r="E55" s="106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6">
        <v>258</v>
      </c>
      <c r="S55" s="116"/>
      <c r="T55" s="116"/>
    </row>
    <row r="56" ht="20" customHeight="1">
      <c r="A56" s="89" t="inlineStr">
        <is>
          <r>
            <rPr>
              <rFont val="Segoe UI"/>
              <color rgb="FF334155"/>
              <sz val="9"/>
            </rPr>
            <t xml:space="preserve">Taux de migration vers une tranche plus dégradée : </t>
          </r>
          <r>
            <rPr>
              <rFont val="Segoe UI"/>
              <b/>
              <color rgb="FFDC2626"/>
              <sz val="11"/>
            </rPr>
            <t xml:space="preserve">1,3 %</t>
          </r>
          <r>
            <rPr>
              <rFont val="Segoe UI"/>
              <color rgb="FF334155"/>
              <sz val="9"/>
            </rPr>
            <t xml:space="preserve">   ·   amélioration : </t>
          </r>
          <r>
            <rPr>
              <rFont val="Segoe UI"/>
              <b/>
              <color rgb="FF16A34A"/>
              <sz val="11"/>
            </rPr>
            <t xml:space="preserve">0,0 %</t>
          </r>
          <r>
            <rPr>
              <rFont val="Segoe UI"/>
              <color rgb="FF64748B"/>
              <sz val="8.5"/>
            </rPr>
            <t xml:space="preserve">   ·   700 clients présents aux deux arrêtés</t>
          </r>
        </is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</row>
    <row r="58" ht="24" customHeight="1">
      <c r="A58" s="180" t="inlineStr">
        <is>
          <r>
            <rPr>
              <rFont val="Segoe UI"/>
              <b/>
              <color rgb="FFC8A951"/>
              <sz val="11"/>
            </rPr>
            <t xml:space="preserve">05  </t>
          </r>
          <r>
            <rPr>
              <rFont val="Segoe UI"/>
              <b/>
              <color rgb="FF001B4D"/>
              <sz val="11"/>
            </rPr>
            <t xml:space="preserve">FORWARD VIEW · JEV</t>
          </r>
          <r>
            <rPr>
              <rFont val="Segoe UI"/>
              <i/>
              <color rgb="FF64748B"/>
              <sz val="8"/>
            </rPr>
            <t xml:space="preserve">    ce qui pourrait arriver ensuite · chaque probabilité porte sa provenance</t>
          </r>
        </is>
      </c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  <row r="59" ht="16" customHeight="1">
      <c r="A59" s="181" t="inlineStr">
        <is>
          <t xml:space="preserve">PD 3M (sains)</t>
        </is>
      </c>
      <c r="B59" s="181"/>
      <c r="C59" s="181"/>
      <c r="D59" s="181"/>
      <c r="F59" s="181" t="inlineStr">
        <is>
          <t xml:space="preserve">PD 6M (sains)</t>
        </is>
      </c>
      <c r="G59" s="181"/>
      <c r="H59" s="181"/>
      <c r="I59" s="181"/>
      <c r="K59" s="181" t="inlineStr">
        <is>
          <t xml:space="preserve">PD 12M (sains)</t>
        </is>
      </c>
      <c r="L59" s="181"/>
      <c r="M59" s="181"/>
      <c r="N59" s="181"/>
      <c r="P59" s="181" t="inlineStr">
        <is>
          <t xml:space="preserve">Entrées douteux 12M · central</t>
        </is>
      </c>
      <c r="Q59" s="181"/>
      <c r="R59" s="181"/>
      <c r="S59" s="181"/>
      <c r="U59" s="181" t="inlineStr">
        <is>
          <t xml:space="preserve">Entrées douteux 12M · sévère (P95)</t>
        </is>
      </c>
      <c r="V59" s="181"/>
      <c r="W59" s="181"/>
      <c r="X59" s="181"/>
    </row>
    <row r="60" ht="26" customHeight="1">
      <c r="A60" s="182" t="inlineStr">
        <is>
          <t xml:space="preserve">0,9 %</t>
        </is>
      </c>
      <c r="B60" s="182"/>
      <c r="C60" s="182"/>
      <c r="D60" s="182"/>
      <c r="F60" s="182" t="inlineStr">
        <is>
          <t xml:space="preserve">1,9 %</t>
        </is>
      </c>
      <c r="G60" s="182"/>
      <c r="H60" s="182"/>
      <c r="I60" s="182"/>
      <c r="K60" s="182" t="inlineStr">
        <is>
          <t xml:space="preserve">3,8 %</t>
        </is>
      </c>
      <c r="L60" s="182"/>
      <c r="M60" s="182"/>
      <c r="N60" s="182"/>
      <c r="P60" s="182" t="inlineStr">
        <is>
          <t xml:space="preserve">33,66 Md</t>
        </is>
      </c>
      <c r="Q60" s="182"/>
      <c r="R60" s="182"/>
      <c r="S60" s="182"/>
      <c r="U60" s="182" t="inlineStr">
        <is>
          <t xml:space="preserve">87,21 Md</t>
        </is>
      </c>
      <c r="V60" s="182"/>
      <c r="W60" s="182"/>
      <c r="X60" s="182"/>
    </row>
    <row r="61" ht="24" customHeight="1">
      <c r="A61" s="183" t="inlineStr">
        <is>
          <t xml:space="preserve">MARKOV · N = 17 850 · 9 mois · confiance faible</t>
        </is>
      </c>
      <c r="B61" s="183"/>
      <c r="C61" s="183"/>
      <c r="D61" s="183"/>
      <c r="F61" s="183" t="inlineStr">
        <is>
          <t xml:space="preserve">MARKOV · N = 17 850 · 9 mois · confiance faible</t>
        </is>
      </c>
      <c r="G61" s="183"/>
      <c r="H61" s="183"/>
      <c r="I61" s="183"/>
      <c r="K61" s="183" t="inlineStr">
        <is>
          <t xml:space="preserve">MARKOV · N = 17 850 · 9 mois · confiance faible</t>
        </is>
      </c>
      <c r="L61" s="183"/>
      <c r="M61" s="183"/>
      <c r="N61" s="183"/>
      <c r="P61" s="183" t="inlineStr">
        <is>
          <t xml:space="preserve">SIMULATED · N = 2 192 · 9 mois · confiance faible</t>
        </is>
      </c>
      <c r="Q61" s="183"/>
      <c r="R61" s="183"/>
      <c r="S61" s="183"/>
      <c r="U61" s="183" t="inlineStr">
        <is>
          <t xml:space="preserve">SIMULATED · N = 2 192 · 9 mois · confiance faible</t>
        </is>
      </c>
      <c r="V61" s="183"/>
      <c r="W61" s="183"/>
      <c r="X61" s="183"/>
    </row>
    <row r="62" ht="18" customHeight="1">
      <c r="A62" s="184" t="inlineStr">
        <is>
          <t xml:space="preserve">⚠  Estimation indicative — historique insuffisant pour une calibration statistique robuste.</t>
        </is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</row>
    <row r="64" ht="24" customHeight="1">
      <c r="A64" s="73" t="inlineStr">
        <is>
          <r>
            <rPr>
              <rFont val="Segoe UI"/>
              <b/>
              <color rgb="FFC8A951"/>
              <sz val="11"/>
            </rPr>
            <t xml:space="preserve">06  </t>
          </r>
          <r>
            <rPr>
              <rFont val="Segoe UI"/>
              <b/>
              <color rgb="FF001B4D"/>
              <sz val="11"/>
            </rPr>
            <t xml:space="preserve">TENDANCE MENSUELLE</t>
          </r>
          <r>
            <rPr>
              <rFont val="Segoe UI"/>
              <i/>
              <color rgb="FF64748B"/>
              <sz val="8"/>
            </rPr>
            <t xml:space="preserve">    impayés et clients en impayé</t>
          </r>
        </is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</row>
  </sheetData>
  <mergeCells count="145">
    <mergeCell ref="A1:R1"/>
    <mergeCell ref="S1:X1"/>
    <mergeCell ref="A2:O6"/>
    <mergeCell ref="P2:X2"/>
    <mergeCell ref="P3:X3"/>
    <mergeCell ref="P4:X4"/>
    <mergeCell ref="P5:X5"/>
    <mergeCell ref="P6:X6"/>
    <mergeCell ref="A8:D8"/>
    <mergeCell ref="E8:H8"/>
    <mergeCell ref="I8:L8"/>
    <mergeCell ref="M8:P8"/>
    <mergeCell ref="Q8:T8"/>
    <mergeCell ref="U8:X8"/>
    <mergeCell ref="A10:F10"/>
    <mergeCell ref="G10:L10"/>
    <mergeCell ref="M10:R10"/>
    <mergeCell ref="S10:X10"/>
    <mergeCell ref="A12:X12"/>
    <mergeCell ref="A13:C13"/>
    <mergeCell ref="A14:C14"/>
    <mergeCell ref="A15:C15"/>
    <mergeCell ref="A16:C16"/>
    <mergeCell ref="D13:F13"/>
    <mergeCell ref="D14:F14"/>
    <mergeCell ref="D15:F15"/>
    <mergeCell ref="D16:F16"/>
    <mergeCell ref="G13:I13"/>
    <mergeCell ref="G14:I14"/>
    <mergeCell ref="G15:I15"/>
    <mergeCell ref="G16:I16"/>
    <mergeCell ref="J13:L13"/>
    <mergeCell ref="J14:L14"/>
    <mergeCell ref="J15:L15"/>
    <mergeCell ref="J16:L16"/>
    <mergeCell ref="M13:O13"/>
    <mergeCell ref="M14:O14"/>
    <mergeCell ref="M15:O15"/>
    <mergeCell ref="M16:O16"/>
    <mergeCell ref="P13:R13"/>
    <mergeCell ref="P14:R14"/>
    <mergeCell ref="P15:R15"/>
    <mergeCell ref="P16:R16"/>
    <mergeCell ref="S13:U13"/>
    <mergeCell ref="S14:U14"/>
    <mergeCell ref="S15:U15"/>
    <mergeCell ref="S16:U16"/>
    <mergeCell ref="V13:X13"/>
    <mergeCell ref="V14:X14"/>
    <mergeCell ref="V15:X15"/>
    <mergeCell ref="V16:X16"/>
    <mergeCell ref="A18:X18"/>
    <mergeCell ref="B20:E20"/>
    <mergeCell ref="F20:H20"/>
    <mergeCell ref="I20:U20"/>
    <mergeCell ref="V20:X20"/>
    <mergeCell ref="B21:E21"/>
    <mergeCell ref="F21:H21"/>
    <mergeCell ref="I21:U21"/>
    <mergeCell ref="V21:X21"/>
    <mergeCell ref="B22:E22"/>
    <mergeCell ref="F22:H22"/>
    <mergeCell ref="I22:U22"/>
    <mergeCell ref="V22:X22"/>
    <mergeCell ref="B23:E23"/>
    <mergeCell ref="F23:H23"/>
    <mergeCell ref="I23:U23"/>
    <mergeCell ref="V23:X23"/>
    <mergeCell ref="B24:E24"/>
    <mergeCell ref="F24:H24"/>
    <mergeCell ref="I24:U24"/>
    <mergeCell ref="V24:X24"/>
    <mergeCell ref="B25:E25"/>
    <mergeCell ref="F25:H25"/>
    <mergeCell ref="I25:U25"/>
    <mergeCell ref="V25:X25"/>
    <mergeCell ref="B26:E26"/>
    <mergeCell ref="F26:H26"/>
    <mergeCell ref="I26:U26"/>
    <mergeCell ref="V26:X26"/>
    <mergeCell ref="B27:E27"/>
    <mergeCell ref="F27:H27"/>
    <mergeCell ref="I27:U27"/>
    <mergeCell ref="V27:X27"/>
    <mergeCell ref="B28:E28"/>
    <mergeCell ref="F28:H28"/>
    <mergeCell ref="I28:U28"/>
    <mergeCell ref="V28:X28"/>
    <mergeCell ref="A30:X30"/>
    <mergeCell ref="A49:X49"/>
    <mergeCell ref="A50:E50"/>
    <mergeCell ref="F50:H50"/>
    <mergeCell ref="I50:K50"/>
    <mergeCell ref="L50:N50"/>
    <mergeCell ref="O50:Q50"/>
    <mergeCell ref="R50:T50"/>
    <mergeCell ref="A51:E51"/>
    <mergeCell ref="F51:H51"/>
    <mergeCell ref="I51:K51"/>
    <mergeCell ref="L51:N51"/>
    <mergeCell ref="O51:Q51"/>
    <mergeCell ref="R51:T51"/>
    <mergeCell ref="A52:E52"/>
    <mergeCell ref="F52:H52"/>
    <mergeCell ref="I52:K52"/>
    <mergeCell ref="L52:N52"/>
    <mergeCell ref="O52:Q52"/>
    <mergeCell ref="R52:T52"/>
    <mergeCell ref="A53:E53"/>
    <mergeCell ref="F53:H53"/>
    <mergeCell ref="I53:K53"/>
    <mergeCell ref="L53:N53"/>
    <mergeCell ref="O53:Q53"/>
    <mergeCell ref="R53:T53"/>
    <mergeCell ref="A54:E54"/>
    <mergeCell ref="F54:H54"/>
    <mergeCell ref="I54:K54"/>
    <mergeCell ref="L54:N54"/>
    <mergeCell ref="O54:Q54"/>
    <mergeCell ref="R54:T54"/>
    <mergeCell ref="A55:E55"/>
    <mergeCell ref="F55:H55"/>
    <mergeCell ref="I55:K55"/>
    <mergeCell ref="L55:N55"/>
    <mergeCell ref="O55:Q55"/>
    <mergeCell ref="R55:T55"/>
    <mergeCell ref="A56:X56"/>
    <mergeCell ref="A58:X58"/>
    <mergeCell ref="A59:D59"/>
    <mergeCell ref="A60:D60"/>
    <mergeCell ref="A61:D61"/>
    <mergeCell ref="F59:I59"/>
    <mergeCell ref="F60:I60"/>
    <mergeCell ref="F61:I61"/>
    <mergeCell ref="K59:N59"/>
    <mergeCell ref="K60:N60"/>
    <mergeCell ref="K61:N61"/>
    <mergeCell ref="P59:S59"/>
    <mergeCell ref="P60:S60"/>
    <mergeCell ref="P61:S61"/>
    <mergeCell ref="U59:X59"/>
    <mergeCell ref="U60:X60"/>
    <mergeCell ref="U61:X61"/>
    <mergeCell ref="A62:X62"/>
    <mergeCell ref="A64:X64"/>
  </mergeCells>
  <conditionalFormatting sqref="I20">
    <cfRule type="dataBar" priority="1">
      <dataBar showValue="0">
        <cfvo type="num" val="0"/>
        <cfvo type="num" val="31893133004"/>
        <color rgb="FF003DA5"/>
      </dataBar>
    </cfRule>
  </conditionalFormatting>
  <conditionalFormatting sqref="I21">
    <cfRule type="dataBar" priority="2">
      <dataBar showValue="0">
        <cfvo type="num" val="0"/>
        <cfvo type="num" val="31893133004"/>
        <color rgb="FFDC2626"/>
      </dataBar>
    </cfRule>
  </conditionalFormatting>
  <conditionalFormatting sqref="I22">
    <cfRule type="dataBar" priority="3">
      <dataBar showValue="0">
        <cfvo type="num" val="0"/>
        <cfvo type="num" val="31893133004"/>
        <color rgb="FF06B6D4"/>
      </dataBar>
    </cfRule>
  </conditionalFormatting>
  <conditionalFormatting sqref="I23">
    <cfRule type="dataBar" priority="4">
      <dataBar showValue="0">
        <cfvo type="num" val="0"/>
        <cfvo type="num" val="31893133004"/>
        <color rgb="FFF97316"/>
      </dataBar>
    </cfRule>
  </conditionalFormatting>
  <conditionalFormatting sqref="I24">
    <cfRule type="dataBar" priority="5">
      <dataBar showValue="0">
        <cfvo type="num" val="0"/>
        <cfvo type="num" val="31893133004"/>
        <color rgb="FF06B6D4"/>
      </dataBar>
    </cfRule>
  </conditionalFormatting>
  <conditionalFormatting sqref="I25">
    <cfRule type="dataBar" priority="6">
      <dataBar showValue="0">
        <cfvo type="num" val="0"/>
        <cfvo type="num" val="31893133004"/>
        <color rgb="FF16A34A"/>
      </dataBar>
    </cfRule>
  </conditionalFormatting>
  <conditionalFormatting sqref="I26">
    <cfRule type="dataBar" priority="7">
      <dataBar showValue="0">
        <cfvo type="num" val="0"/>
        <cfvo type="num" val="31893133004"/>
        <color rgb="FF22C55E"/>
      </dataBar>
    </cfRule>
  </conditionalFormatting>
  <conditionalFormatting sqref="I27">
    <cfRule type="dataBar" priority="8">
      <dataBar showValue="0">
        <cfvo type="num" val="0"/>
        <cfvo type="num" val="31893133004"/>
        <color rgb="FF06B6D4"/>
      </dataBar>
    </cfRule>
  </conditionalFormatting>
  <conditionalFormatting sqref="I28">
    <cfRule type="dataBar" priority="9">
      <dataBar showValue="0">
        <cfvo type="num" val="0"/>
        <cfvo type="num" val="31893133004"/>
        <color rgb="FFC8A951"/>
      </dataBar>
    </cfRule>
  </conditionalFormatting>
  <hyperlinks>
    <hyperlink ref="A8" location="'EXECUTIVE'!A1" display="EXECUTIVE"/>
    <hyperlink ref="E8" location="'RISK'!A1" display="RISK"/>
    <hyperlink ref="M8" location="'CONCENTRATION'!A1" display="CONCENTRATION"/>
    <hyperlink ref="Q8" location="'INSIGHTS'!A1" display="INSIGHTS"/>
    <hyperlink ref="U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&amp;L&amp;8&amp;K64748BMOVEMENT · INTERNAL USE ONLY&amp;R&amp;8&amp;K64748BPage &amp;P / &amp;N</oddFooter>
  </headerFooter>
  <rowBreaks count="2" manualBreakCount="2">
    <brk id="48" max="16383" man="1"/>
    <brk id="5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8A951"/>
    <pageSetUpPr fitToPage="1"/>
  </sheetPr>
  <dimension ref="A1:Y101"/>
  <sheetViews>
    <sheetView showGridLines="0" zoomScale="85" zoomScaleNormal="85" workbookViewId="0"/>
  </sheetViews>
  <sheetFormatPr defaultRowHeight="15"/>
  <cols>
    <col min="1" max="1" width="6.1" customWidth="1"/>
    <col min="2" max="2" width="6.1" customWidth="1"/>
    <col min="3" max="3" width="6.1" customWidth="1"/>
    <col min="4" max="4" width="6.1" customWidth="1"/>
    <col min="5" max="5" width="1.6" customWidth="1"/>
    <col min="6" max="6" width="6.1" customWidth="1"/>
    <col min="7" max="7" width="6.1" customWidth="1"/>
    <col min="8" max="8" width="6.1" customWidth="1"/>
    <col min="9" max="9" width="6.1" customWidth="1"/>
    <col min="10" max="10" width="1.6" customWidth="1"/>
    <col min="11" max="11" width="6.1" customWidth="1"/>
    <col min="12" max="12" width="6.1" customWidth="1"/>
    <col min="13" max="13" width="6.1" customWidth="1"/>
    <col min="14" max="14" width="6.1" customWidth="1"/>
    <col min="15" max="15" width="1.6" customWidth="1"/>
    <col min="16" max="16" width="6.1" customWidth="1"/>
    <col min="17" max="17" width="6.1" customWidth="1"/>
    <col min="18" max="18" width="6.1" customWidth="1"/>
    <col min="19" max="19" width="6.1" customWidth="1"/>
    <col min="20" max="20" width="1.6" customWidth="1"/>
    <col min="21" max="21" width="6.1" customWidth="1"/>
    <col min="22" max="22" width="6.1" customWidth="1"/>
    <col min="23" max="23" width="6.1" customWidth="1"/>
    <col min="24" max="24" width="6.1" customWidth="1"/>
    <col min="25" max="25" width="1.6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CONCENTRATION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T1" s="2"/>
      <c r="U1" s="2"/>
      <c r="V1" s="2"/>
      <c r="W1" s="2"/>
      <c r="X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RISK CONCENTRATION
</t>
          </r>
          <r>
            <rPr>
              <rFont val="Segoe UI"/>
              <color rgb="FFC7D7F5"/>
              <sz val="10.5"/>
            </rPr>
            <t xml:space="preserve">Top clients, segments, gestionnaires, secteurs et produits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REPORTING DATE</t>
        </is>
      </c>
      <c r="Q3" s="5"/>
      <c r="R3" s="5"/>
      <c r="S3" s="5"/>
      <c r="T3" s="5"/>
      <c r="U3" s="5"/>
      <c r="V3" s="5"/>
      <c r="W3" s="5"/>
      <c r="X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inlineStr">
        <is>
          <t xml:space="preserve">30 SEPTEMBER 2026</t>
        </is>
      </c>
      <c r="Q4" s="6"/>
      <c r="R4" s="6"/>
      <c r="S4" s="6"/>
      <c r="T4" s="6"/>
      <c r="U4" s="6"/>
      <c r="V4" s="6"/>
      <c r="W4" s="6"/>
      <c r="X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 t="inlineStr">
        <is>
          <t xml:space="preserve">PORTFOLIO MONITORING</t>
        </is>
      </c>
      <c r="Q5" s="7"/>
      <c r="R5" s="7"/>
      <c r="S5" s="7"/>
      <c r="T5" s="7"/>
      <c r="U5" s="7"/>
      <c r="V5" s="7"/>
      <c r="W5" s="7"/>
      <c r="X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 t="inlineStr">
        <is>
          <t xml:space="preserve">Portefeuille Ecobank Sénégal · 700 clients · 2 500 lignes ACTE 7</t>
        </is>
      </c>
      <c r="Q6" s="8"/>
      <c r="R6" s="8"/>
      <c r="S6" s="8"/>
      <c r="T6" s="8"/>
      <c r="U6" s="8"/>
      <c r="V6" s="8"/>
      <c r="W6" s="8"/>
      <c r="X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◆  </t>
          </r>
          <r>
            <rPr>
              <rFont val="Segoe UI"/>
              <b/>
              <color rgb="FF003DA5"/>
              <sz val="8.5"/>
            </rPr>
            <t xml:space="preserve">EXECUTIVE</t>
          </r>
        </is>
      </c>
      <c r="B8" s="11"/>
      <c r="C8" s="11"/>
      <c r="D8" s="11"/>
      <c r="E8" s="11" t="inlineStr">
        <is>
          <r>
            <rPr>
              <rFont val="Segoe UI"/>
              <color rgb="FF7C93C9"/>
              <sz val="8.5"/>
            </rPr>
            <t xml:space="preserve">▲  </t>
          </r>
          <r>
            <rPr>
              <rFont val="Segoe UI"/>
              <b/>
              <color rgb="FF003DA5"/>
              <sz val="8.5"/>
            </rPr>
            <t xml:space="preserve">RISK</t>
          </r>
        </is>
      </c>
      <c r="F8" s="11"/>
      <c r="G8" s="11"/>
      <c r="H8" s="11"/>
      <c r="I8" s="11" t="inlineStr">
        <is>
          <r>
            <rPr>
              <rFont val="Segoe UI"/>
              <color rgb="FF7C93C9"/>
              <sz val="8.5"/>
            </rPr>
            <t xml:space="preserve">⇅  </t>
          </r>
          <r>
            <rPr>
              <rFont val="Segoe UI"/>
              <b/>
              <color rgb="FF003DA5"/>
              <sz val="8.5"/>
            </rPr>
            <t xml:space="preserve">MOVEMENT</t>
          </r>
        </is>
      </c>
      <c r="J8" s="11"/>
      <c r="K8" s="11"/>
      <c r="L8" s="11"/>
      <c r="M8" s="10" t="inlineStr">
        <is>
          <r>
            <rPr>
              <rFont val="Segoe UI"/>
              <color rgb="FFC8A951"/>
              <sz val="8.5"/>
            </rPr>
            <t xml:space="preserve">◎  </t>
          </r>
          <r>
            <rPr>
              <rFont val="Segoe UI"/>
              <b/>
              <color rgb="FFFFFFFF"/>
              <sz val="8.5"/>
            </rPr>
            <t xml:space="preserve">CONCENTRATION</t>
          </r>
        </is>
      </c>
      <c r="N8" s="10"/>
      <c r="O8" s="10"/>
      <c r="P8" s="10"/>
      <c r="Q8" s="11" t="inlineStr">
        <is>
          <r>
            <rPr>
              <rFont val="Segoe UI"/>
              <color rgb="FF7C93C9"/>
              <sz val="8.5"/>
            </rPr>
            <t xml:space="preserve">✦  </t>
          </r>
          <r>
            <rPr>
              <rFont val="Segoe UI"/>
              <b/>
              <color rgb="FF003DA5"/>
              <sz val="8.5"/>
            </rPr>
            <t xml:space="preserve">INSIGHTS</t>
          </r>
        </is>
      </c>
      <c r="R8" s="11"/>
      <c r="S8" s="11"/>
      <c r="T8" s="11"/>
      <c r="U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V8" s="11"/>
      <c r="W8" s="11"/>
      <c r="X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2"/>
      <c r="G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H10" s="13"/>
      <c r="I10" s="13"/>
      <c r="J10" s="13"/>
      <c r="K10" s="13"/>
      <c r="L10" s="13"/>
      <c r="M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N10" s="13"/>
      <c r="O10" s="13"/>
      <c r="P10" s="13"/>
      <c r="Q10" s="13"/>
      <c r="R10" s="13"/>
      <c r="S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T10" s="13"/>
      <c r="U10" s="13"/>
      <c r="V10" s="13"/>
      <c r="W10" s="13"/>
      <c r="X10" s="13"/>
    </row>
    <row r="11" ht="10" customHeight="1"/>
    <row r="12" ht="6" customHeight="1"/>
    <row r="13" ht="17" customHeight="1">
      <c r="A13" s="14" t="inlineStr">
        <is>
          <r>
            <rPr>
              <rFont val="Segoe UI"/>
              <color rgb="FFC8A951"/>
              <sz val="9"/>
            </rPr>
            <t xml:space="preserve">◆  </t>
          </r>
          <r>
            <rPr>
              <rFont val="Segoe UI"/>
              <b/>
              <color rgb="FFE6EEFF"/>
              <sz val="7.5"/>
            </rPr>
            <t xml:space="preserve">TOP 10 CLIENTS</t>
          </r>
        </is>
      </c>
      <c r="B13" s="14"/>
      <c r="C13" s="14"/>
      <c r="D13" s="14"/>
      <c r="F13" s="186" t="inlineStr">
        <is>
          <r>
            <rPr>
              <rFont val="Segoe UI"/>
              <color rgb="FF003DA5"/>
              <sz val="9"/>
            </rPr>
            <t xml:space="preserve">◆  </t>
          </r>
          <r>
            <rPr>
              <rFont val="Segoe UI"/>
              <b/>
              <color rgb="FF334155"/>
              <sz val="7.5"/>
            </rPr>
            <t xml:space="preserve">TOP 1 CLIENT</t>
          </r>
        </is>
      </c>
      <c r="G13" s="186"/>
      <c r="H13" s="186"/>
      <c r="I13" s="186"/>
      <c r="K13" s="191" t="inlineStr">
        <is>
          <r>
            <rPr>
              <rFont val="Segoe UI"/>
              <color rgb="FF003DA5"/>
              <sz val="9"/>
            </rPr>
            <t xml:space="preserve">◆  </t>
          </r>
          <r>
            <rPr>
              <rFont val="Segoe UI"/>
              <b/>
              <color rgb="FF334155"/>
              <sz val="7.5"/>
            </rPr>
            <t xml:space="preserve">INDICE HHI</t>
          </r>
        </is>
      </c>
      <c r="L13" s="191"/>
      <c r="M13" s="191"/>
      <c r="N13" s="191"/>
      <c r="P13" s="186" t="inlineStr">
        <is>
          <r>
            <rPr>
              <rFont val="Segoe UI"/>
              <color rgb="FF003DA5"/>
              <sz val="9"/>
            </rPr>
            <t xml:space="preserve">◆  </t>
          </r>
          <r>
            <rPr>
              <rFont val="Segoe UI"/>
              <b/>
              <color rgb="FF334155"/>
              <sz val="7.5"/>
            </rPr>
            <t xml:space="preserve">TOP SEGMENT</t>
          </r>
        </is>
      </c>
      <c r="Q13" s="186"/>
      <c r="R13" s="186"/>
      <c r="S13" s="186"/>
      <c r="U13" s="49" t="inlineStr">
        <is>
          <r>
            <rPr>
              <rFont val="Segoe UI"/>
              <color rgb="FFC8A951"/>
              <sz val="9"/>
            </rPr>
            <t xml:space="preserve">◆  </t>
          </r>
          <r>
            <rPr>
              <rFont val="Segoe UI"/>
              <b/>
              <color rgb="FFE6EEFF"/>
              <sz val="7.5"/>
            </rPr>
            <t xml:space="preserve">TOP GESTIONNAIRE</t>
          </r>
        </is>
      </c>
      <c r="V13" s="49"/>
      <c r="W13" s="49"/>
      <c r="X13" s="49"/>
    </row>
    <row r="14" ht="19" customHeight="1">
      <c r="A14" s="185">
        <v>0.08319109140465904</v>
      </c>
      <c r="B14" s="185"/>
      <c r="C14" s="185"/>
      <c r="D14" s="185"/>
      <c r="E14" s="20"/>
      <c r="F14" s="187">
        <v>0.00979435385619032</v>
      </c>
      <c r="G14" s="187"/>
      <c r="H14" s="187"/>
      <c r="I14" s="187"/>
      <c r="J14" s="20"/>
      <c r="K14" s="192">
        <v>39.62517810915442</v>
      </c>
      <c r="L14" s="192"/>
      <c r="M14" s="192"/>
      <c r="N14" s="192"/>
      <c r="O14" s="20"/>
      <c r="P14" s="187">
        <v>1</v>
      </c>
      <c r="Q14" s="187"/>
      <c r="R14" s="187"/>
      <c r="S14" s="187"/>
      <c r="T14" s="20"/>
      <c r="U14" s="196">
        <v>1</v>
      </c>
      <c r="V14" s="196"/>
      <c r="W14" s="196"/>
      <c r="X14" s="196"/>
      <c r="Y14" s="20"/>
    </row>
    <row r="15" ht="19" customHeight="1">
      <c r="A15" s="185"/>
      <c r="B15" s="185"/>
      <c r="C15" s="185"/>
      <c r="D15" s="185"/>
      <c r="E15" s="20"/>
      <c r="F15" s="187"/>
      <c r="G15" s="187"/>
      <c r="H15" s="187"/>
      <c r="I15" s="187"/>
      <c r="J15" s="20"/>
      <c r="K15" s="192"/>
      <c r="L15" s="192"/>
      <c r="M15" s="192"/>
      <c r="N15" s="192"/>
      <c r="O15" s="20"/>
      <c r="P15" s="187"/>
      <c r="Q15" s="187"/>
      <c r="R15" s="187"/>
      <c r="S15" s="187"/>
      <c r="T15" s="20"/>
      <c r="U15" s="196"/>
      <c r="V15" s="196"/>
      <c r="W15" s="196"/>
      <c r="X15" s="196"/>
      <c r="Y15" s="20"/>
    </row>
    <row r="16" ht="13" customHeight="1">
      <c r="A16" s="16" t="inlineStr">
        <is>
          <t xml:space="preserve">70,74 Md XOF</t>
        </is>
      </c>
      <c r="B16" s="16"/>
      <c r="C16" s="16"/>
      <c r="D16" s="16"/>
      <c r="E16" s="20"/>
      <c r="F16" s="188" t="inlineStr">
        <is>
          <t xml:space="preserve">SOCIETE 0378</t>
        </is>
      </c>
      <c r="G16" s="188"/>
      <c r="H16" s="188"/>
      <c r="I16" s="188"/>
      <c r="J16" s="20"/>
      <c r="K16" s="193" t="inlineStr">
        <is>
          <t xml:space="preserve">portefeuille diversifié</t>
        </is>
      </c>
      <c r="L16" s="193"/>
      <c r="M16" s="193"/>
      <c r="N16" s="193"/>
      <c r="O16" s="20"/>
      <c r="P16" s="188" t="inlineStr">
        <is>
          <t xml:space="preserve">X</t>
        </is>
      </c>
      <c r="Q16" s="188"/>
      <c r="R16" s="188"/>
      <c r="S16" s="188"/>
      <c r="T16" s="20"/>
      <c r="U16" s="51" t="inlineStr">
        <is>
          <t xml:space="preserve">GUEYE</t>
        </is>
      </c>
      <c r="V16" s="51"/>
      <c r="W16" s="51"/>
      <c r="X16" s="51"/>
      <c r="Y16" s="20"/>
    </row>
    <row r="17" ht="18" customHeight="1">
      <c r="A17" s="17" t="inlineStr">
        <is>
          <t xml:space="preserve">—</t>
        </is>
      </c>
      <c r="B17" s="17"/>
      <c r="C17" s="18"/>
      <c r="D17" s="18"/>
      <c r="E17" s="20"/>
      <c r="F17" s="189" t="inlineStr">
        <is>
          <t xml:space="preserve">—</t>
        </is>
      </c>
      <c r="G17" s="189"/>
      <c r="H17" s="26"/>
      <c r="I17" s="26"/>
      <c r="J17" s="20"/>
      <c r="K17" s="194" t="inlineStr">
        <is>
          <t xml:space="preserve">—</t>
        </is>
      </c>
      <c r="L17" s="194"/>
      <c r="M17" s="32"/>
      <c r="N17" s="32"/>
      <c r="O17" s="20"/>
      <c r="P17" s="189" t="inlineStr">
        <is>
          <t xml:space="preserve">—</t>
        </is>
      </c>
      <c r="Q17" s="189"/>
      <c r="R17" s="26"/>
      <c r="S17" s="26"/>
      <c r="T17" s="20"/>
      <c r="U17" s="197" t="inlineStr">
        <is>
          <t xml:space="preserve">—</t>
        </is>
      </c>
      <c r="V17" s="197"/>
      <c r="W17" s="53"/>
      <c r="X17" s="53"/>
      <c r="Y17" s="20"/>
    </row>
    <row r="18" ht="14" customHeight="1">
      <c r="A18" s="19" t="inlineStr">
        <is>
          <r>
            <rPr>
              <rFont val="Segoe UI"/>
              <i/>
              <color rgb="FFD6E4FF"/>
              <sz val="7"/>
            </rPr>
            <t xml:space="preserve">part de l'encours total   </t>
          </r>
          <r>
            <rPr>
              <rFont val="Segoe UI"/>
              <b/>
              <color rgb="FFD6E4FF"/>
              <sz val="7"/>
            </rPr>
            <t xml:space="preserve"> </t>
          </r>
        </is>
      </c>
      <c r="B18" s="19"/>
      <c r="C18" s="19"/>
      <c r="D18" s="19"/>
      <c r="E18" s="20"/>
      <c r="F18" s="190" t="inlineStr">
        <is>
          <r>
            <rPr>
              <rFont val="Segoe UI"/>
              <i/>
              <color rgb="FF64748B"/>
              <sz val="7"/>
            </rPr>
            <t xml:space="preserve">part de l'encours total   </t>
          </r>
          <r>
            <rPr>
              <rFont val="Segoe UI"/>
              <b/>
              <color rgb="FF64748B"/>
              <sz val="7"/>
            </rPr>
            <t xml:space="preserve"> </t>
          </r>
        </is>
      </c>
      <c r="G18" s="190"/>
      <c r="H18" s="190"/>
      <c r="I18" s="190"/>
      <c r="J18" s="20"/>
      <c r="K18" s="195" t="inlineStr">
        <is>
          <r>
            <rPr>
              <rFont val="Segoe UI"/>
              <i/>
              <color rgb="FF64748B"/>
              <sz val="7"/>
            </rPr>
            <t xml:space="preserve">part de l'encours total   </t>
          </r>
          <r>
            <rPr>
              <rFont val="Segoe UI"/>
              <b/>
              <color rgb="FF64748B"/>
              <sz val="7"/>
            </rPr>
            <t xml:space="preserve"> </t>
          </r>
        </is>
      </c>
      <c r="L18" s="195"/>
      <c r="M18" s="195"/>
      <c r="N18" s="195"/>
      <c r="O18" s="20"/>
      <c r="P18" s="190" t="inlineStr">
        <is>
          <r>
            <rPr>
              <rFont val="Segoe UI"/>
              <i/>
              <color rgb="FF64748B"/>
              <sz val="7"/>
            </rPr>
            <t xml:space="preserve">part de l'encours total   </t>
          </r>
          <r>
            <rPr>
              <rFont val="Segoe UI"/>
              <b/>
              <color rgb="FF64748B"/>
              <sz val="7"/>
            </rPr>
            <t xml:space="preserve"> </t>
          </r>
        </is>
      </c>
      <c r="Q18" s="190"/>
      <c r="R18" s="190"/>
      <c r="S18" s="190"/>
      <c r="T18" s="20"/>
      <c r="U18" s="54" t="inlineStr">
        <is>
          <r>
            <rPr>
              <rFont val="Segoe UI"/>
              <i/>
              <color rgb="FFD6E4FF"/>
              <sz val="7"/>
            </rPr>
            <t xml:space="preserve">part de l'encours total   </t>
          </r>
          <r>
            <rPr>
              <rFont val="Segoe UI"/>
              <b/>
              <color rgb="FFD6E4FF"/>
              <sz val="7"/>
            </rPr>
            <t xml:space="preserve"> </t>
          </r>
        </is>
      </c>
      <c r="V18" s="54"/>
      <c r="W18" s="54"/>
      <c r="X18" s="54"/>
      <c r="Y18" s="20"/>
    </row>
    <row r="19" ht="5" customHeight="1">
      <c r="B19" s="21"/>
      <c r="C19" s="21"/>
      <c r="D19" s="21"/>
      <c r="E19" s="20"/>
      <c r="G19" s="21"/>
      <c r="H19" s="21"/>
      <c r="I19" s="21"/>
      <c r="J19" s="20"/>
      <c r="L19" s="21"/>
      <c r="M19" s="21"/>
      <c r="N19" s="21"/>
      <c r="O19" s="20"/>
      <c r="Q19" s="21"/>
      <c r="R19" s="21"/>
      <c r="S19" s="21"/>
      <c r="T19" s="20"/>
      <c r="V19" s="21"/>
      <c r="W19" s="21"/>
      <c r="X19" s="21"/>
      <c r="Y19" s="20"/>
    </row>
    <row r="21" ht="18" customHeight="1">
      <c r="A21" s="65" t="inlineStr">
        <is>
          <r>
            <rPr>
              <rFont val="Segoe UI"/>
              <b/>
              <color rgb="FFC8A951"/>
              <sz val="10"/>
            </rPr>
            <t xml:space="preserve">⚠  </t>
          </r>
          <r>
            <rPr>
              <rFont val="Segoe UI"/>
              <b/>
              <color rgb="FF334155"/>
              <sz val="8"/>
            </rPr>
            <t xml:space="preserve">CONCENTRATION ALERT</t>
          </r>
        </is>
      </c>
      <c r="B21" s="65"/>
      <c r="C21" s="65"/>
      <c r="D21" s="65"/>
      <c r="E21" s="65"/>
      <c r="F21" s="65"/>
      <c r="G21" s="65"/>
      <c r="H21" s="65"/>
      <c r="I21" s="65"/>
      <c r="K21" s="71" t="inlineStr">
        <is>
          <r>
            <rPr>
              <rFont val="Segoe UI"/>
              <b/>
              <color rgb="FF2563EB"/>
              <sz val="10"/>
            </rPr>
            <t xml:space="preserve">◎  </t>
          </r>
          <r>
            <rPr>
              <rFont val="Segoe UI"/>
              <b/>
              <color rgb="FF334155"/>
              <sz val="8"/>
            </rPr>
            <t xml:space="preserve">DIVERSIFICATION</t>
          </r>
        </is>
      </c>
      <c r="L21" s="71"/>
      <c r="M21" s="71"/>
      <c r="N21" s="71"/>
      <c r="O21" s="71"/>
      <c r="P21" s="71"/>
      <c r="Q21" s="71"/>
      <c r="R21" s="71"/>
      <c r="S21" s="71"/>
    </row>
    <row r="22" ht="26" customHeight="1">
      <c r="A22" s="66" t="inlineStr">
        <is>
          <t xml:space="preserve">TOP 5 CLIENTS = 4,4 %</t>
        </is>
      </c>
      <c r="B22" s="66"/>
      <c r="C22" s="66"/>
      <c r="D22" s="66"/>
      <c r="E22" s="66"/>
      <c r="F22" s="66"/>
      <c r="G22" s="66"/>
      <c r="H22" s="66"/>
      <c r="I22" s="66"/>
      <c r="J22" s="68"/>
      <c r="K22" s="72" t="inlineStr">
        <is>
          <t xml:space="preserve">HHI = 40</t>
        </is>
      </c>
      <c r="L22" s="72"/>
      <c r="M22" s="72"/>
      <c r="N22" s="72"/>
      <c r="O22" s="72"/>
      <c r="P22" s="72"/>
      <c r="Q22" s="72"/>
      <c r="R22" s="72"/>
      <c r="S22" s="72"/>
      <c r="T22" s="68"/>
    </row>
    <row r="23" ht="16" customHeight="1">
      <c r="A23" s="67" t="inlineStr">
        <is>
          <t xml:space="preserve">+0,0 pts vs 31/08/2026</t>
        </is>
      </c>
      <c r="B23" s="67"/>
      <c r="C23" s="67"/>
      <c r="D23" s="67"/>
      <c r="E23" s="67"/>
      <c r="F23" s="67"/>
      <c r="G23" s="67"/>
      <c r="H23" s="67"/>
      <c r="I23" s="67"/>
      <c r="J23" s="68"/>
      <c r="K23" s="67" t="inlineStr">
        <is>
          <t xml:space="preserve">portefeuille diversifié (&lt; 1 000)</t>
        </is>
      </c>
      <c r="L23" s="67"/>
      <c r="M23" s="67"/>
      <c r="N23" s="67"/>
      <c r="O23" s="67"/>
      <c r="P23" s="67"/>
      <c r="Q23" s="67"/>
      <c r="R23" s="67"/>
      <c r="S23" s="67"/>
      <c r="T23" s="68"/>
    </row>
    <row r="24">
      <c r="J24" s="68"/>
      <c r="T24" s="68"/>
    </row>
    <row r="25" ht="24" customHeight="1">
      <c r="A25" s="74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HEATMAP · CONCENTRATION PAR DIMENSION</t>
          </r>
          <r>
            <rPr>
              <rFont val="Segoe UI"/>
              <i/>
              <color rgb="FF64748B"/>
              <sz val="8"/>
            </rPr>
            <t xml:space="preserve">    part de l'encours portée par les 1, 3 et 5 premiers éléments</t>
          </r>
        </is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 ht="24" customHeight="1">
      <c r="A26" s="104" t="inlineStr">
        <is>
          <t xml:space="preserve">Dimension</t>
        </is>
      </c>
      <c r="B26" s="104"/>
      <c r="C26" s="104"/>
      <c r="D26" s="104"/>
      <c r="E26" s="104"/>
      <c r="F26" s="198" t="inlineStr">
        <is>
          <t xml:space="preserve">TOP 1</t>
        </is>
      </c>
      <c r="G26" s="198"/>
      <c r="H26" s="198"/>
      <c r="I26" s="198"/>
      <c r="J26" s="198"/>
      <c r="K26" s="198" t="inlineStr">
        <is>
          <t xml:space="preserve">TOP 3</t>
        </is>
      </c>
      <c r="L26" s="198"/>
      <c r="M26" s="198"/>
      <c r="N26" s="198"/>
      <c r="O26" s="198"/>
      <c r="P26" s="198" t="inlineStr">
        <is>
          <t xml:space="preserve">TOP 5</t>
        </is>
      </c>
      <c r="Q26" s="198"/>
      <c r="R26" s="198"/>
      <c r="S26" s="198"/>
      <c r="T26" s="198"/>
      <c r="U26" s="198" t="inlineStr">
        <is>
          <t xml:space="preserve">Éléments</t>
        </is>
      </c>
      <c r="V26" s="198"/>
      <c r="W26" s="198"/>
      <c r="X26" s="198"/>
    </row>
    <row r="27" ht="21" customHeight="1">
      <c r="A27" s="199" t="inlineStr">
        <is>
          <t xml:space="preserve">Clients</t>
        </is>
      </c>
      <c r="B27" s="199"/>
      <c r="C27" s="199"/>
      <c r="D27" s="199"/>
      <c r="E27" s="199"/>
      <c r="F27" s="200">
        <v>0.00979435385619032</v>
      </c>
      <c r="G27" s="200"/>
      <c r="H27" s="200"/>
      <c r="I27" s="200"/>
      <c r="J27" s="200"/>
      <c r="K27" s="201">
        <v>0.027305594835112388</v>
      </c>
      <c r="L27" s="201"/>
      <c r="M27" s="201"/>
      <c r="N27" s="201"/>
      <c r="O27" s="201"/>
      <c r="P27" s="202">
        <v>0.04429486191132465</v>
      </c>
      <c r="Q27" s="202"/>
      <c r="R27" s="202"/>
      <c r="S27" s="202"/>
      <c r="T27" s="202"/>
      <c r="U27" s="203">
        <v>700</v>
      </c>
      <c r="V27" s="203"/>
      <c r="W27" s="203"/>
      <c r="X27" s="203"/>
    </row>
    <row r="28" ht="21" customHeight="1">
      <c r="A28" s="204" t="inlineStr">
        <is>
          <t xml:space="preserve">Segments</t>
        </is>
      </c>
      <c r="B28" s="204"/>
      <c r="C28" s="204"/>
      <c r="D28" s="204"/>
      <c r="E28" s="204"/>
      <c r="F28" s="205">
        <v>1</v>
      </c>
      <c r="G28" s="205"/>
      <c r="H28" s="205"/>
      <c r="I28" s="205"/>
      <c r="J28" s="205"/>
      <c r="K28" s="205">
        <v>1</v>
      </c>
      <c r="L28" s="205"/>
      <c r="M28" s="205"/>
      <c r="N28" s="205"/>
      <c r="O28" s="205"/>
      <c r="P28" s="205">
        <v>1</v>
      </c>
      <c r="Q28" s="205"/>
      <c r="R28" s="205"/>
      <c r="S28" s="205"/>
      <c r="T28" s="205"/>
      <c r="U28" s="206">
        <v>1</v>
      </c>
      <c r="V28" s="206"/>
      <c r="W28" s="206"/>
      <c r="X28" s="206"/>
    </row>
    <row r="29" ht="21" customHeight="1">
      <c r="A29" s="199" t="inlineStr">
        <is>
          <t xml:space="preserve">Gestionnaires</t>
        </is>
      </c>
      <c r="B29" s="199"/>
      <c r="C29" s="199"/>
      <c r="D29" s="199"/>
      <c r="E29" s="199"/>
      <c r="F29" s="205">
        <v>1</v>
      </c>
      <c r="G29" s="205"/>
      <c r="H29" s="205"/>
      <c r="I29" s="205"/>
      <c r="J29" s="205"/>
      <c r="K29" s="205">
        <v>1</v>
      </c>
      <c r="L29" s="205"/>
      <c r="M29" s="205"/>
      <c r="N29" s="205"/>
      <c r="O29" s="205"/>
      <c r="P29" s="205">
        <v>1</v>
      </c>
      <c r="Q29" s="205"/>
      <c r="R29" s="205"/>
      <c r="S29" s="205"/>
      <c r="T29" s="205"/>
      <c r="U29" s="203">
        <v>1</v>
      </c>
      <c r="V29" s="203"/>
      <c r="W29" s="203"/>
      <c r="X29" s="203"/>
    </row>
    <row r="30" ht="21" customHeight="1">
      <c r="A30" s="204" t="inlineStr">
        <is>
          <t xml:space="preserve">Secteurs</t>
        </is>
      </c>
      <c r="B30" s="204"/>
      <c r="C30" s="204"/>
      <c r="D30" s="204"/>
      <c r="E30" s="204"/>
      <c r="F30" s="205">
        <v>1</v>
      </c>
      <c r="G30" s="205"/>
      <c r="H30" s="205"/>
      <c r="I30" s="205"/>
      <c r="J30" s="205"/>
      <c r="K30" s="205">
        <v>1</v>
      </c>
      <c r="L30" s="205"/>
      <c r="M30" s="205"/>
      <c r="N30" s="205"/>
      <c r="O30" s="205"/>
      <c r="P30" s="205">
        <v>1</v>
      </c>
      <c r="Q30" s="205"/>
      <c r="R30" s="205"/>
      <c r="S30" s="205"/>
      <c r="T30" s="205"/>
      <c r="U30" s="206">
        <v>1</v>
      </c>
      <c r="V30" s="206"/>
      <c r="W30" s="206"/>
      <c r="X30" s="206"/>
    </row>
    <row r="31" ht="21" customHeight="1">
      <c r="A31" s="199" t="inlineStr">
        <is>
          <t xml:space="preserve">Produits</t>
        </is>
      </c>
      <c r="B31" s="199"/>
      <c r="C31" s="199"/>
      <c r="D31" s="199"/>
      <c r="E31" s="199"/>
      <c r="F31" s="207">
        <v>0.363987389552782</v>
      </c>
      <c r="G31" s="207"/>
      <c r="H31" s="207"/>
      <c r="I31" s="207"/>
      <c r="J31" s="207"/>
      <c r="K31" s="205">
        <v>1</v>
      </c>
      <c r="L31" s="205"/>
      <c r="M31" s="205"/>
      <c r="N31" s="205"/>
      <c r="O31" s="205"/>
      <c r="P31" s="205">
        <v>1</v>
      </c>
      <c r="Q31" s="205"/>
      <c r="R31" s="205"/>
      <c r="S31" s="205"/>
      <c r="T31" s="205"/>
      <c r="U31" s="203">
        <v>3</v>
      </c>
      <c r="V31" s="203"/>
      <c r="W31" s="203"/>
      <c r="X31" s="203"/>
    </row>
    <row r="33" ht="24" customHeight="1">
      <c r="A33" s="74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PARETO · TOP 10 CLIENTS</t>
          </r>
          <r>
            <rPr>
              <rFont val="Segoe UI"/>
              <i/>
              <color rgb="FF64748B"/>
              <sz val="8"/>
            </rPr>
            <t xml:space="preserve">    encours et part cumulée</t>
          </r>
        </is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</row>
    <row r="34" ht="22" customHeight="1">
      <c r="Q34" s="208" t="inlineStr">
        <is>
          <t xml:space="preserve">#</t>
        </is>
      </c>
      <c r="R34" s="219" t="inlineStr">
        <is>
          <t xml:space="preserve">Client</t>
        </is>
      </c>
      <c r="S34" s="219"/>
      <c r="T34" s="219"/>
      <c r="U34" s="219"/>
      <c r="V34" s="220" t="inlineStr">
        <is>
          <t xml:space="preserve">Encours</t>
        </is>
      </c>
      <c r="W34" s="220"/>
      <c r="X34" s="208" t="inlineStr">
        <is>
          <t xml:space="preserve">Part</t>
        </is>
      </c>
    </row>
    <row r="35" ht="19" customHeight="1">
      <c r="Q35" s="211">
        <v>1</v>
      </c>
      <c r="R35" s="212" t="inlineStr">
        <is>
          <t xml:space="preserve">SOCIETE 0378</t>
        </is>
      </c>
      <c r="S35" s="212"/>
      <c r="T35" s="212"/>
      <c r="U35" s="212"/>
      <c r="V35" s="213">
        <v>8328977341</v>
      </c>
      <c r="W35" s="213"/>
      <c r="X35" s="214">
        <v>0.00979435385619032</v>
      </c>
    </row>
    <row r="36" ht="19" customHeight="1">
      <c r="Q36" s="215">
        <v>2</v>
      </c>
      <c r="R36" s="216" t="inlineStr">
        <is>
          <t xml:space="preserve">SOCIETE 0388</t>
        </is>
      </c>
      <c r="S36" s="216"/>
      <c r="T36" s="216"/>
      <c r="U36" s="216"/>
      <c r="V36" s="217">
        <v>7548065011</v>
      </c>
      <c r="W36" s="217"/>
      <c r="X36" s="218">
        <v>0.008876050038381668</v>
      </c>
    </row>
    <row r="37" ht="19" customHeight="1">
      <c r="Q37" s="211">
        <v>3</v>
      </c>
      <c r="R37" s="212" t="inlineStr">
        <is>
          <t xml:space="preserve">SOCIETE 0353</t>
        </is>
      </c>
      <c r="S37" s="212"/>
      <c r="T37" s="212"/>
      <c r="U37" s="212"/>
      <c r="V37" s="213">
        <v>7343241906</v>
      </c>
      <c r="W37" s="213"/>
      <c r="X37" s="214">
        <v>0.0086351909405404</v>
      </c>
    </row>
    <row r="38" ht="19" customHeight="1">
      <c r="Q38" s="215">
        <v>4</v>
      </c>
      <c r="R38" s="216" t="inlineStr">
        <is>
          <t xml:space="preserve">SOCIETE 0483</t>
        </is>
      </c>
      <c r="S38" s="216"/>
      <c r="T38" s="216"/>
      <c r="U38" s="216"/>
      <c r="V38" s="217">
        <v>7272009508</v>
      </c>
      <c r="W38" s="217"/>
      <c r="X38" s="218">
        <v>0.008551426117624791</v>
      </c>
    </row>
    <row r="39" ht="19" customHeight="1">
      <c r="Q39" s="211">
        <v>5</v>
      </c>
      <c r="R39" s="212" t="inlineStr">
        <is>
          <t xml:space="preserve">SOCIETE 0370</t>
        </is>
      </c>
      <c r="S39" s="212"/>
      <c r="T39" s="212"/>
      <c r="U39" s="212"/>
      <c r="V39" s="213">
        <v>7175418326</v>
      </c>
      <c r="W39" s="213"/>
      <c r="X39" s="214">
        <v>0.008437840958587475</v>
      </c>
    </row>
    <row r="40" ht="19" customHeight="1">
      <c r="Q40" s="215">
        <v>6</v>
      </c>
      <c r="R40" s="216" t="inlineStr">
        <is>
          <t xml:space="preserve">SOCIETE 0355</t>
        </is>
      </c>
      <c r="S40" s="216"/>
      <c r="T40" s="216"/>
      <c r="U40" s="216"/>
      <c r="V40" s="217">
        <v>6870007185</v>
      </c>
      <c r="W40" s="217"/>
      <c r="X40" s="218">
        <v>0.00807869665261705</v>
      </c>
    </row>
    <row r="41" ht="19" customHeight="1">
      <c r="Q41" s="211">
        <v>7</v>
      </c>
      <c r="R41" s="212" t="inlineStr">
        <is>
          <t xml:space="preserve">SOCIETE 0490</t>
        </is>
      </c>
      <c r="S41" s="212"/>
      <c r="T41" s="212"/>
      <c r="U41" s="212"/>
      <c r="V41" s="213">
        <v>6765102455</v>
      </c>
      <c r="W41" s="213"/>
      <c r="X41" s="214">
        <v>0.007955335283658788</v>
      </c>
    </row>
    <row r="42" ht="19" customHeight="1">
      <c r="Q42" s="215">
        <v>8</v>
      </c>
      <c r="R42" s="216" t="inlineStr">
        <is>
          <t xml:space="preserve">SOCIETE 0461</t>
        </is>
      </c>
      <c r="S42" s="216"/>
      <c r="T42" s="216"/>
      <c r="U42" s="216"/>
      <c r="V42" s="217">
        <v>6733824970</v>
      </c>
      <c r="W42" s="217"/>
      <c r="X42" s="218">
        <v>0.007918554927166078</v>
      </c>
    </row>
    <row r="43" ht="19" customHeight="1">
      <c r="Q43" s="211">
        <v>9</v>
      </c>
      <c r="R43" s="212" t="inlineStr">
        <is>
          <t xml:space="preserve">SOCIETE 0377</t>
        </is>
      </c>
      <c r="S43" s="212"/>
      <c r="T43" s="212"/>
      <c r="U43" s="212"/>
      <c r="V43" s="213">
        <v>6373917185</v>
      </c>
      <c r="W43" s="213"/>
      <c r="X43" s="214">
        <v>0.007495325993100514</v>
      </c>
    </row>
    <row r="44" ht="19" customHeight="1">
      <c r="Q44" s="215">
        <v>10</v>
      </c>
      <c r="R44" s="216" t="inlineStr">
        <is>
          <t xml:space="preserve">SOCIETE 0561</t>
        </is>
      </c>
      <c r="S44" s="216"/>
      <c r="T44" s="216"/>
      <c r="U44" s="216"/>
      <c r="V44" s="217">
        <v>6333941106</v>
      </c>
      <c r="W44" s="217"/>
      <c r="X44" s="218">
        <v>0.007448316636791951</v>
      </c>
    </row>
    <row r="51" ht="24" customHeight="1">
      <c r="A51" s="73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TOP SEGMENTS</t>
          </r>
          <r>
            <rPr>
              <rFont val="Segoe UI"/>
              <i/>
              <color rgb="FF64748B"/>
              <sz val="8"/>
            </rPr>
            <t xml:space="preserve">    encours</t>
          </r>
        </is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 t="inlineStr">
        <is>
          <r>
            <rPr>
              <rFont val="Segoe UI"/>
              <b/>
              <color rgb="FFC8A951"/>
              <sz val="11"/>
            </rPr>
            <t xml:space="preserve">·  </t>
          </r>
          <r>
            <rPr>
              <rFont val="Segoe UI"/>
              <b/>
              <color rgb="FF001B4D"/>
              <sz val="11"/>
            </rPr>
            <t xml:space="preserve">TOP GESTIONNAIRES</t>
          </r>
          <r>
            <rPr>
              <rFont val="Segoe UI"/>
              <i/>
              <color rgb="FF64748B"/>
              <sz val="8"/>
            </rPr>
            <t xml:space="preserve">    encours</t>
          </r>
        </is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</row>
    <row r="66" ht="24" customHeight="1">
      <c r="A66" s="73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SECTEURS</t>
          </r>
          <r>
            <rPr>
              <rFont val="Segoe UI"/>
              <i/>
              <color rgb="FF64748B"/>
              <sz val="8"/>
            </rPr>
            <t xml:space="preserve">    encours</t>
          </r>
        </is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 t="inlineStr">
        <is>
          <r>
            <rPr>
              <rFont val="Segoe UI"/>
              <b/>
              <color rgb="FFC8A951"/>
              <sz val="11"/>
            </rPr>
            <t xml:space="preserve">·  </t>
          </r>
          <r>
            <rPr>
              <rFont val="Segoe UI"/>
              <b/>
              <color rgb="FF001B4D"/>
              <sz val="11"/>
            </rPr>
            <t xml:space="preserve">PRODUITS</t>
          </r>
          <r>
            <rPr>
              <rFont val="Segoe UI"/>
              <i/>
              <color rgb="FF64748B"/>
              <sz val="8"/>
            </rPr>
            <t xml:space="preserve">    encours</t>
          </r>
        </is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</row>
    <row r="81" ht="24" customHeight="1">
      <c r="A81" s="79" t="inlineStr">
        <is>
          <r>
            <rPr>
              <rFont val="Segoe UI"/>
              <b/>
              <color rgb="FFC8A951"/>
              <sz val="11"/>
            </rPr>
            <t xml:space="preserve">05  </t>
          </r>
          <r>
            <rPr>
              <rFont val="Segoe UI"/>
              <b/>
              <color rgb="FF001B4D"/>
              <sz val="11"/>
            </rPr>
            <t xml:space="preserve">BUBBLE MAP · CONCENTRATION × ÉVOLUTION</t>
          </r>
          <r>
            <rPr>
              <rFont val="Segoe UI"/>
              <i/>
              <color rgb="FF64748B"/>
              <sz val="8"/>
            </rPr>
            <t xml:space="preserve">    top 20 clients · position = part de l'encours et variation N-1 · taille = exposition · couleur = risque</t>
          </r>
        </is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</row>
    <row r="101" ht="16" customHeight="1">
      <c r="A101" s="221" t="inlineStr">
        <is>
          <r>
            <rPr>
              <rFont val="Segoe UI"/>
              <color rgb="FFDC2626"/>
              <sz val="10"/>
            </rPr>
            <t xml:space="preserve">●</t>
          </r>
          <r>
            <rPr>
              <rFont val="Segoe UI"/>
              <color rgb="FF334155"/>
              <sz val="8"/>
            </rPr>
            <t xml:space="preserve"> CRITICAL   </t>
          </r>
          <r>
            <rPr>
              <rFont val="Segoe UI"/>
              <color rgb="FFF97316"/>
              <sz val="10"/>
            </rPr>
            <t xml:space="preserve">●</t>
          </r>
          <r>
            <rPr>
              <rFont val="Segoe UI"/>
              <color rgb="FF334155"/>
              <sz val="8"/>
            </rPr>
            <t xml:space="preserve"> HIGH   </t>
          </r>
          <r>
            <rPr>
              <rFont val="Segoe UI"/>
              <color rgb="FFF59E0B"/>
              <sz val="10"/>
            </rPr>
            <t xml:space="preserve">●</t>
          </r>
          <r>
            <rPr>
              <rFont val="Segoe UI"/>
              <color rgb="FF334155"/>
              <sz val="8"/>
            </rPr>
            <t xml:space="preserve"> WATCH   </t>
          </r>
          <r>
            <rPr>
              <rFont val="Segoe UI"/>
              <color rgb="FF16A34A"/>
              <sz val="10"/>
            </rPr>
            <t xml:space="preserve">●</t>
          </r>
          <r>
            <rPr>
              <rFont val="Segoe UI"/>
              <color rgb="FF334155"/>
              <sz val="8"/>
            </rPr>
            <t xml:space="preserve"> CURED   </t>
          </r>
          <r>
            <rPr>
              <rFont val="Segoe UI"/>
              <color rgb="FF003DA5"/>
              <sz val="10"/>
            </rPr>
            <t xml:space="preserve">●</t>
          </r>
          <r>
            <rPr>
              <rFont val="Segoe UI"/>
              <color rgb="FF334155"/>
              <sz val="8"/>
            </rPr>
            <t xml:space="preserve"> sans alerte</t>
          </r>
        </is>
      </c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</row>
  </sheetData>
  <mergeCells count="114">
    <mergeCell ref="A1:R1"/>
    <mergeCell ref="S1:X1"/>
    <mergeCell ref="A2:O6"/>
    <mergeCell ref="P2:X2"/>
    <mergeCell ref="P3:X3"/>
    <mergeCell ref="P4:X4"/>
    <mergeCell ref="P5:X5"/>
    <mergeCell ref="P6:X6"/>
    <mergeCell ref="A8:D8"/>
    <mergeCell ref="E8:H8"/>
    <mergeCell ref="I8:L8"/>
    <mergeCell ref="M8:P8"/>
    <mergeCell ref="Q8:T8"/>
    <mergeCell ref="U8:X8"/>
    <mergeCell ref="A10:F10"/>
    <mergeCell ref="G10:L10"/>
    <mergeCell ref="M10:R10"/>
    <mergeCell ref="S10:X10"/>
    <mergeCell ref="A13:D13"/>
    <mergeCell ref="A14:D15"/>
    <mergeCell ref="A16:D16"/>
    <mergeCell ref="A17:B17"/>
    <mergeCell ref="C17:D17"/>
    <mergeCell ref="A18:D18"/>
    <mergeCell ref="F13:I13"/>
    <mergeCell ref="F14:I15"/>
    <mergeCell ref="F16:I16"/>
    <mergeCell ref="F17:G17"/>
    <mergeCell ref="H17:I17"/>
    <mergeCell ref="F18:I18"/>
    <mergeCell ref="K13:N13"/>
    <mergeCell ref="K14:N15"/>
    <mergeCell ref="K16:N16"/>
    <mergeCell ref="K17:L17"/>
    <mergeCell ref="M17:N17"/>
    <mergeCell ref="K18:N18"/>
    <mergeCell ref="P13:S13"/>
    <mergeCell ref="P14:S15"/>
    <mergeCell ref="P16:S16"/>
    <mergeCell ref="P17:Q17"/>
    <mergeCell ref="R17:S17"/>
    <mergeCell ref="P18:S18"/>
    <mergeCell ref="U13:X13"/>
    <mergeCell ref="U14:X15"/>
    <mergeCell ref="U16:X16"/>
    <mergeCell ref="U17:V17"/>
    <mergeCell ref="W17:X17"/>
    <mergeCell ref="U18:X18"/>
    <mergeCell ref="A21:I21"/>
    <mergeCell ref="A22:I22"/>
    <mergeCell ref="A23:I23"/>
    <mergeCell ref="K21:S21"/>
    <mergeCell ref="K22:S22"/>
    <mergeCell ref="K23:S23"/>
    <mergeCell ref="A25:X25"/>
    <mergeCell ref="A26:E26"/>
    <mergeCell ref="F26:J26"/>
    <mergeCell ref="K26:O26"/>
    <mergeCell ref="P26:T26"/>
    <mergeCell ref="U26:X26"/>
    <mergeCell ref="A27:E27"/>
    <mergeCell ref="F27:J27"/>
    <mergeCell ref="K27:O27"/>
    <mergeCell ref="P27:T27"/>
    <mergeCell ref="U27:X27"/>
    <mergeCell ref="A28:E28"/>
    <mergeCell ref="F28:J28"/>
    <mergeCell ref="K28:O28"/>
    <mergeCell ref="P28:T28"/>
    <mergeCell ref="U28:X28"/>
    <mergeCell ref="A29:E29"/>
    <mergeCell ref="F29:J29"/>
    <mergeCell ref="K29:O29"/>
    <mergeCell ref="P29:T29"/>
    <mergeCell ref="U29:X29"/>
    <mergeCell ref="A30:E30"/>
    <mergeCell ref="F30:J30"/>
    <mergeCell ref="K30:O30"/>
    <mergeCell ref="P30:T30"/>
    <mergeCell ref="U30:X30"/>
    <mergeCell ref="A31:E31"/>
    <mergeCell ref="F31:J31"/>
    <mergeCell ref="K31:O31"/>
    <mergeCell ref="P31:T31"/>
    <mergeCell ref="U31:X31"/>
    <mergeCell ref="A33:X33"/>
    <mergeCell ref="R35:U35"/>
    <mergeCell ref="V35:W35"/>
    <mergeCell ref="R36:U36"/>
    <mergeCell ref="V36:W36"/>
    <mergeCell ref="R37:U37"/>
    <mergeCell ref="V37:W37"/>
    <mergeCell ref="R38:U38"/>
    <mergeCell ref="V38:W38"/>
    <mergeCell ref="R39:U39"/>
    <mergeCell ref="V39:W39"/>
    <mergeCell ref="R40:U40"/>
    <mergeCell ref="V40:W40"/>
    <mergeCell ref="R41:U41"/>
    <mergeCell ref="V41:W41"/>
    <mergeCell ref="R42:U42"/>
    <mergeCell ref="V42:W42"/>
    <mergeCell ref="R43:U43"/>
    <mergeCell ref="V43:W43"/>
    <mergeCell ref="R44:U44"/>
    <mergeCell ref="V44:W44"/>
    <mergeCell ref="R34:U34"/>
    <mergeCell ref="V34:W34"/>
    <mergeCell ref="A51:L51"/>
    <mergeCell ref="M51:X51"/>
    <mergeCell ref="A66:L66"/>
    <mergeCell ref="M66:X66"/>
    <mergeCell ref="A81:X81"/>
    <mergeCell ref="A101:X101"/>
  </mergeCells>
  <conditionalFormatting sqref="X35:X44">
    <cfRule type="dataBar" priority="1">
      <dataBar>
        <cfvo type="num" val="0"/>
        <cfvo type="max"/>
        <color rgb="FFC8A951"/>
      </dataBar>
    </cfRule>
  </conditionalFormatting>
  <hyperlinks>
    <hyperlink ref="A8" location="'EXECUTIVE'!A1" display="EXECUTIVE"/>
    <hyperlink ref="E8" location="'RISK'!A1" display="RISK"/>
    <hyperlink ref="I8" location="'MOVEMENT'!A1" display="MOVEMENT"/>
    <hyperlink ref="Q8" location="'INSIGHTS'!A1" display="INSIGHTS"/>
    <hyperlink ref="U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&amp;L&amp;8&amp;K64748BCONCENTRATION · INTERNAL USE ONLY&amp;R&amp;8&amp;K64748BPage &amp;P / &amp;N</oddFooter>
  </headerFooter>
  <rowBreaks count="2" manualBreakCount="2">
    <brk id="50" max="16383" man="1"/>
    <brk id="8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8A951"/>
    <pageSetUpPr fitToPage="1"/>
  </sheetPr>
  <dimension ref="A1:X42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1.6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  <col min="25" max="25" width="1.6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INSIGHTS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T1" s="2"/>
      <c r="U1" s="2"/>
      <c r="V1" s="2"/>
      <c r="W1" s="2"/>
      <c r="X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INSIGHTS
</t>
          </r>
          <r>
            <rPr>
              <rFont val="Segoe UI"/>
              <color rgb="FFC7D7F5"/>
              <sz val="10.5"/>
            </rPr>
            <t xml:space="preserve">Lecture éditoriale de l'arrêté · chaque chiffre est calculé sur les données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REPORTING DATE</t>
        </is>
      </c>
      <c r="Q3" s="5"/>
      <c r="R3" s="5"/>
      <c r="S3" s="5"/>
      <c r="T3" s="5"/>
      <c r="U3" s="5"/>
      <c r="V3" s="5"/>
      <c r="W3" s="5"/>
      <c r="X3" s="5"/>
    </row>
    <row r="4" ht="3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inlineStr">
        <is>
          <t xml:space="preserve">30 SEPTEMBER 2026</t>
        </is>
      </c>
      <c r="Q4" s="6"/>
      <c r="R4" s="6"/>
      <c r="S4" s="6"/>
      <c r="T4" s="6"/>
      <c r="U4" s="6"/>
      <c r="V4" s="6"/>
      <c r="W4" s="6"/>
      <c r="X4" s="6"/>
    </row>
    <row r="5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 t="inlineStr">
        <is>
          <t xml:space="preserve">PORTFOLIO MONITORING</t>
        </is>
      </c>
      <c r="Q5" s="7"/>
      <c r="R5" s="7"/>
      <c r="S5" s="7"/>
      <c r="T5" s="7"/>
      <c r="U5" s="7"/>
      <c r="V5" s="7"/>
      <c r="W5" s="7"/>
      <c r="X5" s="7"/>
    </row>
    <row r="6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 t="inlineStr">
        <is>
          <t xml:space="preserve">Portefeuille Ecobank Sénégal · 700 clients · 2 500 lignes ACTE 7</t>
        </is>
      </c>
      <c r="Q6" s="8"/>
      <c r="R6" s="8"/>
      <c r="S6" s="8"/>
      <c r="T6" s="8"/>
      <c r="U6" s="8"/>
      <c r="V6" s="8"/>
      <c r="W6" s="8"/>
      <c r="X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◆  </t>
          </r>
          <r>
            <rPr>
              <rFont val="Segoe UI"/>
              <b/>
              <color rgb="FF003DA5"/>
              <sz val="8.5"/>
            </rPr>
            <t xml:space="preserve">EXECUTIVE</t>
          </r>
        </is>
      </c>
      <c r="B8" s="11"/>
      <c r="C8" s="11"/>
      <c r="D8" s="11"/>
      <c r="E8" s="11" t="inlineStr">
        <is>
          <r>
            <rPr>
              <rFont val="Segoe UI"/>
              <color rgb="FF7C93C9"/>
              <sz val="8.5"/>
            </rPr>
            <t xml:space="preserve">▲  </t>
          </r>
          <r>
            <rPr>
              <rFont val="Segoe UI"/>
              <b/>
              <color rgb="FF003DA5"/>
              <sz val="8.5"/>
            </rPr>
            <t xml:space="preserve">RISK</t>
          </r>
        </is>
      </c>
      <c r="F8" s="11"/>
      <c r="G8" s="11"/>
      <c r="H8" s="11"/>
      <c r="I8" s="11" t="inlineStr">
        <is>
          <r>
            <rPr>
              <rFont val="Segoe UI"/>
              <color rgb="FF7C93C9"/>
              <sz val="8.5"/>
            </rPr>
            <t xml:space="preserve">⇅  </t>
          </r>
          <r>
            <rPr>
              <rFont val="Segoe UI"/>
              <b/>
              <color rgb="FF003DA5"/>
              <sz val="8.5"/>
            </rPr>
            <t xml:space="preserve">MOVEMENT</t>
          </r>
        </is>
      </c>
      <c r="J8" s="11"/>
      <c r="K8" s="11"/>
      <c r="L8" s="11"/>
      <c r="M8" s="11" t="inlineStr">
        <is>
          <r>
            <rPr>
              <rFont val="Segoe UI"/>
              <color rgb="FF7C93C9"/>
              <sz val="8.5"/>
            </rPr>
            <t xml:space="preserve">◎  </t>
          </r>
          <r>
            <rPr>
              <rFont val="Segoe UI"/>
              <b/>
              <color rgb="FF003DA5"/>
              <sz val="8.5"/>
            </rPr>
            <t xml:space="preserve">CONCENTRATION</t>
          </r>
        </is>
      </c>
      <c r="N8" s="11"/>
      <c r="O8" s="11"/>
      <c r="P8" s="11"/>
      <c r="Q8" s="10" t="inlineStr">
        <is>
          <r>
            <rPr>
              <rFont val="Segoe UI"/>
              <color rgb="FFC8A951"/>
              <sz val="8.5"/>
            </rPr>
            <t xml:space="preserve">✦  </t>
          </r>
          <r>
            <rPr>
              <rFont val="Segoe UI"/>
              <b/>
              <color rgb="FFFFFFFF"/>
              <sz val="8.5"/>
            </rPr>
            <t xml:space="preserve">INSIGHTS</t>
          </r>
        </is>
      </c>
      <c r="R8" s="10"/>
      <c r="S8" s="10"/>
      <c r="T8" s="10"/>
      <c r="U8" s="11" t="inlineStr">
        <is>
          <r>
            <rPr>
              <rFont val="Segoe UI"/>
              <color rgb="FF7C93C9"/>
              <sz val="8.5"/>
            </rPr>
            <t xml:space="preserve">§  </t>
          </r>
          <r>
            <rPr>
              <rFont val="Segoe UI"/>
              <b/>
              <color rgb="FF003DA5"/>
              <sz val="8.5"/>
            </rPr>
            <t xml:space="preserve">AUDIT</t>
          </r>
        </is>
      </c>
      <c r="V8" s="11"/>
      <c r="W8" s="11"/>
      <c r="X8" s="11"/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2"/>
      <c r="D10" s="12"/>
      <c r="E10" s="12"/>
      <c r="F10" s="12"/>
      <c r="G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H10" s="13"/>
      <c r="I10" s="13"/>
      <c r="J10" s="13"/>
      <c r="K10" s="13"/>
      <c r="L10" s="13"/>
      <c r="M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N10" s="13"/>
      <c r="O10" s="13"/>
      <c r="P10" s="13"/>
      <c r="Q10" s="13"/>
      <c r="R10" s="13"/>
      <c r="S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T10" s="13"/>
      <c r="U10" s="13"/>
      <c r="V10" s="13"/>
      <c r="W10" s="13"/>
      <c r="X10" s="13"/>
    </row>
    <row r="11" ht="10" customHeight="1"/>
    <row r="12" ht="8" customHeight="1">
      <c r="A12" s="222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</row>
    <row r="13" ht="30" customHeight="1">
      <c r="A13" s="223" t="inlineStr">
        <is>
          <t xml:space="preserve">01</t>
        </is>
      </c>
      <c r="B13" s="223"/>
      <c r="C13" s="223"/>
      <c r="D13" s="224" t="inlineStr">
        <is>
          <t xml:space="preserve">IMPAYÉS EN HAUSSE</t>
        </is>
      </c>
      <c r="E13" s="224"/>
      <c r="F13" s="224"/>
      <c r="G13" s="224"/>
      <c r="H13" s="224"/>
      <c r="I13" s="224"/>
      <c r="J13" s="224"/>
      <c r="K13" s="224"/>
      <c r="L13" s="20"/>
      <c r="M13" s="223" t="inlineStr">
        <is>
          <t xml:space="preserve">02</t>
        </is>
      </c>
      <c r="N13" s="223"/>
      <c r="O13" s="223"/>
      <c r="P13" s="224" t="inlineStr">
        <is>
          <t xml:space="preserve">CONCENTRATION</t>
        </is>
      </c>
      <c r="Q13" s="224"/>
      <c r="R13" s="224"/>
      <c r="S13" s="224"/>
      <c r="T13" s="224"/>
      <c r="U13" s="224"/>
      <c r="V13" s="224"/>
      <c r="W13" s="224"/>
      <c r="X13" s="20"/>
    </row>
    <row r="14" ht="26" customHeight="1">
      <c r="A14" s="223"/>
      <c r="B14" s="223"/>
      <c r="C14" s="223"/>
      <c r="D14" s="225" t="inlineStr">
        <is>
          <t xml:space="preserve">+333,3 M XOF</t>
        </is>
      </c>
      <c r="E14" s="225"/>
      <c r="F14" s="225"/>
      <c r="G14" s="225"/>
      <c r="H14" s="225"/>
      <c r="I14" s="225"/>
      <c r="J14" s="225"/>
      <c r="K14" s="225"/>
      <c r="L14" s="20"/>
      <c r="M14" s="223"/>
      <c r="N14" s="223"/>
      <c r="O14" s="223"/>
      <c r="P14" s="232" t="inlineStr">
        <is>
          <t xml:space="preserve">TOP 10 = 8,3 %</t>
        </is>
      </c>
      <c r="Q14" s="232"/>
      <c r="R14" s="232"/>
      <c r="S14" s="232"/>
      <c r="T14" s="232"/>
      <c r="U14" s="232"/>
      <c r="V14" s="232"/>
      <c r="W14" s="232"/>
      <c r="X14" s="20"/>
    </row>
    <row r="15" ht="44" customHeight="1">
      <c r="A15" s="226"/>
      <c r="B15" s="226"/>
      <c r="C15" s="226"/>
      <c r="D15" s="227" t="inlineStr">
        <is>
          <t xml:space="preserve">Les impayés passent de 31,56 Md à 31,89 Md XOF depuis le 31/08/2026. Nouveaux impayés : 8,5 M (3 % des hausses) ; régularisations : 0 ; remboursements partiels : 0.</t>
        </is>
      </c>
      <c r="E15" s="227"/>
      <c r="F15" s="227"/>
      <c r="G15" s="227"/>
      <c r="H15" s="227"/>
      <c r="I15" s="227"/>
      <c r="J15" s="227"/>
      <c r="K15" s="227"/>
      <c r="L15" s="20"/>
      <c r="M15" s="226"/>
      <c r="N15" s="226"/>
      <c r="O15" s="226"/>
      <c r="P15" s="227" t="inlineStr">
        <is>
          <t xml:space="preserve">Les 10 premiers clients portent 70,74 Md XOF sur 850,39 Md. Premier client : SOCIETE 0378 (1,0 %). Premier segment : X (100 %).</t>
        </is>
      </c>
      <c r="Q15" s="227"/>
      <c r="R15" s="227"/>
      <c r="S15" s="227"/>
      <c r="T15" s="227"/>
      <c r="U15" s="227"/>
      <c r="V15" s="227"/>
      <c r="W15" s="227"/>
      <c r="X15" s="20"/>
    </row>
    <row r="16" ht="8" customHeight="1">
      <c r="A16" s="229"/>
      <c r="B16" s="228"/>
      <c r="C16" s="228"/>
      <c r="D16" s="228"/>
      <c r="E16" s="228"/>
      <c r="F16" s="228"/>
      <c r="G16" s="228"/>
      <c r="H16" s="228"/>
      <c r="I16" s="228"/>
      <c r="J16" s="228"/>
      <c r="K16" s="230"/>
      <c r="L16" s="20"/>
      <c r="M16" s="229"/>
      <c r="N16" s="228"/>
      <c r="O16" s="228"/>
      <c r="P16" s="228"/>
      <c r="Q16" s="228"/>
      <c r="R16" s="228"/>
      <c r="S16" s="228"/>
      <c r="T16" s="228"/>
      <c r="U16" s="228"/>
      <c r="V16" s="228"/>
      <c r="W16" s="230"/>
      <c r="X16" s="20"/>
    </row>
    <row r="17" ht="8" customHeight="1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0"/>
    </row>
    <row r="19" ht="8" customHeight="1">
      <c r="A19" s="233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</row>
    <row r="20" ht="30" customHeight="1">
      <c r="A20" s="223" t="inlineStr">
        <is>
          <t xml:space="preserve">03</t>
        </is>
      </c>
      <c r="B20" s="223"/>
      <c r="C20" s="223"/>
      <c r="D20" s="224" t="inlineStr">
        <is>
          <t xml:space="preserve">MIGRATION</t>
        </is>
      </c>
      <c r="E20" s="224"/>
      <c r="F20" s="224"/>
      <c r="G20" s="224"/>
      <c r="H20" s="224"/>
      <c r="I20" s="224"/>
      <c r="J20" s="224"/>
      <c r="K20" s="224"/>
      <c r="L20" s="20"/>
      <c r="M20" s="223" t="inlineStr">
        <is>
          <t xml:space="preserve">04</t>
        </is>
      </c>
      <c r="N20" s="223"/>
      <c r="O20" s="223"/>
      <c r="P20" s="224" t="inlineStr">
        <is>
          <t xml:space="preserve">ACTION</t>
        </is>
      </c>
      <c r="Q20" s="224"/>
      <c r="R20" s="224"/>
      <c r="S20" s="224"/>
      <c r="T20" s="224"/>
      <c r="U20" s="224"/>
      <c r="V20" s="224"/>
      <c r="W20" s="224"/>
      <c r="X20" s="20"/>
    </row>
    <row r="21" ht="26" customHeight="1">
      <c r="A21" s="223"/>
      <c r="B21" s="223"/>
      <c r="C21" s="223"/>
      <c r="D21" s="234" t="inlineStr">
        <is>
          <t xml:space="preserve">9 dossiers</t>
        </is>
      </c>
      <c r="E21" s="234"/>
      <c r="F21" s="234"/>
      <c r="G21" s="234"/>
      <c r="H21" s="234"/>
      <c r="I21" s="234"/>
      <c r="J21" s="234"/>
      <c r="K21" s="234"/>
      <c r="L21" s="20"/>
      <c r="M21" s="223"/>
      <c r="N21" s="223"/>
      <c r="O21" s="223"/>
      <c r="P21" s="225" t="inlineStr">
        <is>
          <t xml:space="preserve">54 dossiers</t>
        </is>
      </c>
      <c r="Q21" s="225"/>
      <c r="R21" s="225"/>
      <c r="S21" s="225"/>
      <c r="T21" s="225"/>
      <c r="U21" s="225"/>
      <c r="V21" s="225"/>
      <c r="W21" s="225"/>
      <c r="X21" s="20"/>
    </row>
    <row r="22" ht="44" customHeight="1">
      <c r="A22" s="226"/>
      <c r="B22" s="226"/>
      <c r="C22" s="226"/>
      <c r="D22" s="227" t="inlineStr">
        <is>
          <t xml:space="preserve">9 clients ont migré vers une tranche d'impayé plus dégradée (1,3 % des clients suivis), dont 6 au-delà de 90 jours ou en Stage 3 pour 3,49 Md XOF d'encours.</t>
        </is>
      </c>
      <c r="E22" s="227"/>
      <c r="F22" s="227"/>
      <c r="G22" s="227"/>
      <c r="H22" s="227"/>
      <c r="I22" s="227"/>
      <c r="J22" s="227"/>
      <c r="K22" s="227"/>
      <c r="L22" s="20"/>
      <c r="M22" s="226"/>
      <c r="N22" s="226"/>
      <c r="O22" s="226"/>
      <c r="P22" s="227" t="inlineStr">
        <is>
          <t xml:space="preserve">6 dossiers critiques (3,49 Md XOF) et 48 en priorité haute nécessitent une intervention. Premier dossier : SOCIETE 0450 (3,03 Md, 304 j).</t>
        </is>
      </c>
      <c r="Q22" s="227"/>
      <c r="R22" s="227"/>
      <c r="S22" s="227"/>
      <c r="T22" s="227"/>
      <c r="U22" s="227"/>
      <c r="V22" s="227"/>
      <c r="W22" s="227"/>
      <c r="X22" s="20"/>
    </row>
    <row r="23" ht="8" customHeight="1">
      <c r="A23" s="229"/>
      <c r="B23" s="228"/>
      <c r="C23" s="228"/>
      <c r="D23" s="228"/>
      <c r="E23" s="228"/>
      <c r="F23" s="228"/>
      <c r="G23" s="228"/>
      <c r="H23" s="228"/>
      <c r="I23" s="228"/>
      <c r="J23" s="228"/>
      <c r="K23" s="230"/>
      <c r="L23" s="20"/>
      <c r="M23" s="229"/>
      <c r="N23" s="228"/>
      <c r="O23" s="228"/>
      <c r="P23" s="228"/>
      <c r="Q23" s="228"/>
      <c r="R23" s="228"/>
      <c r="S23" s="228"/>
      <c r="T23" s="228"/>
      <c r="U23" s="228"/>
      <c r="V23" s="228"/>
      <c r="W23" s="230"/>
      <c r="X23" s="20"/>
    </row>
    <row r="24" ht="8" customHeigh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0"/>
    </row>
    <row r="26" ht="8" customHeight="1">
      <c r="A26" s="235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</row>
    <row r="27" ht="30" customHeight="1">
      <c r="A27" s="223" t="inlineStr">
        <is>
          <t xml:space="preserve">05</t>
        </is>
      </c>
      <c r="B27" s="223"/>
      <c r="C27" s="223"/>
      <c r="D27" s="224" t="inlineStr">
        <is>
          <t xml:space="preserve">STAGE 2 &amp; 3</t>
        </is>
      </c>
      <c r="E27" s="224"/>
      <c r="F27" s="224"/>
      <c r="G27" s="224"/>
      <c r="H27" s="224"/>
      <c r="I27" s="224"/>
      <c r="J27" s="224"/>
      <c r="K27" s="224"/>
      <c r="L27" s="20"/>
      <c r="M27" s="223" t="inlineStr">
        <is>
          <t xml:space="preserve">06</t>
        </is>
      </c>
      <c r="N27" s="223"/>
      <c r="O27" s="223"/>
      <c r="P27" s="224" t="inlineStr">
        <is>
          <t xml:space="preserve">RÉGULARISATIONS</t>
        </is>
      </c>
      <c r="Q27" s="224"/>
      <c r="R27" s="224"/>
      <c r="S27" s="224"/>
      <c r="T27" s="224"/>
      <c r="U27" s="224"/>
      <c r="V27" s="224"/>
      <c r="W27" s="224"/>
      <c r="X27" s="20"/>
    </row>
    <row r="28" ht="26" customHeight="1">
      <c r="A28" s="223"/>
      <c r="B28" s="223"/>
      <c r="C28" s="223"/>
      <c r="D28" s="236" t="inlineStr">
        <is>
          <t xml:space="preserve">583,23 Md XOF</t>
        </is>
      </c>
      <c r="E28" s="236"/>
      <c r="F28" s="236"/>
      <c r="G28" s="236"/>
      <c r="H28" s="236"/>
      <c r="I28" s="236"/>
      <c r="J28" s="236"/>
      <c r="K28" s="236"/>
      <c r="L28" s="20"/>
      <c r="M28" s="223"/>
      <c r="N28" s="223"/>
      <c r="O28" s="223"/>
      <c r="P28" s="238" t="inlineStr">
        <is>
          <t xml:space="preserve">0 dossiers</t>
        </is>
      </c>
      <c r="Q28" s="238"/>
      <c r="R28" s="238"/>
      <c r="S28" s="238"/>
      <c r="T28" s="238"/>
      <c r="U28" s="238"/>
      <c r="V28" s="238"/>
      <c r="W28" s="238"/>
      <c r="X28" s="20"/>
    </row>
    <row r="29" ht="44" customHeight="1">
      <c r="A29" s="226"/>
      <c r="B29" s="226"/>
      <c r="C29" s="226"/>
      <c r="D29" s="227" t="inlineStr">
        <is>
          <t xml:space="preserve">Stage 2 : 259,46 Md (30,5 % de l'encours) ; −947,9 M sur le mois. Stage 3 : 323,78 Md (38,1 %) ; +3,49 Md. Provisions : 37,32 Md XOF.</t>
        </is>
      </c>
      <c r="E29" s="227"/>
      <c r="F29" s="227"/>
      <c r="G29" s="227"/>
      <c r="H29" s="227"/>
      <c r="I29" s="227"/>
      <c r="J29" s="227"/>
      <c r="K29" s="227"/>
      <c r="L29" s="20"/>
      <c r="M29" s="226"/>
      <c r="N29" s="226"/>
      <c r="O29" s="226"/>
      <c r="P29" s="227" t="inlineStr">
        <is>
          <t xml:space="preserve">0 clients en impayé au 31/08/2026 sont revenus à jour, soit 0 XOF d'impayés résorbés.</t>
        </is>
      </c>
      <c r="Q29" s="227"/>
      <c r="R29" s="227"/>
      <c r="S29" s="227"/>
      <c r="T29" s="227"/>
      <c r="U29" s="227"/>
      <c r="V29" s="227"/>
      <c r="W29" s="227"/>
      <c r="X29" s="20"/>
    </row>
    <row r="30" ht="8" customHeight="1">
      <c r="A30" s="229"/>
      <c r="B30" s="228"/>
      <c r="C30" s="228"/>
      <c r="D30" s="228"/>
      <c r="E30" s="228"/>
      <c r="F30" s="228"/>
      <c r="G30" s="228"/>
      <c r="H30" s="228"/>
      <c r="I30" s="228"/>
      <c r="J30" s="228"/>
      <c r="K30" s="230"/>
      <c r="L30" s="20"/>
      <c r="M30" s="229"/>
      <c r="N30" s="228"/>
      <c r="O30" s="228"/>
      <c r="P30" s="228"/>
      <c r="Q30" s="228"/>
      <c r="R30" s="228"/>
      <c r="S30" s="228"/>
      <c r="T30" s="228"/>
      <c r="U30" s="228"/>
      <c r="V30" s="228"/>
      <c r="W30" s="230"/>
      <c r="X30" s="20"/>
    </row>
    <row r="31" ht="8" customHeight="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0"/>
    </row>
    <row r="33" ht="8" customHeight="1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</row>
    <row r="34" ht="30" customHeight="1">
      <c r="A34" s="223" t="inlineStr">
        <is>
          <t xml:space="preserve">07</t>
        </is>
      </c>
      <c r="B34" s="223"/>
      <c r="C34" s="223"/>
      <c r="D34" s="224" t="inlineStr">
        <is>
          <t xml:space="preserve">PROSPECTIF · JEV</t>
        </is>
      </c>
      <c r="E34" s="224"/>
      <c r="F34" s="224"/>
      <c r="G34" s="224"/>
      <c r="H34" s="224"/>
      <c r="I34" s="224"/>
      <c r="J34" s="224"/>
      <c r="K34" s="224"/>
      <c r="L34" s="20"/>
      <c r="M34" s="223" t="inlineStr">
        <is>
          <t xml:space="preserve">08</t>
        </is>
      </c>
      <c r="N34" s="223"/>
      <c r="O34" s="223"/>
      <c r="P34" s="224" t="inlineStr">
        <is>
          <t xml:space="preserve">TYPESAFE · RETOURS</t>
        </is>
      </c>
      <c r="Q34" s="224"/>
      <c r="R34" s="224"/>
      <c r="S34" s="224"/>
      <c r="T34" s="224"/>
      <c r="U34" s="224"/>
      <c r="V34" s="224"/>
      <c r="W34" s="224"/>
      <c r="X34" s="20"/>
    </row>
    <row r="35" ht="26" customHeight="1">
      <c r="A35" s="223"/>
      <c r="B35" s="223"/>
      <c r="C35" s="223"/>
      <c r="D35" s="240" t="inlineStr">
        <is>
          <t xml:space="preserve">PD 12M = 3,8 %</t>
        </is>
      </c>
      <c r="E35" s="240"/>
      <c r="F35" s="240"/>
      <c r="G35" s="240"/>
      <c r="H35" s="240"/>
      <c r="I35" s="240"/>
      <c r="J35" s="240"/>
      <c r="K35" s="240"/>
      <c r="L35" s="20"/>
      <c r="M35" s="223"/>
      <c r="N35" s="223"/>
      <c r="O35" s="223"/>
      <c r="P35" s="242" t="inlineStr">
        <is>
          <t xml:space="preserve">24 commentaires lus</t>
        </is>
      </c>
      <c r="Q35" s="242"/>
      <c r="R35" s="242"/>
      <c r="S35" s="242"/>
      <c r="T35" s="242"/>
      <c r="U35" s="242"/>
      <c r="V35" s="242"/>
      <c r="W35" s="242"/>
      <c r="X35" s="20"/>
    </row>
    <row r="36" ht="44" customHeight="1">
      <c r="A36" s="226"/>
      <c r="B36" s="226"/>
      <c r="C36" s="226"/>
      <c r="D36" s="227" t="inlineStr">
        <is>
          <t xml:space="preserve">Probabilité qu'un client sain aujourd'hui devienne douteux sous 12 mois (MARKOV, N = 17 850, 9 mois, confiance faible). Scénario sévère : 66,36 Md XOF d'entrées en douteux attendues (SIMULATED). Estimation indicative : historique insuffisant pour une calibration robuste.</t>
        </is>
      </c>
      <c r="E36" s="227"/>
      <c r="F36" s="227"/>
      <c r="G36" s="227"/>
      <c r="H36" s="227"/>
      <c r="I36" s="227"/>
      <c r="J36" s="227"/>
      <c r="K36" s="227"/>
      <c r="L36" s="20"/>
      <c r="M36" s="226"/>
      <c r="N36" s="226"/>
      <c r="O36" s="226"/>
      <c r="P36" s="227" t="inlineStr">
        <is>
          <t xml:space="preserve">8 dossiers en revue analyste (confiance faible ou incohérence), dont 0 par contrôle d'auto-cohérence ; 2 promesses tombent après la date de bascule. TypeSafe ne produit aucun chiffre.</t>
        </is>
      </c>
      <c r="Q36" s="227"/>
      <c r="R36" s="227"/>
      <c r="S36" s="227"/>
      <c r="T36" s="227"/>
      <c r="U36" s="227"/>
      <c r="V36" s="227"/>
      <c r="W36" s="227"/>
      <c r="X36" s="20"/>
    </row>
    <row r="37" ht="8" customHeight="1">
      <c r="A37" s="229"/>
      <c r="B37" s="228"/>
      <c r="C37" s="228"/>
      <c r="D37" s="228"/>
      <c r="E37" s="228"/>
      <c r="F37" s="228"/>
      <c r="G37" s="228"/>
      <c r="H37" s="228"/>
      <c r="I37" s="228"/>
      <c r="J37" s="228"/>
      <c r="K37" s="230"/>
      <c r="L37" s="20"/>
      <c r="M37" s="229"/>
      <c r="N37" s="228"/>
      <c r="O37" s="228"/>
      <c r="P37" s="228"/>
      <c r="Q37" s="228"/>
      <c r="R37" s="228"/>
      <c r="S37" s="228"/>
      <c r="T37" s="228"/>
      <c r="U37" s="228"/>
      <c r="V37" s="228"/>
      <c r="W37" s="230"/>
      <c r="X37" s="20"/>
    </row>
    <row r="38" ht="8" customHeight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0"/>
    </row>
    <row r="41" ht="24" customHeight="1">
      <c r="A41" s="75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TYPESAFE · RETOURS GESTIONNAIRES</t>
          </r>
          <r>
            <rPr>
              <rFont val="Segoe UI"/>
              <i/>
              <color rgb="FF64748B"/>
              <sz val="8"/>
            </rPr>
            <t xml:space="preserve">    jugements jev-latest sur les commentaires (aucun chiffre produit par TypeSafe)</t>
          </r>
        </is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</row>
    <row r="42" ht="22" customHeight="1">
      <c r="A42" s="243" t="inlineStr">
        <is>
          <t xml:space="preserve">24 retours lus · 8 en revue analyste · 2 promesses après la date de bascule · 3 sans commentaire</t>
        </is>
      </c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</row>
  </sheetData>
  <mergeCells count="60">
    <mergeCell ref="A1:R1"/>
    <mergeCell ref="S1:X1"/>
    <mergeCell ref="A2:O6"/>
    <mergeCell ref="P2:X2"/>
    <mergeCell ref="P3:X3"/>
    <mergeCell ref="P4:X4"/>
    <mergeCell ref="P5:X5"/>
    <mergeCell ref="P6:X6"/>
    <mergeCell ref="A8:D8"/>
    <mergeCell ref="E8:H8"/>
    <mergeCell ref="I8:L8"/>
    <mergeCell ref="M8:P8"/>
    <mergeCell ref="Q8:T8"/>
    <mergeCell ref="U8:X8"/>
    <mergeCell ref="A10:F10"/>
    <mergeCell ref="G10:L10"/>
    <mergeCell ref="M10:R10"/>
    <mergeCell ref="S10:X10"/>
    <mergeCell ref="A13:C14"/>
    <mergeCell ref="D13:K13"/>
    <mergeCell ref="D14:K14"/>
    <mergeCell ref="A15:C15"/>
    <mergeCell ref="D15:K15"/>
    <mergeCell ref="M13:O14"/>
    <mergeCell ref="P13:W13"/>
    <mergeCell ref="P14:W14"/>
    <mergeCell ref="M15:O15"/>
    <mergeCell ref="P15:W15"/>
    <mergeCell ref="A20:C21"/>
    <mergeCell ref="D20:K20"/>
    <mergeCell ref="D21:K21"/>
    <mergeCell ref="A22:C22"/>
    <mergeCell ref="D22:K22"/>
    <mergeCell ref="M20:O21"/>
    <mergeCell ref="P20:W20"/>
    <mergeCell ref="P21:W21"/>
    <mergeCell ref="M22:O22"/>
    <mergeCell ref="P22:W22"/>
    <mergeCell ref="A27:C28"/>
    <mergeCell ref="D27:K27"/>
    <mergeCell ref="D28:K28"/>
    <mergeCell ref="A29:C29"/>
    <mergeCell ref="D29:K29"/>
    <mergeCell ref="M27:O28"/>
    <mergeCell ref="P27:W27"/>
    <mergeCell ref="P28:W28"/>
    <mergeCell ref="M29:O29"/>
    <mergeCell ref="P29:W29"/>
    <mergeCell ref="A34:C35"/>
    <mergeCell ref="D34:K34"/>
    <mergeCell ref="D35:K35"/>
    <mergeCell ref="A36:C36"/>
    <mergeCell ref="D36:K36"/>
    <mergeCell ref="M34:O35"/>
    <mergeCell ref="P34:W34"/>
    <mergeCell ref="P35:W35"/>
    <mergeCell ref="M36:O36"/>
    <mergeCell ref="P36:W36"/>
    <mergeCell ref="A41:X41"/>
    <mergeCell ref="A42:X42"/>
  </mergeCells>
  <hyperlinks>
    <hyperlink ref="A8" location="'EXECUTIVE'!A1" display="EXECUTIVE"/>
    <hyperlink ref="E8" location="'RISK'!A1" display="RISK"/>
    <hyperlink ref="I8" location="'MOVEMENT'!A1" display="MOVEMENT"/>
    <hyperlink ref="M8" location="'CONCENTRATION'!A1" display="CONCENTRATION"/>
    <hyperlink ref="U8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&amp;L&amp;8&amp;K64748BINSIGHTS · INTERNAL USE ONLY&amp;R&amp;8&amp;K64748BPage &amp;P / &amp;N</oddFooter>
  </headerFooter>
  <rowBreaks count="1" manualBreakCount="1">
    <brk id="2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61"/>
  <sheetViews>
    <sheetView showGridLines="0" zoomScale="90" zoomScaleNormal="90" workbookViewId="0"/>
  </sheetViews>
  <sheetFormatPr defaultRowHeight="15"/>
  <cols>
    <col min="1" max="1" width="40" customWidth="1"/>
    <col min="2" max="2" width="24" customWidth="1"/>
    <col min="3" max="3" width="20" customWidth="1"/>
    <col min="4" max="4" width="34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</cols>
  <sheetData>
    <row r="1" ht="18" customHeight="1">
      <c r="A1" s="1" t="inlineStr">
        <is>
          <r>
            <rPr>
              <rFont val="Segoe UI"/>
              <color rgb="FFC8A951"/>
              <sz val="8"/>
            </rPr>
            <t xml:space="preserve">◆ </t>
          </r>
          <r>
            <rPr>
              <rFont val="Segoe UI"/>
              <b/>
              <color rgb="FFC8A951"/>
              <sz val="8.5"/>
            </rPr>
            <t xml:space="preserve">ECOBANK SÉNÉGAL</t>
          </r>
          <r>
            <rPr>
              <rFont val="Segoe UI"/>
              <color rgb="FF9DB4E0"/>
              <sz val="8"/>
            </rPr>
            <t xml:space="preserve">   ·   CREDIT RISK INTELLIGENCE   ·   </t>
          </r>
          <r>
            <rPr>
              <rFont val="Segoe UI"/>
              <b/>
              <color rgb="FFFFFFFF"/>
              <sz val="8"/>
            </rPr>
            <t xml:space="preserve">AUDIT</t>
          </r>
        </is>
      </c>
      <c r="B1" s="1"/>
      <c r="C1" s="1"/>
      <c r="D1" s="2" t="inlineStr">
        <is>
          <r>
            <rPr>
              <rFont val="Segoe UI"/>
              <color rgb="FF8EA6D6"/>
              <sz val="7.5"/>
            </rPr>
            <t xml:space="preserve">INTERNAL USE ONLY  ·  </t>
          </r>
          <r>
            <rPr>
              <rFont val="Segoe UI"/>
              <b/>
              <color rgb="FFC8A951"/>
              <sz val="7.5"/>
            </rPr>
            <t xml:space="preserve">RI 1.0</t>
          </r>
        </is>
      </c>
      <c r="E1" s="2"/>
      <c r="F1" s="2"/>
      <c r="G1" s="2"/>
      <c r="H1" s="2"/>
      <c r="I1" s="2"/>
    </row>
    <row r="2" ht="10" customHeight="1">
      <c r="A2" s="3" t="inlineStr">
        <is>
          <r>
            <rPr>
              <rFont val="Segoe UI"/>
              <b/>
              <color rgb="FFC8A951"/>
              <sz val="8.5"/>
            </rPr>
            <t xml:space="preserve">E C O B A N K   S É N É G A L
</t>
          </r>
          <r>
            <rPr>
              <rFont val="Segoe UI"/>
              <b/>
              <color rgb="FFFFFFFF"/>
              <sz val="26"/>
            </rPr>
            <t xml:space="preserve">AUDIT REPORT
</t>
          </r>
          <r>
            <rPr>
              <rFont val="Segoe UI"/>
              <color rgb="FFC7D7F5"/>
              <sz val="10.5"/>
            </rPr>
            <t xml:space="preserve">Traçabilité, contrôles automatiques et provenance</t>
          </r>
        </is>
      </c>
      <c r="B2" s="3"/>
      <c r="C2" s="3"/>
      <c r="D2" s="3"/>
      <c r="E2" s="3"/>
      <c r="F2" s="3"/>
      <c r="G2" s="4"/>
      <c r="H2" s="4"/>
      <c r="I2" s="4"/>
    </row>
    <row r="3" ht="16" customHeight="1">
      <c r="A3" s="3"/>
      <c r="B3" s="3"/>
      <c r="C3" s="3"/>
      <c r="D3" s="3"/>
      <c r="E3" s="3"/>
      <c r="F3" s="3"/>
      <c r="G3" s="5" t="inlineStr">
        <is>
          <t xml:space="preserve">REPORTING DATE</t>
        </is>
      </c>
      <c r="H3" s="5"/>
      <c r="I3" s="5"/>
    </row>
    <row r="4" ht="38" customHeight="1">
      <c r="A4" s="3"/>
      <c r="B4" s="3"/>
      <c r="C4" s="3"/>
      <c r="D4" s="3"/>
      <c r="E4" s="3"/>
      <c r="F4" s="3"/>
      <c r="G4" s="6" t="inlineStr">
        <is>
          <t xml:space="preserve">30 SEPTEMBER 2026</t>
        </is>
      </c>
      <c r="H4" s="6"/>
      <c r="I4" s="6"/>
    </row>
    <row r="5" ht="20" customHeight="1">
      <c r="A5" s="3"/>
      <c r="B5" s="3"/>
      <c r="C5" s="3"/>
      <c r="D5" s="3"/>
      <c r="E5" s="3"/>
      <c r="F5" s="3"/>
      <c r="G5" s="7" t="inlineStr">
        <is>
          <t xml:space="preserve">PORTFOLIO MONITORING</t>
        </is>
      </c>
      <c r="H5" s="7"/>
      <c r="I5" s="7"/>
    </row>
    <row r="6" ht="15" customHeight="1">
      <c r="A6" s="3"/>
      <c r="B6" s="3"/>
      <c r="C6" s="3"/>
      <c r="D6" s="3"/>
      <c r="E6" s="3"/>
      <c r="F6" s="3"/>
      <c r="G6" s="8" t="inlineStr">
        <is>
          <t xml:space="preserve">Portefeuille Ecobank Sénégal · 700 clients · 2 500 lignes ACTE 7</t>
        </is>
      </c>
      <c r="H6" s="8"/>
      <c r="I6" s="8"/>
    </row>
    <row r="7" ht="2.5" customHeight="1">
      <c r="A7" s="9"/>
      <c r="B7" s="9"/>
      <c r="C7" s="9"/>
      <c r="D7" s="9"/>
      <c r="E7" s="9"/>
      <c r="F7" s="9"/>
      <c r="G7" s="9"/>
      <c r="H7" s="9"/>
      <c r="I7" s="9"/>
    </row>
    <row r="8" ht="23" customHeight="1">
      <c r="A8" s="11" t="inlineStr">
        <is>
          <r>
            <rPr>
              <rFont val="Segoe UI"/>
              <color rgb="FF7C93C9"/>
              <sz val="8.5"/>
            </rPr>
            <t xml:space="preserve">◆  </t>
          </r>
          <r>
            <rPr>
              <rFont val="Segoe UI"/>
              <b/>
              <color rgb="FF003DA5"/>
              <sz val="8.5"/>
            </rPr>
            <t xml:space="preserve">EXECUTIVE</t>
          </r>
        </is>
      </c>
      <c r="B8" s="11"/>
      <c r="C8" s="11" t="inlineStr">
        <is>
          <r>
            <rPr>
              <rFont val="Segoe UI"/>
              <color rgb="FF7C93C9"/>
              <sz val="8.5"/>
            </rPr>
            <t xml:space="preserve">▲  </t>
          </r>
          <r>
            <rPr>
              <rFont val="Segoe UI"/>
              <b/>
              <color rgb="FF003DA5"/>
              <sz val="8.5"/>
            </rPr>
            <t xml:space="preserve">RISK</t>
          </r>
        </is>
      </c>
      <c r="D8" s="11" t="inlineStr">
        <is>
          <r>
            <rPr>
              <rFont val="Segoe UI"/>
              <color rgb="FF7C93C9"/>
              <sz val="8.5"/>
            </rPr>
            <t xml:space="preserve">⇅  </t>
          </r>
          <r>
            <rPr>
              <rFont val="Segoe UI"/>
              <b/>
              <color rgb="FF003DA5"/>
              <sz val="8.5"/>
            </rPr>
            <t xml:space="preserve">MOVEMENT</t>
          </r>
        </is>
      </c>
      <c r="E8" s="11"/>
      <c r="F8" s="11" t="inlineStr">
        <is>
          <r>
            <rPr>
              <rFont val="Segoe UI"/>
              <color rgb="FF7C93C9"/>
              <sz val="8.5"/>
            </rPr>
            <t xml:space="preserve">◎  </t>
          </r>
          <r>
            <rPr>
              <rFont val="Segoe UI"/>
              <b/>
              <color rgb="FF003DA5"/>
              <sz val="8.5"/>
            </rPr>
            <t xml:space="preserve">CONCENTRATION</t>
          </r>
        </is>
      </c>
      <c r="G8" s="11" t="inlineStr">
        <is>
          <r>
            <rPr>
              <rFont val="Segoe UI"/>
              <color rgb="FF7C93C9"/>
              <sz val="8.5"/>
            </rPr>
            <t xml:space="preserve">✦  </t>
          </r>
          <r>
            <rPr>
              <rFont val="Segoe UI"/>
              <b/>
              <color rgb="FF003DA5"/>
              <sz val="8.5"/>
            </rPr>
            <t xml:space="preserve">INSIGHTS</t>
          </r>
        </is>
      </c>
      <c r="H8" s="11"/>
      <c r="I8" s="10" t="inlineStr">
        <is>
          <r>
            <rPr>
              <rFont val="Segoe UI"/>
              <color rgb="FFC8A951"/>
              <sz val="8.5"/>
            </rPr>
            <t xml:space="preserve">§  </t>
          </r>
          <r>
            <rPr>
              <rFont val="Segoe UI"/>
              <b/>
              <color rgb="FFFFFFFF"/>
              <sz val="8.5"/>
            </rPr>
            <t xml:space="preserve">AUDIT</t>
          </r>
        </is>
      </c>
    </row>
    <row r="9" ht="5" customHeight="1"/>
    <row r="10" ht="19" customHeight="1">
      <c r="A10" s="12" t="inlineStr">
        <is>
          <r>
            <rPr>
              <rFont val="Segoe UI"/>
              <color rgb="FFF97316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PORTFOLIO STATUS  </t>
          </r>
          <r>
            <rPr>
              <rFont val="Segoe UI"/>
              <b/>
              <color rgb="FF001B4D"/>
              <sz val="8.5"/>
            </rPr>
            <t xml:space="preserve">VIGILANCE</t>
          </r>
        </is>
      </c>
      <c r="B10" s="12"/>
      <c r="C10" s="13" t="inlineStr">
        <is>
          <r>
            <rPr>
              <rFont val="Segoe UI"/>
              <color rgb="FFF59E0B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JEV · PD 12M  </t>
          </r>
          <r>
            <rPr>
              <rFont val="Segoe UI"/>
              <b/>
              <color rgb="FF001B4D"/>
              <sz val="8.5"/>
            </rPr>
            <t xml:space="preserve">3,8 % · MARKOV</t>
          </r>
        </is>
      </c>
      <c r="D10" s="13"/>
      <c r="E10" s="13"/>
      <c r="F10" s="13" t="inlineStr">
        <is>
          <r>
            <rPr>
              <rFont val="Segoe UI"/>
              <color rgb="FF06B6D4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TYPESAFE  </t>
          </r>
          <r>
            <rPr>
              <rFont val="Segoe UI"/>
              <b/>
              <color rgb="FF001B4D"/>
              <sz val="8.5"/>
            </rPr>
            <t xml:space="preserve">24 retours · 8 en revue</t>
          </r>
        </is>
      </c>
      <c r="G10" s="13"/>
      <c r="H10" s="13" t="inlineStr">
        <is>
          <r>
            <rPr>
              <rFont val="Segoe UI"/>
              <color rgb="FF16A34A"/>
              <sz val="9"/>
            </rPr>
            <t xml:space="preserve">● </t>
          </r>
          <r>
            <rPr>
              <rFont val="Segoe UI"/>
              <b/>
              <color rgb="FF64748B"/>
              <sz val="7"/>
            </rPr>
            <t xml:space="preserve">CONTRÔLES  </t>
          </r>
          <r>
            <rPr>
              <rFont val="Segoe UI"/>
              <b/>
              <color rgb="FF001B4D"/>
              <sz val="8.5"/>
            </rPr>
            <t xml:space="preserve">10 / 10 conformes</t>
          </r>
        </is>
      </c>
      <c r="I10" s="13"/>
    </row>
    <row r="11" ht="10" customHeight="1"/>
    <row r="12" ht="24" customHeight="1">
      <c r="A12" s="73" t="inlineStr">
        <is>
          <r>
            <rPr>
              <rFont val="Segoe UI"/>
              <b/>
              <color rgb="FFC8A951"/>
              <sz val="11"/>
            </rPr>
            <t xml:space="preserve">01  </t>
          </r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i/>
              <color rgb="FF64748B"/>
              <sz val="8"/>
            </rPr>
            <t xml:space="preserve">    arrêtés utilisés · source canonique unique</t>
          </r>
        </is>
      </c>
      <c r="B12" s="73"/>
      <c r="C12" s="73"/>
      <c r="D12" s="73"/>
      <c r="E12" s="73"/>
      <c r="F12" s="73"/>
      <c r="G12" s="73"/>
      <c r="H12" s="73"/>
      <c r="I12" s="73"/>
    </row>
    <row r="13" ht="30" customHeight="1">
      <c r="A13" s="209" t="inlineStr">
        <is>
          <t xml:space="preserve">Arrêté</t>
        </is>
      </c>
      <c r="B13" s="209" t="inlineStr">
        <is>
          <t xml:space="preserve">Fichier</t>
        </is>
      </c>
      <c r="C13" s="209" t="inlineStr">
        <is>
          <t xml:space="preserve">Clients</t>
        </is>
      </c>
      <c r="D13" s="209" t="inlineStr">
        <is>
          <t xml:space="preserve">Usage</t>
        </is>
      </c>
    </row>
    <row r="14" ht="19" customHeight="1">
      <c r="A14" s="244" t="inlineStr">
        <is>
          <t xml:space="preserve">31/01/2026</t>
        </is>
      </c>
      <c r="B14" s="244" t="inlineStr">
        <is>
          <t xml:space="preserve">M_01.xlsx</t>
        </is>
      </c>
      <c r="C14" s="244" t="inlineStr">
        <is>
          <t xml:space="preserve">700</t>
        </is>
      </c>
      <c r="D14" s="244" t="inlineStr">
        <is>
          <t xml:space="preserve">Tendances et sparklines</t>
        </is>
      </c>
    </row>
    <row r="15" ht="19" customHeight="1">
      <c r="A15" s="245" t="inlineStr">
        <is>
          <t xml:space="preserve">28/02/2026</t>
        </is>
      </c>
      <c r="B15" s="245" t="inlineStr">
        <is>
          <t xml:space="preserve">M_02.xlsx</t>
        </is>
      </c>
      <c r="C15" s="245" t="inlineStr">
        <is>
          <t xml:space="preserve">700</t>
        </is>
      </c>
      <c r="D15" s="245" t="inlineStr">
        <is>
          <t xml:space="preserve">Tendances et sparklines</t>
        </is>
      </c>
    </row>
    <row r="16" ht="19" customHeight="1">
      <c r="A16" s="244" t="inlineStr">
        <is>
          <t xml:space="preserve">31/03/2026</t>
        </is>
      </c>
      <c r="B16" s="244" t="inlineStr">
        <is>
          <t xml:space="preserve">M_03.xlsx</t>
        </is>
      </c>
      <c r="C16" s="244" t="inlineStr">
        <is>
          <t xml:space="preserve">700</t>
        </is>
      </c>
      <c r="D16" s="244" t="inlineStr">
        <is>
          <t xml:space="preserve">Tendances et sparklines</t>
        </is>
      </c>
    </row>
    <row r="17" ht="19" customHeight="1">
      <c r="A17" s="245" t="inlineStr">
        <is>
          <t xml:space="preserve">30/04/2026</t>
        </is>
      </c>
      <c r="B17" s="245" t="inlineStr">
        <is>
          <t xml:space="preserve">M_04.xlsx</t>
        </is>
      </c>
      <c r="C17" s="245" t="inlineStr">
        <is>
          <t xml:space="preserve">700</t>
        </is>
      </c>
      <c r="D17" s="245" t="inlineStr">
        <is>
          <t xml:space="preserve">Tendances et sparklines</t>
        </is>
      </c>
    </row>
    <row r="18" ht="19" customHeight="1">
      <c r="A18" s="244" t="inlineStr">
        <is>
          <t xml:space="preserve">31/05/2026</t>
        </is>
      </c>
      <c r="B18" s="244" t="inlineStr">
        <is>
          <t xml:space="preserve">M_05.xlsx</t>
        </is>
      </c>
      <c r="C18" s="244" t="inlineStr">
        <is>
          <t xml:space="preserve">700</t>
        </is>
      </c>
      <c r="D18" s="244" t="inlineStr">
        <is>
          <t xml:space="preserve">Tendances et sparklines</t>
        </is>
      </c>
    </row>
    <row r="19" ht="19" customHeight="1">
      <c r="A19" s="245" t="inlineStr">
        <is>
          <t xml:space="preserve">30/06/2026</t>
        </is>
      </c>
      <c r="B19" s="245" t="inlineStr">
        <is>
          <t xml:space="preserve">M_06.xlsx</t>
        </is>
      </c>
      <c r="C19" s="245" t="inlineStr">
        <is>
          <t xml:space="preserve">700</t>
        </is>
      </c>
      <c r="D19" s="245" t="inlineStr">
        <is>
          <t xml:space="preserve">Tendances et sparklines</t>
        </is>
      </c>
    </row>
    <row r="20" ht="19" customHeight="1">
      <c r="A20" s="244" t="inlineStr">
        <is>
          <t xml:space="preserve">31/07/2026</t>
        </is>
      </c>
      <c r="B20" s="244" t="inlineStr">
        <is>
          <t xml:space="preserve">M_07.xlsx</t>
        </is>
      </c>
      <c r="C20" s="244" t="inlineStr">
        <is>
          <t xml:space="preserve">700</t>
        </is>
      </c>
      <c r="D20" s="244" t="inlineStr">
        <is>
          <t xml:space="preserve">Tendances et sparklines</t>
        </is>
      </c>
    </row>
    <row r="21" ht="19" customHeight="1">
      <c r="A21" s="245" t="inlineStr">
        <is>
          <t xml:space="preserve">31/08/2026</t>
        </is>
      </c>
      <c r="B21" s="245" t="inlineStr">
        <is>
          <t xml:space="preserve">M_08.xlsx</t>
        </is>
      </c>
      <c r="C21" s="245" t="inlineStr">
        <is>
          <t xml:space="preserve">700</t>
        </is>
      </c>
      <c r="D21" s="245" t="inlineStr">
        <is>
          <t xml:space="preserve">Comparaison (N-1), pont et migrations</t>
        </is>
      </c>
    </row>
    <row r="22" ht="19" customHeight="1">
      <c r="A22" s="244" t="inlineStr">
        <is>
          <t xml:space="preserve">30/09/2026</t>
        </is>
      </c>
      <c r="B22" s="244" t="inlineStr">
        <is>
          <t xml:space="preserve">M_09.xlsx</t>
        </is>
      </c>
      <c r="C22" s="244" t="inlineStr">
        <is>
          <t xml:space="preserve">700</t>
        </is>
      </c>
      <c r="D22" s="244" t="inlineStr">
        <is>
          <t xml:space="preserve">Arrêté de référence (N)</t>
        </is>
      </c>
    </row>
    <row r="24" ht="24" customHeight="1">
      <c r="A24" s="246" t="inlineStr">
        <is>
          <r>
            <rPr>
              <rFont val="Segoe UI"/>
              <b/>
              <color rgb="FFC8A951"/>
              <sz val="11"/>
            </rPr>
            <t xml:space="preserve">02  </t>
          </r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i/>
              <color rgb="FF64748B"/>
              <sz val="8"/>
            </rPr>
            <t xml:space="preserve">    vérifiés à la génération</t>
          </r>
        </is>
      </c>
      <c r="B24" s="246"/>
      <c r="C24" s="246"/>
      <c r="D24" s="246"/>
      <c r="E24" s="246"/>
      <c r="F24" s="246"/>
      <c r="G24" s="246"/>
      <c r="H24" s="246"/>
      <c r="I24" s="246"/>
    </row>
    <row r="25" ht="30" customHeight="1">
      <c r="A25" s="209" t="inlineStr">
        <is>
          <t xml:space="preserve">Contrôle</t>
        </is>
      </c>
      <c r="B25" s="209" t="inlineStr">
        <is>
          <t xml:space="preserve">Valeur</t>
        </is>
      </c>
      <c r="C25" s="209" t="inlineStr">
        <is>
          <t xml:space="preserve">Référence</t>
        </is>
      </c>
      <c r="D25" s="209" t="inlineStr">
        <is>
          <t xml:space="preserve">Résultat</t>
        </is>
      </c>
    </row>
    <row r="26" ht="19" customHeight="1">
      <c r="A26" s="244" t="inlineStr">
        <is>
          <t xml:space="preserve">Encours : somme des clients = agrégat APEX</t>
        </is>
      </c>
      <c r="B26" s="244" t="inlineStr">
        <is>
          <t xml:space="preserve">850 385 585 746</t>
        </is>
      </c>
      <c r="C26" s="244" t="inlineStr">
        <is>
          <t xml:space="preserve">850 385 585 746</t>
        </is>
      </c>
      <c r="D26" s="247" t="inlineStr">
        <is>
          <t xml:space="preserve">✔ CONFORME</t>
        </is>
      </c>
    </row>
    <row r="27" ht="19" customHeight="1">
      <c r="A27" s="245" t="inlineStr">
        <is>
          <t xml:space="preserve">Impayés : somme des clients = agrégat APEX</t>
        </is>
      </c>
      <c r="B27" s="245" t="inlineStr">
        <is>
          <t xml:space="preserve">31 893 133 004</t>
        </is>
      </c>
      <c r="C27" s="245" t="inlineStr">
        <is>
          <t xml:space="preserve">31 893 133 004</t>
        </is>
      </c>
      <c r="D27" s="247" t="inlineStr">
        <is>
          <t xml:space="preserve">✔ CONFORME</t>
        </is>
      </c>
    </row>
    <row r="28" ht="19" customHeight="1">
      <c r="A28" s="244" t="inlineStr">
        <is>
          <t xml:space="preserve">Pont des impayés : ouverture + mouvements = clôture</t>
        </is>
      </c>
      <c r="B28" s="244" t="inlineStr">
        <is>
          <t xml:space="preserve">0</t>
        </is>
      </c>
      <c r="C28" s="244" t="inlineStr">
        <is>
          <t xml:space="preserve">0</t>
        </is>
      </c>
      <c r="D28" s="247" t="inlineStr">
        <is>
          <t xml:space="preserve">✔ CONFORME</t>
        </is>
      </c>
    </row>
    <row r="29" ht="19" customHeight="1">
      <c r="A29" s="245" t="inlineStr">
        <is>
          <t xml:space="preserve">Tranches : somme des encours par tranche = encours total</t>
        </is>
      </c>
      <c r="B29" s="245" t="inlineStr">
        <is>
          <t xml:space="preserve">850 385 585 746</t>
        </is>
      </c>
      <c r="C29" s="245" t="inlineStr">
        <is>
          <t xml:space="preserve">850 385 585 746</t>
        </is>
      </c>
      <c r="D29" s="247" t="inlineStr">
        <is>
          <t xml:space="preserve">✔ CONFORME</t>
        </is>
      </c>
    </row>
    <row r="30" ht="19" customHeight="1">
      <c r="A30" s="244" t="inlineStr">
        <is>
          <t xml:space="preserve">Watchlist : encours ≤ encours total</t>
        </is>
      </c>
      <c r="B30" s="244" t="inlineStr">
        <is>
          <t xml:space="preserve">322 705 241 935</t>
        </is>
      </c>
      <c r="C30" s="244" t="inlineStr">
        <is>
          <t xml:space="preserve">322 705 241 935</t>
        </is>
      </c>
      <c r="D30" s="247" t="inlineStr">
        <is>
          <t xml:space="preserve">✔ CONFORME</t>
        </is>
      </c>
    </row>
    <row r="31" ht="19" customHeight="1">
      <c r="A31" s="245" t="inlineStr">
        <is>
          <t xml:space="preserve">Clients en double</t>
        </is>
      </c>
      <c r="B31" s="245" t="inlineStr">
        <is>
          <t xml:space="preserve">700</t>
        </is>
      </c>
      <c r="C31" s="245" t="inlineStr">
        <is>
          <t xml:space="preserve">700</t>
        </is>
      </c>
      <c r="D31" s="247" t="inlineStr">
        <is>
          <t xml:space="preserve">✔ CONFORME</t>
        </is>
      </c>
    </row>
    <row r="32" ht="19" customHeight="1">
      <c r="A32" s="244" t="inlineStr">
        <is>
          <t xml:space="preserve">Valeurs non numériques (NaN / Infini)</t>
        </is>
      </c>
      <c r="B32" s="244" t="inlineStr">
        <is>
          <t xml:space="preserve">0</t>
        </is>
      </c>
      <c r="C32" s="244" t="inlineStr">
        <is>
          <t xml:space="preserve">0</t>
        </is>
      </c>
      <c r="D32" s="247" t="inlineStr">
        <is>
          <t xml:space="preserve">✔ CONFORME</t>
        </is>
      </c>
    </row>
    <row r="33" ht="19" customHeight="1">
      <c r="A33" s="245" t="inlineStr">
        <is>
          <t xml:space="preserve">Provisions de l'historique sur base IFRS 9 (comparables)</t>
        </is>
      </c>
      <c r="B33" s="245" t="inlineStr">
        <is>
          <t xml:space="preserve">9</t>
        </is>
      </c>
      <c r="C33" s="245" t="inlineStr">
        <is>
          <t xml:space="preserve">9</t>
        </is>
      </c>
      <c r="D33" s="247" t="inlineStr">
        <is>
          <t xml:space="preserve">✔ CONFORME</t>
        </is>
      </c>
    </row>
    <row r="34" ht="19" customHeight="1">
      <c r="A34" s="244" t="inlineStr">
        <is>
          <t xml:space="preserve">JEV : PD avec provenance pour chaque client de la watchlist</t>
        </is>
      </c>
      <c r="B34" s="244" t="inlineStr">
        <is>
          <t xml:space="preserve">289</t>
        </is>
      </c>
      <c r="C34" s="244" t="inlineStr">
        <is>
          <t xml:space="preserve">289</t>
        </is>
      </c>
      <c r="D34" s="247" t="inlineStr">
        <is>
          <t xml:space="preserve">✔ CONFORME</t>
        </is>
      </c>
    </row>
    <row r="35" ht="19" customHeight="1">
      <c r="A35" s="245" t="inlineStr">
        <is>
          <t xml:space="preserve">Historique disponible pour les tendances</t>
        </is>
      </c>
      <c r="B35" s="245" t="inlineStr">
        <is>
          <t xml:space="preserve">9</t>
        </is>
      </c>
      <c r="C35" s="245" t="inlineStr">
        <is>
          <t xml:space="preserve">2</t>
        </is>
      </c>
      <c r="D35" s="247" t="inlineStr">
        <is>
          <t xml:space="preserve">✔ CONFORME</t>
        </is>
      </c>
    </row>
    <row r="37" ht="24" customHeight="1">
      <c r="A37" s="74" t="inlineStr">
        <is>
          <r>
            <rPr>
              <rFont val="Segoe UI"/>
              <b/>
              <color rgb="FFC8A951"/>
              <sz val="11"/>
            </rPr>
            <t xml:space="preserve">03  </t>
          </r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i/>
              <color rgb="FF64748B"/>
              <sz val="8"/>
            </rPr>
            <t xml:space="preserve">    identiques à l'écran, au PDF et à toutes les feuilles</t>
          </r>
        </is>
      </c>
      <c r="B37" s="74"/>
      <c r="C37" s="74"/>
      <c r="D37" s="74"/>
      <c r="E37" s="74"/>
      <c r="F37" s="74"/>
      <c r="G37" s="74"/>
      <c r="H37" s="74"/>
      <c r="I37" s="74"/>
    </row>
    <row r="38" ht="30" customHeight="1">
      <c r="A38" s="209" t="inlineStr">
        <is>
          <t xml:space="preserve">Indicateur</t>
        </is>
      </c>
      <c r="B38" s="209" t="inlineStr">
        <is>
          <t xml:space="preserve">Règle</t>
        </is>
      </c>
      <c r="C38" s="209"/>
      <c r="D38" s="209"/>
    </row>
    <row r="39" ht="32" customHeight="1">
      <c r="A39" s="244" t="inlineStr">
        <is>
          <t xml:space="preserve">Tranches d'impayé</t>
        </is>
      </c>
      <c r="B39" s="248" t="inlineStr">
        <is>
          <t xml:space="preserve">Sain · 1-30 j · 31-60 j · 61-90 j · &gt; 90 j / S3 (Stage 3, classe III/IV/V ou GL 292)</t>
        </is>
      </c>
      <c r="C39" s="244"/>
      <c r="D39" s="244"/>
    </row>
    <row r="40" ht="32" customHeight="1">
      <c r="A40" s="245" t="inlineStr">
        <is>
          <t xml:space="preserve">Criticité</t>
        </is>
      </c>
      <c r="B40" s="249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40" s="245"/>
      <c r="D40" s="245"/>
    </row>
    <row r="41" ht="32" customHeight="1">
      <c r="A41" s="244" t="inlineStr">
        <is>
          <t xml:space="preserve">Pont des impayés</t>
        </is>
      </c>
      <c r="B41" s="248" t="inlineStr">
        <is>
          <t xml:space="preserve">Ouverture (N-1) + nouveaux impayés + détériorations + nouveaux clients + régularisations + remboursements partiels + sorties = clôture (N)</t>
        </is>
      </c>
      <c r="C41" s="244"/>
      <c r="D41" s="244"/>
    </row>
    <row r="42" ht="32" customHeight="1">
      <c r="A42" s="245" t="inlineStr">
        <is>
          <t xml:space="preserve">Provisions</t>
        </is>
      </c>
      <c r="B42" s="249" t="inlineStr">
        <is>
          <t xml:space="preserve">ECL réel de l'ACTE 7, sinon modélisé par stage (1 % / 25 % / 100 %) — règle APEX</t>
        </is>
      </c>
      <c r="C42" s="245"/>
      <c r="D42" s="245"/>
    </row>
    <row r="43" ht="32" customHeight="1">
      <c r="A43" s="244" t="inlineStr">
        <is>
          <t xml:space="preserve">Concentration</t>
        </is>
      </c>
      <c r="B43" s="248" t="inlineStr">
        <is>
          <t xml:space="preserve">Top 10 clients, part du premier client, HHI (somme des parts au carré × 10 000)</t>
        </is>
      </c>
      <c r="C43" s="244"/>
      <c r="D43" s="244"/>
    </row>
    <row r="44" ht="32" customHeight="1">
      <c r="A44" s="245" t="inlineStr">
        <is>
          <t xml:space="preserve">Classes et stages</t>
        </is>
      </c>
      <c r="B44" s="249" t="inlineStr">
        <is>
          <t xml:space="preserve">BCEAO, IFRS 9 et ACTE 7 calculés par APEX ; ce moteur ne les modifie pas</t>
        </is>
      </c>
      <c r="C44" s="245"/>
      <c r="D44" s="245"/>
    </row>
    <row r="45" ht="32" customHeight="1">
      <c r="A45" s="244" t="inlineStr">
        <is>
          <t xml:space="preserve">TypeSafe</t>
        </is>
      </c>
      <c r="B45" s="248" t="inlineStr">
        <is>
          <t xml:space="preserve">Jugements uniquement (motif, crédibilité, incohérence) ; aucun chiffre ; revue analyste si confiance faible</t>
        </is>
      </c>
      <c r="C45" s="244"/>
      <c r="D45" s="244"/>
    </row>
    <row r="46" ht="32" customHeight="1">
      <c r="A46" s="245" t="inlineStr">
        <is>
          <t xml:space="preserve">JEV</t>
        </is>
      </c>
      <c r="B46" s="249" t="inlineStr">
        <is>
          <t xml:space="preserve">Probabilités avec provenance obligatoire (OBSERVED, EMPIRICAL, MARKOV, EXPERT, STRESS, SIMULATED, HYBRID)</t>
        </is>
      </c>
      <c r="C46" s="245"/>
      <c r="D46" s="245"/>
    </row>
    <row r="48" ht="24" customHeight="1">
      <c r="A48" s="180" t="inlineStr">
        <is>
          <r>
            <rPr>
              <rFont val="Segoe UI"/>
              <b/>
              <color rgb="FFC8A951"/>
              <sz val="11"/>
            </rPr>
            <t xml:space="preserve">04  </t>
          </r>
          <r>
            <rPr>
              <rFont val="Segoe UI"/>
              <b/>
              <color rgb="FF001B4D"/>
              <sz val="11"/>
            </rPr>
            <t xml:space="preserve">COUVERTURE JEV &amp; TYPESAFE</t>
          </r>
          <r>
            <rPr>
              <rFont val="Segoe UI"/>
              <i/>
              <color rgb="FF64748B"/>
              <sz val="8"/>
            </rPr>
            <t xml:space="preserve">    tout ce qui peut relever d'un jugement ou d'une probabilité</t>
          </r>
        </is>
      </c>
      <c r="B48" s="180"/>
      <c r="C48" s="180"/>
      <c r="D48" s="180"/>
      <c r="E48" s="180"/>
      <c r="F48" s="180"/>
      <c r="G48" s="180"/>
      <c r="H48" s="180"/>
      <c r="I48" s="180"/>
    </row>
    <row r="49" ht="30" customHeight="1">
      <c r="A49" s="209" t="inlineStr">
        <is>
          <t xml:space="preserve">Domaine</t>
        </is>
      </c>
      <c r="B49" s="209" t="inlineStr">
        <is>
          <t xml:space="preserve">Contrôle</t>
        </is>
      </c>
      <c r="C49" s="209" t="inlineStr">
        <is>
          <t xml:space="preserve">Couverture</t>
        </is>
      </c>
      <c r="D49" s="209" t="inlineStr">
        <is>
          <t xml:space="preserve">Détail</t>
        </is>
      </c>
    </row>
    <row r="50" ht="19" customHeight="1">
      <c r="A50" s="244" t="inlineStr">
        <is>
          <t xml:space="preserve">Probabilité de dégradation (PD 3/6/12M)</t>
        </is>
      </c>
      <c r="B50" s="244" t="inlineStr">
        <is>
          <t xml:space="preserve">JEV · MARKOV / HYBRID</t>
        </is>
      </c>
      <c r="C50" s="244" t="inlineStr">
        <is>
          <t xml:space="preserve">✔ actif</t>
        </is>
      </c>
      <c r="D50" s="244" t="inlineStr">
        <is>
          <t xml:space="preserve">calibré sur 9 arrêtés · MARKOV · Markov mensuel portefeuille · N = 17 850 · Historique = 9 mois · Horizon = 12 m · Confiance = faible</t>
        </is>
      </c>
    </row>
    <row r="51" ht="19" customHeight="1">
      <c r="A51" s="245" t="inlineStr">
        <is>
          <t xml:space="preserve">Taux observé (cohortes)</t>
        </is>
      </c>
      <c r="B51" s="245" t="inlineStr">
        <is>
          <t xml:space="preserve">JEV · EMPIRICAL</t>
        </is>
      </c>
      <c r="C51" s="245" t="inlineStr">
        <is>
          <t xml:space="preserve">✔ actif</t>
        </is>
      </c>
      <c r="D51" s="245" t="inlineStr">
        <is>
          <t xml:space="preserve">pas de cohorte complète à 12 mois</t>
        </is>
      </c>
    </row>
    <row r="52" ht="19" customHeight="1">
      <c r="A52" s="244" t="inlineStr">
        <is>
          <t xml:space="preserve">Stress et scénarios</t>
        </is>
      </c>
      <c r="B52" s="244" t="inlineStr">
        <is>
          <t xml:space="preserve">JEV · STRESS / SIMULATED</t>
        </is>
      </c>
      <c r="C52" s="244" t="inlineStr">
        <is>
          <t xml:space="preserve">✔ actif</t>
        </is>
      </c>
      <c r="D52" s="244" t="inlineStr">
        <is>
          <t xml:space="preserve">×1,5 et ×2,0 · Monte Carlo</t>
        </is>
      </c>
    </row>
    <row r="53" ht="19" customHeight="1">
      <c r="A53" s="245" t="inlineStr">
        <is>
          <t xml:space="preserve">PD par dossier de la watchlist</t>
        </is>
      </c>
      <c r="B53" s="245" t="inlineStr">
        <is>
          <t xml:space="preserve">JEV · HYBRID (Markov + EWS + expert)</t>
        </is>
      </c>
      <c r="C53" s="245" t="inlineStr">
        <is>
          <t xml:space="preserve">✔ 289 / 289</t>
        </is>
      </c>
      <c r="D53" s="245" t="inlineStr">
        <is>
          <t xml:space="preserve">signaux TypeSafe et APEX en multiplicateurs EXPERT affichés</t>
        </is>
      </c>
    </row>
    <row r="54" ht="19" customHeight="1">
      <c r="A54" s="244" t="inlineStr">
        <is>
          <t xml:space="preserve">Effet des actions sur la PD</t>
        </is>
      </c>
      <c r="B54" s="244" t="inlineStr">
        <is>
          <t xml:space="preserve">JEV · recalcul par le code</t>
        </is>
      </c>
      <c r="C54" s="244" t="inlineStr">
        <is>
          <t xml:space="preserve">✔ actif</t>
        </is>
      </c>
      <c r="D54" s="244" t="inlineStr">
        <is>
          <t xml:space="preserve">régularisation, règlement partiel, levée des signaux</t>
        </is>
      </c>
    </row>
    <row r="55" ht="19" customHeight="1">
      <c r="A55" s="245" t="inlineStr">
        <is>
          <t xml:space="preserve">Motif, crédibilité, incohérence, statut</t>
        </is>
      </c>
      <c r="B55" s="245" t="inlineStr">
        <is>
          <t xml:space="preserve">TypeSafe · Choice / Score / Noul</t>
        </is>
      </c>
      <c r="C55" s="245" t="inlineStr">
        <is>
          <t xml:space="preserve">✔ 24 dossiers</t>
        </is>
      </c>
      <c r="D55" s="245" t="inlineStr">
        <is>
          <t xml:space="preserve">commentaires gestionnaires (feuille _TYPESAFE)</t>
        </is>
      </c>
    </row>
    <row r="56" ht="19" customHeight="1">
      <c r="A56" s="244" t="inlineStr">
        <is>
          <t xml:space="preserve">Nature de l'entité, intra-groupe, segment</t>
        </is>
      </c>
      <c r="B56" s="244" t="inlineStr">
        <is>
          <t xml:space="preserve">TypeSafe · Choice / Noul</t>
        </is>
      </c>
      <c r="C56" s="244" t="inlineStr">
        <is>
          <t xml:space="preserve">✔ actif</t>
        </is>
      </c>
      <c r="D56" s="244" t="inlineStr">
        <is>
          <t xml:space="preserve">noms de clients</t>
        </is>
      </c>
    </row>
    <row r="57" ht="19" customHeight="1">
      <c r="A57" s="245" t="inlineStr">
        <is>
          <t xml:space="preserve">Urgence et orientation (re-classement, routage)</t>
        </is>
      </c>
      <c r="B57" s="245" t="inlineStr">
        <is>
          <t xml:space="preserve">TypeSafe · Score / Choice</t>
        </is>
      </c>
      <c r="C57" s="245" t="inlineStr">
        <is>
          <t xml:space="preserve">en attente</t>
        </is>
      </c>
      <c r="D57" s="245" t="inlineStr">
        <is>
          <t xml:space="preserve">capacités avancées</t>
        </is>
      </c>
    </row>
    <row r="58" ht="19" customHeight="1">
      <c r="A58" s="244" t="inlineStr">
        <is>
          <t xml:space="preserve">Auto-cohérence et cohérence du plan</t>
        </is>
      </c>
      <c r="B58" s="244" t="inlineStr">
        <is>
          <t xml:space="preserve">TypeSafe · Noul + Choice croisés</t>
        </is>
      </c>
      <c r="C58" s="244" t="inlineStr">
        <is>
          <t xml:space="preserve">en attente</t>
        </is>
      </c>
      <c r="D58" s="244" t="inlineStr">
        <is>
          <t xml:space="preserve">divergence → revue analyste</t>
        </is>
      </c>
    </row>
    <row r="59" ht="19" customHeight="1">
      <c r="A59" s="245" t="inlineStr">
        <is>
          <t xml:space="preserve">Montants, ratios, classes BCEAO / IFRS 9 / ACTE 7</t>
        </is>
      </c>
      <c r="B59" s="245" t="inlineStr">
        <is>
          <t xml:space="preserve">Code APEX uniquement</t>
        </is>
      </c>
      <c r="C59" s="245" t="inlineStr">
        <is>
          <t xml:space="preserve">✔ code</t>
        </is>
      </c>
      <c r="D59" s="245" t="inlineStr">
        <is>
          <t xml:space="preserve">jamais confiés à TypeSafe ni à JEV</t>
        </is>
      </c>
    </row>
    <row r="61">
      <c r="A61" s="250" t="inlineStr">
        <is>
          <t xml:space="preserve">Généré le 03/10/2026 13:32:43 · RI 1.0 · APEX Credit Risk OS · source : M_09.xlsx</t>
        </is>
      </c>
      <c r="B61" s="250"/>
      <c r="C61" s="250"/>
      <c r="D61" s="250"/>
      <c r="E61" s="250"/>
      <c r="F61" s="250"/>
      <c r="G61" s="250"/>
      <c r="H61" s="250"/>
      <c r="I61" s="250"/>
    </row>
  </sheetData>
  <mergeCells count="28">
    <mergeCell ref="A1:C1"/>
    <mergeCell ref="D1:I1"/>
    <mergeCell ref="A2:F6"/>
    <mergeCell ref="G2:I2"/>
    <mergeCell ref="G3:I3"/>
    <mergeCell ref="G4:I4"/>
    <mergeCell ref="G5:I5"/>
    <mergeCell ref="G6:I6"/>
    <mergeCell ref="A8:B8"/>
    <mergeCell ref="D8:E8"/>
    <mergeCell ref="G8:H8"/>
    <mergeCell ref="A10:B10"/>
    <mergeCell ref="C10:E10"/>
    <mergeCell ref="F10:G10"/>
    <mergeCell ref="H10:I10"/>
    <mergeCell ref="A12:I12"/>
    <mergeCell ref="A24:I24"/>
    <mergeCell ref="A37:I37"/>
    <mergeCell ref="B39:I39"/>
    <mergeCell ref="B40:I40"/>
    <mergeCell ref="B41:I41"/>
    <mergeCell ref="B42:I42"/>
    <mergeCell ref="B43:I43"/>
    <mergeCell ref="B44:I44"/>
    <mergeCell ref="B45:I45"/>
    <mergeCell ref="B46:I46"/>
    <mergeCell ref="A48:I48"/>
    <mergeCell ref="A61:I61"/>
  </mergeCells>
  <hyperlinks>
    <hyperlink ref="A8" location="'EXECUTIVE'!A1" display="EXECUTIVE"/>
    <hyperlink ref="C8" location="'RISK'!A1" display="RISK"/>
    <hyperlink ref="D8" location="'MOVEMENT'!A1" display="MOVEMENT"/>
    <hyperlink ref="F8" location="'CONCENTRATION'!A1" display="CONCENTRATION"/>
    <hyperlink ref="G8" location="'INSIGHTS'!A1" display="INSIGHTS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51"/>
  <sheetViews>
    <sheetView showGridLines="0" zoomScale="90" zoomScaleNormal="90" workbookViewId="0"/>
  </sheetViews>
  <sheetFormatPr defaultRowHeight="15"/>
  <sheetData>
    <row r="1">
      <c r="A1" t="inlineStr">
        <is>
          <t xml:space="preserve">trend:TOTAL EXPOSURE</t>
        </is>
      </c>
      <c r="B1">
        <v>850385585746</v>
      </c>
      <c r="C1">
        <v>850385585746</v>
      </c>
      <c r="D1">
        <v>850385585746</v>
      </c>
      <c r="E1">
        <v>850385585746</v>
      </c>
      <c r="F1">
        <v>850385585746</v>
      </c>
      <c r="G1">
        <v>850385585746</v>
      </c>
      <c r="H1">
        <v>850385585746</v>
      </c>
      <c r="I1">
        <v>850385585746</v>
      </c>
      <c r="J1">
        <v>850385585746</v>
      </c>
    </row>
    <row r="2">
      <c r="A2" t="inlineStr">
        <is>
          <t xml:space="preserve">trend:TOTAL ARREARS</t>
        </is>
      </c>
      <c r="B2">
        <v>29184523554</v>
      </c>
      <c r="C2">
        <v>29420095999</v>
      </c>
      <c r="D2">
        <v>29702243448</v>
      </c>
      <c r="E2">
        <v>29928927133</v>
      </c>
      <c r="F2">
        <v>30088767435</v>
      </c>
      <c r="G2">
        <v>30408508959</v>
      </c>
      <c r="H2">
        <v>31308379288</v>
      </c>
      <c r="I2">
        <v>31559855616</v>
      </c>
      <c r="J2">
        <v>31893133004</v>
      </c>
    </row>
    <row r="3">
      <c r="A3" t="inlineStr">
        <is>
          <t xml:space="preserve">trend:31–60 DAYS</t>
        </is>
      </c>
      <c r="B3">
        <v>97919154363</v>
      </c>
      <c r="C3">
        <v>100736196861</v>
      </c>
      <c r="D3">
        <v>100820998088</v>
      </c>
      <c r="E3">
        <v>102686058724</v>
      </c>
      <c r="F3">
        <v>95240867443</v>
      </c>
      <c r="G3">
        <v>95336464373</v>
      </c>
      <c r="H3">
        <v>95555921752</v>
      </c>
      <c r="I3">
        <v>89488301160</v>
      </c>
      <c r="J3">
        <v>86369133509</v>
      </c>
    </row>
    <row r="4">
      <c r="A4" t="inlineStr">
        <is>
          <t xml:space="preserve">trend:61–90 DAYS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 xml:space="preserve">trend:&gt; 90 DAYS / S3</t>
        </is>
      </c>
      <c r="B5">
        <v>263523119585</v>
      </c>
      <c r="C5">
        <v>275253548816</v>
      </c>
      <c r="D5">
        <v>278163621132</v>
      </c>
      <c r="E5">
        <v>288562532063</v>
      </c>
      <c r="F5">
        <v>302210258189</v>
      </c>
      <c r="G5">
        <v>311191155804</v>
      </c>
      <c r="H5">
        <v>313715142480</v>
      </c>
      <c r="I5">
        <v>320285953006</v>
      </c>
      <c r="J5">
        <v>323775211401</v>
      </c>
    </row>
    <row r="6">
      <c r="A6" t="inlineStr">
        <is>
          <t xml:space="preserve">trend:STAGE 2</t>
        </is>
      </c>
      <c r="B6">
        <v>269638115746</v>
      </c>
      <c r="C6">
        <v>265469334553</v>
      </c>
      <c r="D6">
        <v>267459762762</v>
      </c>
      <c r="E6">
        <v>260155324243</v>
      </c>
      <c r="F6">
        <v>251913499667</v>
      </c>
      <c r="G6">
        <v>247382030353</v>
      </c>
      <c r="H6">
        <v>256897530911</v>
      </c>
      <c r="I6">
        <v>260405484457</v>
      </c>
      <c r="J6">
        <v>259457540560</v>
      </c>
    </row>
    <row r="7">
      <c r="A7" t="inlineStr">
        <is>
          <t xml:space="preserve">trend:STAGE 3</t>
        </is>
      </c>
      <c r="B7">
        <v>263523119585</v>
      </c>
      <c r="C7">
        <v>275253548816</v>
      </c>
      <c r="D7">
        <v>278163621132</v>
      </c>
      <c r="E7">
        <v>288562532063</v>
      </c>
      <c r="F7">
        <v>302210258189</v>
      </c>
      <c r="G7">
        <v>311191155804</v>
      </c>
      <c r="H7">
        <v>313715142480</v>
      </c>
      <c r="I7">
        <v>320285953006</v>
      </c>
      <c r="J7">
        <v>323775211401</v>
      </c>
    </row>
    <row r="8">
      <c r="A8" t="inlineStr">
        <is>
          <t xml:space="preserve">trend:PROVISIONS (ECL)</t>
        </is>
      </c>
      <c r="B8">
        <v>32603696363</v>
      </c>
      <c r="C8">
        <v>33027204821</v>
      </c>
      <c r="D8">
        <v>33173836337</v>
      </c>
      <c r="E8">
        <v>34374433886</v>
      </c>
      <c r="F8">
        <v>34796946036</v>
      </c>
      <c r="G8">
        <v>35240567833</v>
      </c>
      <c r="H8">
        <v>35586135093</v>
      </c>
      <c r="I8">
        <v>37136450935</v>
      </c>
      <c r="J8">
        <v>37319879435</v>
      </c>
    </row>
    <row r="9">
      <c r="A9" t="inlineStr">
        <is>
          <t xml:space="preserve">imp:100000078</t>
        </is>
      </c>
      <c r="B9">
        <v>9571269</v>
      </c>
      <c r="C9">
        <v>9571269</v>
      </c>
      <c r="D9">
        <v>9571269</v>
      </c>
      <c r="E9">
        <v>9571269</v>
      </c>
      <c r="F9">
        <v>9571269</v>
      </c>
      <c r="G9">
        <v>9571269</v>
      </c>
      <c r="H9">
        <v>9571269</v>
      </c>
      <c r="I9">
        <v>9571269</v>
      </c>
      <c r="J9">
        <v>9571269</v>
      </c>
    </row>
    <row r="10">
      <c r="A10" t="inlineStr">
        <is>
          <t xml:space="preserve">imp:100000450</t>
        </is>
      </c>
      <c r="B10">
        <v>4339639</v>
      </c>
      <c r="C10">
        <v>4339639</v>
      </c>
      <c r="D10">
        <v>4339639</v>
      </c>
      <c r="E10">
        <v>4339639</v>
      </c>
      <c r="F10">
        <v>4339639</v>
      </c>
      <c r="G10">
        <v>4339639</v>
      </c>
      <c r="H10">
        <v>4339639</v>
      </c>
      <c r="I10">
        <v>4339639</v>
      </c>
      <c r="J10">
        <v>4339639</v>
      </c>
    </row>
    <row r="11">
      <c r="A11" t="inlineStr">
        <is>
          <t xml:space="preserve">imp:100000088</t>
        </is>
      </c>
      <c r="B11">
        <v>1642184</v>
      </c>
      <c r="C11">
        <v>1642184</v>
      </c>
      <c r="D11">
        <v>1642184</v>
      </c>
      <c r="E11">
        <v>1642184</v>
      </c>
      <c r="F11">
        <v>1642184</v>
      </c>
      <c r="G11">
        <v>1642184</v>
      </c>
      <c r="H11">
        <v>1642184</v>
      </c>
      <c r="I11">
        <v>1642184</v>
      </c>
      <c r="J11">
        <v>1642184</v>
      </c>
    </row>
    <row r="12">
      <c r="A12" t="inlineStr">
        <is>
          <t xml:space="preserve">imp:100000208</t>
        </is>
      </c>
      <c r="B12">
        <v>1558852</v>
      </c>
      <c r="C12">
        <v>1558852</v>
      </c>
      <c r="D12">
        <v>1558852</v>
      </c>
      <c r="E12">
        <v>1558852</v>
      </c>
      <c r="F12">
        <v>1558852</v>
      </c>
      <c r="G12">
        <v>1558852</v>
      </c>
      <c r="H12">
        <v>1558852</v>
      </c>
      <c r="I12">
        <v>1558852</v>
      </c>
      <c r="J12">
        <v>1558852</v>
      </c>
    </row>
    <row r="13">
      <c r="A13" t="inlineStr">
        <is>
          <t xml:space="preserve">cat:</t>
        </is>
      </c>
      <c r="B13" t="inlineStr">
        <is>
          <t xml:space="preserve">31/01/26</t>
        </is>
      </c>
      <c r="C13" t="inlineStr">
        <is>
          <t xml:space="preserve">28/02/26</t>
        </is>
      </c>
      <c r="D13" t="inlineStr">
        <is>
          <t xml:space="preserve">31/03/26</t>
        </is>
      </c>
      <c r="E13" t="inlineStr">
        <is>
          <t xml:space="preserve">30/04/26</t>
        </is>
      </c>
      <c r="F13" t="inlineStr">
        <is>
          <t xml:space="preserve">31/05/26</t>
        </is>
      </c>
      <c r="G13" t="inlineStr">
        <is>
          <t xml:space="preserve">30/06/26</t>
        </is>
      </c>
      <c r="H13" t="inlineStr">
        <is>
          <t xml:space="preserve">31/07/26</t>
        </is>
      </c>
      <c r="I13" t="inlineStr">
        <is>
          <t xml:space="preserve">31/08/26</t>
        </is>
      </c>
      <c r="J13" t="inlineStr">
        <is>
          <t xml:space="preserve">30/09/26</t>
        </is>
      </c>
    </row>
    <row r="14">
      <c r="A14" t="inlineStr">
        <is>
          <t xml:space="preserve">Encours</t>
        </is>
      </c>
      <c r="B14">
        <v>850385585746</v>
      </c>
      <c r="C14">
        <v>850385585746</v>
      </c>
      <c r="D14">
        <v>850385585746</v>
      </c>
      <c r="E14">
        <v>850385585746</v>
      </c>
      <c r="F14">
        <v>850385585746</v>
      </c>
      <c r="G14">
        <v>850385585746</v>
      </c>
      <c r="H14">
        <v>850385585746</v>
      </c>
      <c r="I14">
        <v>850385585746</v>
      </c>
      <c r="J14">
        <v>850385585746</v>
      </c>
    </row>
    <row r="15">
      <c r="A15" t="inlineStr">
        <is>
          <t xml:space="preserve">Impayés</t>
        </is>
      </c>
      <c r="B15">
        <v>29184523554</v>
      </c>
      <c r="C15">
        <v>29420095999</v>
      </c>
      <c r="D15">
        <v>29702243448</v>
      </c>
      <c r="E15">
        <v>29928927133</v>
      </c>
      <c r="F15">
        <v>30088767435</v>
      </c>
      <c r="G15">
        <v>30408508959</v>
      </c>
      <c r="H15">
        <v>31308379288</v>
      </c>
      <c r="I15">
        <v>31559855616</v>
      </c>
      <c r="J15">
        <v>31893133004</v>
      </c>
    </row>
    <row r="16">
      <c r="A16" t="inlineStr">
        <is>
          <t xml:space="preserve">Stage 2</t>
        </is>
      </c>
      <c r="B16">
        <v>269638115746</v>
      </c>
      <c r="C16">
        <v>265469334553</v>
      </c>
      <c r="D16">
        <v>267459762762</v>
      </c>
      <c r="E16">
        <v>260155324243</v>
      </c>
      <c r="F16">
        <v>251913499667</v>
      </c>
      <c r="G16">
        <v>247382030353</v>
      </c>
      <c r="H16">
        <v>256897530911</v>
      </c>
      <c r="I16">
        <v>260405484457</v>
      </c>
      <c r="J16">
        <v>259457540560</v>
      </c>
    </row>
    <row r="17">
      <c r="A17" t="inlineStr">
        <is>
          <t xml:space="preserve">Stage 3</t>
        </is>
      </c>
      <c r="B17">
        <v>263523119585</v>
      </c>
      <c r="C17">
        <v>275253548816</v>
      </c>
      <c r="D17">
        <v>278163621132</v>
      </c>
      <c r="E17">
        <v>288562532063</v>
      </c>
      <c r="F17">
        <v>302210258189</v>
      </c>
      <c r="G17">
        <v>311191155804</v>
      </c>
      <c r="H17">
        <v>313715142480</v>
      </c>
      <c r="I17">
        <v>320285953006</v>
      </c>
      <c r="J17">
        <v>323775211401</v>
      </c>
    </row>
    <row r="18">
      <c r="A18" t="inlineStr">
        <is>
          <t xml:space="preserve">cat:</t>
        </is>
      </c>
      <c r="B18" t="inlineStr">
        <is>
          <t xml:space="preserve">Stage 1</t>
        </is>
      </c>
      <c r="C18" t="inlineStr">
        <is>
          <t xml:space="preserve">Stage 2</t>
        </is>
      </c>
      <c r="D18" t="inlineStr">
        <is>
          <t xml:space="preserve">Stage 3</t>
        </is>
      </c>
    </row>
    <row r="19">
      <c r="A19" t="inlineStr">
        <is>
          <t xml:space="preserve">Encours</t>
        </is>
      </c>
      <c r="B19">
        <v>267152833785</v>
      </c>
      <c r="C19">
        <v>259457540560</v>
      </c>
      <c r="D19">
        <v>323775211401</v>
      </c>
    </row>
    <row r="20">
      <c r="A20" t="inlineStr">
        <is>
          <t xml:space="preserve">cat:</t>
        </is>
      </c>
      <c r="B20" t="inlineStr">
        <is>
          <t xml:space="preserve">Ouverture</t>
        </is>
      </c>
      <c r="C20" t="inlineStr">
        <is>
          <t xml:space="preserve">Nouveaux impayés</t>
        </is>
      </c>
      <c r="D20" t="inlineStr">
        <is>
          <t xml:space="preserve">Détériorations</t>
        </is>
      </c>
      <c r="E20" t="inlineStr">
        <is>
          <t xml:space="preserve">Clôture</t>
        </is>
      </c>
    </row>
    <row r="21">
      <c r="A21" t="inlineStr">
        <is>
          <t xml:space="preserve">base</t>
        </is>
      </c>
      <c r="B21">
        <v>0</v>
      </c>
      <c r="C21">
        <v>31559855616</v>
      </c>
      <c r="D21">
        <v>31568337947</v>
      </c>
      <c r="E21">
        <v>0</v>
      </c>
    </row>
    <row r="22">
      <c r="A22" t="inlineStr">
        <is>
          <t xml:space="preserve">Mouvement</t>
        </is>
      </c>
      <c r="B22">
        <v>31559855616</v>
      </c>
      <c r="C22">
        <v>8482331</v>
      </c>
      <c r="D22">
        <v>324795057</v>
      </c>
      <c r="E22">
        <v>31893133004</v>
      </c>
    </row>
    <row r="23">
      <c r="A23" t="inlineStr">
        <is>
          <t xml:space="preserve">cat:</t>
        </is>
      </c>
      <c r="B23" t="inlineStr">
        <is>
          <t xml:space="preserve">Sain</t>
        </is>
      </c>
      <c r="C23" t="inlineStr">
        <is>
          <t xml:space="preserve">1-30 j</t>
        </is>
      </c>
      <c r="D23" t="inlineStr">
        <is>
          <t xml:space="preserve">31-60 j</t>
        </is>
      </c>
      <c r="E23" t="inlineStr">
        <is>
          <t xml:space="preserve">61-90 j</t>
        </is>
      </c>
      <c r="F23" t="inlineStr">
        <is>
          <t xml:space="preserve">&gt; 90 j / S3</t>
        </is>
      </c>
    </row>
    <row r="24">
      <c r="A24" t="inlineStr">
        <is>
          <t xml:space="preserve">Encours</t>
        </is>
      </c>
      <c r="B24">
        <v>212430843536</v>
      </c>
      <c r="C24">
        <v>227810397300</v>
      </c>
      <c r="D24">
        <v>86369133509</v>
      </c>
      <c r="E24">
        <v>0</v>
      </c>
      <c r="F24">
        <v>323775211401</v>
      </c>
    </row>
    <row r="25">
      <c r="A25" t="inlineStr">
        <is>
          <t xml:space="preserve">cat:</t>
        </is>
      </c>
      <c r="B25" t="inlineStr">
        <is>
          <t xml:space="preserve">Sain</t>
        </is>
      </c>
      <c r="C25" t="inlineStr">
        <is>
          <t xml:space="preserve">1-30 j</t>
        </is>
      </c>
      <c r="D25" t="inlineStr">
        <is>
          <t xml:space="preserve">31-60 j</t>
        </is>
      </c>
      <c r="E25" t="inlineStr">
        <is>
          <t xml:space="preserve">61-90 j</t>
        </is>
      </c>
      <c r="F25" t="inlineStr">
        <is>
          <t xml:space="preserve">&gt; 90 j / S3</t>
        </is>
      </c>
    </row>
    <row r="26">
      <c r="A26" t="inlineStr">
        <is>
          <t xml:space="preserve">Clients</t>
        </is>
      </c>
      <c r="B26">
        <v>153</v>
      </c>
      <c r="C26">
        <v>199</v>
      </c>
      <c r="D26">
        <v>84</v>
      </c>
      <c r="E26">
        <v>0</v>
      </c>
      <c r="F26">
        <v>264</v>
      </c>
    </row>
    <row r="27">
      <c r="A27" t="inlineStr">
        <is>
          <t xml:space="preserve">cat:</t>
        </is>
      </c>
      <c r="B27" t="inlineStr">
        <is>
          <t xml:space="preserve">Ouverture</t>
        </is>
      </c>
      <c r="C27" t="inlineStr">
        <is>
          <t xml:space="preserve">Nouveaux impayés</t>
        </is>
      </c>
      <c r="D27" t="inlineStr">
        <is>
          <t xml:space="preserve">Détériorations</t>
        </is>
      </c>
      <c r="E27" t="inlineStr">
        <is>
          <t xml:space="preserve">Clôture</t>
        </is>
      </c>
    </row>
    <row r="28">
      <c r="A28" t="inlineStr">
        <is>
          <t xml:space="preserve">base</t>
        </is>
      </c>
      <c r="B28">
        <v>0</v>
      </c>
      <c r="C28">
        <v>31559855616</v>
      </c>
      <c r="D28">
        <v>31568337947</v>
      </c>
      <c r="E28">
        <v>0</v>
      </c>
    </row>
    <row r="29">
      <c r="A29" t="inlineStr">
        <is>
          <t xml:space="preserve">Mouvement</t>
        </is>
      </c>
      <c r="B29">
        <v>31559855616</v>
      </c>
      <c r="C29">
        <v>8482331</v>
      </c>
      <c r="D29">
        <v>324795057</v>
      </c>
      <c r="E29">
        <v>31893133004</v>
      </c>
    </row>
    <row r="30">
      <c r="A30" t="inlineStr">
        <is>
          <t xml:space="preserve">cat:</t>
        </is>
      </c>
      <c r="B30" t="inlineStr">
        <is>
          <t xml:space="preserve">31/01/2026</t>
        </is>
      </c>
      <c r="C30" t="inlineStr">
        <is>
          <t xml:space="preserve">28/02/2026</t>
        </is>
      </c>
      <c r="D30" t="inlineStr">
        <is>
          <t xml:space="preserve">31/03/2026</t>
        </is>
      </c>
      <c r="E30" t="inlineStr">
        <is>
          <t xml:space="preserve">30/04/2026</t>
        </is>
      </c>
      <c r="F30" t="inlineStr">
        <is>
          <t xml:space="preserve">31/05/2026</t>
        </is>
      </c>
      <c r="G30" t="inlineStr">
        <is>
          <t xml:space="preserve">30/06/2026</t>
        </is>
      </c>
      <c r="H30" t="inlineStr">
        <is>
          <t xml:space="preserve">31/07/2026</t>
        </is>
      </c>
      <c r="I30" t="inlineStr">
        <is>
          <t xml:space="preserve">31/08/2026</t>
        </is>
      </c>
      <c r="J30" t="inlineStr">
        <is>
          <t xml:space="preserve">30/09/2026</t>
        </is>
      </c>
    </row>
    <row r="31">
      <c r="A31" t="inlineStr">
        <is>
          <t xml:space="preserve">Impayés</t>
        </is>
      </c>
      <c r="B31">
        <v>29184523554</v>
      </c>
      <c r="C31">
        <v>29420095999</v>
      </c>
      <c r="D31">
        <v>29702243448</v>
      </c>
      <c r="E31">
        <v>29928927133</v>
      </c>
      <c r="F31">
        <v>30088767435</v>
      </c>
      <c r="G31">
        <v>30408508959</v>
      </c>
      <c r="H31">
        <v>31308379288</v>
      </c>
      <c r="I31">
        <v>31559855616</v>
      </c>
      <c r="J31">
        <v>31893133004</v>
      </c>
    </row>
    <row r="32">
      <c r="A32" t="inlineStr">
        <is>
          <t xml:space="preserve">cat:</t>
        </is>
      </c>
      <c r="B32" t="inlineStr">
        <is>
          <t xml:space="preserve">31/01/2026</t>
        </is>
      </c>
      <c r="C32" t="inlineStr">
        <is>
          <t xml:space="preserve">28/02/2026</t>
        </is>
      </c>
      <c r="D32" t="inlineStr">
        <is>
          <t xml:space="preserve">31/03/2026</t>
        </is>
      </c>
      <c r="E32" t="inlineStr">
        <is>
          <t xml:space="preserve">30/04/2026</t>
        </is>
      </c>
      <c r="F32" t="inlineStr">
        <is>
          <t xml:space="preserve">31/05/2026</t>
        </is>
      </c>
      <c r="G32" t="inlineStr">
        <is>
          <t xml:space="preserve">30/06/2026</t>
        </is>
      </c>
      <c r="H32" t="inlineStr">
        <is>
          <t xml:space="preserve">31/07/2026</t>
        </is>
      </c>
      <c r="I32" t="inlineStr">
        <is>
          <t xml:space="preserve">31/08/2026</t>
        </is>
      </c>
      <c r="J32" t="inlineStr">
        <is>
          <t xml:space="preserve">30/09/2026</t>
        </is>
      </c>
    </row>
    <row r="33">
      <c r="A33" t="inlineStr">
        <is>
          <t xml:space="preserve">1-30 j</t>
        </is>
      </c>
      <c r="B33">
        <v>241209532103</v>
      </c>
      <c r="C33">
        <v>233822420729</v>
      </c>
      <c r="D33">
        <v>231105596360</v>
      </c>
      <c r="E33">
        <v>221870424802</v>
      </c>
      <c r="F33">
        <v>220332479940</v>
      </c>
      <c r="G33">
        <v>214679799882</v>
      </c>
      <c r="H33">
        <v>219891068922</v>
      </c>
      <c r="I33">
        <v>225639173546</v>
      </c>
      <c r="J33">
        <v>227810397300</v>
      </c>
    </row>
    <row r="34">
      <c r="A34" t="inlineStr">
        <is>
          <t xml:space="preserve">31-60 j</t>
        </is>
      </c>
      <c r="B34">
        <v>97919154363</v>
      </c>
      <c r="C34">
        <v>100736196861</v>
      </c>
      <c r="D34">
        <v>100820998088</v>
      </c>
      <c r="E34">
        <v>102686058724</v>
      </c>
      <c r="F34">
        <v>95240867443</v>
      </c>
      <c r="G34">
        <v>95336464373</v>
      </c>
      <c r="H34">
        <v>95555921752</v>
      </c>
      <c r="I34">
        <v>89488301160</v>
      </c>
      <c r="J34">
        <v>86369133509</v>
      </c>
    </row>
    <row r="35">
      <c r="A35" t="inlineStr">
        <is>
          <t xml:space="preserve">61-90 j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inlineStr">
        <is>
          <t xml:space="preserve">&gt; 90 j / S3</t>
        </is>
      </c>
      <c r="B36">
        <v>263523119585</v>
      </c>
      <c r="C36">
        <v>275253548816</v>
      </c>
      <c r="D36">
        <v>278163621132</v>
      </c>
      <c r="E36">
        <v>288562532063</v>
      </c>
      <c r="F36">
        <v>302210258189</v>
      </c>
      <c r="G36">
        <v>311191155804</v>
      </c>
      <c r="H36">
        <v>313715142480</v>
      </c>
      <c r="I36">
        <v>320285953006</v>
      </c>
      <c r="J36">
        <v>323775211401</v>
      </c>
    </row>
    <row r="37">
      <c r="A37" t="inlineStr">
        <is>
          <t xml:space="preserve">cat:</t>
        </is>
      </c>
      <c r="B37" t="inlineStr">
        <is>
          <t xml:space="preserve">SOCIETE 0378</t>
        </is>
      </c>
      <c r="C37" t="inlineStr">
        <is>
          <t xml:space="preserve">SOCIETE 0388</t>
        </is>
      </c>
      <c r="D37" t="inlineStr">
        <is>
          <t xml:space="preserve">SOCIETE 0353</t>
        </is>
      </c>
      <c r="E37" t="inlineStr">
        <is>
          <t xml:space="preserve">SOCIETE 0483</t>
        </is>
      </c>
      <c r="F37" t="inlineStr">
        <is>
          <t xml:space="preserve">SOCIETE 0370</t>
        </is>
      </c>
      <c r="G37" t="inlineStr">
        <is>
          <t xml:space="preserve">SOCIETE 0355</t>
        </is>
      </c>
      <c r="H37" t="inlineStr">
        <is>
          <t xml:space="preserve">SOCIETE 0490</t>
        </is>
      </c>
      <c r="I37" t="inlineStr">
        <is>
          <t xml:space="preserve">SOCIETE 0461</t>
        </is>
      </c>
      <c r="J37" t="inlineStr">
        <is>
          <t xml:space="preserve">SOCIETE 0377</t>
        </is>
      </c>
      <c r="K37" t="inlineStr">
        <is>
          <t xml:space="preserve">SOCIETE 0561</t>
        </is>
      </c>
    </row>
    <row r="38">
      <c r="A38" t="inlineStr">
        <is>
          <t xml:space="preserve">Encours</t>
        </is>
      </c>
      <c r="B38">
        <v>8328977341</v>
      </c>
      <c r="C38">
        <v>7548065011</v>
      </c>
      <c r="D38">
        <v>7343241906</v>
      </c>
      <c r="E38">
        <v>7272009508</v>
      </c>
      <c r="F38">
        <v>7175418326</v>
      </c>
      <c r="G38">
        <v>6870007185</v>
      </c>
      <c r="H38">
        <v>6765102455</v>
      </c>
      <c r="I38">
        <v>6733824970</v>
      </c>
      <c r="J38">
        <v>6373917185</v>
      </c>
      <c r="K38">
        <v>6333941106</v>
      </c>
    </row>
    <row r="39">
      <c r="A39" t="inlineStr">
        <is>
          <t xml:space="preserve">Part cumulée</t>
        </is>
      </c>
      <c r="B39">
        <v>0.00979435385619032</v>
      </c>
      <c r="C39">
        <v>0.018670403894571988</v>
      </c>
      <c r="D39">
        <v>0.027305594835112388</v>
      </c>
      <c r="E39">
        <v>0.03585702095273718</v>
      </c>
      <c r="F39">
        <v>0.04429486191132465</v>
      </c>
      <c r="G39">
        <v>0.052373558563941706</v>
      </c>
      <c r="H39">
        <v>0.06032889384760049</v>
      </c>
      <c r="I39">
        <v>0.06824744877476657</v>
      </c>
      <c r="J39">
        <v>0.07574277476786709</v>
      </c>
      <c r="K39">
        <v>0.08319109140465904</v>
      </c>
    </row>
    <row r="40">
      <c r="A40" t="inlineStr">
        <is>
          <t xml:space="preserve">cat:</t>
        </is>
      </c>
      <c r="B40" t="inlineStr">
        <is>
          <t xml:space="preserve">X</t>
        </is>
      </c>
    </row>
    <row r="41">
      <c r="A41" t="inlineStr">
        <is>
          <t xml:space="preserve">Encours</t>
        </is>
      </c>
      <c r="B41">
        <v>850385585746</v>
      </c>
    </row>
    <row r="42">
      <c r="A42" t="inlineStr">
        <is>
          <t xml:space="preserve">cat:</t>
        </is>
      </c>
      <c r="B42" t="inlineStr">
        <is>
          <t xml:space="preserve">GUEYE</t>
        </is>
      </c>
    </row>
    <row r="43">
      <c r="A43" t="inlineStr">
        <is>
          <t xml:space="preserve">Encours</t>
        </is>
      </c>
      <c r="B43">
        <v>850385585746</v>
      </c>
    </row>
    <row r="44">
      <c r="A44" t="inlineStr">
        <is>
          <t xml:space="preserve">cat:</t>
        </is>
      </c>
      <c r="B44" t="inlineStr">
        <is>
          <t xml:space="preserve">AGRICULTURE</t>
        </is>
      </c>
    </row>
    <row r="45">
      <c r="A45" t="inlineStr">
        <is>
          <t xml:space="preserve">Encours</t>
        </is>
      </c>
      <c r="B45">
        <v>850385585746</v>
      </c>
    </row>
    <row r="46">
      <c r="A46" t="inlineStr">
        <is>
          <t xml:space="preserve">cat:</t>
        </is>
      </c>
      <c r="B46" t="inlineStr">
        <is>
          <t xml:space="preserve">CRLN</t>
        </is>
      </c>
      <c r="C46" t="inlineStr">
        <is>
          <t xml:space="preserve">CDGN</t>
        </is>
      </c>
      <c r="D46" t="inlineStr">
        <is>
          <t xml:space="preserve">IDAC</t>
        </is>
      </c>
    </row>
    <row r="47">
      <c r="A47" t="inlineStr">
        <is>
          <t xml:space="preserve">Encours</t>
        </is>
      </c>
      <c r="B47">
        <v>309529629469</v>
      </c>
      <c r="C47">
        <v>273070396433</v>
      </c>
      <c r="D47">
        <v>267785559844</v>
      </c>
    </row>
    <row r="48">
      <c r="A48" t="inlineStr">
        <is>
          <t xml:space="preserve">cat:</t>
        </is>
      </c>
    </row>
    <row r="49">
      <c r="A49" t="inlineStr">
        <is>
          <t xml:space="preserve">x</t>
        </is>
      </c>
      <c r="B49">
        <v>0.00979435385619032</v>
      </c>
      <c r="C49">
        <v>0.008876050038381668</v>
      </c>
      <c r="D49">
        <v>0.0086351909405404</v>
      </c>
      <c r="E49">
        <v>0.008551426117624791</v>
      </c>
      <c r="F49">
        <v>0.008437840958587475</v>
      </c>
      <c r="G49">
        <v>0.00807869665261705</v>
      </c>
      <c r="H49">
        <v>0.007955335283658788</v>
      </c>
      <c r="I49">
        <v>0.007918554927166078</v>
      </c>
      <c r="J49">
        <v>0.007495325993100514</v>
      </c>
      <c r="K49">
        <v>0.007448316636791951</v>
      </c>
      <c r="L49">
        <v>0.007364149131839229</v>
      </c>
      <c r="M49">
        <v>0.007345297173070506</v>
      </c>
      <c r="N49">
        <v>0.007019241697004595</v>
      </c>
      <c r="O49">
        <v>0.007009026853120125</v>
      </c>
      <c r="P49">
        <v>0.0066519879320833235</v>
      </c>
      <c r="Q49">
        <v>0.006481634847049648</v>
      </c>
      <c r="R49">
        <v>0.006405500641478414</v>
      </c>
      <c r="S49">
        <v>0.006337570792985834</v>
      </c>
      <c r="T49">
        <v>0.00616177771569742</v>
      </c>
      <c r="U49">
        <v>0.006069583315516915</v>
      </c>
    </row>
    <row r="50">
      <c r="A50" t="inlineStr">
        <is>
          <t xml:space="preserve">y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inlineStr">
        <is>
          <t xml:space="preserve">z</t>
        </is>
      </c>
      <c r="B51">
        <v>8328977341</v>
      </c>
      <c r="C51">
        <v>7548065011</v>
      </c>
      <c r="D51">
        <v>7343241906</v>
      </c>
      <c r="E51">
        <v>7272009508</v>
      </c>
      <c r="F51">
        <v>7175418326</v>
      </c>
      <c r="G51">
        <v>6870007185</v>
      </c>
      <c r="H51">
        <v>6765102455</v>
      </c>
      <c r="I51">
        <v>6733824970</v>
      </c>
      <c r="J51">
        <v>6373917185</v>
      </c>
      <c r="K51">
        <v>6333941106</v>
      </c>
      <c r="L51">
        <v>6262366273</v>
      </c>
      <c r="M51">
        <v>6246334839</v>
      </c>
      <c r="N51">
        <v>5969061962</v>
      </c>
      <c r="O51">
        <v>5960375406</v>
      </c>
      <c r="P51">
        <v>5656754654</v>
      </c>
      <c r="Q51">
        <v>5511888846</v>
      </c>
      <c r="R51">
        <v>5447145415</v>
      </c>
      <c r="S51">
        <v>5389378851</v>
      </c>
      <c r="T51">
        <v>5239886952</v>
      </c>
      <c r="U51">
        <v>5161486163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Risk report (analyse approfondie)</dc:title>
  <dc:subject>Arrêté 30/09/2026</dc:subject>
  <dc:creator>Ecobank Sénégal · Credit Risk</dc:creator>
  <cp:keywords>APEX-RI</cp:keywords>
  <dcterms:created xsi:type="dcterms:W3CDTF">2026-10-03T13:32:43Z</dcterms:created>
  <dcterms:modified xsi:type="dcterms:W3CDTF">2026-10-03T13:32:43Z</dcterms:modified>
</cp:coreProperties>
</file>