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5600" tabRatio="850" activeTab="0"/>
  </bookViews>
  <sheets>
    <sheet name="EXECUTIVE" sheetId="1" r:id="rId1"/>
    <sheet name="INSIGHTS" sheetId="2" r:id="rId2"/>
    <sheet name="AUDIT" sheetId="3" r:id="rId3"/>
    <sheet name="_data" sheetId="4" state="hidden" r:id="rId4"/>
  </sheets>
  <definedNames>
    <definedName name="_xlnm.Print_Area" localSheetId="0">'EXECUTIVE'!$A$1:$X$82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&gt;=1000000000]#,##0.00,,,&quot; Md&quot;;[&gt;=1000000]#,##0.0,,&quot; M&quot;;#,##0"/>
  </numFmts>
  <fonts count="45">
    <font>
      <sz val="10"/>
      <color rgb="FF0F172A"/>
      <name val="Segoe UI"/>
      <family val="2"/>
    </font>
    <font>
      <sz val="10"/>
      <color rgb="FF0F172A"/>
      <name val="Segoe UI"/>
      <family val="2"/>
    </font>
    <font>
      <b/>
      <sz val="8"/>
      <color rgb="FFC8A951"/>
      <name val="Segoe UI"/>
      <family val="2"/>
    </font>
    <font>
      <b/>
      <sz val="17"/>
      <color rgb="FFFFFFFF"/>
      <name val="Segoe UI"/>
      <family val="2"/>
    </font>
    <font>
      <sz val="8"/>
      <color rgb="FFE0EAFF"/>
      <name val="Segoe UI"/>
      <family val="2"/>
    </font>
    <font>
      <b/>
      <sz val="9"/>
      <color rgb="FFFFFFFF"/>
      <name val="Segoe UI"/>
      <family val="2"/>
    </font>
    <font>
      <b/>
      <sz val="9"/>
      <color rgb="FF003DA5"/>
      <name val="Segoe UI"/>
      <family val="2"/>
    </font>
    <font>
      <b/>
      <sz val="21"/>
      <color rgb="FFFFFFFF"/>
      <name val="Segoe UI"/>
      <family val="2"/>
    </font>
    <font>
      <sz val="8"/>
      <color rgb="FFD6E4FF"/>
      <name val="Segoe UI"/>
      <family val="2"/>
    </font>
    <font>
      <b/>
      <sz val="9.5"/>
      <color rgb="FFE6EEFF"/>
      <name val="Segoe UI"/>
      <family val="2"/>
    </font>
    <font>
      <i/>
      <sz val="7.5"/>
      <color rgb="FFD6E4FF"/>
      <name val="Segoe UI"/>
      <family val="2"/>
    </font>
    <font>
      <b/>
      <sz val="21"/>
      <color rgb="FF001B4D"/>
      <name val="Segoe UI"/>
      <family val="2"/>
    </font>
    <font>
      <sz val="8"/>
      <color rgb="FF64748B"/>
      <name val="Segoe UI"/>
      <family val="2"/>
    </font>
    <font>
      <b/>
      <sz val="9.5"/>
      <color rgb="FFDC2626"/>
      <name val="Segoe UI"/>
      <family val="2"/>
    </font>
    <font>
      <i/>
      <sz val="7.5"/>
      <color rgb="FF64748B"/>
      <name val="Segoe UI"/>
      <family val="2"/>
    </font>
    <font>
      <b/>
      <sz val="9.5"/>
      <color rgb="FF16A34A"/>
      <name val="Segoe UI"/>
      <family val="2"/>
    </font>
    <font>
      <b/>
      <sz val="9.5"/>
      <color rgb="FF64748B"/>
      <name val="Segoe UI"/>
      <family val="2"/>
    </font>
    <font>
      <b/>
      <sz val="9.5"/>
      <color rgb="FFFCA5A5"/>
      <name val="Segoe UI"/>
      <family val="2"/>
    </font>
    <font>
      <b/>
      <sz val="9"/>
      <color rgb="FF001B4D"/>
      <name val="Segoe UI"/>
      <family val="2"/>
    </font>
    <font>
      <b/>
      <sz val="10"/>
      <color rgb="FFDC2626"/>
      <name val="Segoe UI"/>
      <family val="2"/>
    </font>
    <font>
      <sz val="7.5"/>
      <color rgb="FF64748B"/>
      <name val="Segoe UI"/>
      <family val="2"/>
    </font>
    <font>
      <b/>
      <sz val="18"/>
      <color rgb="FFC8A951"/>
      <name val="Segoe UI"/>
      <family val="2"/>
    </font>
    <font>
      <b/>
      <sz val="10.5"/>
      <color rgb="FF001B4D"/>
      <name val="Segoe UI"/>
      <family val="2"/>
    </font>
    <font>
      <b/>
      <sz val="8"/>
      <color rgb="FFFFFFFF"/>
      <name val="Segoe UI"/>
      <family val="2"/>
    </font>
    <font>
      <b/>
      <sz val="7.5"/>
      <color rgb="FFDC2626"/>
      <name val="Segoe UI"/>
      <family val="2"/>
    </font>
    <font>
      <b/>
      <sz val="18"/>
      <color rgb="FFFFFFFF"/>
      <name val="Segoe UI"/>
      <family val="2"/>
    </font>
    <font>
      <sz val="8.5"/>
      <color rgb="FF334155"/>
      <name val="Segoe UI"/>
      <family val="2"/>
    </font>
    <font>
      <sz val="7"/>
      <color rgb="FF334155"/>
      <name val="Segoe UI"/>
      <family val="2"/>
    </font>
    <font>
      <sz val="7"/>
      <color rgb="FF64748B"/>
      <name val="Segoe UI"/>
      <family val="2"/>
    </font>
    <font>
      <b/>
      <sz val="13"/>
      <color rgb="FFDC2626"/>
      <name val="Segoe UI"/>
      <family val="2"/>
    </font>
    <font>
      <sz val="7.5"/>
      <color rgb="FF334155"/>
      <name val="Segoe UI"/>
      <family val="2"/>
    </font>
    <font>
      <b/>
      <sz val="13"/>
      <color rgb="FFC8A951"/>
      <name val="Segoe UI"/>
      <family val="2"/>
    </font>
    <font>
      <b/>
      <sz val="13"/>
      <color rgb="FFF97316"/>
      <name val="Segoe UI"/>
      <family val="2"/>
    </font>
    <font>
      <b/>
      <sz val="30"/>
      <color rgb="FFC8A951"/>
      <name val="Segoe UI"/>
      <family val="2"/>
    </font>
    <font>
      <b/>
      <sz val="10"/>
      <color rgb="FF334155"/>
      <name val="Segoe UI"/>
      <family val="2"/>
    </font>
    <font>
      <b/>
      <sz val="18"/>
      <color rgb="FFDC2626"/>
      <name val="Segoe UI"/>
      <family val="2"/>
    </font>
    <font>
      <sz val="9"/>
      <color rgb="FF334155"/>
      <name val="Segoe UI"/>
      <family val="2"/>
    </font>
    <font>
      <b/>
      <sz val="18"/>
      <color rgb="FFF97316"/>
      <name val="Segoe UI"/>
      <family val="2"/>
    </font>
    <font>
      <b/>
      <sz val="18"/>
      <color rgb="FFF59E0B"/>
      <name val="Segoe UI"/>
      <family val="2"/>
    </font>
    <font>
      <b/>
      <sz val="18"/>
      <color rgb="FF16A34A"/>
      <name val="Segoe UI"/>
      <family val="2"/>
    </font>
    <font>
      <b/>
      <sz val="8.5"/>
      <color rgb="FFFFFFFF"/>
      <name val="Segoe UI"/>
      <family val="2"/>
    </font>
    <font>
      <sz val="9"/>
      <color rgb="FF0F172A"/>
      <name val="Segoe UI"/>
      <family val="2"/>
    </font>
    <font>
      <b/>
      <sz val="9"/>
      <color rgb="FF16A34A"/>
      <name val="Segoe UI"/>
      <family val="2"/>
    </font>
    <font>
      <sz val="8.5"/>
      <color rgb="FF0F172A"/>
      <name val="Segoe UI"/>
      <family val="2"/>
    </font>
    <font>
      <i/>
      <sz val="8"/>
      <color rgb="FF64748B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rgb="FF001B4D"/>
        <bgColor indexed="64"/>
      </patternFill>
    </fill>
    <fill>
      <gradientFill degree="0">
        <stop position="0">
          <color rgb="FF001B4D"/>
        </stop>
        <stop position="1">
          <color rgb="FF003DA5"/>
        </stop>
      </gradientFill>
    </fill>
    <fill>
      <gradientFill degree="0">
        <stop position="0">
          <color rgb="FF003DA5"/>
        </stop>
        <stop position="1">
          <color rgb="FF2563EB"/>
        </stop>
      </gradientFill>
    </fill>
    <fill>
      <gradientFill degree="0">
        <stop position="0">
          <color rgb="FFC8A951"/>
        </stop>
        <stop position="1">
          <color rgb="FFE9D9A6"/>
        </stop>
      </gradientFill>
    </fill>
    <fill>
      <patternFill patternType="solid">
        <fgColor rgb="FFEAF2FF"/>
        <bgColor indexed="64"/>
      </patternFill>
    </fill>
    <fill>
      <gradientFill degree="45">
        <stop position="0">
          <color rgb="FF003DA5"/>
        </stop>
        <stop position="1">
          <color rgb="FF2563EB"/>
        </stop>
      </gradientFill>
    </fill>
    <fill>
      <patternFill patternType="solid">
        <fgColor rgb="FFFFFFFF"/>
        <bgColor indexed="64"/>
      </patternFill>
    </fill>
    <fill>
      <gradientFill degree="45">
        <stop position="0">
          <color rgb="FF003DA5"/>
        </stop>
        <stop position="1">
          <color rgb="FF06B6D4"/>
        </stop>
      </gradientFill>
    </fill>
    <fill>
      <patternFill patternType="solid">
        <fgColor rgb="FFDC2626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F2F7FF"/>
        <bgColor indexed="64"/>
      </patternFill>
    </fill>
    <fill>
      <patternFill patternType="solid">
        <fgColor rgb="FFDCFCE7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FFFFFF"/>
      </right>
      <top/>
      <bottom style="thick">
        <color rgb="FFC8A951"/>
      </bottom>
      <diagonal/>
    </border>
    <border>
      <left/>
      <right style="thin">
        <color rgb="FFFFFFFF"/>
      </right>
      <top/>
      <bottom style="thin">
        <color rgb="FFC7D7F5"/>
      </bottom>
      <diagonal/>
    </border>
    <border>
      <left style="thick">
        <color rgb="FFC8A951"/>
      </left>
      <right/>
      <top/>
      <bottom/>
      <diagonal/>
    </border>
    <border>
      <left/>
      <right/>
      <top style="thin">
        <color rgb="FFC7D7F5"/>
      </top>
      <bottom/>
      <diagonal/>
    </border>
    <border>
      <left style="thick">
        <color rgb="FF06B6D4"/>
      </left>
      <right/>
      <top/>
      <bottom/>
      <diagonal/>
    </border>
    <border>
      <left style="thick">
        <color rgb="FFF59E0B"/>
      </left>
      <right/>
      <top/>
      <bottom/>
      <diagonal/>
    </border>
    <border>
      <left style="thick">
        <color rgb="FFF97316"/>
      </left>
      <right/>
      <top/>
      <bottom/>
      <diagonal/>
    </border>
    <border>
      <left style="thick">
        <color rgb="FFDC2626"/>
      </left>
      <right/>
      <top/>
      <bottom/>
      <diagonal/>
    </border>
    <border>
      <left/>
      <right/>
      <top/>
      <bottom style="medium">
        <color rgb="FF003DA5"/>
      </bottom>
      <diagonal/>
    </border>
    <border>
      <left/>
      <right/>
      <top/>
      <bottom style="medium">
        <color rgb="FFC8A951"/>
      </bottom>
      <diagonal/>
    </border>
    <border>
      <left/>
      <right/>
      <top/>
      <bottom style="medium">
        <color rgb="FF06B6D4"/>
      </bottom>
      <diagonal/>
    </border>
    <border>
      <left/>
      <right/>
      <top/>
      <bottom style="medium">
        <color rgb="FFDC2626"/>
      </bottom>
      <diagonal/>
    </border>
    <border>
      <left/>
      <right/>
      <top style="thin">
        <color rgb="FFE2E8F0"/>
      </top>
      <bottom/>
      <diagonal/>
    </border>
    <border>
      <left/>
      <right/>
      <top style="thick">
        <color rgb="FFDC2626"/>
      </top>
      <bottom/>
      <diagonal/>
    </border>
    <border>
      <left/>
      <right/>
      <top style="thick">
        <color rgb="FFC8A951"/>
      </top>
      <bottom/>
      <diagonal/>
    </border>
    <border>
      <left/>
      <right/>
      <top style="thick">
        <color rgb="FFF97316"/>
      </top>
      <bottom/>
      <diagonal/>
    </border>
    <border>
      <left/>
      <right/>
      <top/>
      <bottom style="thin">
        <color rgb="FFE2E8F0"/>
      </bottom>
      <diagonal/>
    </border>
    <border>
      <left style="thick">
        <color rgb="FF16A34A"/>
      </left>
      <right/>
      <top/>
      <bottom/>
      <diagonal/>
    </border>
    <border>
      <left/>
      <right/>
      <top/>
      <bottom style="thin">
        <color rgb="FFE6EDF7"/>
      </bottom>
      <diagonal/>
    </border>
    <border>
      <left/>
      <right/>
      <top/>
      <bottom style="medium">
        <color rgb="FF16A34A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0" xfId="0" applyNumberFormat="1" applyFont="1" applyFill="1" applyBorder="1" applyAlignment="1">
      <alignment horizontal="left" vertical="center" indent="1"/>
    </xf>
    <xf numFmtId="0" fontId="1" fillId="2" borderId="0" xfId="0" applyNumberFormat="1" applyFont="1" applyFill="1" applyBorder="1" applyAlignment="1">
      <alignment horizontal="right" vertical="center"/>
    </xf>
    <xf numFmtId="0" fontId="1" fillId="3" borderId="0" xfId="0" applyNumberFormat="1" applyFont="1" applyFill="1" applyBorder="1" applyAlignment="1">
      <alignment horizontal="left" vertical="center" wrapText="1" indent="2"/>
    </xf>
    <xf numFmtId="0" fontId="2" fillId="4" borderId="0" xfId="0" applyNumberFormat="1" applyFont="1" applyFill="1" applyBorder="1" applyAlignment="1">
      <alignment horizontal="left" vertical="bottom" indent="2"/>
    </xf>
    <xf numFmtId="0" fontId="3" fillId="4" borderId="0" xfId="0" applyNumberFormat="1" applyFont="1" applyFill="1" applyBorder="1" applyAlignment="1">
      <alignment horizontal="left" vertical="center" indent="2"/>
    </xf>
    <xf numFmtId="0" fontId="4" fillId="4" borderId="0" xfId="0" applyNumberFormat="1" applyFont="1" applyFill="1" applyBorder="1" applyAlignment="1">
      <alignment horizontal="left" vertical="top" indent="2"/>
    </xf>
    <xf numFmtId="0" fontId="1" fillId="5" borderId="0" xfId="0" applyNumberFormat="1" applyFont="1" applyFill="1" applyBorder="1" applyAlignment="1">
      <alignment vertical="center"/>
    </xf>
    <xf numFmtId="0" fontId="5" fillId="4" borderId="1" xfId="0" applyNumberFormat="1" applyFont="1" applyFill="1" applyBorder="1" applyAlignment="1">
      <alignment horizontal="center" vertical="center"/>
    </xf>
    <xf numFmtId="0" fontId="6" fillId="6" borderId="2" xfId="0" applyNumberFormat="1" applyFont="1" applyFill="1" applyBorder="1" applyAlignment="1">
      <alignment horizontal="center" vertical="center"/>
    </xf>
    <xf numFmtId="0" fontId="1" fillId="7" borderId="3" xfId="0" applyNumberFormat="1" applyFont="1" applyFill="1" applyBorder="1" applyAlignment="1">
      <alignment horizontal="left" vertical="bottom" indent="1"/>
    </xf>
    <xf numFmtId="164" fontId="7" fillId="7" borderId="3" xfId="0" applyNumberFormat="1" applyFont="1" applyFill="1" applyBorder="1" applyAlignment="1">
      <alignment horizontal="left" vertical="center" indent="1"/>
    </xf>
    <xf numFmtId="0" fontId="8" fillId="7" borderId="3" xfId="0" applyNumberFormat="1" applyFont="1" applyFill="1" applyBorder="1" applyAlignment="1">
      <alignment horizontal="left" vertical="top" indent="1"/>
    </xf>
    <xf numFmtId="0" fontId="9" fillId="7" borderId="3" xfId="0" applyNumberFormat="1" applyFont="1" applyFill="1" applyBorder="1" applyAlignment="1">
      <alignment horizontal="left" vertical="center" indent="1"/>
    </xf>
    <xf numFmtId="0" fontId="1" fillId="7" borderId="0" xfId="0" applyNumberFormat="1" applyFont="1" applyFill="1" applyBorder="1" applyAlignment="1">
      <alignment vertical="center"/>
    </xf>
    <xf numFmtId="0" fontId="10" fillId="7" borderId="3" xfId="0" applyNumberFormat="1" applyFont="1" applyFill="1" applyBorder="1" applyAlignment="1">
      <alignment horizontal="left" vertical="top" indent="1"/>
    </xf>
    <xf numFmtId="0" fontId="1" fillId="0" borderId="4" xfId="0" applyNumberFormat="1" applyFont="1" applyFill="1" applyBorder="1" applyAlignment="1">
      <alignment vertical="center"/>
    </xf>
    <xf numFmtId="0" fontId="1" fillId="8" borderId="5" xfId="0" applyNumberFormat="1" applyFont="1" applyFill="1" applyBorder="1" applyAlignment="1">
      <alignment horizontal="left" vertical="bottom" indent="1"/>
    </xf>
    <xf numFmtId="164" fontId="11" fillId="8" borderId="5" xfId="0" applyNumberFormat="1" applyFont="1" applyFill="1" applyBorder="1" applyAlignment="1">
      <alignment horizontal="left" vertical="center" indent="1"/>
    </xf>
    <xf numFmtId="0" fontId="12" fillId="8" borderId="5" xfId="0" applyNumberFormat="1" applyFont="1" applyFill="1" applyBorder="1" applyAlignment="1">
      <alignment horizontal="left" vertical="top" indent="1"/>
    </xf>
    <xf numFmtId="0" fontId="13" fillId="8" borderId="5" xfId="0" applyNumberFormat="1" applyFont="1" applyFill="1" applyBorder="1" applyAlignment="1">
      <alignment horizontal="left" vertical="center" indent="1"/>
    </xf>
    <xf numFmtId="0" fontId="1" fillId="8" borderId="0" xfId="0" applyNumberFormat="1" applyFont="1" applyFill="1" applyBorder="1" applyAlignment="1">
      <alignment vertical="center"/>
    </xf>
    <xf numFmtId="0" fontId="14" fillId="8" borderId="5" xfId="0" applyNumberFormat="1" applyFont="1" applyFill="1" applyBorder="1" applyAlignment="1">
      <alignment horizontal="left" vertical="top" indent="1"/>
    </xf>
    <xf numFmtId="0" fontId="1" fillId="6" borderId="6" xfId="0" applyNumberFormat="1" applyFont="1" applyFill="1" applyBorder="1" applyAlignment="1">
      <alignment horizontal="left" vertical="bottom" indent="1"/>
    </xf>
    <xf numFmtId="164" fontId="11" fillId="6" borderId="6" xfId="0" applyNumberFormat="1" applyFont="1" applyFill="1" applyBorder="1" applyAlignment="1">
      <alignment horizontal="left" vertical="center" indent="1"/>
    </xf>
    <xf numFmtId="0" fontId="12" fillId="6" borderId="6" xfId="0" applyNumberFormat="1" applyFont="1" applyFill="1" applyBorder="1" applyAlignment="1">
      <alignment horizontal="left" vertical="top" indent="1"/>
    </xf>
    <xf numFmtId="0" fontId="15" fillId="6" borderId="6" xfId="0" applyNumberFormat="1" applyFont="1" applyFill="1" applyBorder="1" applyAlignment="1">
      <alignment horizontal="left" vertical="center" indent="1"/>
    </xf>
    <xf numFmtId="0" fontId="1" fillId="6" borderId="0" xfId="0" applyNumberFormat="1" applyFont="1" applyFill="1" applyBorder="1" applyAlignment="1">
      <alignment vertical="center"/>
    </xf>
    <xf numFmtId="0" fontId="14" fillId="6" borderId="6" xfId="0" applyNumberFormat="1" applyFont="1" applyFill="1" applyBorder="1" applyAlignment="1">
      <alignment horizontal="left" vertical="top" indent="1"/>
    </xf>
    <xf numFmtId="0" fontId="1" fillId="8" borderId="7" xfId="0" applyNumberFormat="1" applyFont="1" applyFill="1" applyBorder="1" applyAlignment="1">
      <alignment horizontal="left" vertical="bottom" indent="1"/>
    </xf>
    <xf numFmtId="164" fontId="11" fillId="8" borderId="7" xfId="0" applyNumberFormat="1" applyFont="1" applyFill="1" applyBorder="1" applyAlignment="1">
      <alignment horizontal="left" vertical="center" indent="1"/>
    </xf>
    <xf numFmtId="0" fontId="12" fillId="8" borderId="7" xfId="0" applyNumberFormat="1" applyFont="1" applyFill="1" applyBorder="1" applyAlignment="1">
      <alignment horizontal="left" vertical="top" indent="1"/>
    </xf>
    <xf numFmtId="0" fontId="16" fillId="8" borderId="7" xfId="0" applyNumberFormat="1" applyFont="1" applyFill="1" applyBorder="1" applyAlignment="1">
      <alignment horizontal="left" vertical="center" indent="1"/>
    </xf>
    <xf numFmtId="0" fontId="14" fillId="8" borderId="7" xfId="0" applyNumberFormat="1" applyFont="1" applyFill="1" applyBorder="1" applyAlignment="1">
      <alignment horizontal="left" vertical="top" indent="1"/>
    </xf>
    <xf numFmtId="0" fontId="1" fillId="6" borderId="8" xfId="0" applyNumberFormat="1" applyFont="1" applyFill="1" applyBorder="1" applyAlignment="1">
      <alignment horizontal="left" vertical="bottom" indent="1"/>
    </xf>
    <xf numFmtId="164" fontId="11" fillId="6" borderId="8" xfId="0" applyNumberFormat="1" applyFont="1" applyFill="1" applyBorder="1" applyAlignment="1">
      <alignment horizontal="left" vertical="center" indent="1"/>
    </xf>
    <xf numFmtId="0" fontId="12" fillId="6" borderId="8" xfId="0" applyNumberFormat="1" applyFont="1" applyFill="1" applyBorder="1" applyAlignment="1">
      <alignment horizontal="left" vertical="top" indent="1"/>
    </xf>
    <xf numFmtId="0" fontId="13" fillId="6" borderId="8" xfId="0" applyNumberFormat="1" applyFont="1" applyFill="1" applyBorder="1" applyAlignment="1">
      <alignment horizontal="left" vertical="center" indent="1"/>
    </xf>
    <xf numFmtId="0" fontId="14" fillId="6" borderId="8" xfId="0" applyNumberFormat="1" applyFont="1" applyFill="1" applyBorder="1" applyAlignment="1">
      <alignment horizontal="left" vertical="top" indent="1"/>
    </xf>
    <xf numFmtId="0" fontId="1" fillId="8" borderId="3" xfId="0" applyNumberFormat="1" applyFont="1" applyFill="1" applyBorder="1" applyAlignment="1">
      <alignment horizontal="left" vertical="bottom" indent="1"/>
    </xf>
    <xf numFmtId="164" fontId="11" fillId="8" borderId="3" xfId="0" applyNumberFormat="1" applyFont="1" applyFill="1" applyBorder="1" applyAlignment="1">
      <alignment horizontal="left" vertical="center" indent="1"/>
    </xf>
    <xf numFmtId="0" fontId="12" fillId="8" borderId="3" xfId="0" applyNumberFormat="1" applyFont="1" applyFill="1" applyBorder="1" applyAlignment="1">
      <alignment horizontal="left" vertical="top" indent="1"/>
    </xf>
    <xf numFmtId="0" fontId="15" fillId="8" borderId="3" xfId="0" applyNumberFormat="1" applyFont="1" applyFill="1" applyBorder="1" applyAlignment="1">
      <alignment horizontal="left" vertical="center" indent="1"/>
    </xf>
    <xf numFmtId="0" fontId="14" fillId="8" borderId="3" xfId="0" applyNumberFormat="1" applyFont="1" applyFill="1" applyBorder="1" applyAlignment="1">
      <alignment horizontal="left" vertical="top" indent="1"/>
    </xf>
    <xf numFmtId="0" fontId="1" fillId="9" borderId="3" xfId="0" applyNumberFormat="1" applyFont="1" applyFill="1" applyBorder="1" applyAlignment="1">
      <alignment horizontal="left" vertical="bottom" indent="1"/>
    </xf>
    <xf numFmtId="164" fontId="7" fillId="9" borderId="3" xfId="0" applyNumberFormat="1" applyFont="1" applyFill="1" applyBorder="1" applyAlignment="1">
      <alignment horizontal="left" vertical="center" indent="1"/>
    </xf>
    <xf numFmtId="0" fontId="8" fillId="9" borderId="3" xfId="0" applyNumberFormat="1" applyFont="1" applyFill="1" applyBorder="1" applyAlignment="1">
      <alignment horizontal="left" vertical="top" indent="1"/>
    </xf>
    <xf numFmtId="0" fontId="17" fillId="9" borderId="3" xfId="0" applyNumberFormat="1" applyFont="1" applyFill="1" applyBorder="1" applyAlignment="1">
      <alignment horizontal="left" vertical="center" indent="1"/>
    </xf>
    <xf numFmtId="0" fontId="1" fillId="9" borderId="0" xfId="0" applyNumberFormat="1" applyFont="1" applyFill="1" applyBorder="1" applyAlignment="1">
      <alignment vertical="center"/>
    </xf>
    <xf numFmtId="0" fontId="10" fillId="9" borderId="3" xfId="0" applyNumberFormat="1" applyFont="1" applyFill="1" applyBorder="1" applyAlignment="1">
      <alignment horizontal="left" vertical="top" indent="1"/>
    </xf>
    <xf numFmtId="0" fontId="1" fillId="8" borderId="6" xfId="0" applyNumberFormat="1" applyFont="1" applyFill="1" applyBorder="1" applyAlignment="1">
      <alignment horizontal="left" vertical="bottom" indent="1"/>
    </xf>
    <xf numFmtId="3" fontId="11" fillId="8" borderId="6" xfId="0" applyNumberFormat="1" applyFont="1" applyFill="1" applyBorder="1" applyAlignment="1">
      <alignment horizontal="left" vertical="center" indent="1"/>
    </xf>
    <xf numFmtId="0" fontId="12" fillId="8" borderId="6" xfId="0" applyNumberFormat="1" applyFont="1" applyFill="1" applyBorder="1" applyAlignment="1">
      <alignment horizontal="left" vertical="top" indent="1"/>
    </xf>
    <xf numFmtId="0" fontId="16" fillId="8" borderId="6" xfId="0" applyNumberFormat="1" applyFont="1" applyFill="1" applyBorder="1" applyAlignment="1">
      <alignment horizontal="left" vertical="center" indent="1"/>
    </xf>
    <xf numFmtId="0" fontId="14" fillId="8" borderId="6" xfId="0" applyNumberFormat="1" applyFont="1" applyFill="1" applyBorder="1" applyAlignment="1">
      <alignment horizontal="left" vertical="top" indent="1"/>
    </xf>
    <xf numFmtId="0" fontId="1" fillId="7" borderId="8" xfId="0" applyNumberFormat="1" applyFont="1" applyFill="1" applyBorder="1" applyAlignment="1">
      <alignment horizontal="left" vertical="bottom" indent="1"/>
    </xf>
    <xf numFmtId="164" fontId="7" fillId="7" borderId="8" xfId="0" applyNumberFormat="1" applyFont="1" applyFill="1" applyBorder="1" applyAlignment="1">
      <alignment horizontal="left" vertical="center" indent="1"/>
    </xf>
    <xf numFmtId="0" fontId="8" fillId="7" borderId="8" xfId="0" applyNumberFormat="1" applyFont="1" applyFill="1" applyBorder="1" applyAlignment="1">
      <alignment horizontal="left" vertical="top" indent="1"/>
    </xf>
    <xf numFmtId="0" fontId="9" fillId="7" borderId="8" xfId="0" applyNumberFormat="1" applyFont="1" applyFill="1" applyBorder="1" applyAlignment="1">
      <alignment horizontal="left" vertical="center" indent="1"/>
    </xf>
    <xf numFmtId="0" fontId="10" fillId="7" borderId="8" xfId="0" applyNumberFormat="1" applyFont="1" applyFill="1" applyBorder="1" applyAlignment="1">
      <alignment horizontal="left" vertical="top" indent="1"/>
    </xf>
    <xf numFmtId="0" fontId="1" fillId="0" borderId="9" xfId="0" applyNumberFormat="1" applyFont="1" applyFill="1" applyBorder="1" applyAlignment="1">
      <alignment horizontal="left" vertical="bottom"/>
    </xf>
    <xf numFmtId="0" fontId="1" fillId="0" borderId="10" xfId="0" applyNumberFormat="1" applyFont="1" applyFill="1" applyBorder="1" applyAlignment="1">
      <alignment horizontal="left" vertical="bottom"/>
    </xf>
    <xf numFmtId="0" fontId="1" fillId="0" borderId="11" xfId="0" applyNumberFormat="1" applyFont="1" applyFill="1" applyBorder="1" applyAlignment="1">
      <alignment horizontal="left" vertical="bottom"/>
    </xf>
    <xf numFmtId="0" fontId="18" fillId="0" borderId="8" xfId="0" applyNumberFormat="1" applyFont="1" applyFill="1" applyBorder="1" applyAlignment="1">
      <alignment horizontal="left" vertical="center" indent="1"/>
    </xf>
    <xf numFmtId="0" fontId="19" fillId="0" borderId="0" xfId="0" applyNumberFormat="1" applyFont="1" applyFill="1" applyBorder="1" applyAlignment="1">
      <alignment horizontal="right" vertical="center"/>
    </xf>
    <xf numFmtId="0" fontId="20" fillId="0" borderId="8" xfId="0" applyNumberFormat="1" applyFont="1" applyFill="1" applyBorder="1" applyAlignment="1">
      <alignment horizontal="left" vertical="top" indent="1"/>
    </xf>
    <xf numFmtId="0" fontId="1" fillId="0" borderId="12" xfId="0" applyNumberFormat="1" applyFont="1" applyFill="1" applyBorder="1" applyAlignment="1">
      <alignment horizontal="left" vertical="bottom"/>
    </xf>
    <xf numFmtId="0" fontId="21" fillId="0" borderId="0" xfId="0" applyNumberFormat="1" applyFont="1" applyFill="1" applyBorder="1" applyAlignment="1">
      <alignment horizontal="center" vertical="center"/>
    </xf>
    <xf numFmtId="0" fontId="22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left" vertical="center"/>
    </xf>
    <xf numFmtId="0" fontId="14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vertical="center"/>
    </xf>
    <xf numFmtId="0" fontId="23" fillId="10" borderId="0" xfId="0" applyNumberFormat="1" applyFont="1" applyFill="1" applyBorder="1" applyAlignment="1">
      <alignment horizontal="center" vertical="center"/>
    </xf>
    <xf numFmtId="0" fontId="24" fillId="0" borderId="0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vertical="center"/>
    </xf>
    <xf numFmtId="3" fontId="25" fillId="1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 indent="1"/>
    </xf>
    <xf numFmtId="0" fontId="26" fillId="0" borderId="0" xfId="0" applyNumberFormat="1" applyFont="1" applyFill="1" applyBorder="1" applyAlignment="1">
      <alignment horizontal="left" vertical="center" indent="1"/>
    </xf>
    <xf numFmtId="0" fontId="1" fillId="11" borderId="0" xfId="0" applyNumberFormat="1" applyFont="1" applyFill="1" applyBorder="1" applyAlignment="1">
      <alignment vertical="center"/>
    </xf>
    <xf numFmtId="9" fontId="27" fillId="11" borderId="0" xfId="0" applyNumberFormat="1" applyFont="1" applyFill="1" applyBorder="1" applyAlignment="1">
      <alignment horizontal="left" vertical="center"/>
    </xf>
    <xf numFmtId="0" fontId="28" fillId="0" borderId="0" xfId="0" applyNumberFormat="1" applyFont="1" applyFill="1" applyBorder="1" applyAlignment="1">
      <alignment horizontal="left" vertical="center"/>
    </xf>
    <xf numFmtId="3" fontId="25" fillId="12" borderId="0" xfId="0" applyNumberFormat="1" applyFont="1" applyFill="1" applyBorder="1" applyAlignment="1">
      <alignment horizontal="center" vertical="center"/>
    </xf>
    <xf numFmtId="3" fontId="25" fillId="13" borderId="0" xfId="0" applyNumberFormat="1" applyFont="1" applyFill="1" applyBorder="1" applyAlignment="1">
      <alignment horizontal="center" vertical="center"/>
    </xf>
    <xf numFmtId="3" fontId="25" fillId="14" borderId="0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left" vertical="center" indent="1"/>
    </xf>
    <xf numFmtId="0" fontId="29" fillId="0" borderId="0" xfId="0" applyNumberFormat="1" applyFont="1" applyFill="1" applyBorder="1" applyAlignment="1">
      <alignment horizontal="left" vertical="center" indent="1"/>
    </xf>
    <xf numFmtId="0" fontId="30" fillId="0" borderId="0" xfId="0" applyNumberFormat="1" applyFont="1" applyFill="1" applyBorder="1" applyAlignment="1">
      <alignment horizontal="left" vertical="top" wrapText="1" indent="1"/>
    </xf>
    <xf numFmtId="0" fontId="1" fillId="0" borderId="15" xfId="0" applyNumberFormat="1" applyFont="1" applyFill="1" applyBorder="1" applyAlignment="1">
      <alignment horizontal="left" vertical="center" indent="1"/>
    </xf>
    <xf numFmtId="0" fontId="31" fillId="0" borderId="0" xfId="0" applyNumberFormat="1" applyFont="1" applyFill="1" applyBorder="1" applyAlignment="1">
      <alignment horizontal="left" vertical="center" indent="1"/>
    </xf>
    <xf numFmtId="0" fontId="1" fillId="0" borderId="16" xfId="0" applyNumberFormat="1" applyFont="1" applyFill="1" applyBorder="1" applyAlignment="1">
      <alignment horizontal="left" vertical="center" indent="1"/>
    </xf>
    <xf numFmtId="0" fontId="32" fillId="0" borderId="0" xfId="0" applyNumberFormat="1" applyFont="1" applyFill="1" applyBorder="1" applyAlignment="1">
      <alignment horizontal="left" vertical="center" indent="1"/>
    </xf>
    <xf numFmtId="0" fontId="33" fillId="0" borderId="8" xfId="0" applyNumberFormat="1" applyFont="1" applyFill="1" applyBorder="1" applyAlignment="1">
      <alignment horizontal="center" vertical="center"/>
    </xf>
    <xf numFmtId="0" fontId="34" fillId="0" borderId="0" xfId="0" applyNumberFormat="1" applyFont="1" applyFill="1" applyBorder="1" applyAlignment="1">
      <alignment horizontal="left" vertical="bottom"/>
    </xf>
    <xf numFmtId="0" fontId="35" fillId="0" borderId="0" xfId="0" applyNumberFormat="1" applyFont="1" applyFill="1" applyBorder="1" applyAlignment="1">
      <alignment horizontal="left" vertical="center"/>
    </xf>
    <xf numFmtId="0" fontId="36" fillId="0" borderId="0" xfId="0" applyNumberFormat="1" applyFont="1" applyFill="1" applyBorder="1" applyAlignment="1">
      <alignment horizontal="left" vertical="top" wrapText="1"/>
    </xf>
    <xf numFmtId="0" fontId="1" fillId="0" borderId="17" xfId="0" applyNumberFormat="1" applyFont="1" applyFill="1" applyBorder="1" applyAlignment="1">
      <alignment vertical="center"/>
    </xf>
    <xf numFmtId="0" fontId="33" fillId="0" borderId="3" xfId="0" applyNumberFormat="1" applyFont="1" applyFill="1" applyBorder="1" applyAlignment="1">
      <alignment horizontal="center" vertical="center"/>
    </xf>
    <xf numFmtId="0" fontId="21" fillId="0" borderId="0" xfId="0" applyNumberFormat="1" applyFont="1" applyFill="1" applyBorder="1" applyAlignment="1">
      <alignment horizontal="left" vertical="center"/>
    </xf>
    <xf numFmtId="0" fontId="33" fillId="0" borderId="7" xfId="0" applyNumberFormat="1" applyFont="1" applyFill="1" applyBorder="1" applyAlignment="1">
      <alignment horizontal="center" vertical="center"/>
    </xf>
    <xf numFmtId="0" fontId="37" fillId="0" borderId="0" xfId="0" applyNumberFormat="1" applyFont="1" applyFill="1" applyBorder="1" applyAlignment="1">
      <alignment horizontal="left" vertical="center"/>
    </xf>
    <xf numFmtId="0" fontId="33" fillId="0" borderId="6" xfId="0" applyNumberFormat="1" applyFont="1" applyFill="1" applyBorder="1" applyAlignment="1">
      <alignment horizontal="center" vertical="center"/>
    </xf>
    <xf numFmtId="0" fontId="38" fillId="0" borderId="0" xfId="0" applyNumberFormat="1" applyFont="1" applyFill="1" applyBorder="1" applyAlignment="1">
      <alignment horizontal="left" vertical="center"/>
    </xf>
    <xf numFmtId="0" fontId="33" fillId="0" borderId="18" xfId="0" applyNumberFormat="1" applyFont="1" applyFill="1" applyBorder="1" applyAlignment="1">
      <alignment horizontal="center" vertical="center"/>
    </xf>
    <xf numFmtId="0" fontId="39" fillId="0" borderId="0" xfId="0" applyNumberFormat="1" applyFont="1" applyFill="1" applyBorder="1" applyAlignment="1">
      <alignment horizontal="left" vertical="center"/>
    </xf>
    <xf numFmtId="0" fontId="40" fillId="2" borderId="10" xfId="0" applyNumberFormat="1" applyFont="1" applyFill="1" applyBorder="1" applyAlignment="1">
      <alignment horizontal="left" vertical="center" wrapText="1" indent="1"/>
    </xf>
    <xf numFmtId="0" fontId="41" fillId="8" borderId="19" xfId="0" applyNumberFormat="1" applyFont="1" applyFill="1" applyBorder="1" applyAlignment="1">
      <alignment horizontal="left" vertical="center" indent="1"/>
    </xf>
    <xf numFmtId="0" fontId="41" fillId="15" borderId="19" xfId="0" applyNumberFormat="1" applyFont="1" applyFill="1" applyBorder="1" applyAlignment="1">
      <alignment horizontal="left" vertical="center" indent="1"/>
    </xf>
    <xf numFmtId="0" fontId="1" fillId="0" borderId="20" xfId="0" applyNumberFormat="1" applyFont="1" applyFill="1" applyBorder="1" applyAlignment="1">
      <alignment horizontal="left" vertical="bottom"/>
    </xf>
    <xf numFmtId="0" fontId="42" fillId="16" borderId="0" xfId="0" applyNumberFormat="1" applyFont="1" applyFill="1" applyBorder="1" applyAlignment="1">
      <alignment horizontal="center" vertical="center"/>
    </xf>
    <xf numFmtId="0" fontId="43" fillId="15" borderId="0" xfId="0" applyNumberFormat="1" applyFont="1" applyFill="1" applyBorder="1" applyAlignment="1">
      <alignment horizontal="left" vertical="center" wrapText="1" indent="1"/>
    </xf>
    <xf numFmtId="0" fontId="43" fillId="8" borderId="0" xfId="0" applyNumberFormat="1" applyFont="1" applyFill="1" applyBorder="1" applyAlignment="1">
      <alignment horizontal="left" vertical="center" wrapText="1" indent="1"/>
    </xf>
    <xf numFmtId="0" fontId="44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'_data'!$A$14</c:f>
              <c:strCache>
                <c:ptCount val="1"/>
                <c:pt idx="0">
                  <c:v>Encours</c:v>
                </c:pt>
              </c:strCache>
            </c:strRef>
          </c:tx>
          <c:spPr>
            <a:gradFill rotWithShape="1">
              <a:gsLst>
                <a:gs pos="0">
                  <a:srgbClr val="3B82F6">
                    <a:alpha val="55000"/>
                  </a:srgbClr>
                </a:gs>
                <a:gs pos="100000">
                  <a:srgbClr val="3B82F6">
                    <a:alpha val="8000"/>
                  </a:srgbClr>
                </a:gs>
              </a:gsLst>
              <a:lin ang="5400000" scaled="0"/>
            </a:gradFill>
            <a:ln w="22225" cap="rnd">
              <a:solidFill>
                <a:srgbClr val="3B82F6"/>
              </a:solidFill>
              <a:round/>
            </a:ln>
          </c:spPr>
          <c:cat>
            <c:strRef>
              <c:f>'_data'!$B$13:$J$13</c:f>
              <c:strCache>
                <c:ptCount val="9"/>
                <c:pt idx="0">
                  <c:v>31/01/26</c:v>
                </c:pt>
                <c:pt idx="1">
                  <c:v>28/02/26</c:v>
                </c:pt>
                <c:pt idx="2">
                  <c:v>31/03/26</c:v>
                </c:pt>
                <c:pt idx="3">
                  <c:v>30/04/26</c:v>
                </c:pt>
                <c:pt idx="4">
                  <c:v>31/05/26</c:v>
                </c:pt>
                <c:pt idx="5">
                  <c:v>30/06/26</c:v>
                </c:pt>
                <c:pt idx="6">
                  <c:v>31/07/26</c:v>
                </c:pt>
                <c:pt idx="7">
                  <c:v>31/08/26</c:v>
                </c:pt>
                <c:pt idx="8">
                  <c:v>30/09/26</c:v>
                </c:pt>
              </c:strCache>
            </c:strRef>
          </c:cat>
          <c:val>
            <c:numRef>
              <c:f>'_data'!$B$14:$J$14</c:f>
              <c:numCache>
                <c:formatCode>#,##0</c:formatCode>
                <c:ptCount val="9"/>
                <c:pt idx="0">
                  <c:v>850385585746</c:v>
                </c:pt>
                <c:pt idx="1">
                  <c:v>850385585746</c:v>
                </c:pt>
                <c:pt idx="2">
                  <c:v>850385585746</c:v>
                </c:pt>
                <c:pt idx="3">
                  <c:v>850385585746</c:v>
                </c:pt>
                <c:pt idx="4">
                  <c:v>850385585746</c:v>
                </c:pt>
                <c:pt idx="5">
                  <c:v>850385585746</c:v>
                </c:pt>
                <c:pt idx="6">
                  <c:v>850385585746</c:v>
                </c:pt>
                <c:pt idx="7">
                  <c:v>850385585746</c:v>
                </c:pt>
                <c:pt idx="8">
                  <c:v>850385585746</c:v>
                </c:pt>
              </c:numCache>
            </c:numRef>
          </c:val>
        </c:ser>
        <c:axId val="101"/>
        <c:axId val="102"/>
      </c:areaChart>
      <c:lineChart>
        <c:grouping val="standard"/>
        <c:varyColors val="0"/>
        <c:ser>
          <c:idx val="1"/>
          <c:order val="1"/>
          <c:tx>
            <c:strRef>
              <c:f>'_data'!$A$15</c:f>
              <c:strCache>
                <c:ptCount val="1"/>
                <c:pt idx="0">
                  <c:v>Impayés</c:v>
                </c:pt>
              </c:strCache>
            </c:strRef>
          </c:tx>
          <c:spPr>
            <a:ln w="31750" cap="rnd">
              <a:solidFill>
                <a:srgbClr val="06B6D4"/>
              </a:solidFill>
              <a:round/>
            </a:ln>
          </c:spPr>
          <c:marker>
            <c:symbol val="circle"/>
            <c:size val="5"/>
            <c:spPr>
              <a:solidFill>
                <a:srgbClr val="FFFFFF"/>
              </a:solidFill>
              <a:ln w="15875" cap="rnd">
                <a:solidFill>
                  <a:srgbClr val="06B6D4"/>
                </a:solidFill>
                <a:round/>
              </a:ln>
            </c:spPr>
          </c:marker>
          <c:cat>
            <c:strRef>
              <c:f>'_data'!$B$13:$J$13</c:f>
              <c:strCache>
                <c:ptCount val="9"/>
                <c:pt idx="0">
                  <c:v>31/01/26</c:v>
                </c:pt>
                <c:pt idx="1">
                  <c:v>28/02/26</c:v>
                </c:pt>
                <c:pt idx="2">
                  <c:v>31/03/26</c:v>
                </c:pt>
                <c:pt idx="3">
                  <c:v>30/04/26</c:v>
                </c:pt>
                <c:pt idx="4">
                  <c:v>31/05/26</c:v>
                </c:pt>
                <c:pt idx="5">
                  <c:v>30/06/26</c:v>
                </c:pt>
                <c:pt idx="6">
                  <c:v>31/07/26</c:v>
                </c:pt>
                <c:pt idx="7">
                  <c:v>31/08/26</c:v>
                </c:pt>
                <c:pt idx="8">
                  <c:v>30/09/26</c:v>
                </c:pt>
              </c:strCache>
            </c:strRef>
          </c:cat>
          <c:val>
            <c:numRef>
              <c:f>'_data'!$B$15:$J$15</c:f>
              <c:numCache>
                <c:formatCode>#,##0</c:formatCode>
                <c:ptCount val="9"/>
                <c:pt idx="0">
                  <c:v>29184523554</c:v>
                </c:pt>
                <c:pt idx="1">
                  <c:v>29420095999</c:v>
                </c:pt>
                <c:pt idx="2">
                  <c:v>29702243448</c:v>
                </c:pt>
                <c:pt idx="3">
                  <c:v>29928927133</c:v>
                </c:pt>
                <c:pt idx="4">
                  <c:v>30088767435</c:v>
                </c:pt>
                <c:pt idx="5">
                  <c:v>30408508959</c:v>
                </c:pt>
                <c:pt idx="6">
                  <c:v>31308379288</c:v>
                </c:pt>
                <c:pt idx="7">
                  <c:v>31559855616</c:v>
                </c:pt>
                <c:pt idx="8">
                  <c:v>31893133004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'_data'!$A$16</c:f>
              <c:strCache>
                <c:ptCount val="1"/>
                <c:pt idx="0">
                  <c:v>Stage 2</c:v>
                </c:pt>
              </c:strCache>
            </c:strRef>
          </c:tx>
          <c:spPr>
            <a:ln w="28575" cap="rnd">
              <a:solidFill>
                <a:srgbClr val="C8A951"/>
              </a:solidFill>
              <a:round/>
            </a:ln>
          </c:spPr>
          <c:marker>
            <c:symbol val="circle"/>
            <c:size val="5"/>
            <c:spPr>
              <a:solidFill>
                <a:srgbClr val="FFFFFF"/>
              </a:solidFill>
              <a:ln w="15875" cap="rnd">
                <a:solidFill>
                  <a:srgbClr val="C8A951"/>
                </a:solidFill>
                <a:round/>
              </a:ln>
            </c:spPr>
          </c:marker>
          <c:cat>
            <c:strRef>
              <c:f>'_data'!$B$13:$J$13</c:f>
              <c:strCache>
                <c:ptCount val="9"/>
                <c:pt idx="0">
                  <c:v>31/01/26</c:v>
                </c:pt>
                <c:pt idx="1">
                  <c:v>28/02/26</c:v>
                </c:pt>
                <c:pt idx="2">
                  <c:v>31/03/26</c:v>
                </c:pt>
                <c:pt idx="3">
                  <c:v>30/04/26</c:v>
                </c:pt>
                <c:pt idx="4">
                  <c:v>31/05/26</c:v>
                </c:pt>
                <c:pt idx="5">
                  <c:v>30/06/26</c:v>
                </c:pt>
                <c:pt idx="6">
                  <c:v>31/07/26</c:v>
                </c:pt>
                <c:pt idx="7">
                  <c:v>31/08/26</c:v>
                </c:pt>
                <c:pt idx="8">
                  <c:v>30/09/26</c:v>
                </c:pt>
              </c:strCache>
            </c:strRef>
          </c:cat>
          <c:val>
            <c:numRef>
              <c:f>'_data'!$B$16:$J$16</c:f>
              <c:numCache>
                <c:formatCode>#,##0</c:formatCode>
                <c:ptCount val="9"/>
                <c:pt idx="0">
                  <c:v>269638115746</c:v>
                </c:pt>
                <c:pt idx="1">
                  <c:v>265469334553</c:v>
                </c:pt>
                <c:pt idx="2">
                  <c:v>267459762762</c:v>
                </c:pt>
                <c:pt idx="3">
                  <c:v>260155324243</c:v>
                </c:pt>
                <c:pt idx="4">
                  <c:v>251913499667</c:v>
                </c:pt>
                <c:pt idx="5">
                  <c:v>247382030353</c:v>
                </c:pt>
                <c:pt idx="6">
                  <c:v>256897530911</c:v>
                </c:pt>
                <c:pt idx="7">
                  <c:v>260405484457</c:v>
                </c:pt>
                <c:pt idx="8">
                  <c:v>259457540560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'_data'!$A$17</c:f>
              <c:strCache>
                <c:ptCount val="1"/>
                <c:pt idx="0">
                  <c:v>Stage 3</c:v>
                </c:pt>
              </c:strCache>
            </c:strRef>
          </c:tx>
          <c:spPr>
            <a:ln w="28575" cap="rnd">
              <a:solidFill>
                <a:srgbClr val="DC2626"/>
              </a:solidFill>
              <a:round/>
            </a:ln>
          </c:spPr>
          <c:marker>
            <c:symbol val="circle"/>
            <c:size val="5"/>
            <c:spPr>
              <a:solidFill>
                <a:srgbClr val="FFFFFF"/>
              </a:solidFill>
              <a:ln w="15875" cap="rnd">
                <a:solidFill>
                  <a:srgbClr val="DC2626"/>
                </a:solidFill>
                <a:round/>
              </a:ln>
            </c:spPr>
          </c:marker>
          <c:cat>
            <c:strRef>
              <c:f>'_data'!$B$13:$J$13</c:f>
              <c:strCache>
                <c:ptCount val="9"/>
                <c:pt idx="0">
                  <c:v>31/01/26</c:v>
                </c:pt>
                <c:pt idx="1">
                  <c:v>28/02/26</c:v>
                </c:pt>
                <c:pt idx="2">
                  <c:v>31/03/26</c:v>
                </c:pt>
                <c:pt idx="3">
                  <c:v>30/04/26</c:v>
                </c:pt>
                <c:pt idx="4">
                  <c:v>31/05/26</c:v>
                </c:pt>
                <c:pt idx="5">
                  <c:v>30/06/26</c:v>
                </c:pt>
                <c:pt idx="6">
                  <c:v>31/07/26</c:v>
                </c:pt>
                <c:pt idx="7">
                  <c:v>31/08/26</c:v>
                </c:pt>
                <c:pt idx="8">
                  <c:v>30/09/26</c:v>
                </c:pt>
              </c:strCache>
            </c:strRef>
          </c:cat>
          <c:val>
            <c:numRef>
              <c:f>'_data'!$B$17:$J$17</c:f>
              <c:numCache>
                <c:formatCode>#,##0</c:formatCode>
                <c:ptCount val="9"/>
                <c:pt idx="0">
                  <c:v>263523119585</c:v>
                </c:pt>
                <c:pt idx="1">
                  <c:v>275253548816</c:v>
                </c:pt>
                <c:pt idx="2">
                  <c:v>278163621132</c:v>
                </c:pt>
                <c:pt idx="3">
                  <c:v>288562532063</c:v>
                </c:pt>
                <c:pt idx="4">
                  <c:v>302210258189</c:v>
                </c:pt>
                <c:pt idx="5">
                  <c:v>311191155804</c:v>
                </c:pt>
                <c:pt idx="6">
                  <c:v>313715142480</c:v>
                </c:pt>
                <c:pt idx="7">
                  <c:v>320285953006</c:v>
                </c:pt>
                <c:pt idx="8">
                  <c:v>323775211401</c:v>
                </c:pt>
              </c:numCache>
            </c:numRef>
          </c:val>
          <c:smooth val="0"/>
        </c:ser>
        <c:marker val="1"/>
        <c:axId val="103"/>
        <c:axId val="104"/>
      </c:lineChart>
      <c:catAx>
        <c:axId val="1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102"/>
        <c:crosses val="autoZero"/>
        <c:auto val="1"/>
        <c:lblAlgn val="ctr"/>
        <c:lblOffset val="100"/>
        <c:noMultiLvlLbl val="0"/>
      </c:catAx>
      <c:valAx>
        <c:axId val="1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  <a:prstDash val="dash"/>
            </a:ln>
          </c:spPr>
        </c:majorGridlines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101"/>
        <c:crosses val="autoZero"/>
        <c:crossBetween val="between"/>
      </c:valAx>
      <c:catAx>
        <c:axId val="103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104"/>
        <c:crosses val="autoZero"/>
        <c:auto val="1"/>
        <c:lblAlgn val="ctr"/>
        <c:lblOffset val="100"/>
        <c:noMultiLvlLbl val="0"/>
      </c:catAx>
      <c:valAx>
        <c:axId val="104"/>
        <c:scaling>
          <c:orientation val="minMax"/>
        </c:scaling>
        <c:delete val="0"/>
        <c:axPos val="r"/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103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334155"/>
              </a:solidFill>
              <a:latin typeface="Segoe UI"/>
            </a:defRPr>
          </a:pPr>
          <a:endParaRPr lang="fr-FR"/>
        </a:p>
      </c:txPr>
    </c:legend>
    <c:plotVisOnly val="1"/>
    <c:dispBlanksAs val="gap"/>
  </c:chart>
  <c:spPr>
    <a:solidFill>
      <a:srgbClr val="FFFFFF"/>
    </a:solidFill>
    <a:ln w="9525">
      <a:solidFill>
        <a:srgbClr val="DBE6F7"/>
      </a:solidFill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doughnutChart>
        <c:varyColors val="1"/>
        <c:ser>
          <c:idx val="0"/>
          <c:order val="0"/>
          <c:tx>
            <c:strRef>
              <c:f>'_data'!$A$19</c:f>
              <c:strCache>
                <c:ptCount val="1"/>
                <c:pt idx="0">
                  <c:v>Encours</c:v>
                </c:pt>
              </c:strCache>
            </c:strRef>
          </c:tx>
          <c:dPt>
            <c:idx val="0"/>
            <c:bubble3D val="0"/>
            <c:spPr>
              <a:solidFill>
                <a:srgbClr val="003DA5"/>
              </a:solidFill>
              <a:ln w="25400" cap="rnd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C8A951"/>
              </a:solidFill>
              <a:ln w="25400" cap="rnd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DC2626"/>
              </a:solidFill>
              <a:ln w="25400" cap="rnd">
                <a:solidFill>
                  <a:srgbClr val="FFFFFF"/>
                </a:solidFill>
                <a:round/>
              </a:ln>
            </c:spPr>
          </c:dPt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  <a:latin typeface="Segoe UI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</c:dLbls>
          <c:cat>
            <c:strRef>
              <c:f>'_data'!$B$18:$D$18</c:f>
              <c:strCache>
                <c:ptCount val="3"/>
                <c:pt idx="0">
                  <c:v>Stage 1</c:v>
                </c:pt>
                <c:pt idx="1">
                  <c:v>Stage 2</c:v>
                </c:pt>
                <c:pt idx="2">
                  <c:v>Stage 3</c:v>
                </c:pt>
              </c:strCache>
            </c:strRef>
          </c:cat>
          <c:val>
            <c:numRef>
              <c:f>'_data'!$B$19:$D$19</c:f>
              <c:numCache>
                <c:formatCode>#,##0</c:formatCode>
                <c:ptCount val="3"/>
                <c:pt idx="0">
                  <c:v>267152833785</c:v>
                </c:pt>
                <c:pt idx="1">
                  <c:v>259457540560</c:v>
                </c:pt>
                <c:pt idx="2">
                  <c:v>323775211401</c:v>
                </c:pt>
              </c:numCache>
            </c:numRef>
          </c:val>
        </c:ser>
        <c:firstSliceAng val="0"/>
        <c:holeSize val="64"/>
      </c:doughnutChart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334155"/>
              </a:solidFill>
              <a:latin typeface="Segoe UI"/>
            </a:defRPr>
          </a:pPr>
          <a:endParaRPr lang="fr-FR"/>
        </a:p>
      </c:txPr>
    </c:legend>
    <c:plotVisOnly val="1"/>
    <c:dispBlanksAs val="gap"/>
  </c:chart>
  <c:spPr>
    <a:solidFill>
      <a:srgbClr val="FFFFFF"/>
    </a:solidFill>
    <a:ln w="9525">
      <a:solidFill>
        <a:srgbClr val="DBE6F7"/>
      </a:solidFill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'_data'!$A$21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'_data'!$B$20:$E$20</c:f>
              <c:strCache>
                <c:ptCount val="4"/>
                <c:pt idx="0">
                  <c:v>Ouverture</c:v>
                </c:pt>
                <c:pt idx="1">
                  <c:v>Nouveaux impayés</c:v>
                </c:pt>
                <c:pt idx="2">
                  <c:v>Détériorations</c:v>
                </c:pt>
                <c:pt idx="3">
                  <c:v>Clôture</c:v>
                </c:pt>
              </c:strCache>
            </c:strRef>
          </c:cat>
          <c:val>
            <c:numRef>
              <c:f>'_data'!$B$21:$E$21</c:f>
              <c:numCache>
                <c:formatCode>#,##0</c:formatCode>
                <c:ptCount val="4"/>
                <c:pt idx="0">
                  <c:v>0</c:v>
                </c:pt>
                <c:pt idx="1">
                  <c:v>31559855616</c:v>
                </c:pt>
                <c:pt idx="2">
                  <c:v>31568337947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'_data'!$A$22</c:f>
              <c:strCache>
                <c:ptCount val="1"/>
                <c:pt idx="0">
                  <c:v>Mouvement</c:v>
                </c:pt>
              </c:strCache>
            </c:strRef>
          </c:tx>
          <c:spPr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rgbClr val="406EBC">
                      <a:alpha val="100000"/>
                    </a:srgbClr>
                  </a:gs>
                  <a:gs pos="100000">
                    <a:srgbClr val="003DA5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rgbClr val="E55C5C">
                      <a:alpha val="100000"/>
                    </a:srgbClr>
                  </a:gs>
                  <a:gs pos="100000">
                    <a:srgbClr val="DC2626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rgbClr val="FB9650">
                      <a:alpha val="100000"/>
                    </a:srgbClr>
                  </a:gs>
                  <a:gs pos="100000">
                    <a:srgbClr val="F97316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rgbClr val="D6BF7D">
                      <a:alpha val="100000"/>
                    </a:srgbClr>
                  </a:gs>
                  <a:gs pos="100000">
                    <a:srgbClr val="C8A951">
                      <a:alpha val="100000"/>
                    </a:srgbClr>
                  </a:gs>
                </a:gsLst>
                <a:lin ang="5400000" scaled="0"/>
              </a:gradFill>
              <a:ln>
                <a:noFill/>
              </a:ln>
            </c:spPr>
          </c:dPt>
          <c:dLbls>
            <c:dLbl>
              <c:idx val="0"/>
              <c:tx>
                <c:rich>
                  <a:bodyPr/>
                  <a:lstStyle/>
                  <a:p>
                    <a:pPr>
                      <a:defRPr sz="800" b="1"/>
                    </a:pPr>
                    <a:r>
                      <a:rPr lang="fr-FR" sz="800" b="1">
                        <a:solidFill>
                          <a:srgbClr val="0F172A"/>
                        </a:solidFill>
                        <a:latin typeface="Segoe UI"/>
                      </a:rPr>
                      <a:t>31,56 Md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>
                      <a:defRPr sz="800" b="1"/>
                    </a:pPr>
                    <a:r>
                      <a:rPr lang="fr-FR" sz="800" b="1">
                        <a:solidFill>
                          <a:srgbClr val="0F172A"/>
                        </a:solidFill>
                        <a:latin typeface="Segoe UI"/>
                      </a:rPr>
                      <a:t>+8,5 M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>
                      <a:defRPr sz="800" b="1"/>
                    </a:pPr>
                    <a:r>
                      <a:rPr lang="fr-FR" sz="800" b="1">
                        <a:solidFill>
                          <a:srgbClr val="0F172A"/>
                        </a:solidFill>
                        <a:latin typeface="Segoe UI"/>
                      </a:rPr>
                      <a:t>+324,8 M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>
                      <a:defRPr sz="800" b="1"/>
                    </a:pPr>
                    <a:r>
                      <a:rPr lang="fr-FR" sz="800" b="1">
                        <a:solidFill>
                          <a:srgbClr val="0F172A"/>
                        </a:solidFill>
                        <a:latin typeface="Segoe UI"/>
                      </a:rPr>
                      <a:t>31,89 Md</a:t>
                    </a:r>
                  </a:p>
                </c:rich>
              </c:tx>
              <c:spPr>
                <a:noFill/>
                <a:ln>
                  <a:noFill/>
                </a:ln>
              </c:sp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0F172A"/>
                    </a:solidFill>
                    <a:latin typeface="Segoe UI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'_data'!$B$20:$E$20</c:f>
              <c:strCache>
                <c:ptCount val="4"/>
                <c:pt idx="0">
                  <c:v>Ouverture</c:v>
                </c:pt>
                <c:pt idx="1">
                  <c:v>Nouveaux impayés</c:v>
                </c:pt>
                <c:pt idx="2">
                  <c:v>Détériorations</c:v>
                </c:pt>
                <c:pt idx="3">
                  <c:v>Clôture</c:v>
                </c:pt>
              </c:strCache>
            </c:strRef>
          </c:cat>
          <c:val>
            <c:numRef>
              <c:f>'_data'!$B$22:$E$22</c:f>
              <c:numCache>
                <c:formatCode>#,##0</c:formatCode>
                <c:ptCount val="4"/>
                <c:pt idx="0">
                  <c:v>31559855616</c:v>
                </c:pt>
                <c:pt idx="1">
                  <c:v>8482331</c:v>
                </c:pt>
                <c:pt idx="2">
                  <c:v>324795057</c:v>
                </c:pt>
                <c:pt idx="3">
                  <c:v>31893133004</c:v>
                </c:pt>
              </c:numCache>
            </c:numRef>
          </c:val>
        </c:ser>
        <c:gapWidth val="40"/>
        <c:overlap val="100"/>
        <c:axId val="201"/>
        <c:axId val="202"/>
      </c:barChart>
      <c:catAx>
        <c:axId val="2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>
            <a:solidFill>
              <a:srgbClr val="CBD5E1"/>
            </a:solidFill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2"/>
        <c:crosses val="autoZero"/>
        <c:auto val="1"/>
        <c:lblAlgn val="ctr"/>
        <c:lblOffset val="100"/>
        <c:noMultiLvlLbl val="0"/>
      </c:catAx>
      <c:valAx>
        <c:axId val="2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  <a:prstDash val="dash"/>
            </a:ln>
          </c:spPr>
        </c:majorGridlines>
        <c:numFmt formatCode="[&gt;=1000000000]#,##0.00,,,&quot; Md&quot;;[&gt;=1000000]#,##0.0,,&quot; M&quot;;#,##0" sourceLinked="0"/>
        <c:majorTickMark val="none"/>
        <c:minorTickMark val="none"/>
        <c:tickLblPos val="nextTo"/>
        <c:spPr>
          <a:noFill/>
          <a:ln w="6350">
            <a:noFill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Segoe UI"/>
              </a:defRPr>
            </a:pPr>
            <a:endParaRPr lang="fr-FR"/>
          </a:p>
        </c:txPr>
        <c:crossAx val="2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BE6F7"/>
      </a:solidFill>
    </a:ln>
  </c:spPr>
  <c:txPr>
    <a:bodyPr/>
    <a:lstStyle/>
    <a:p>
      <a:pPr>
        <a:defRPr>
          <a:latin typeface="Segoe UI"/>
        </a:defRPr>
      </a:pPr>
      <a:endParaRPr lang="fr-FR"/>
    </a:p>
  </c:txPr>
</c:chartSpace>
</file>

<file path=xl/drawings/_rels/drawing1.xml.rels><?xml version="1.0" encoding="UTF-8" standalone="yes"?><Relationships xmlns="http://schemas.openxmlformats.org/package/2006/relationships"><Relationship Id="rIdC1" Type="http://schemas.openxmlformats.org/officeDocument/2006/relationships/chart" Target="../charts/chart1.xml"/><Relationship Id="rIdC2" Type="http://schemas.openxmlformats.org/officeDocument/2006/relationships/chart" Target="../charts/chart2.xml"/><Relationship Id="rIdC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</xdr:colOff>
      <xdr:row>26</xdr:row>
      <xdr:rowOff>38100</xdr:rowOff>
    </xdr:from>
    <xdr:to>
      <xdr:col>15</xdr:col>
      <xdr:colOff>0</xdr:colOff>
      <xdr:row>41</xdr:row>
      <xdr:rowOff>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1"/>
        </a:graphicData>
      </a:graphic>
    </xdr:graphicFrame>
    <xdr:clientData/>
  </xdr:twoCellAnchor>
  <xdr:twoCellAnchor editAs="oneCell">
    <xdr:from>
      <xdr:col>16</xdr:col>
      <xdr:colOff>38100</xdr:colOff>
      <xdr:row>26</xdr:row>
      <xdr:rowOff>38100</xdr:rowOff>
    </xdr:from>
    <xdr:to>
      <xdr:col>24</xdr:col>
      <xdr:colOff>0</xdr:colOff>
      <xdr:row>41</xdr:row>
      <xdr:rowOff>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2"/>
        </a:graphicData>
      </a:graphic>
    </xdr:graphicFrame>
    <xdr:clientData/>
  </xdr:twoCellAnchor>
  <xdr:twoCellAnchor editAs="oneCell">
    <xdr:from>
      <xdr:col>0</xdr:col>
      <xdr:colOff>38100</xdr:colOff>
      <xdr:row>43</xdr:row>
      <xdr:rowOff>38100</xdr:rowOff>
    </xdr:from>
    <xdr:to>
      <xdr:col>15</xdr:col>
      <xdr:colOff>0</xdr:colOff>
      <xdr:row>58</xdr:row>
      <xdr:rowOff>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C3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3DA5"/>
    <pageSetUpPr fitToPage="1"/>
  </sheetPr>
  <dimension ref="A1:X82"/>
  <sheetViews>
    <sheetView showGridLines="0" tabSelected="1" zoomScale="85" zoomScaleNormal="85" workbookViewId="0"/>
  </sheetViews>
  <sheetFormatPr defaultRowHeight="15"/>
  <cols>
    <col min="1" max="1" width="5.4" customWidth="1"/>
    <col min="2" max="2" width="5.4" customWidth="1"/>
    <col min="3" max="3" width="5.4" customWidth="1"/>
    <col min="4" max="4" width="5.4" customWidth="1"/>
    <col min="5" max="5" width="5.4" customWidth="1"/>
    <col min="6" max="6" width="5.4" customWidth="1"/>
    <col min="7" max="7" width="5.4" customWidth="1"/>
    <col min="8" max="8" width="5.4" customWidth="1"/>
    <col min="9" max="9" width="5.4" customWidth="1"/>
    <col min="10" max="10" width="5.4" customWidth="1"/>
    <col min="11" max="11" width="5.4" customWidth="1"/>
    <col min="12" max="12" width="5.4" customWidth="1"/>
    <col min="13" max="13" width="5.4" customWidth="1"/>
    <col min="14" max="14" width="5.4" customWidth="1"/>
    <col min="15" max="15" width="5.4" customWidth="1"/>
    <col min="16" max="16" width="5.4" customWidth="1"/>
    <col min="17" max="17" width="5.4" customWidth="1"/>
    <col min="18" max="18" width="5.4" customWidth="1"/>
    <col min="19" max="19" width="5.4" customWidth="1"/>
    <col min="20" max="20" width="5.4" customWidth="1"/>
    <col min="21" max="21" width="5.4" customWidth="1"/>
    <col min="22" max="22" width="5.4" customWidth="1"/>
    <col min="23" max="23" width="5.4" customWidth="1"/>
    <col min="24" max="24" width="5.4" customWidth="1"/>
  </cols>
  <sheetData>
    <row r="1" ht="20" customHeight="1">
      <c r="A1" s="1" t="inlineStr">
        <is>
          <r>
            <rPr>
              <rFont val="Segoe UI"/>
              <b/>
              <color rgb="FFC8A951"/>
              <sz val="9"/>
            </rPr>
            <t xml:space="preserve">ECOBANK SÉNÉGAL</t>
          </r>
          <r>
            <rPr>
              <rFont val="Segoe UI"/>
              <color rgb="FFC7D7F5"/>
              <sz val="9"/>
            </rPr>
            <t xml:space="preserve">   ·   CREDIT RISK INTELLIGENCE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 t="inlineStr">
        <is>
          <r>
            <rPr>
              <rFont val="Segoe UI"/>
              <color rgb="FF8EA6D6"/>
              <sz val="8"/>
            </rPr>
            <t xml:space="preserve">INTERNAL USE ONLY  ·  </t>
          </r>
          <r>
            <rPr>
              <rFont val="Segoe UI"/>
              <b/>
              <color rgb="FFC8A951"/>
              <sz val="8"/>
            </rPr>
            <t xml:space="preserve">RI 1.0</t>
          </r>
        </is>
      </c>
      <c r="T1" s="1"/>
      <c r="U1" s="1"/>
      <c r="V1" s="1"/>
      <c r="W1" s="1"/>
      <c r="X1" s="1"/>
    </row>
    <row r="2" ht="22" customHeight="1">
      <c r="A2" s="3" t="inlineStr">
        <is>
          <r>
            <rPr>
              <rFont val="Segoe UI"/>
              <b/>
              <color rgb="FFFFFFFF"/>
              <sz val="22"/>
            </rPr>
            <t xml:space="preserve">CREDIT RISK INTELLIGENCE
</t>
          </r>
          <r>
            <rPr>
              <rFont val="Segoe UI"/>
              <color rgb="FFC7D7F5"/>
              <sz val="11"/>
            </rPr>
            <t xml:space="preserve">Portfolio Monitoring &amp; Early Warning · Vue Comité des Risques
</t>
          </r>
          <r>
            <rPr>
              <rFont val="Segoe UI"/>
              <b/>
              <color rgb="FFC8A951"/>
              <sz val="8"/>
            </rPr>
            <t xml:space="preserve">ECOBANK SÉNÉGAL · DIRECTION DES RISQUES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 t="inlineStr">
        <is>
          <t xml:space="preserve">REPORTING DATE</t>
        </is>
      </c>
      <c r="Q2" s="4"/>
      <c r="R2" s="4"/>
      <c r="S2" s="4"/>
      <c r="T2" s="4"/>
      <c r="U2" s="4"/>
      <c r="V2" s="4"/>
      <c r="W2" s="4"/>
      <c r="X2" s="4"/>
    </row>
    <row r="3" ht="3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 t="inlineStr">
        <is>
          <t xml:space="preserve">30/09/2026</t>
        </is>
      </c>
      <c r="Q3" s="5"/>
      <c r="R3" s="5"/>
      <c r="S3" s="5"/>
      <c r="T3" s="5"/>
      <c r="U3" s="5"/>
      <c r="V3" s="5"/>
      <c r="W3" s="5"/>
      <c r="X3" s="5"/>
    </row>
    <row r="4" ht="16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 t="inlineStr">
        <is>
          <t xml:space="preserve">PERIMETER</t>
        </is>
      </c>
      <c r="Q4" s="4"/>
      <c r="R4" s="4"/>
      <c r="S4" s="4"/>
      <c r="T4" s="4"/>
      <c r="U4" s="4"/>
      <c r="V4" s="4"/>
      <c r="W4" s="4"/>
      <c r="X4" s="4"/>
    </row>
    <row r="5" ht="22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6" t="inlineStr">
        <is>
          <t xml:space="preserve">Portefeuille Ecobank Sénégal · 700 clients · 2 500 lignes ACTE 7</t>
        </is>
      </c>
      <c r="Q5" s="6"/>
      <c r="R5" s="6"/>
      <c r="S5" s="6"/>
      <c r="T5" s="6"/>
      <c r="U5" s="6"/>
      <c r="V5" s="6"/>
      <c r="W5" s="6"/>
      <c r="X5" s="6"/>
    </row>
    <row r="6" ht="4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ht="24" customHeight="1">
      <c r="A7" s="8" t="inlineStr">
        <is>
          <t xml:space="preserve">EXECUTIVE</t>
        </is>
      </c>
      <c r="B7" s="8"/>
      <c r="C7" s="8"/>
      <c r="D7" s="8"/>
      <c r="E7" s="8"/>
      <c r="F7" s="8"/>
      <c r="G7" s="8"/>
      <c r="H7" s="8"/>
      <c r="I7" s="9" t="inlineStr">
        <is>
          <t xml:space="preserve">INSIGHTS</t>
        </is>
      </c>
      <c r="J7" s="9"/>
      <c r="K7" s="9"/>
      <c r="L7" s="9"/>
      <c r="M7" s="9"/>
      <c r="N7" s="9"/>
      <c r="O7" s="9"/>
      <c r="P7" s="9"/>
      <c r="Q7" s="9" t="inlineStr">
        <is>
          <t xml:space="preserve">AUDIT</t>
        </is>
      </c>
      <c r="R7" s="9"/>
      <c r="S7" s="9"/>
      <c r="T7" s="9"/>
      <c r="U7" s="9"/>
      <c r="V7" s="9"/>
      <c r="W7" s="9"/>
      <c r="X7" s="9"/>
    </row>
    <row r="8" ht="8" customHeight="1"/>
    <row r="9" ht="6" customHeight="1"/>
    <row r="10" ht="16" customHeight="1">
      <c r="A10" s="10" t="inlineStr">
        <is>
          <r>
            <rPr>
              <rFont val="Segoe UI"/>
              <color rgb="FFC8A951"/>
              <sz val="8"/>
            </rPr>
            <t xml:space="preserve">◆  </t>
          </r>
          <r>
            <rPr>
              <rFont val="Segoe UI"/>
              <b/>
              <color rgb="FFE6EEFF"/>
              <sz val="8"/>
            </rPr>
            <t xml:space="preserve">TOTAL EXPOSURE</t>
          </r>
        </is>
      </c>
      <c r="B10" s="10"/>
      <c r="C10" s="10"/>
      <c r="D10" s="10"/>
      <c r="F10" s="17" t="inlineStr">
        <is>
          <r>
            <rPr>
              <rFont val="Segoe UI"/>
              <color rgb="FF06B6D4"/>
              <sz val="8"/>
            </rPr>
            <t xml:space="preserve">●  </t>
          </r>
          <r>
            <rPr>
              <rFont val="Segoe UI"/>
              <b/>
              <color rgb="FF334155"/>
              <sz val="8"/>
            </rPr>
            <t xml:space="preserve">TOTAL ARREARS</t>
          </r>
        </is>
      </c>
      <c r="G10" s="17"/>
      <c r="H10" s="17"/>
      <c r="I10" s="17"/>
      <c r="K10" s="23" t="inlineStr">
        <is>
          <r>
            <rPr>
              <rFont val="Segoe UI"/>
              <color rgb="FFF59E0B"/>
              <sz val="8"/>
            </rPr>
            <t xml:space="preserve">◔  </t>
          </r>
          <r>
            <rPr>
              <rFont val="Segoe UI"/>
              <b/>
              <color rgb="FF334155"/>
              <sz val="8"/>
            </rPr>
            <t xml:space="preserve">31–60 DAYS</t>
          </r>
        </is>
      </c>
      <c r="L10" s="23"/>
      <c r="M10" s="23"/>
      <c r="N10" s="23"/>
      <c r="P10" s="29" t="inlineStr">
        <is>
          <r>
            <rPr>
              <rFont val="Segoe UI"/>
              <color rgb="FFF97316"/>
              <sz val="8"/>
            </rPr>
            <t xml:space="preserve">◑  </t>
          </r>
          <r>
            <rPr>
              <rFont val="Segoe UI"/>
              <b/>
              <color rgb="FF334155"/>
              <sz val="8"/>
            </rPr>
            <t xml:space="preserve">61–90 DAYS</t>
          </r>
        </is>
      </c>
      <c r="Q10" s="29"/>
      <c r="R10" s="29"/>
      <c r="S10" s="29"/>
      <c r="U10" s="34" t="inlineStr">
        <is>
          <r>
            <rPr>
              <rFont val="Segoe UI"/>
              <color rgb="FFDC2626"/>
              <sz val="8"/>
            </rPr>
            <t xml:space="preserve">●  </t>
          </r>
          <r>
            <rPr>
              <rFont val="Segoe UI"/>
              <b/>
              <color rgb="FF334155"/>
              <sz val="8"/>
            </rPr>
            <t xml:space="preserve">&gt; 90 DAYS / S3</t>
          </r>
        </is>
      </c>
      <c r="V10" s="34"/>
      <c r="W10" s="34"/>
      <c r="X10" s="34"/>
    </row>
    <row r="11" ht="18" customHeight="1">
      <c r="A11" s="11">
        <v>850385585746</v>
      </c>
      <c r="B11" s="11"/>
      <c r="C11" s="11"/>
      <c r="D11" s="11"/>
      <c r="F11" s="18">
        <v>31893133004</v>
      </c>
      <c r="G11" s="18"/>
      <c r="H11" s="18"/>
      <c r="I11" s="18"/>
      <c r="K11" s="24">
        <v>86369133509</v>
      </c>
      <c r="L11" s="24"/>
      <c r="M11" s="24"/>
      <c r="N11" s="24"/>
      <c r="P11" s="30">
        <v>0</v>
      </c>
      <c r="Q11" s="30"/>
      <c r="R11" s="30"/>
      <c r="S11" s="30"/>
      <c r="U11" s="35">
        <v>323775211401</v>
      </c>
      <c r="V11" s="35"/>
      <c r="W11" s="35"/>
      <c r="X11" s="35"/>
    </row>
    <row r="12" ht="18" customHeight="1">
      <c r="A12" s="11"/>
      <c r="B12" s="11"/>
      <c r="C12" s="11"/>
      <c r="D12" s="11"/>
      <c r="F12" s="18"/>
      <c r="G12" s="18"/>
      <c r="H12" s="18"/>
      <c r="I12" s="18"/>
      <c r="K12" s="24"/>
      <c r="L12" s="24"/>
      <c r="M12" s="24"/>
      <c r="N12" s="24"/>
      <c r="P12" s="30"/>
      <c r="Q12" s="30"/>
      <c r="R12" s="30"/>
      <c r="S12" s="30"/>
      <c r="U12" s="35"/>
      <c r="V12" s="35"/>
      <c r="W12" s="35"/>
      <c r="X12" s="35"/>
    </row>
    <row r="13" ht="13" customHeight="1">
      <c r="A13" s="12" t="inlineStr">
        <is>
          <t xml:space="preserve">XOF · encours brut · 700 clients</t>
        </is>
      </c>
      <c r="B13" s="12"/>
      <c r="C13" s="12"/>
      <c r="D13" s="12"/>
      <c r="F13" s="19" t="inlineStr">
        <is>
          <t xml:space="preserve">XOF · impayés · 547 clients</t>
        </is>
      </c>
      <c r="G13" s="19"/>
      <c r="H13" s="19"/>
      <c r="I13" s="19"/>
      <c r="K13" s="25" t="inlineStr">
        <is>
          <t xml:space="preserve">XOF · encours · 84 clients</t>
        </is>
      </c>
      <c r="L13" s="25"/>
      <c r="M13" s="25"/>
      <c r="N13" s="25"/>
      <c r="P13" s="31" t="inlineStr">
        <is>
          <t xml:space="preserve">XOF · encours · 0 clients</t>
        </is>
      </c>
      <c r="Q13" s="31"/>
      <c r="R13" s="31"/>
      <c r="S13" s="31"/>
      <c r="U13" s="36" t="inlineStr">
        <is>
          <t xml:space="preserve">XOF · encours · 264 clients</t>
        </is>
      </c>
      <c r="V13" s="36"/>
      <c r="W13" s="36"/>
      <c r="X13" s="36"/>
    </row>
    <row r="14" ht="17" customHeight="1">
      <c r="A14" s="13" t="inlineStr">
        <is>
          <t xml:space="preserve">■ 0,0 %</t>
        </is>
      </c>
      <c r="B14" s="13"/>
      <c r="C14" s="14"/>
      <c r="D14" s="14"/>
      <c r="F14" s="20" t="inlineStr">
        <is>
          <t xml:space="preserve">▲ 1,1 %</t>
        </is>
      </c>
      <c r="G14" s="20"/>
      <c r="H14" s="21"/>
      <c r="I14" s="21"/>
      <c r="K14" s="26" t="inlineStr">
        <is>
          <t xml:space="preserve">▼ -3,5 %</t>
        </is>
      </c>
      <c r="L14" s="26"/>
      <c r="M14" s="27"/>
      <c r="N14" s="27"/>
      <c r="P14" s="32" t="inlineStr">
        <is>
          <t xml:space="preserve">—</t>
        </is>
      </c>
      <c r="Q14" s="32"/>
      <c r="R14" s="21"/>
      <c r="S14" s="21"/>
      <c r="U14" s="37" t="inlineStr">
        <is>
          <t xml:space="preserve">▲ 1,1 %</t>
        </is>
      </c>
      <c r="V14" s="37"/>
      <c r="W14" s="27"/>
      <c r="X14" s="27"/>
    </row>
    <row r="15" ht="13" customHeight="1">
      <c r="A15" s="15" t="inlineStr">
        <is>
          <t xml:space="preserve">vs 31/08/2026</t>
        </is>
      </c>
      <c r="B15" s="15"/>
      <c r="C15" s="15"/>
      <c r="D15" s="15"/>
      <c r="F15" s="22" t="inlineStr">
        <is>
          <t xml:space="preserve">vs 31/08/2026</t>
        </is>
      </c>
      <c r="G15" s="22"/>
      <c r="H15" s="22"/>
      <c r="I15" s="22"/>
      <c r="K15" s="28" t="inlineStr">
        <is>
          <t xml:space="preserve">vs 31/08/2026</t>
        </is>
      </c>
      <c r="L15" s="28"/>
      <c r="M15" s="28"/>
      <c r="N15" s="28"/>
      <c r="P15" s="33" t="inlineStr">
        <is>
          <t xml:space="preserve">vs 31/08/2026</t>
        </is>
      </c>
      <c r="Q15" s="33"/>
      <c r="R15" s="33"/>
      <c r="S15" s="33"/>
      <c r="U15" s="38" t="inlineStr">
        <is>
          <t xml:space="preserve">vs 31/08/2026</t>
        </is>
      </c>
      <c r="V15" s="38"/>
      <c r="W15" s="38"/>
      <c r="X15" s="38"/>
    </row>
    <row r="16" ht="8" customHeight="1">
      <c r="A16" s="16"/>
      <c r="B16" s="16"/>
      <c r="C16" s="16"/>
      <c r="D16" s="16"/>
      <c r="F16" s="16"/>
      <c r="G16" s="16"/>
      <c r="H16" s="16"/>
      <c r="I16" s="16"/>
      <c r="K16" s="16"/>
      <c r="L16" s="16"/>
      <c r="M16" s="16"/>
      <c r="N16" s="16"/>
      <c r="P16" s="16"/>
      <c r="Q16" s="16"/>
      <c r="R16" s="16"/>
      <c r="S16" s="16"/>
      <c r="U16" s="16"/>
      <c r="V16" s="16"/>
      <c r="W16" s="16"/>
      <c r="X16" s="16"/>
    </row>
    <row r="17" ht="10" customHeight="1"/>
    <row r="18" ht="16" customHeight="1">
      <c r="A18" s="39" t="inlineStr">
        <is>
          <r>
            <rPr>
              <rFont val="Segoe UI"/>
              <color rgb="FFC8A951"/>
              <sz val="8"/>
            </rPr>
            <t xml:space="preserve">▲  </t>
          </r>
          <r>
            <rPr>
              <rFont val="Segoe UI"/>
              <b/>
              <color rgb="FF334155"/>
              <sz val="8"/>
            </rPr>
            <t xml:space="preserve">STAGE 2</t>
          </r>
        </is>
      </c>
      <c r="B18" s="39"/>
      <c r="C18" s="39"/>
      <c r="D18" s="39"/>
      <c r="F18" s="34" t="inlineStr">
        <is>
          <r>
            <rPr>
              <rFont val="Segoe UI"/>
              <color rgb="FFDC2626"/>
              <sz val="8"/>
            </rPr>
            <t xml:space="preserve">▲  </t>
          </r>
          <r>
            <rPr>
              <rFont val="Segoe UI"/>
              <b/>
              <color rgb="FF334155"/>
              <sz val="8"/>
            </rPr>
            <t xml:space="preserve">STAGE 3</t>
          </r>
        </is>
      </c>
      <c r="G18" s="34"/>
      <c r="H18" s="34"/>
      <c r="I18" s="34"/>
      <c r="K18" s="44" t="inlineStr">
        <is>
          <r>
            <rPr>
              <rFont val="Segoe UI"/>
              <color rgb="FFC8A951"/>
              <sz val="8"/>
            </rPr>
            <t xml:space="preserve">◆  </t>
          </r>
          <r>
            <rPr>
              <rFont val="Segoe UI"/>
              <b/>
              <color rgb="FFE6EEFF"/>
              <sz val="8"/>
            </rPr>
            <t xml:space="preserve">PROVISIONS (ECL)</t>
          </r>
        </is>
      </c>
      <c r="L18" s="44"/>
      <c r="M18" s="44"/>
      <c r="N18" s="44"/>
      <c r="P18" s="50" t="inlineStr">
        <is>
          <r>
            <rPr>
              <rFont val="Segoe UI"/>
              <color rgb="FFF59E0B"/>
              <sz val="8"/>
            </rPr>
            <t xml:space="preserve">◉  </t>
          </r>
          <r>
            <rPr>
              <rFont val="Segoe UI"/>
              <b/>
              <color rgb="FF334155"/>
              <sz val="8"/>
            </rPr>
            <t xml:space="preserve">WATCHLIST</t>
          </r>
        </is>
      </c>
      <c r="Q18" s="50"/>
      <c r="R18" s="50"/>
      <c r="S18" s="50"/>
      <c r="U18" s="55" t="inlineStr">
        <is>
          <r>
            <rPr>
              <rFont val="Segoe UI"/>
              <color rgb="FFC8A951"/>
              <sz val="8"/>
            </rPr>
            <t xml:space="preserve">■  </t>
          </r>
          <r>
            <rPr>
              <rFont val="Segoe UI"/>
              <b/>
              <color rgb="FFE6EEFF"/>
              <sz val="8"/>
            </rPr>
            <t xml:space="preserve">CRITICAL EXPOSURES</t>
          </r>
        </is>
      </c>
      <c r="V18" s="55"/>
      <c r="W18" s="55"/>
      <c r="X18" s="55"/>
    </row>
    <row r="19" ht="18" customHeight="1">
      <c r="A19" s="40">
        <v>259457540560</v>
      </c>
      <c r="B19" s="40"/>
      <c r="C19" s="40"/>
      <c r="D19" s="40"/>
      <c r="F19" s="35">
        <v>323775211401</v>
      </c>
      <c r="G19" s="35"/>
      <c r="H19" s="35"/>
      <c r="I19" s="35"/>
      <c r="K19" s="45">
        <v>37319879435</v>
      </c>
      <c r="L19" s="45"/>
      <c r="M19" s="45"/>
      <c r="N19" s="45"/>
      <c r="P19" s="51">
        <v>289</v>
      </c>
      <c r="Q19" s="51"/>
      <c r="R19" s="51"/>
      <c r="S19" s="51"/>
      <c r="U19" s="56">
        <v>3489258395</v>
      </c>
      <c r="V19" s="56"/>
      <c r="W19" s="56"/>
      <c r="X19" s="56"/>
    </row>
    <row r="20" ht="18" customHeight="1">
      <c r="A20" s="40"/>
      <c r="B20" s="40"/>
      <c r="C20" s="40"/>
      <c r="D20" s="40"/>
      <c r="F20" s="35"/>
      <c r="G20" s="35"/>
      <c r="H20" s="35"/>
      <c r="I20" s="35"/>
      <c r="K20" s="45"/>
      <c r="L20" s="45"/>
      <c r="M20" s="45"/>
      <c r="N20" s="45"/>
      <c r="P20" s="51"/>
      <c r="Q20" s="51"/>
      <c r="R20" s="51"/>
      <c r="S20" s="51"/>
      <c r="U20" s="56"/>
      <c r="V20" s="56"/>
      <c r="W20" s="56"/>
      <c r="X20" s="56"/>
    </row>
    <row r="21" ht="13" customHeight="1">
      <c r="A21" s="41" t="inlineStr">
        <is>
          <t xml:space="preserve">XOF · 30,5 % de l'encours</t>
        </is>
      </c>
      <c r="B21" s="41"/>
      <c r="C21" s="41"/>
      <c r="D21" s="41"/>
      <c r="F21" s="36" t="inlineStr">
        <is>
          <t xml:space="preserve">XOF · 38,1 % de l'encours</t>
        </is>
      </c>
      <c r="G21" s="36"/>
      <c r="H21" s="36"/>
      <c r="I21" s="36"/>
      <c r="K21" s="46" t="inlineStr">
        <is>
          <t xml:space="preserve">XOF · couverture 4,4 %</t>
        </is>
      </c>
      <c r="L21" s="46"/>
      <c r="M21" s="46"/>
      <c r="N21" s="46"/>
      <c r="P21" s="52" t="inlineStr">
        <is>
          <t xml:space="preserve">dossiers · 322,71 Md XOF</t>
        </is>
      </c>
      <c r="Q21" s="52"/>
      <c r="R21" s="52"/>
      <c r="S21" s="52"/>
      <c r="U21" s="57" t="inlineStr">
        <is>
          <t xml:space="preserve">XOF · 6 dossiers critiques</t>
        </is>
      </c>
      <c r="V21" s="57"/>
      <c r="W21" s="57"/>
      <c r="X21" s="57"/>
    </row>
    <row r="22" ht="17" customHeight="1">
      <c r="A22" s="42" t="inlineStr">
        <is>
          <t xml:space="preserve">▼ -0,4 %</t>
        </is>
      </c>
      <c r="B22" s="42"/>
      <c r="C22" s="21"/>
      <c r="D22" s="21"/>
      <c r="F22" s="37" t="inlineStr">
        <is>
          <t xml:space="preserve">▲ 1,1 %</t>
        </is>
      </c>
      <c r="G22" s="37"/>
      <c r="H22" s="27"/>
      <c r="I22" s="27"/>
      <c r="K22" s="47" t="inlineStr">
        <is>
          <t xml:space="preserve">▲ 0,5 %</t>
        </is>
      </c>
      <c r="L22" s="47"/>
      <c r="M22" s="48"/>
      <c r="N22" s="48"/>
      <c r="P22" s="53" t="inlineStr">
        <is>
          <t xml:space="preserve">—</t>
        </is>
      </c>
      <c r="Q22" s="53"/>
      <c r="R22" s="21"/>
      <c r="S22" s="21"/>
      <c r="U22" s="58" t="inlineStr">
        <is>
          <t xml:space="preserve">—</t>
        </is>
      </c>
      <c r="V22" s="58"/>
      <c r="W22" s="14"/>
      <c r="X22" s="14"/>
    </row>
    <row r="23" ht="13" customHeight="1">
      <c r="A23" s="43" t="inlineStr">
        <is>
          <t xml:space="preserve">vs 31/08/2026</t>
        </is>
      </c>
      <c r="B23" s="43"/>
      <c r="C23" s="43"/>
      <c r="D23" s="43"/>
      <c r="F23" s="38" t="inlineStr">
        <is>
          <t xml:space="preserve">vs 31/08/2026</t>
        </is>
      </c>
      <c r="G23" s="38"/>
      <c r="H23" s="38"/>
      <c r="I23" s="38"/>
      <c r="K23" s="49" t="inlineStr">
        <is>
          <t xml:space="preserve">vs 31/08/2026</t>
        </is>
      </c>
      <c r="L23" s="49"/>
      <c r="M23" s="49"/>
      <c r="N23" s="49"/>
      <c r="P23" s="54" t="inlineStr">
        <is>
          <t xml:space="preserve">vs 31/08/2026</t>
        </is>
      </c>
      <c r="Q23" s="54"/>
      <c r="R23" s="54"/>
      <c r="S23" s="54"/>
      <c r="U23" s="59" t="inlineStr">
        <is>
          <t xml:space="preserve">vs 31/08/2026</t>
        </is>
      </c>
      <c r="V23" s="59"/>
      <c r="W23" s="59"/>
      <c r="X23" s="59"/>
    </row>
    <row r="24" ht="8" customHeight="1">
      <c r="A24" s="16"/>
      <c r="B24" s="16"/>
      <c r="C24" s="16"/>
      <c r="D24" s="16"/>
      <c r="F24" s="16"/>
      <c r="G24" s="16"/>
      <c r="H24" s="16"/>
      <c r="I24" s="16"/>
      <c r="K24" s="16"/>
      <c r="L24" s="16"/>
      <c r="M24" s="16"/>
      <c r="N24" s="16"/>
      <c r="P24" s="16"/>
      <c r="Q24" s="16"/>
      <c r="R24" s="16"/>
      <c r="S24" s="16"/>
      <c r="U24" s="16"/>
      <c r="V24" s="16"/>
      <c r="W24" s="16"/>
      <c r="X24" s="16"/>
    </row>
    <row r="26" ht="22" customHeight="1">
      <c r="A26" s="60" t="inlineStr">
        <is>
          <r>
            <rPr>
              <rFont val="Segoe UI"/>
              <b/>
              <color rgb="FF001B4D"/>
              <sz val="11"/>
            </rPr>
            <t xml:space="preserve">PORTFOLIO TREND</t>
          </r>
          <r>
            <rPr>
              <rFont val="Segoe UI"/>
              <color rgb="FF64748B"/>
              <sz val="8.5"/>
            </rPr>
            <t xml:space="preserve">   encours (aire) · impayés, Stage 2, Stage 3 (courbes, axe droit)</t>
          </r>
        </is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Q26" s="61" t="inlineStr">
        <is>
          <r>
            <rPr>
              <rFont val="Segoe UI"/>
              <b/>
              <color rgb="FF001B4D"/>
              <sz val="11"/>
            </rPr>
            <t xml:space="preserve">RISK DISTRIBUTION</t>
          </r>
          <r>
            <rPr>
              <rFont val="Segoe UI"/>
              <color rgb="FF64748B"/>
              <sz val="8.5"/>
            </rPr>
            <t xml:space="preserve">   encours par stage IFRS 9</t>
          </r>
        </is>
      </c>
      <c r="R26" s="61"/>
      <c r="S26" s="61"/>
      <c r="T26" s="61"/>
      <c r="U26" s="61"/>
      <c r="V26" s="61"/>
      <c r="W26" s="61"/>
      <c r="X26" s="61"/>
    </row>
    <row r="43" ht="22" customHeight="1">
      <c r="A43" s="62" t="inlineStr">
        <is>
          <r>
            <rPr>
              <rFont val="Segoe UI"/>
              <b/>
              <color rgb="FF001B4D"/>
              <sz val="11"/>
            </rPr>
            <t xml:space="preserve">WHY DID IT MOVE?</t>
          </r>
          <r>
            <rPr>
              <rFont val="Segoe UI"/>
              <color rgb="FF64748B"/>
              <sz val="8.5"/>
            </rPr>
            <t xml:space="preserve">   pont des impayés 31/08/2026 → 30/09/2026</t>
          </r>
        </is>
      </c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Q43" s="62" t="inlineStr">
        <is>
          <r>
            <rPr>
              <rFont val="Segoe UI"/>
              <b/>
              <color rgb="FF001B4D"/>
              <sz val="11"/>
            </rPr>
            <t xml:space="preserve">TOP DRIVERS</t>
          </r>
          <r>
            <rPr>
              <rFont val="Segoe UI"/>
              <color rgb="FF64748B"/>
              <sz val="8.5"/>
            </rPr>
            <t xml:space="preserve">   plus fortes variations d'impayés</t>
          </r>
        </is>
      </c>
      <c r="R43" s="62"/>
      <c r="S43" s="62"/>
      <c r="T43" s="62"/>
      <c r="U43" s="62"/>
      <c r="V43" s="62"/>
      <c r="W43" s="62"/>
      <c r="X43" s="62"/>
    </row>
    <row r="44" ht="17" customHeight="1">
      <c r="Q44" s="63" t="inlineStr">
        <is>
          <t xml:space="preserve">SOCIETE 0403</t>
        </is>
      </c>
      <c r="R44" s="63"/>
      <c r="S44" s="63"/>
      <c r="T44" s="63"/>
      <c r="U44" s="63"/>
      <c r="V44" s="64" t="inlineStr">
        <is>
          <t xml:space="preserve">+280,1 M</t>
        </is>
      </c>
      <c r="W44" s="64"/>
      <c r="X44" s="64"/>
    </row>
    <row r="45" ht="13" customHeight="1">
      <c r="Q45" s="65" t="inlineStr">
        <is>
          <t xml:space="preserve">459,0 M XOF d'impayés · 33 j · Stage 2 · GUEYE</t>
        </is>
      </c>
      <c r="R45" s="65"/>
      <c r="S45" s="65"/>
      <c r="T45" s="65"/>
      <c r="U45" s="65"/>
      <c r="V45" s="65"/>
      <c r="W45" s="65"/>
      <c r="X45" s="65"/>
    </row>
    <row r="46" ht="17" customHeight="1">
      <c r="Q46" s="63" t="inlineStr">
        <is>
          <t xml:space="preserve">SOCIETE 0666</t>
        </is>
      </c>
      <c r="R46" s="63"/>
      <c r="S46" s="63"/>
      <c r="T46" s="63"/>
      <c r="U46" s="63"/>
      <c r="V46" s="64" t="inlineStr">
        <is>
          <t xml:space="preserve">+29,5 M</t>
        </is>
      </c>
      <c r="W46" s="64"/>
      <c r="X46" s="64"/>
    </row>
    <row r="47" ht="13" customHeight="1">
      <c r="Q47" s="65" t="inlineStr">
        <is>
          <t xml:space="preserve">30,2 M XOF d'impayés · 308 j · Stage 3 · GUEYE</t>
        </is>
      </c>
      <c r="R47" s="65"/>
      <c r="S47" s="65"/>
      <c r="T47" s="65"/>
      <c r="U47" s="65"/>
      <c r="V47" s="65"/>
      <c r="W47" s="65"/>
      <c r="X47" s="65"/>
    </row>
    <row r="48" ht="17" customHeight="1">
      <c r="Q48" s="63" t="inlineStr">
        <is>
          <t xml:space="preserve">SOCIETE 0518</t>
        </is>
      </c>
      <c r="R48" s="63"/>
      <c r="S48" s="63"/>
      <c r="T48" s="63"/>
      <c r="U48" s="63"/>
      <c r="V48" s="64" t="inlineStr">
        <is>
          <t xml:space="preserve">+5,6 M</t>
        </is>
      </c>
      <c r="W48" s="64"/>
      <c r="X48" s="64"/>
    </row>
    <row r="49" ht="13" customHeight="1">
      <c r="Q49" s="65" t="inlineStr">
        <is>
          <t xml:space="preserve">5,6 M XOF d'impayés · 12 j · Stage 2 · GUEYE</t>
        </is>
      </c>
      <c r="R49" s="65"/>
      <c r="S49" s="65"/>
      <c r="T49" s="65"/>
      <c r="U49" s="65"/>
      <c r="V49" s="65"/>
      <c r="W49" s="65"/>
      <c r="X49" s="65"/>
    </row>
    <row r="50" ht="17" customHeight="1">
      <c r="Q50" s="63" t="inlineStr">
        <is>
          <t xml:space="preserve">SOCIETE 0043</t>
        </is>
      </c>
      <c r="R50" s="63"/>
      <c r="S50" s="63"/>
      <c r="T50" s="63"/>
      <c r="U50" s="63"/>
      <c r="V50" s="64" t="inlineStr">
        <is>
          <t xml:space="preserve">+3,8 M</t>
        </is>
      </c>
      <c r="W50" s="64"/>
      <c r="X50" s="64"/>
    </row>
    <row r="51" ht="13" customHeight="1">
      <c r="Q51" s="65" t="inlineStr">
        <is>
          <t xml:space="preserve">5,6 M XOF d'impayés · 19 j · Stage 2 · GUEYE</t>
        </is>
      </c>
      <c r="R51" s="65"/>
      <c r="S51" s="65"/>
      <c r="T51" s="65"/>
      <c r="U51" s="65"/>
      <c r="V51" s="65"/>
      <c r="W51" s="65"/>
      <c r="X51" s="65"/>
    </row>
    <row r="52" ht="17" customHeight="1">
      <c r="Q52" s="63" t="inlineStr">
        <is>
          <t xml:space="preserve">SOCIETE 0170</t>
        </is>
      </c>
      <c r="R52" s="63"/>
      <c r="S52" s="63"/>
      <c r="T52" s="63"/>
      <c r="U52" s="63"/>
      <c r="V52" s="64" t="inlineStr">
        <is>
          <t xml:space="preserve">+3,4 M</t>
        </is>
      </c>
      <c r="W52" s="64"/>
      <c r="X52" s="64"/>
    </row>
    <row r="53" ht="13" customHeight="1">
      <c r="Q53" s="65" t="inlineStr">
        <is>
          <t xml:space="preserve">4,4 M XOF d'impayés · 11 j · Stage 2 · GUEYE</t>
        </is>
      </c>
      <c r="R53" s="65"/>
      <c r="S53" s="65"/>
      <c r="T53" s="65"/>
      <c r="U53" s="65"/>
      <c r="V53" s="65"/>
      <c r="W53" s="65"/>
      <c r="X53" s="65"/>
    </row>
    <row r="54" ht="17" customHeight="1">
      <c r="Q54" s="63" t="inlineStr">
        <is>
          <t xml:space="preserve">SOCIETE 0041</t>
        </is>
      </c>
      <c r="R54" s="63"/>
      <c r="S54" s="63"/>
      <c r="T54" s="63"/>
      <c r="U54" s="63"/>
      <c r="V54" s="64" t="inlineStr">
        <is>
          <t xml:space="preserve">+2,9 M</t>
        </is>
      </c>
      <c r="W54" s="64"/>
      <c r="X54" s="64"/>
    </row>
    <row r="55" ht="13" customHeight="1">
      <c r="Q55" s="65" t="inlineStr">
        <is>
          <t xml:space="preserve">2,9 M XOF d'impayés · 38 j · Stage 2 · GUEYE</t>
        </is>
      </c>
      <c r="R55" s="65"/>
      <c r="S55" s="65"/>
      <c r="T55" s="65"/>
      <c r="U55" s="65"/>
      <c r="V55" s="65"/>
      <c r="W55" s="65"/>
      <c r="X55" s="65"/>
    </row>
    <row r="56" ht="17" customHeight="1">
      <c r="Q56" s="63" t="inlineStr">
        <is>
          <t xml:space="preserve">SOCIETE 0038</t>
        </is>
      </c>
      <c r="R56" s="63"/>
      <c r="S56" s="63"/>
      <c r="T56" s="63"/>
      <c r="U56" s="63"/>
      <c r="V56" s="64" t="inlineStr">
        <is>
          <t xml:space="preserve">+2,8 M</t>
        </is>
      </c>
      <c r="W56" s="64"/>
      <c r="X56" s="64"/>
    </row>
    <row r="57" ht="13" customHeight="1">
      <c r="Q57" s="65" t="inlineStr">
        <is>
          <t xml:space="preserve">8,4 M XOF d'impayés · 281 j · Stage 3 · GUEYE</t>
        </is>
      </c>
      <c r="R57" s="65"/>
      <c r="S57" s="65"/>
      <c r="T57" s="65"/>
      <c r="U57" s="65"/>
      <c r="V57" s="65"/>
      <c r="W57" s="65"/>
      <c r="X57" s="65"/>
    </row>
    <row r="60" ht="22" customHeight="1">
      <c r="A60" s="66" t="inlineStr">
        <is>
          <r>
            <rPr>
              <rFont val="Segoe UI"/>
              <b/>
              <color rgb="FF001B4D"/>
              <sz val="11"/>
            </rPr>
            <t xml:space="preserve">TOP RISKS</t>
          </r>
          <r>
            <rPr>
              <rFont val="Segoe UI"/>
              <color rgb="FF64748B"/>
              <sz val="8.5"/>
            </rPr>
            <t xml:space="preserve">   dossiers prioritaires classés par criticité puis impayé</t>
          </r>
        </is>
      </c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Q60" s="61" t="inlineStr">
        <is>
          <r>
            <rPr>
              <rFont val="Segoe UI"/>
              <b/>
              <color rgb="FF001B4D"/>
              <sz val="11"/>
            </rPr>
            <t xml:space="preserve">ACTIONS REQUIRED</t>
          </r>
          <r>
            <rPr>
              <rFont val="Segoe UI"/>
              <color rgb="FF64748B"/>
              <sz val="8.5"/>
            </rPr>
            <t xml:space="preserve">   tableau de bord du plan d'actions</t>
          </r>
        </is>
      </c>
      <c r="R60" s="61"/>
      <c r="S60" s="61"/>
      <c r="T60" s="61"/>
      <c r="U60" s="61"/>
      <c r="V60" s="61"/>
      <c r="W60" s="61"/>
      <c r="X60" s="61"/>
    </row>
    <row r="61" ht="19" customHeight="1">
      <c r="A61" s="67" t="inlineStr">
        <is>
          <t xml:space="preserve">#01</t>
        </is>
      </c>
      <c r="B61" s="67"/>
      <c r="C61" s="68" t="inlineStr">
        <is>
          <t xml:space="preserve">SOCIETE 0078</t>
        </is>
      </c>
      <c r="D61" s="68"/>
      <c r="E61" s="68"/>
      <c r="F61" s="68"/>
      <c r="G61" s="68"/>
      <c r="H61" s="68"/>
      <c r="I61" s="68"/>
      <c r="J61" s="68"/>
      <c r="K61" s="71"/>
      <c r="L61" s="71"/>
      <c r="M61" s="72" t="inlineStr">
        <is>
          <t xml:space="preserve">CRITICAL</t>
        </is>
      </c>
      <c r="N61" s="72"/>
      <c r="O61" s="72"/>
      <c r="Q61" s="75">
        <v>6</v>
      </c>
      <c r="R61" s="75"/>
      <c r="S61" s="76" t="inlineStr">
        <is>
          <r>
            <rPr>
              <rFont val="Segoe UI"/>
              <b/>
              <color rgb="FFDC2626"/>
              <sz val="9.5"/>
            </rPr>
            <t xml:space="preserve">CRITICAL</t>
          </r>
          <r>
            <rPr>
              <rFont val="Segoe UI"/>
              <color rgb="FF334155"/>
              <sz val="8.5"/>
            </rPr>
            <t xml:space="preserve">  ·  Critique</t>
          </r>
        </is>
      </c>
      <c r="T61" s="76"/>
      <c r="U61" s="76"/>
      <c r="V61" s="76"/>
      <c r="W61" s="76"/>
      <c r="X61" s="76"/>
    </row>
    <row r="62" ht="17" customHeight="1">
      <c r="A62" s="67"/>
      <c r="B62" s="67"/>
      <c r="C62" s="69" t="inlineStr">
        <is>
          <r>
            <rPr>
              <rFont val="Segoe UI"/>
              <b/>
              <color rgb="FF003DA5"/>
              <sz val="9"/>
            </rPr>
            <t xml:space="preserve">131,5 M XOF</t>
          </r>
          <r>
            <rPr>
              <rFont val="Segoe UI"/>
              <color rgb="FF334155"/>
              <sz val="8.5"/>
            </rPr>
            <t xml:space="preserve">  ·  286 j  ·  Stage 3  ·  </t>
          </r>
          <r>
            <rPr>
              <rFont val="Segoe UI"/>
              <b/>
              <color rgb="FF16A34A"/>
              <sz val="8.5"/>
            </rPr>
            <t xml:space="preserve">■ stable</t>
          </r>
        </is>
      </c>
      <c r="D62" s="69"/>
      <c r="E62" s="69"/>
      <c r="F62" s="69"/>
      <c r="G62" s="69"/>
      <c r="H62" s="69"/>
      <c r="I62" s="69"/>
      <c r="J62" s="69"/>
      <c r="K62" s="71"/>
      <c r="L62" s="71"/>
      <c r="M62" s="73" t="inlineStr">
        <is>
          <t xml:space="preserve">ACTION REQUIRED</t>
        </is>
      </c>
      <c r="N62" s="73"/>
      <c r="O62" s="73"/>
      <c r="Q62" s="75"/>
      <c r="R62" s="75"/>
      <c r="S62" s="77" t="inlineStr">
        <is>
          <t xml:space="preserve">encours 3,49 Md XOF</t>
        </is>
      </c>
      <c r="T62" s="77"/>
      <c r="U62" s="77"/>
      <c r="V62" s="77"/>
      <c r="W62" s="77"/>
      <c r="X62" s="77"/>
    </row>
    <row r="63" ht="14" customHeight="1">
      <c r="A63" s="67"/>
      <c r="B63" s="67"/>
      <c r="C63" s="70" t="inlineStr">
        <is>
          <t xml:space="preserve">Contrepartie déjà douteuse : mise en demeure et proposition d'un protocole d'apurement daté avant le 15/10/2026 ; rechercher des actifs sais · GUEYE</t>
        </is>
      </c>
      <c r="D63" s="70"/>
      <c r="E63" s="70"/>
      <c r="F63" s="70"/>
      <c r="G63" s="70"/>
      <c r="H63" s="70"/>
      <c r="I63" s="70"/>
      <c r="J63" s="70"/>
      <c r="S63" s="79">
        <v>0</v>
      </c>
      <c r="T63" s="78"/>
      <c r="U63" s="78"/>
      <c r="V63" s="78"/>
      <c r="W63" s="80" t="inlineStr">
        <is>
          <t xml:space="preserve">avancement</t>
        </is>
      </c>
      <c r="X63" s="80"/>
    </row>
    <row r="64" ht="7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</row>
    <row r="65" ht="19" customHeight="1">
      <c r="A65" s="67" t="inlineStr">
        <is>
          <t xml:space="preserve">#02</t>
        </is>
      </c>
      <c r="B65" s="67"/>
      <c r="C65" s="68" t="inlineStr">
        <is>
          <t xml:space="preserve">SOCIETE 0450</t>
        </is>
      </c>
      <c r="D65" s="68"/>
      <c r="E65" s="68"/>
      <c r="F65" s="68"/>
      <c r="G65" s="68"/>
      <c r="H65" s="68"/>
      <c r="I65" s="68"/>
      <c r="J65" s="68"/>
      <c r="K65" s="71"/>
      <c r="L65" s="71"/>
      <c r="M65" s="72" t="inlineStr">
        <is>
          <t xml:space="preserve">CRITICAL</t>
        </is>
      </c>
      <c r="N65" s="72"/>
      <c r="O65" s="72"/>
      <c r="Q65" s="81">
        <v>48</v>
      </c>
      <c r="R65" s="81"/>
      <c r="S65" s="76" t="inlineStr">
        <is>
          <r>
            <rPr>
              <rFont val="Segoe UI"/>
              <b/>
              <color rgb="FFF97316"/>
              <sz val="9.5"/>
            </rPr>
            <t xml:space="preserve">HIGH</t>
          </r>
          <r>
            <rPr>
              <rFont val="Segoe UI"/>
              <color rgb="FF334155"/>
              <sz val="8.5"/>
            </rPr>
            <t xml:space="preserve">  ·  Priorité haute</t>
          </r>
        </is>
      </c>
      <c r="T65" s="76"/>
      <c r="U65" s="76"/>
      <c r="V65" s="76"/>
      <c r="W65" s="76"/>
      <c r="X65" s="76"/>
    </row>
    <row r="66" ht="17" customHeight="1">
      <c r="A66" s="67"/>
      <c r="B66" s="67"/>
      <c r="C66" s="69" t="inlineStr">
        <is>
          <r>
            <rPr>
              <rFont val="Segoe UI"/>
              <b/>
              <color rgb="FF003DA5"/>
              <sz val="9"/>
            </rPr>
            <t xml:space="preserve">3,03 Md XOF</t>
          </r>
          <r>
            <rPr>
              <rFont val="Segoe UI"/>
              <color rgb="FF334155"/>
              <sz val="8.5"/>
            </rPr>
            <t xml:space="preserve">  ·  304 j  ·  Stage 3  ·  </t>
          </r>
          <r>
            <rPr>
              <rFont val="Segoe UI"/>
              <b/>
              <color rgb="FF16A34A"/>
              <sz val="8.5"/>
            </rPr>
            <t xml:space="preserve">■ stable</t>
          </r>
        </is>
      </c>
      <c r="D66" s="69"/>
      <c r="E66" s="69"/>
      <c r="F66" s="69"/>
      <c r="G66" s="69"/>
      <c r="H66" s="69"/>
      <c r="I66" s="69"/>
      <c r="J66" s="69"/>
      <c r="K66" s="71"/>
      <c r="L66" s="71"/>
      <c r="M66" s="73" t="inlineStr">
        <is>
          <t xml:space="preserve">ACTION REQUIRED</t>
        </is>
      </c>
      <c r="N66" s="73"/>
      <c r="O66" s="73"/>
      <c r="Q66" s="81"/>
      <c r="R66" s="81"/>
      <c r="S66" s="77" t="inlineStr">
        <is>
          <t xml:space="preserve">encours 130,04 Md XOF</t>
        </is>
      </c>
      <c r="T66" s="77"/>
      <c r="U66" s="77"/>
      <c r="V66" s="77"/>
      <c r="W66" s="77"/>
      <c r="X66" s="77"/>
    </row>
    <row r="67" ht="14" customHeight="1">
      <c r="A67" s="67"/>
      <c r="B67" s="67"/>
      <c r="C67" s="70" t="inlineStr">
        <is>
          <t xml:space="preserve">Surveillance renforcée · GUEYE</t>
        </is>
      </c>
      <c r="D67" s="70"/>
      <c r="E67" s="70"/>
      <c r="F67" s="70"/>
      <c r="G67" s="70"/>
      <c r="H67" s="70"/>
      <c r="I67" s="70"/>
      <c r="J67" s="70"/>
      <c r="S67" s="79">
        <v>0</v>
      </c>
      <c r="T67" s="78"/>
      <c r="U67" s="78"/>
      <c r="V67" s="78"/>
      <c r="W67" s="80" t="inlineStr">
        <is>
          <t xml:space="preserve">avancement</t>
        </is>
      </c>
      <c r="X67" s="80"/>
    </row>
    <row r="68" ht="7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</row>
    <row r="69" ht="19" customHeight="1">
      <c r="A69" s="67" t="inlineStr">
        <is>
          <t xml:space="preserve">#03</t>
        </is>
      </c>
      <c r="B69" s="67"/>
      <c r="C69" s="68" t="inlineStr">
        <is>
          <t xml:space="preserve">SOCIETE 0088</t>
        </is>
      </c>
      <c r="D69" s="68"/>
      <c r="E69" s="68"/>
      <c r="F69" s="68"/>
      <c r="G69" s="68"/>
      <c r="H69" s="68"/>
      <c r="I69" s="68"/>
      <c r="J69" s="68"/>
      <c r="K69" s="71"/>
      <c r="L69" s="71"/>
      <c r="M69" s="72" t="inlineStr">
        <is>
          <t xml:space="preserve">CRITICAL</t>
        </is>
      </c>
      <c r="N69" s="72"/>
      <c r="O69" s="72"/>
      <c r="Q69" s="82">
        <v>235</v>
      </c>
      <c r="R69" s="82"/>
      <c r="S69" s="76" t="inlineStr">
        <is>
          <r>
            <rPr>
              <rFont val="Segoe UI"/>
              <b/>
              <color rgb="FFF59E0B"/>
              <sz val="9.5"/>
            </rPr>
            <t xml:space="preserve">WATCH</t>
          </r>
          <r>
            <rPr>
              <rFont val="Segoe UI"/>
              <color rgb="FF334155"/>
              <sz val="8.5"/>
            </rPr>
            <t xml:space="preserve">  ·  Surveillance</t>
          </r>
        </is>
      </c>
      <c r="T69" s="76"/>
      <c r="U69" s="76"/>
      <c r="V69" s="76"/>
      <c r="W69" s="76"/>
      <c r="X69" s="76"/>
    </row>
    <row r="70" ht="17" customHeight="1">
      <c r="A70" s="67"/>
      <c r="B70" s="67"/>
      <c r="C70" s="69" t="inlineStr">
        <is>
          <r>
            <rPr>
              <rFont val="Segoe UI"/>
              <b/>
              <color rgb="FF003DA5"/>
              <sz val="9"/>
            </rPr>
            <t xml:space="preserve">75,4 M XOF</t>
          </r>
          <r>
            <rPr>
              <rFont val="Segoe UI"/>
              <color rgb="FF334155"/>
              <sz val="8.5"/>
            </rPr>
            <t xml:space="preserve">  ·  307 j  ·  Stage 3  ·  </t>
          </r>
          <r>
            <rPr>
              <rFont val="Segoe UI"/>
              <b/>
              <color rgb="FF16A34A"/>
              <sz val="8.5"/>
            </rPr>
            <t xml:space="preserve">■ stable</t>
          </r>
        </is>
      </c>
      <c r="D70" s="69"/>
      <c r="E70" s="69"/>
      <c r="F70" s="69"/>
      <c r="G70" s="69"/>
      <c r="H70" s="69"/>
      <c r="I70" s="69"/>
      <c r="J70" s="69"/>
      <c r="K70" s="71"/>
      <c r="L70" s="71"/>
      <c r="M70" s="73" t="inlineStr">
        <is>
          <t xml:space="preserve">ACTION REQUIRED</t>
        </is>
      </c>
      <c r="N70" s="73"/>
      <c r="O70" s="73"/>
      <c r="Q70" s="82"/>
      <c r="R70" s="82"/>
      <c r="S70" s="77" t="inlineStr">
        <is>
          <t xml:space="preserve">encours 189,18 Md XOF</t>
        </is>
      </c>
      <c r="T70" s="77"/>
      <c r="U70" s="77"/>
      <c r="V70" s="77"/>
      <c r="W70" s="77"/>
      <c r="X70" s="77"/>
    </row>
    <row r="71" ht="14" customHeight="1">
      <c r="A71" s="67"/>
      <c r="B71" s="67"/>
      <c r="C71" s="70" t="inlineStr">
        <is>
          <t xml:space="preserve">Surveillance renforcée · GUEYE</t>
        </is>
      </c>
      <c r="D71" s="70"/>
      <c r="E71" s="70"/>
      <c r="F71" s="70"/>
      <c r="G71" s="70"/>
      <c r="H71" s="70"/>
      <c r="I71" s="70"/>
      <c r="J71" s="70"/>
      <c r="S71" s="79">
        <v>0</v>
      </c>
      <c r="T71" s="78"/>
      <c r="U71" s="78"/>
      <c r="V71" s="78"/>
      <c r="W71" s="80" t="inlineStr">
        <is>
          <t xml:space="preserve">avancement</t>
        </is>
      </c>
      <c r="X71" s="80"/>
    </row>
    <row r="72" ht="7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</row>
    <row r="73" ht="19" customHeight="1">
      <c r="A73" s="67" t="inlineStr">
        <is>
          <t xml:space="preserve">#04</t>
        </is>
      </c>
      <c r="B73" s="67"/>
      <c r="C73" s="68" t="inlineStr">
        <is>
          <t xml:space="preserve">SOCIETE 0208</t>
        </is>
      </c>
      <c r="D73" s="68"/>
      <c r="E73" s="68"/>
      <c r="F73" s="68"/>
      <c r="G73" s="68"/>
      <c r="H73" s="68"/>
      <c r="I73" s="68"/>
      <c r="J73" s="68"/>
      <c r="K73" s="71"/>
      <c r="L73" s="71"/>
      <c r="M73" s="72" t="inlineStr">
        <is>
          <t xml:space="preserve">CRITICAL</t>
        </is>
      </c>
      <c r="N73" s="72"/>
      <c r="O73" s="72"/>
      <c r="Q73" s="83">
        <v>0</v>
      </c>
      <c r="R73" s="83"/>
      <c r="S73" s="76" t="inlineStr">
        <is>
          <r>
            <rPr>
              <rFont val="Segoe UI"/>
              <b/>
              <color rgb="FF16A34A"/>
              <sz val="9.5"/>
            </rPr>
            <t xml:space="preserve">CURED</t>
          </r>
          <r>
            <rPr>
              <rFont val="Segoe UI"/>
              <color rgb="FF334155"/>
              <sz val="8.5"/>
            </rPr>
            <t xml:space="preserve">  ·  Régularisé</t>
          </r>
        </is>
      </c>
      <c r="T73" s="76"/>
      <c r="U73" s="76"/>
      <c r="V73" s="76"/>
      <c r="W73" s="76"/>
      <c r="X73" s="76"/>
    </row>
    <row r="74" ht="17" customHeight="1">
      <c r="A74" s="67"/>
      <c r="B74" s="67"/>
      <c r="C74" s="69" t="inlineStr">
        <is>
          <r>
            <rPr>
              <rFont val="Segoe UI"/>
              <b/>
              <color rgb="FF003DA5"/>
              <sz val="9"/>
            </rPr>
            <t xml:space="preserve">90,4 M XOF</t>
          </r>
          <r>
            <rPr>
              <rFont val="Segoe UI"/>
              <color rgb="FF334155"/>
              <sz val="8.5"/>
            </rPr>
            <t xml:space="preserve">  ·  296 j  ·  Stage 3  ·  </t>
          </r>
          <r>
            <rPr>
              <rFont val="Segoe UI"/>
              <b/>
              <color rgb="FF16A34A"/>
              <sz val="8.5"/>
            </rPr>
            <t xml:space="preserve">■ stable</t>
          </r>
        </is>
      </c>
      <c r="D74" s="69"/>
      <c r="E74" s="69"/>
      <c r="F74" s="69"/>
      <c r="G74" s="69"/>
      <c r="H74" s="69"/>
      <c r="I74" s="69"/>
      <c r="J74" s="69"/>
      <c r="K74" s="71"/>
      <c r="L74" s="71"/>
      <c r="M74" s="73" t="inlineStr">
        <is>
          <t xml:space="preserve">ACTION REQUIRED</t>
        </is>
      </c>
      <c r="N74" s="73"/>
      <c r="O74" s="73"/>
      <c r="Q74" s="83"/>
      <c r="R74" s="83"/>
      <c r="S74" s="77" t="inlineStr">
        <is>
          <t xml:space="preserve">impayés résorbés 0 XOF</t>
        </is>
      </c>
      <c r="T74" s="77"/>
      <c r="U74" s="77"/>
      <c r="V74" s="77"/>
      <c r="W74" s="77"/>
      <c r="X74" s="77"/>
    </row>
    <row r="75" ht="14" customHeight="1">
      <c r="A75" s="67"/>
      <c r="B75" s="67"/>
      <c r="C75" s="70" t="inlineStr">
        <is>
          <t xml:space="preserve">Surveillance renforcée · GUEYE</t>
        </is>
      </c>
      <c r="D75" s="70"/>
      <c r="E75" s="70"/>
      <c r="F75" s="70"/>
      <c r="G75" s="70"/>
      <c r="H75" s="70"/>
      <c r="I75" s="70"/>
      <c r="J75" s="70"/>
      <c r="S75" s="79">
        <v>0</v>
      </c>
      <c r="T75" s="78"/>
      <c r="U75" s="78"/>
      <c r="V75" s="78"/>
      <c r="W75" s="80" t="inlineStr">
        <is>
          <t xml:space="preserve">avancement</t>
        </is>
      </c>
      <c r="X75" s="80"/>
    </row>
    <row r="76" ht="7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</row>
    <row r="79" ht="22" customHeight="1">
      <c r="A79" s="61" t="inlineStr">
        <is>
          <r>
            <rPr>
              <rFont val="Segoe UI"/>
              <b/>
              <color rgb="FF001B4D"/>
              <sz val="11"/>
            </rPr>
            <t xml:space="preserve">KEY INSIGHTS</t>
          </r>
          <r>
            <rPr>
              <rFont val="Segoe UI"/>
              <color rgb="FF64748B"/>
              <sz val="8.5"/>
            </rPr>
            <t xml:space="preserve">   calculés sur les données de l'arrêté</t>
          </r>
        </is>
      </c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</row>
    <row r="80" ht="16" customHeight="1">
      <c r="A80" s="84" t="inlineStr">
        <is>
          <r>
            <rPr>
              <rFont val="Segoe UI"/>
              <b/>
              <color rgb="FFC8A951"/>
              <sz val="12"/>
            </rPr>
            <t xml:space="preserve">01  </t>
          </r>
          <r>
            <rPr>
              <rFont val="Segoe UI"/>
              <b/>
              <color rgb="FF334155"/>
              <sz val="8.5"/>
            </rPr>
            <t xml:space="preserve">IMPAYÉS EN HAUSSE</t>
          </r>
        </is>
      </c>
      <c r="B80" s="84"/>
      <c r="C80" s="84"/>
      <c r="D80" s="84"/>
      <c r="E80" s="84"/>
      <c r="F80" s="84"/>
      <c r="G80" s="87" t="inlineStr">
        <is>
          <r>
            <rPr>
              <rFont val="Segoe UI"/>
              <b/>
              <color rgb="FFC8A951"/>
              <sz val="12"/>
            </rPr>
            <t xml:space="preserve">02  </t>
          </r>
          <r>
            <rPr>
              <rFont val="Segoe UI"/>
              <b/>
              <color rgb="FF334155"/>
              <sz val="8.5"/>
            </rPr>
            <t xml:space="preserve">CONCENTRATION</t>
          </r>
        </is>
      </c>
      <c r="H80" s="87"/>
      <c r="I80" s="87"/>
      <c r="J80" s="87"/>
      <c r="K80" s="87"/>
      <c r="L80" s="87"/>
      <c r="M80" s="89" t="inlineStr">
        <is>
          <r>
            <rPr>
              <rFont val="Segoe UI"/>
              <b/>
              <color rgb="FFC8A951"/>
              <sz val="12"/>
            </rPr>
            <t xml:space="preserve">03  </t>
          </r>
          <r>
            <rPr>
              <rFont val="Segoe UI"/>
              <b/>
              <color rgb="FF334155"/>
              <sz val="8.5"/>
            </rPr>
            <t xml:space="preserve">MIGRATION</t>
          </r>
        </is>
      </c>
      <c r="N80" s="89"/>
      <c r="O80" s="89"/>
      <c r="P80" s="89"/>
      <c r="Q80" s="89"/>
      <c r="R80" s="89"/>
      <c r="S80" s="84" t="inlineStr">
        <is>
          <r>
            <rPr>
              <rFont val="Segoe UI"/>
              <b/>
              <color rgb="FFC8A951"/>
              <sz val="12"/>
            </rPr>
            <t xml:space="preserve">04  </t>
          </r>
          <r>
            <rPr>
              <rFont val="Segoe UI"/>
              <b/>
              <color rgb="FF334155"/>
              <sz val="8.5"/>
            </rPr>
            <t xml:space="preserve">ACTION</t>
          </r>
        </is>
      </c>
      <c r="T80" s="84"/>
      <c r="U80" s="84"/>
      <c r="V80" s="84"/>
      <c r="W80" s="84"/>
      <c r="X80" s="84"/>
    </row>
    <row r="81" ht="22" customHeight="1">
      <c r="A81" s="85" t="inlineStr">
        <is>
          <t xml:space="preserve">+333,3 M XOF</t>
        </is>
      </c>
      <c r="B81" s="85"/>
      <c r="C81" s="85"/>
      <c r="D81" s="85"/>
      <c r="E81" s="85"/>
      <c r="F81" s="85"/>
      <c r="G81" s="88" t="inlineStr">
        <is>
          <t xml:space="preserve">TOP 10 = 8,3 %</t>
        </is>
      </c>
      <c r="H81" s="88"/>
      <c r="I81" s="88"/>
      <c r="J81" s="88"/>
      <c r="K81" s="88"/>
      <c r="L81" s="88"/>
      <c r="M81" s="90" t="inlineStr">
        <is>
          <t xml:space="preserve">9 dossiers</t>
        </is>
      </c>
      <c r="N81" s="90"/>
      <c r="O81" s="90"/>
      <c r="P81" s="90"/>
      <c r="Q81" s="90"/>
      <c r="R81" s="90"/>
      <c r="S81" s="85" t="inlineStr">
        <is>
          <t xml:space="preserve">54 dossiers</t>
        </is>
      </c>
      <c r="T81" s="85"/>
      <c r="U81" s="85"/>
      <c r="V81" s="85"/>
      <c r="W81" s="85"/>
      <c r="X81" s="85"/>
    </row>
    <row r="82" ht="46" customHeight="1">
      <c r="A82" s="86" t="inlineStr">
        <is>
          <t xml:space="preserve">Les impayés passent de 31,56 Md à 31,89 Md XOF depuis le 31/08/2026. Nouveaux impayés : 8,5 M (3 % des hausses) ; régularisations : 0 ; remboursements partiels : 0.</t>
        </is>
      </c>
      <c r="B82" s="86"/>
      <c r="C82" s="86"/>
      <c r="D82" s="86"/>
      <c r="E82" s="86"/>
      <c r="F82" s="86"/>
      <c r="G82" s="86" t="inlineStr">
        <is>
          <t xml:space="preserve">Les 10 premiers clients portent 70,74 Md XOF sur 850,39 Md. Premier client : SOCIETE 0378 (1,0 %). Premier segment : X (100 %).</t>
        </is>
      </c>
      <c r="H82" s="86"/>
      <c r="I82" s="86"/>
      <c r="J82" s="86"/>
      <c r="K82" s="86"/>
      <c r="L82" s="86"/>
      <c r="M82" s="86" t="inlineStr">
        <is>
          <t xml:space="preserve">9 clients ont migré vers une tranche d'impayé plus dégradée (1,3 % des clients suivis), dont 6 au-delà de 90 jours ou en Stage 3 pour 3,49 Md XOF d'encours.</t>
        </is>
      </c>
      <c r="N82" s="86"/>
      <c r="O82" s="86"/>
      <c r="P82" s="86"/>
      <c r="Q82" s="86"/>
      <c r="R82" s="86"/>
      <c r="S82" s="86" t="inlineStr">
        <is>
          <t xml:space="preserve">6 dossiers critiques (3,49 Md XOF) et 48 en priorité haute nécessitent une intervention. Premier dossier : SOCIETE 0450 (3,03 Md, 304 j).</t>
        </is>
      </c>
      <c r="T82" s="86"/>
      <c r="U82" s="86"/>
      <c r="V82" s="86"/>
      <c r="W82" s="86"/>
      <c r="X82" s="86"/>
    </row>
  </sheetData>
  <mergeCells count="158">
    <mergeCell ref="A1:R1"/>
    <mergeCell ref="S1:X1"/>
    <mergeCell ref="A2:O5"/>
    <mergeCell ref="P2:X2"/>
    <mergeCell ref="P3:X3"/>
    <mergeCell ref="P4:X4"/>
    <mergeCell ref="P5:X5"/>
    <mergeCell ref="A7:H7"/>
    <mergeCell ref="I7:P7"/>
    <mergeCell ref="Q7:X7"/>
    <mergeCell ref="A10:D10"/>
    <mergeCell ref="A11:D12"/>
    <mergeCell ref="A13:D13"/>
    <mergeCell ref="A14:B14"/>
    <mergeCell ref="C14:D14"/>
    <mergeCell ref="A15:D15"/>
    <mergeCell ref="F10:I10"/>
    <mergeCell ref="F11:I12"/>
    <mergeCell ref="F13:I13"/>
    <mergeCell ref="F14:G14"/>
    <mergeCell ref="H14:I14"/>
    <mergeCell ref="F15:I15"/>
    <mergeCell ref="K10:N10"/>
    <mergeCell ref="K11:N12"/>
    <mergeCell ref="K13:N13"/>
    <mergeCell ref="K14:L14"/>
    <mergeCell ref="M14:N14"/>
    <mergeCell ref="K15:N15"/>
    <mergeCell ref="P10:S10"/>
    <mergeCell ref="P11:S12"/>
    <mergeCell ref="P13:S13"/>
    <mergeCell ref="P14:Q14"/>
    <mergeCell ref="R14:S14"/>
    <mergeCell ref="P15:S15"/>
    <mergeCell ref="U10:X10"/>
    <mergeCell ref="U11:X12"/>
    <mergeCell ref="U13:X13"/>
    <mergeCell ref="U14:V14"/>
    <mergeCell ref="W14:X14"/>
    <mergeCell ref="U15:X15"/>
    <mergeCell ref="A18:D18"/>
    <mergeCell ref="A19:D20"/>
    <mergeCell ref="A21:D21"/>
    <mergeCell ref="A22:B22"/>
    <mergeCell ref="C22:D22"/>
    <mergeCell ref="A23:D23"/>
    <mergeCell ref="F18:I18"/>
    <mergeCell ref="F19:I20"/>
    <mergeCell ref="F21:I21"/>
    <mergeCell ref="F22:G22"/>
    <mergeCell ref="H22:I22"/>
    <mergeCell ref="F23:I23"/>
    <mergeCell ref="K18:N18"/>
    <mergeCell ref="K19:N20"/>
    <mergeCell ref="K21:N21"/>
    <mergeCell ref="K22:L22"/>
    <mergeCell ref="M22:N22"/>
    <mergeCell ref="K23:N23"/>
    <mergeCell ref="P18:S18"/>
    <mergeCell ref="P19:S20"/>
    <mergeCell ref="P21:S21"/>
    <mergeCell ref="P22:Q22"/>
    <mergeCell ref="R22:S22"/>
    <mergeCell ref="P23:S23"/>
    <mergeCell ref="U18:X18"/>
    <mergeCell ref="U19:X20"/>
    <mergeCell ref="U21:X21"/>
    <mergeCell ref="U22:V22"/>
    <mergeCell ref="W22:X22"/>
    <mergeCell ref="U23:X23"/>
    <mergeCell ref="A26:O26"/>
    <mergeCell ref="Q26:X26"/>
    <mergeCell ref="A43:O43"/>
    <mergeCell ref="Q43:X43"/>
    <mergeCell ref="Q44:U44"/>
    <mergeCell ref="V44:X44"/>
    <mergeCell ref="Q45:X45"/>
    <mergeCell ref="Q46:U46"/>
    <mergeCell ref="V46:X46"/>
    <mergeCell ref="Q47:X47"/>
    <mergeCell ref="Q48:U48"/>
    <mergeCell ref="V48:X48"/>
    <mergeCell ref="Q49:X49"/>
    <mergeCell ref="Q50:U50"/>
    <mergeCell ref="V50:X50"/>
    <mergeCell ref="Q51:X51"/>
    <mergeCell ref="Q52:U52"/>
    <mergeCell ref="V52:X52"/>
    <mergeCell ref="Q53:X53"/>
    <mergeCell ref="Q54:U54"/>
    <mergeCell ref="V54:X54"/>
    <mergeCell ref="Q55:X55"/>
    <mergeCell ref="Q56:U56"/>
    <mergeCell ref="V56:X56"/>
    <mergeCell ref="Q57:X57"/>
    <mergeCell ref="A60:O60"/>
    <mergeCell ref="Q60:X60"/>
    <mergeCell ref="A61:B63"/>
    <mergeCell ref="C61:J61"/>
    <mergeCell ref="C62:J62"/>
    <mergeCell ref="C63:J63"/>
    <mergeCell ref="K61:L62"/>
    <mergeCell ref="M61:O61"/>
    <mergeCell ref="M62:O62"/>
    <mergeCell ref="A65:B67"/>
    <mergeCell ref="C65:J65"/>
    <mergeCell ref="C66:J66"/>
    <mergeCell ref="C67:J67"/>
    <mergeCell ref="K65:L66"/>
    <mergeCell ref="M65:O65"/>
    <mergeCell ref="M66:O66"/>
    <mergeCell ref="A69:B71"/>
    <mergeCell ref="C69:J69"/>
    <mergeCell ref="C70:J70"/>
    <mergeCell ref="C71:J71"/>
    <mergeCell ref="K69:L70"/>
    <mergeCell ref="M69:O69"/>
    <mergeCell ref="M70:O70"/>
    <mergeCell ref="A73:B75"/>
    <mergeCell ref="C73:J73"/>
    <mergeCell ref="C74:J74"/>
    <mergeCell ref="C75:J75"/>
    <mergeCell ref="K73:L74"/>
    <mergeCell ref="M73:O73"/>
    <mergeCell ref="M74:O74"/>
    <mergeCell ref="Q61:R62"/>
    <mergeCell ref="S61:X61"/>
    <mergeCell ref="S62:X62"/>
    <mergeCell ref="S63:V63"/>
    <mergeCell ref="W63:X63"/>
    <mergeCell ref="Q65:R66"/>
    <mergeCell ref="S65:X65"/>
    <mergeCell ref="S66:X66"/>
    <mergeCell ref="S67:V67"/>
    <mergeCell ref="W67:X67"/>
    <mergeCell ref="Q69:R70"/>
    <mergeCell ref="S69:X69"/>
    <mergeCell ref="S70:X70"/>
    <mergeCell ref="S71:V71"/>
    <mergeCell ref="W71:X71"/>
    <mergeCell ref="Q73:R74"/>
    <mergeCell ref="S73:X73"/>
    <mergeCell ref="S74:X74"/>
    <mergeCell ref="S75:V75"/>
    <mergeCell ref="W75:X75"/>
    <mergeCell ref="A79:X79"/>
    <mergeCell ref="A80:F80"/>
    <mergeCell ref="A81:F81"/>
    <mergeCell ref="A82:F82"/>
    <mergeCell ref="G80:L80"/>
    <mergeCell ref="G81:L81"/>
    <mergeCell ref="G82:L82"/>
    <mergeCell ref="M80:R80"/>
    <mergeCell ref="M81:R81"/>
    <mergeCell ref="M82:R82"/>
    <mergeCell ref="S80:X80"/>
    <mergeCell ref="S81:X81"/>
    <mergeCell ref="S82:X82"/>
  </mergeCells>
  <conditionalFormatting sqref="S63">
    <cfRule type="dataBar" priority="1">
      <dataBar>
        <cfvo type="num" val="0"/>
        <cfvo type="num" val="1"/>
        <color rgb="FFDC2626"/>
      </dataBar>
    </cfRule>
  </conditionalFormatting>
  <conditionalFormatting sqref="S67">
    <cfRule type="dataBar" priority="2">
      <dataBar>
        <cfvo type="num" val="0"/>
        <cfvo type="num" val="1"/>
        <color rgb="FFF97316"/>
      </dataBar>
    </cfRule>
  </conditionalFormatting>
  <conditionalFormatting sqref="S71">
    <cfRule type="dataBar" priority="3">
      <dataBar>
        <cfvo type="num" val="0"/>
        <cfvo type="num" val="1"/>
        <color rgb="FFF59E0B"/>
      </dataBar>
    </cfRule>
  </conditionalFormatting>
  <conditionalFormatting sqref="S75">
    <cfRule type="dataBar" priority="4">
      <dataBar>
        <cfvo type="num" val="0"/>
        <cfvo type="num" val="1"/>
        <color rgb="FF16A34A"/>
      </dataBar>
    </cfRule>
  </conditionalFormatting>
  <hyperlinks>
    <hyperlink ref="I7" location="'INSIGHTS'!A1" display="INSIGHTS"/>
    <hyperlink ref="Q7" location="'AUDIT'!A1" display="AUDIT"/>
  </hyperlinks>
  <printOptions horizontalCentered="1"/>
  <pageMargins left="0.3" right="0.3" top="0.45" bottom="0.5" header="0.2" footer="0.25"/>
  <pageSetup paperSize="9" orientation="landscape" fitToWidth="1" fitToHeight="0"/>
  <headerFooter>
    <oddHeader>&amp;L&amp;8&amp;K003DA5ECOBANK SÉNÉGAL · CREDIT RISK INTELLIGENCE&amp;R&amp;8&amp;K64748BArrêté 30/09/2026</oddHeader>
    <oddFooter>&amp;L&amp;8&amp;K64748BEXECUTIVE · INTERNAL USE ONLY&amp;R&amp;8&amp;K64748BPage &amp;P / &amp;N</oddFooter>
  </headerFooter>
  <rowBreaks count="2" manualBreakCount="2">
    <brk id="25" max="16383" man="1"/>
    <brk id="59" max="16383" man="1"/>
  </rowBreaks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0" high="1" last="1" lineWeight="1.5">
          <x14:colorSeries rgb="FFFFFFFF"/>
          <x14:colorNegative rgb="FFDC2626"/>
          <x14:colorAxis rgb="FF64748B"/>
          <x14:colorMarkers rgb="FFFFFFFF"/>
          <x14:colorFirst rgb="FFFFFFFF"/>
          <x14:colorLast rgb="FFC8A951"/>
          <x14:colorHigh rgb="FF06B6D4"/>
          <x14:colorLow rgb="FFFFFFFF"/>
          <x14:sparklines>
            <x14:sparkline>
              <xm:f>'_data'!B1:J1</xm:f>
              <xm:sqref>C14</xm:sqref>
            </x14:sparkline>
          </x14:sparklines>
        </x14:sparklineGroup>
        <x14:sparklineGroup displayEmptyCellsAs="gap" markers="0" high="1" last="1" lineWeight="1.5">
          <x14:colorSeries rgb="FF2563EB"/>
          <x14:colorNegative rgb="FFDC2626"/>
          <x14:colorAxis rgb="FF64748B"/>
          <x14:colorMarkers rgb="FF2563EB"/>
          <x14:colorFirst rgb="FF2563EB"/>
          <x14:colorLast rgb="FFC8A951"/>
          <x14:colorHigh rgb="FF06B6D4"/>
          <x14:colorLow rgb="FF2563EB"/>
          <x14:sparklines>
            <x14:sparkline>
              <xm:f>'_data'!B2:J2</xm:f>
              <xm:sqref>H14</xm:sqref>
            </x14:sparkline>
          </x14:sparklines>
        </x14:sparklineGroup>
        <x14:sparklineGroup displayEmptyCellsAs="gap" markers="0" high="1" last="1" lineWeight="1.5">
          <x14:colorSeries rgb="FF2563EB"/>
          <x14:colorNegative rgb="FFDC2626"/>
          <x14:colorAxis rgb="FF64748B"/>
          <x14:colorMarkers rgb="FF2563EB"/>
          <x14:colorFirst rgb="FF2563EB"/>
          <x14:colorLast rgb="FFC8A951"/>
          <x14:colorHigh rgb="FF06B6D4"/>
          <x14:colorLow rgb="FF2563EB"/>
          <x14:sparklines>
            <x14:sparkline>
              <xm:f>'_data'!B3:J3</xm:f>
              <xm:sqref>M14</xm:sqref>
            </x14:sparkline>
          </x14:sparklines>
        </x14:sparklineGroup>
        <x14:sparklineGroup displayEmptyCellsAs="gap" markers="0" high="1" last="1" lineWeight="1.5">
          <x14:colorSeries rgb="FF2563EB"/>
          <x14:colorNegative rgb="FFDC2626"/>
          <x14:colorAxis rgb="FF64748B"/>
          <x14:colorMarkers rgb="FF2563EB"/>
          <x14:colorFirst rgb="FF2563EB"/>
          <x14:colorLast rgb="FFC8A951"/>
          <x14:colorHigh rgb="FF06B6D4"/>
          <x14:colorLow rgb="FF2563EB"/>
          <x14:sparklines>
            <x14:sparkline>
              <xm:f>'_data'!B4:J4</xm:f>
              <xm:sqref>R14</xm:sqref>
            </x14:sparkline>
          </x14:sparklines>
        </x14:sparklineGroup>
        <x14:sparklineGroup displayEmptyCellsAs="gap" markers="0" high="1" last="1" lineWeight="1.5">
          <x14:colorSeries rgb="FF2563EB"/>
          <x14:colorNegative rgb="FFDC2626"/>
          <x14:colorAxis rgb="FF64748B"/>
          <x14:colorMarkers rgb="FF2563EB"/>
          <x14:colorFirst rgb="FF2563EB"/>
          <x14:colorLast rgb="FFC8A951"/>
          <x14:colorHigh rgb="FF06B6D4"/>
          <x14:colorLow rgb="FF2563EB"/>
          <x14:sparklines>
            <x14:sparkline>
              <xm:f>'_data'!B5:J5</xm:f>
              <xm:sqref>W14</xm:sqref>
            </x14:sparkline>
          </x14:sparklines>
        </x14:sparklineGroup>
        <x14:sparklineGroup displayEmptyCellsAs="gap" markers="0" high="1" last="1" lineWeight="1.5">
          <x14:colorSeries rgb="FF2563EB"/>
          <x14:colorNegative rgb="FFDC2626"/>
          <x14:colorAxis rgb="FF64748B"/>
          <x14:colorMarkers rgb="FF2563EB"/>
          <x14:colorFirst rgb="FF2563EB"/>
          <x14:colorLast rgb="FFC8A951"/>
          <x14:colorHigh rgb="FF06B6D4"/>
          <x14:colorLow rgb="FF2563EB"/>
          <x14:sparklines>
            <x14:sparkline>
              <xm:f>'_data'!B6:J6</xm:f>
              <xm:sqref>C22</xm:sqref>
            </x14:sparkline>
          </x14:sparklines>
        </x14:sparklineGroup>
        <x14:sparklineGroup displayEmptyCellsAs="gap" markers="0" high="1" last="1" lineWeight="1.5">
          <x14:colorSeries rgb="FF2563EB"/>
          <x14:colorNegative rgb="FFDC2626"/>
          <x14:colorAxis rgb="FF64748B"/>
          <x14:colorMarkers rgb="FF2563EB"/>
          <x14:colorFirst rgb="FF2563EB"/>
          <x14:colorLast rgb="FFC8A951"/>
          <x14:colorHigh rgb="FF06B6D4"/>
          <x14:colorLow rgb="FF2563EB"/>
          <x14:sparklines>
            <x14:sparkline>
              <xm:f>'_data'!B7:J7</xm:f>
              <xm:sqref>H22</xm:sqref>
            </x14:sparkline>
          </x14:sparklines>
        </x14:sparklineGroup>
        <x14:sparklineGroup displayEmptyCellsAs="gap" markers="0" high="1" last="1" lineWeight="1.5">
          <x14:colorSeries rgb="FFFFFFFF"/>
          <x14:colorNegative rgb="FFDC2626"/>
          <x14:colorAxis rgb="FF64748B"/>
          <x14:colorMarkers rgb="FFFFFFFF"/>
          <x14:colorFirst rgb="FFFFFFFF"/>
          <x14:colorLast rgb="FFC8A951"/>
          <x14:colorHigh rgb="FF06B6D4"/>
          <x14:colorLow rgb="FFFFFFFF"/>
          <x14:sparklines>
            <x14:sparkline>
              <xm:f>'_data'!B8:J8</xm:f>
              <xm:sqref>M22</xm:sqref>
            </x14:sparkline>
          </x14:sparklines>
        </x14:sparklineGroup>
        <x14:sparklineGroup displayEmptyCellsAs="gap" markers="0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'_data'!B9:J9</xm:f>
              <xm:sqref>K61</xm:sqref>
            </x14:sparkline>
          </x14:sparklines>
        </x14:sparklineGroup>
        <x14:sparklineGroup displayEmptyCellsAs="gap" markers="0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'_data'!B10:J10</xm:f>
              <xm:sqref>K65</xm:sqref>
            </x14:sparkline>
          </x14:sparklines>
        </x14:sparklineGroup>
        <x14:sparklineGroup displayEmptyCellsAs="gap" markers="0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'_data'!B11:J11</xm:f>
              <xm:sqref>K69</xm:sqref>
            </x14:sparkline>
          </x14:sparklines>
        </x14:sparklineGroup>
        <x14:sparklineGroup displayEmptyCellsAs="gap" markers="0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'_data'!B12:J12</xm:f>
              <xm:sqref>K73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8A951"/>
    <pageSetUpPr fitToPage="1"/>
  </sheetPr>
  <dimension ref="A1:X27"/>
  <sheetViews>
    <sheetView showGridLines="0" zoomScale="85" zoomScaleNormal="85" workbookViewId="0"/>
  </sheetViews>
  <sheetFormatPr defaultRowHeight="15"/>
  <cols>
    <col min="1" max="1" width="5.4" customWidth="1"/>
    <col min="2" max="2" width="5.4" customWidth="1"/>
    <col min="3" max="3" width="5.4" customWidth="1"/>
    <col min="4" max="4" width="5.4" customWidth="1"/>
    <col min="5" max="5" width="5.4" customWidth="1"/>
    <col min="6" max="6" width="5.4" customWidth="1"/>
    <col min="7" max="7" width="5.4" customWidth="1"/>
    <col min="8" max="8" width="5.4" customWidth="1"/>
    <col min="9" max="9" width="5.4" customWidth="1"/>
    <col min="10" max="10" width="5.4" customWidth="1"/>
    <col min="11" max="11" width="5.4" customWidth="1"/>
    <col min="12" max="12" width="5.4" customWidth="1"/>
    <col min="13" max="13" width="5.4" customWidth="1"/>
    <col min="14" max="14" width="5.4" customWidth="1"/>
    <col min="15" max="15" width="5.4" customWidth="1"/>
    <col min="16" max="16" width="5.4" customWidth="1"/>
    <col min="17" max="17" width="5.4" customWidth="1"/>
    <col min="18" max="18" width="5.4" customWidth="1"/>
    <col min="19" max="19" width="5.4" customWidth="1"/>
    <col min="20" max="20" width="5.4" customWidth="1"/>
    <col min="21" max="21" width="5.4" customWidth="1"/>
    <col min="22" max="22" width="5.4" customWidth="1"/>
    <col min="23" max="23" width="5.4" customWidth="1"/>
    <col min="24" max="24" width="5.4" customWidth="1"/>
  </cols>
  <sheetData>
    <row r="1" ht="20" customHeight="1">
      <c r="A1" s="1" t="inlineStr">
        <is>
          <r>
            <rPr>
              <rFont val="Segoe UI"/>
              <b/>
              <color rgb="FFC8A951"/>
              <sz val="9"/>
            </rPr>
            <t xml:space="preserve">ECOBANK SÉNÉGAL</t>
          </r>
          <r>
            <rPr>
              <rFont val="Segoe UI"/>
              <color rgb="FFC7D7F5"/>
              <sz val="9"/>
            </rPr>
            <t xml:space="preserve">   ·   CREDIT RISK INTELLIGENCE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 t="inlineStr">
        <is>
          <r>
            <rPr>
              <rFont val="Segoe UI"/>
              <color rgb="FF8EA6D6"/>
              <sz val="8"/>
            </rPr>
            <t xml:space="preserve">INTERNAL USE ONLY  ·  </t>
          </r>
          <r>
            <rPr>
              <rFont val="Segoe UI"/>
              <b/>
              <color rgb="FFC8A951"/>
              <sz val="8"/>
            </rPr>
            <t xml:space="preserve">RI 1.0</t>
          </r>
        </is>
      </c>
      <c r="T1" s="1"/>
      <c r="U1" s="1"/>
      <c r="V1" s="1"/>
      <c r="W1" s="1"/>
      <c r="X1" s="1"/>
    </row>
    <row r="2" ht="22" customHeight="1">
      <c r="A2" s="3" t="inlineStr">
        <is>
          <r>
            <rPr>
              <rFont val="Segoe UI"/>
              <b/>
              <color rgb="FFFFFFFF"/>
              <sz val="22"/>
            </rPr>
            <t xml:space="preserve">INSIGHTS
</t>
          </r>
          <r>
            <rPr>
              <rFont val="Segoe UI"/>
              <color rgb="FFC7D7F5"/>
              <sz val="11"/>
            </rPr>
            <t xml:space="preserve">Lecture éditoriale de l'arrêté · chaque chiffre est calculé sur les données
</t>
          </r>
          <r>
            <rPr>
              <rFont val="Segoe UI"/>
              <b/>
              <color rgb="FFC8A951"/>
              <sz val="8"/>
            </rPr>
            <t xml:space="preserve">ECOBANK SÉNÉGAL · DIRECTION DES RISQUES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 t="inlineStr">
        <is>
          <t xml:space="preserve">REPORTING DATE</t>
        </is>
      </c>
      <c r="Q2" s="4"/>
      <c r="R2" s="4"/>
      <c r="S2" s="4"/>
      <c r="T2" s="4"/>
      <c r="U2" s="4"/>
      <c r="V2" s="4"/>
      <c r="W2" s="4"/>
      <c r="X2" s="4"/>
    </row>
    <row r="3" ht="3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 t="inlineStr">
        <is>
          <t xml:space="preserve">30/09/2026</t>
        </is>
      </c>
      <c r="Q3" s="5"/>
      <c r="R3" s="5"/>
      <c r="S3" s="5"/>
      <c r="T3" s="5"/>
      <c r="U3" s="5"/>
      <c r="V3" s="5"/>
      <c r="W3" s="5"/>
      <c r="X3" s="5"/>
    </row>
    <row r="4" ht="16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 t="inlineStr">
        <is>
          <t xml:space="preserve">PERIMETER</t>
        </is>
      </c>
      <c r="Q4" s="4"/>
      <c r="R4" s="4"/>
      <c r="S4" s="4"/>
      <c r="T4" s="4"/>
      <c r="U4" s="4"/>
      <c r="V4" s="4"/>
      <c r="W4" s="4"/>
      <c r="X4" s="4"/>
    </row>
    <row r="5" ht="22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6" t="inlineStr">
        <is>
          <t xml:space="preserve">Portefeuille Ecobank Sénégal · 700 clients · 2 500 lignes ACTE 7</t>
        </is>
      </c>
      <c r="Q5" s="6"/>
      <c r="R5" s="6"/>
      <c r="S5" s="6"/>
      <c r="T5" s="6"/>
      <c r="U5" s="6"/>
      <c r="V5" s="6"/>
      <c r="W5" s="6"/>
      <c r="X5" s="6"/>
    </row>
    <row r="6" ht="4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ht="24" customHeight="1">
      <c r="A7" s="9" t="inlineStr">
        <is>
          <t xml:space="preserve">EXECUTIVE</t>
        </is>
      </c>
      <c r="B7" s="9"/>
      <c r="C7" s="9"/>
      <c r="D7" s="9"/>
      <c r="E7" s="9"/>
      <c r="F7" s="9"/>
      <c r="G7" s="9"/>
      <c r="H7" s="9"/>
      <c r="I7" s="8" t="inlineStr">
        <is>
          <t xml:space="preserve">INSIGHTS</t>
        </is>
      </c>
      <c r="J7" s="8"/>
      <c r="K7" s="8"/>
      <c r="L7" s="8"/>
      <c r="M7" s="8"/>
      <c r="N7" s="8"/>
      <c r="O7" s="8"/>
      <c r="P7" s="8"/>
      <c r="Q7" s="9" t="inlineStr">
        <is>
          <t xml:space="preserve">AUDIT</t>
        </is>
      </c>
      <c r="R7" s="9"/>
      <c r="S7" s="9"/>
      <c r="T7" s="9"/>
      <c r="U7" s="9"/>
      <c r="V7" s="9"/>
      <c r="W7" s="9"/>
      <c r="X7" s="9"/>
    </row>
    <row r="8" ht="8" customHeight="1"/>
    <row r="9" ht="12" customHeight="1"/>
    <row r="10" ht="30" customHeight="1">
      <c r="A10" s="91" t="inlineStr">
        <is>
          <t xml:space="preserve">01</t>
        </is>
      </c>
      <c r="B10" s="91"/>
      <c r="C10" s="91"/>
      <c r="D10" s="92" t="inlineStr">
        <is>
          <t xml:space="preserve">IMPAYÉS EN HAUSSE</t>
        </is>
      </c>
      <c r="E10" s="92"/>
      <c r="F10" s="92"/>
      <c r="G10" s="92"/>
      <c r="H10" s="92"/>
      <c r="I10" s="92"/>
      <c r="J10" s="92"/>
      <c r="K10" s="92"/>
      <c r="M10" s="96" t="inlineStr">
        <is>
          <t xml:space="preserve">02</t>
        </is>
      </c>
      <c r="N10" s="96"/>
      <c r="O10" s="96"/>
      <c r="P10" s="92" t="inlineStr">
        <is>
          <t xml:space="preserve">CONCENTRATION</t>
        </is>
      </c>
      <c r="Q10" s="92"/>
      <c r="R10" s="92"/>
      <c r="S10" s="92"/>
      <c r="T10" s="92"/>
      <c r="U10" s="92"/>
      <c r="V10" s="92"/>
      <c r="W10" s="92"/>
    </row>
    <row r="11" ht="26" customHeight="1">
      <c r="A11" s="91"/>
      <c r="B11" s="91"/>
      <c r="C11" s="91"/>
      <c r="D11" s="93" t="inlineStr">
        <is>
          <t xml:space="preserve">+333,3 M XOF</t>
        </is>
      </c>
      <c r="E11" s="93"/>
      <c r="F11" s="93"/>
      <c r="G11" s="93"/>
      <c r="H11" s="93"/>
      <c r="I11" s="93"/>
      <c r="J11" s="93"/>
      <c r="K11" s="93"/>
      <c r="M11" s="96"/>
      <c r="N11" s="96"/>
      <c r="O11" s="96"/>
      <c r="P11" s="97" t="inlineStr">
        <is>
          <t xml:space="preserve">TOP 10 = 8,3 %</t>
        </is>
      </c>
      <c r="Q11" s="97"/>
      <c r="R11" s="97"/>
      <c r="S11" s="97"/>
      <c r="T11" s="97"/>
      <c r="U11" s="97"/>
      <c r="V11" s="97"/>
      <c r="W11" s="97"/>
    </row>
    <row r="12" ht="40" customHeight="1">
      <c r="D12" s="94" t="inlineStr">
        <is>
          <t xml:space="preserve">Les impayés passent de 31,56 Md à 31,89 Md XOF depuis le 31/08/2026. Nouveaux impayés : 8,5 M (3 % des hausses) ; régularisations : 0 ; remboursements partiels : 0.</t>
        </is>
      </c>
      <c r="E12" s="94"/>
      <c r="F12" s="94"/>
      <c r="G12" s="94"/>
      <c r="H12" s="94"/>
      <c r="I12" s="94"/>
      <c r="J12" s="94"/>
      <c r="K12" s="94"/>
      <c r="P12" s="94" t="inlineStr">
        <is>
          <t xml:space="preserve">Les 10 premiers clients portent 70,74 Md XOF sur 850,39 Md. Premier client : SOCIETE 0378 (1,0 %). Premier segment : X (100 %).</t>
        </is>
      </c>
      <c r="Q12" s="94"/>
      <c r="R12" s="94"/>
      <c r="S12" s="94"/>
      <c r="T12" s="94"/>
      <c r="U12" s="94"/>
      <c r="V12" s="94"/>
      <c r="W12" s="94"/>
    </row>
    <row r="13" ht="8" customHeight="1">
      <c r="A13" s="95"/>
      <c r="B13" s="95"/>
      <c r="C13" s="95"/>
      <c r="D13" s="95"/>
      <c r="E13" s="95"/>
      <c r="F13" s="95"/>
      <c r="G13" s="95"/>
      <c r="H13" s="95"/>
      <c r="I13" s="95"/>
      <c r="J13" s="95"/>
      <c r="K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</row>
    <row r="14" ht="6" customHeight="1"/>
    <row r="16" ht="12" customHeight="1"/>
    <row r="17" ht="30" customHeight="1">
      <c r="A17" s="98" t="inlineStr">
        <is>
          <t xml:space="preserve">03</t>
        </is>
      </c>
      <c r="B17" s="98"/>
      <c r="C17" s="98"/>
      <c r="D17" s="92" t="inlineStr">
        <is>
          <t xml:space="preserve">MIGRATION</t>
        </is>
      </c>
      <c r="E17" s="92"/>
      <c r="F17" s="92"/>
      <c r="G17" s="92"/>
      <c r="H17" s="92"/>
      <c r="I17" s="92"/>
      <c r="J17" s="92"/>
      <c r="K17" s="92"/>
      <c r="M17" s="91" t="inlineStr">
        <is>
          <t xml:space="preserve">04</t>
        </is>
      </c>
      <c r="N17" s="91"/>
      <c r="O17" s="91"/>
      <c r="P17" s="92" t="inlineStr">
        <is>
          <t xml:space="preserve">ACTION</t>
        </is>
      </c>
      <c r="Q17" s="92"/>
      <c r="R17" s="92"/>
      <c r="S17" s="92"/>
      <c r="T17" s="92"/>
      <c r="U17" s="92"/>
      <c r="V17" s="92"/>
      <c r="W17" s="92"/>
    </row>
    <row r="18" ht="26" customHeight="1">
      <c r="A18" s="98"/>
      <c r="B18" s="98"/>
      <c r="C18" s="98"/>
      <c r="D18" s="99" t="inlineStr">
        <is>
          <t xml:space="preserve">9 dossiers</t>
        </is>
      </c>
      <c r="E18" s="99"/>
      <c r="F18" s="99"/>
      <c r="G18" s="99"/>
      <c r="H18" s="99"/>
      <c r="I18" s="99"/>
      <c r="J18" s="99"/>
      <c r="K18" s="99"/>
      <c r="M18" s="91"/>
      <c r="N18" s="91"/>
      <c r="O18" s="91"/>
      <c r="P18" s="93" t="inlineStr">
        <is>
          <t xml:space="preserve">54 dossiers</t>
        </is>
      </c>
      <c r="Q18" s="93"/>
      <c r="R18" s="93"/>
      <c r="S18" s="93"/>
      <c r="T18" s="93"/>
      <c r="U18" s="93"/>
      <c r="V18" s="93"/>
      <c r="W18" s="93"/>
    </row>
    <row r="19" ht="40" customHeight="1">
      <c r="D19" s="94" t="inlineStr">
        <is>
          <t xml:space="preserve">9 clients ont migré vers une tranche d'impayé plus dégradée (1,3 % des clients suivis), dont 6 au-delà de 90 jours ou en Stage 3 pour 3,49 Md XOF d'encours.</t>
        </is>
      </c>
      <c r="E19" s="94"/>
      <c r="F19" s="94"/>
      <c r="G19" s="94"/>
      <c r="H19" s="94"/>
      <c r="I19" s="94"/>
      <c r="J19" s="94"/>
      <c r="K19" s="94"/>
      <c r="P19" s="94" t="inlineStr">
        <is>
          <t xml:space="preserve">6 dossiers critiques (3,49 Md XOF) et 48 en priorité haute nécessitent une intervention. Premier dossier : SOCIETE 0450 (3,03 Md, 304 j).</t>
        </is>
      </c>
      <c r="Q19" s="94"/>
      <c r="R19" s="94"/>
      <c r="S19" s="94"/>
      <c r="T19" s="94"/>
      <c r="U19" s="94"/>
      <c r="V19" s="94"/>
      <c r="W19" s="94"/>
    </row>
    <row r="20" ht="8" customHeight="1">
      <c r="A20" s="95"/>
      <c r="B20" s="95"/>
      <c r="C20" s="95"/>
      <c r="D20" s="95"/>
      <c r="E20" s="95"/>
      <c r="F20" s="95"/>
      <c r="G20" s="95"/>
      <c r="H20" s="95"/>
      <c r="I20" s="95"/>
      <c r="J20" s="95"/>
      <c r="K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</row>
    <row r="21" ht="6" customHeight="1"/>
    <row r="23" ht="12" customHeight="1"/>
    <row r="24" ht="30" customHeight="1">
      <c r="A24" s="100" t="inlineStr">
        <is>
          <t xml:space="preserve">05</t>
        </is>
      </c>
      <c r="B24" s="100"/>
      <c r="C24" s="100"/>
      <c r="D24" s="92" t="inlineStr">
        <is>
          <t xml:space="preserve">STAGE 2 &amp; 3</t>
        </is>
      </c>
      <c r="E24" s="92"/>
      <c r="F24" s="92"/>
      <c r="G24" s="92"/>
      <c r="H24" s="92"/>
      <c r="I24" s="92"/>
      <c r="J24" s="92"/>
      <c r="K24" s="92"/>
      <c r="M24" s="102" t="inlineStr">
        <is>
          <t xml:space="preserve">06</t>
        </is>
      </c>
      <c r="N24" s="102"/>
      <c r="O24" s="102"/>
      <c r="P24" s="92" t="inlineStr">
        <is>
          <t xml:space="preserve">RÉGULARISATIONS</t>
        </is>
      </c>
      <c r="Q24" s="92"/>
      <c r="R24" s="92"/>
      <c r="S24" s="92"/>
      <c r="T24" s="92"/>
      <c r="U24" s="92"/>
      <c r="V24" s="92"/>
      <c r="W24" s="92"/>
    </row>
    <row r="25" ht="26" customHeight="1">
      <c r="A25" s="100"/>
      <c r="B25" s="100"/>
      <c r="C25" s="100"/>
      <c r="D25" s="101" t="inlineStr">
        <is>
          <t xml:space="preserve">583,23 Md XOF</t>
        </is>
      </c>
      <c r="E25" s="101"/>
      <c r="F25" s="101"/>
      <c r="G25" s="101"/>
      <c r="H25" s="101"/>
      <c r="I25" s="101"/>
      <c r="J25" s="101"/>
      <c r="K25" s="101"/>
      <c r="M25" s="102"/>
      <c r="N25" s="102"/>
      <c r="O25" s="102"/>
      <c r="P25" s="103" t="inlineStr">
        <is>
          <t xml:space="preserve">0 dossiers</t>
        </is>
      </c>
      <c r="Q25" s="103"/>
      <c r="R25" s="103"/>
      <c r="S25" s="103"/>
      <c r="T25" s="103"/>
      <c r="U25" s="103"/>
      <c r="V25" s="103"/>
      <c r="W25" s="103"/>
    </row>
    <row r="26" ht="40" customHeight="1">
      <c r="D26" s="94" t="inlineStr">
        <is>
          <t xml:space="preserve">Stage 2 : 259,46 Md (30,5 % de l'encours) ; −947,9 M sur le mois. Stage 3 : 323,78 Md (38,1 %) ; +3,49 Md. Provisions : 37,32 Md XOF.</t>
        </is>
      </c>
      <c r="E26" s="94"/>
      <c r="F26" s="94"/>
      <c r="G26" s="94"/>
      <c r="H26" s="94"/>
      <c r="I26" s="94"/>
      <c r="J26" s="94"/>
      <c r="K26" s="94"/>
      <c r="P26" s="94" t="inlineStr">
        <is>
          <t xml:space="preserve">0 clients en impayé au 31/08/2026 sont revenus à jour, soit 0 XOF d'impayés résorbés.</t>
        </is>
      </c>
      <c r="Q26" s="94"/>
      <c r="R26" s="94"/>
      <c r="S26" s="94"/>
      <c r="T26" s="94"/>
      <c r="U26" s="94"/>
      <c r="V26" s="94"/>
      <c r="W26" s="94"/>
    </row>
    <row r="27" ht="8" customHeight="1">
      <c r="A27" s="95"/>
      <c r="B27" s="95"/>
      <c r="C27" s="95"/>
      <c r="D27" s="95"/>
      <c r="E27" s="95"/>
      <c r="F27" s="95"/>
      <c r="G27" s="95"/>
      <c r="H27" s="95"/>
      <c r="I27" s="95"/>
      <c r="J27" s="95"/>
      <c r="K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</row>
    <row r="28" ht="6" customHeight="1"/>
  </sheetData>
  <mergeCells count="34">
    <mergeCell ref="A1:R1"/>
    <mergeCell ref="S1:X1"/>
    <mergeCell ref="A2:O5"/>
    <mergeCell ref="P2:X2"/>
    <mergeCell ref="P3:X3"/>
    <mergeCell ref="P4:X4"/>
    <mergeCell ref="P5:X5"/>
    <mergeCell ref="A7:H7"/>
    <mergeCell ref="I7:P7"/>
    <mergeCell ref="Q7:X7"/>
    <mergeCell ref="A10:C11"/>
    <mergeCell ref="D10:K10"/>
    <mergeCell ref="D11:K11"/>
    <mergeCell ref="D12:K12"/>
    <mergeCell ref="M10:O11"/>
    <mergeCell ref="P10:W10"/>
    <mergeCell ref="P11:W11"/>
    <mergeCell ref="P12:W12"/>
    <mergeCell ref="A17:C18"/>
    <mergeCell ref="D17:K17"/>
    <mergeCell ref="D18:K18"/>
    <mergeCell ref="D19:K19"/>
    <mergeCell ref="M17:O18"/>
    <mergeCell ref="P17:W17"/>
    <mergeCell ref="P18:W18"/>
    <mergeCell ref="P19:W19"/>
    <mergeCell ref="A24:C25"/>
    <mergeCell ref="D24:K24"/>
    <mergeCell ref="D25:K25"/>
    <mergeCell ref="D26:K26"/>
    <mergeCell ref="M24:O25"/>
    <mergeCell ref="P24:W24"/>
    <mergeCell ref="P25:W25"/>
    <mergeCell ref="P26:W26"/>
  </mergeCells>
  <hyperlinks>
    <hyperlink ref="A7" location="'EXECUTIVE'!A1" display="EXECUTIVE"/>
    <hyperlink ref="Q7" location="'AUDIT'!A1" display="AUDIT"/>
  </hyperlinks>
  <printOptions horizontalCentered="1"/>
  <pageMargins left="0.3" right="0.3" top="0.45" bottom="0.5" header="0.2" footer="0.25"/>
  <pageSetup paperSize="9" orientation="landscape" fitToWidth="1" fitToHeight="0"/>
  <headerFooter>
    <oddHeader>&amp;L&amp;8&amp;K003DA5ECOBANK SÉNÉGAL · CREDIT RISK INTELLIGENCE&amp;R&amp;8&amp;K64748BArrêté 30/09/2026</oddHeader>
    <oddFooter>&amp;L&amp;8&amp;K64748BINSIGHTS · INTERNAL USE ONLY&amp;R&amp;8&amp;K64748BPage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1B4D"/>
    <pageSetUpPr fitToPage="1"/>
  </sheetPr>
  <dimension ref="A1:I44"/>
  <sheetViews>
    <sheetView showGridLines="0" zoomScale="90" zoomScaleNormal="90" workbookViewId="0"/>
  </sheetViews>
  <sheetFormatPr defaultRowHeight="15"/>
  <cols>
    <col min="1" max="1" width="42" customWidth="1"/>
    <col min="2" max="2" width="24" customWidth="1"/>
    <col min="3" max="3" width="22" customWidth="1"/>
    <col min="4" max="4" width="34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</cols>
  <sheetData>
    <row r="1" ht="20" customHeight="1">
      <c r="A1" s="1" t="inlineStr">
        <is>
          <r>
            <rPr>
              <rFont val="Segoe UI"/>
              <b/>
              <color rgb="FFC8A951"/>
              <sz val="9"/>
            </rPr>
            <t xml:space="preserve">ECOBANK SÉNÉGAL</t>
          </r>
          <r>
            <rPr>
              <rFont val="Segoe UI"/>
              <color rgb="FFC7D7F5"/>
              <sz val="9"/>
            </rPr>
            <t xml:space="preserve">   ·   CREDIT RISK INTELLIGENCE</t>
          </r>
        </is>
      </c>
      <c r="B1" s="1"/>
      <c r="C1" s="1"/>
      <c r="D1" s="2" t="inlineStr">
        <is>
          <r>
            <rPr>
              <rFont val="Segoe UI"/>
              <color rgb="FF8EA6D6"/>
              <sz val="8"/>
            </rPr>
            <t xml:space="preserve">INTERNAL USE ONLY  ·  </t>
          </r>
          <r>
            <rPr>
              <rFont val="Segoe UI"/>
              <b/>
              <color rgb="FFC8A951"/>
              <sz val="8"/>
            </rPr>
            <t xml:space="preserve">RI 1.0</t>
          </r>
        </is>
      </c>
      <c r="E1" s="1"/>
      <c r="F1" s="1"/>
      <c r="G1" s="1"/>
      <c r="H1" s="1"/>
      <c r="I1" s="1"/>
    </row>
    <row r="2" ht="22" customHeight="1">
      <c r="A2" s="3" t="inlineStr">
        <is>
          <r>
            <rPr>
              <rFont val="Segoe UI"/>
              <b/>
              <color rgb="FFFFFFFF"/>
              <sz val="22"/>
            </rPr>
            <t xml:space="preserve">AUDIT REPORT
</t>
          </r>
          <r>
            <rPr>
              <rFont val="Segoe UI"/>
              <color rgb="FFC7D7F5"/>
              <sz val="11"/>
            </rPr>
            <t xml:space="preserve">Traçabilité, contrôles automatiques et provenance
</t>
          </r>
          <r>
            <rPr>
              <rFont val="Segoe UI"/>
              <b/>
              <color rgb="FFC8A951"/>
              <sz val="8"/>
            </rPr>
            <t xml:space="preserve">ECOBANK SÉNÉGAL · DIRECTION DES RISQUES</t>
          </r>
        </is>
      </c>
      <c r="B2" s="3"/>
      <c r="C2" s="3"/>
      <c r="D2" s="3"/>
      <c r="E2" s="3"/>
      <c r="F2" s="3"/>
      <c r="G2" s="4" t="inlineStr">
        <is>
          <t xml:space="preserve">REPORTING DATE</t>
        </is>
      </c>
      <c r="H2" s="4"/>
      <c r="I2" s="4"/>
    </row>
    <row r="3" ht="34" customHeight="1">
      <c r="A3" s="3"/>
      <c r="B3" s="3"/>
      <c r="C3" s="3"/>
      <c r="D3" s="3"/>
      <c r="E3" s="3"/>
      <c r="F3" s="3"/>
      <c r="G3" s="5" t="inlineStr">
        <is>
          <t xml:space="preserve">30/09/2026</t>
        </is>
      </c>
      <c r="H3" s="5"/>
      <c r="I3" s="5"/>
    </row>
    <row r="4" ht="16" customHeight="1">
      <c r="A4" s="3"/>
      <c r="B4" s="3"/>
      <c r="C4" s="3"/>
      <c r="D4" s="3"/>
      <c r="E4" s="3"/>
      <c r="F4" s="3"/>
      <c r="G4" s="4" t="inlineStr">
        <is>
          <t xml:space="preserve">PERIMETER</t>
        </is>
      </c>
      <c r="H4" s="4"/>
      <c r="I4" s="4"/>
    </row>
    <row r="5" ht="22" customHeight="1">
      <c r="A5" s="3"/>
      <c r="B5" s="3"/>
      <c r="C5" s="3"/>
      <c r="D5" s="3"/>
      <c r="E5" s="3"/>
      <c r="F5" s="3"/>
      <c r="G5" s="6" t="inlineStr">
        <is>
          <t xml:space="preserve">Portefeuille Ecobank Sénégal · 700 clients · 2 500 lignes ACTE 7</t>
        </is>
      </c>
      <c r="H5" s="6"/>
      <c r="I5" s="6"/>
    </row>
    <row r="6" ht="4" customHeight="1">
      <c r="A6" s="7"/>
      <c r="B6" s="7"/>
      <c r="C6" s="7"/>
      <c r="D6" s="7"/>
      <c r="E6" s="7"/>
      <c r="F6" s="7"/>
      <c r="G6" s="7"/>
      <c r="H6" s="7"/>
      <c r="I6" s="7"/>
    </row>
    <row r="7" ht="24" customHeight="1">
      <c r="A7" s="9" t="inlineStr">
        <is>
          <t xml:space="preserve">EXECUTIVE</t>
        </is>
      </c>
      <c r="B7" s="9"/>
      <c r="C7" s="9"/>
      <c r="D7" s="9" t="inlineStr">
        <is>
          <t xml:space="preserve">INSIGHTS</t>
        </is>
      </c>
      <c r="E7" s="9"/>
      <c r="F7" s="9"/>
      <c r="G7" s="8" t="inlineStr">
        <is>
          <t xml:space="preserve">AUDIT</t>
        </is>
      </c>
      <c r="H7" s="8"/>
      <c r="I7" s="8"/>
    </row>
    <row r="8" ht="8" customHeight="1"/>
    <row r="9" ht="22" customHeight="1">
      <c r="A9" s="60" t="inlineStr">
        <is>
          <r>
            <rPr>
              <rFont val="Segoe UI"/>
              <b/>
              <color rgb="FF001B4D"/>
              <sz val="11"/>
            </rPr>
            <t xml:space="preserve">SOURCES</t>
          </r>
          <r>
            <rPr>
              <rFont val="Segoe UI"/>
              <color rgb="FF64748B"/>
              <sz val="8.5"/>
            </rPr>
            <t xml:space="preserve">   arrêtés utilisés · source canonique unique</t>
          </r>
        </is>
      </c>
      <c r="B9" s="60"/>
      <c r="C9" s="60"/>
      <c r="D9" s="60"/>
      <c r="E9" s="60"/>
      <c r="F9" s="60"/>
      <c r="G9" s="60"/>
      <c r="H9" s="60"/>
      <c r="I9" s="60"/>
    </row>
    <row r="10" ht="30" customHeight="1">
      <c r="A10" s="104" t="inlineStr">
        <is>
          <t xml:space="preserve">Arrêté</t>
        </is>
      </c>
      <c r="B10" s="104" t="inlineStr">
        <is>
          <t xml:space="preserve">Fichier</t>
        </is>
      </c>
      <c r="C10" s="104" t="inlineStr">
        <is>
          <t xml:space="preserve">Clients</t>
        </is>
      </c>
      <c r="D10" s="104" t="inlineStr">
        <is>
          <t xml:space="preserve">Usage</t>
        </is>
      </c>
    </row>
    <row r="11" ht="19" customHeight="1">
      <c r="A11" s="105" t="inlineStr">
        <is>
          <t xml:space="preserve">31/01/2026</t>
        </is>
      </c>
      <c r="B11" s="105" t="inlineStr">
        <is>
          <t xml:space="preserve">M_01.xlsx</t>
        </is>
      </c>
      <c r="C11" s="105" t="inlineStr">
        <is>
          <t xml:space="preserve">700</t>
        </is>
      </c>
      <c r="D11" s="105" t="inlineStr">
        <is>
          <t xml:space="preserve">Tendances et sparklines</t>
        </is>
      </c>
    </row>
    <row r="12" ht="19" customHeight="1">
      <c r="A12" s="106" t="inlineStr">
        <is>
          <t xml:space="preserve">28/02/2026</t>
        </is>
      </c>
      <c r="B12" s="106" t="inlineStr">
        <is>
          <t xml:space="preserve">M_02.xlsx</t>
        </is>
      </c>
      <c r="C12" s="106" t="inlineStr">
        <is>
          <t xml:space="preserve">700</t>
        </is>
      </c>
      <c r="D12" s="106" t="inlineStr">
        <is>
          <t xml:space="preserve">Tendances et sparklines</t>
        </is>
      </c>
    </row>
    <row r="13" ht="19" customHeight="1">
      <c r="A13" s="105" t="inlineStr">
        <is>
          <t xml:space="preserve">31/03/2026</t>
        </is>
      </c>
      <c r="B13" s="105" t="inlineStr">
        <is>
          <t xml:space="preserve">M_03.xlsx</t>
        </is>
      </c>
      <c r="C13" s="105" t="inlineStr">
        <is>
          <t xml:space="preserve">700</t>
        </is>
      </c>
      <c r="D13" s="105" t="inlineStr">
        <is>
          <t xml:space="preserve">Tendances et sparklines</t>
        </is>
      </c>
    </row>
    <row r="14" ht="19" customHeight="1">
      <c r="A14" s="106" t="inlineStr">
        <is>
          <t xml:space="preserve">30/04/2026</t>
        </is>
      </c>
      <c r="B14" s="106" t="inlineStr">
        <is>
          <t xml:space="preserve">M_04.xlsx</t>
        </is>
      </c>
      <c r="C14" s="106" t="inlineStr">
        <is>
          <t xml:space="preserve">700</t>
        </is>
      </c>
      <c r="D14" s="106" t="inlineStr">
        <is>
          <t xml:space="preserve">Tendances et sparklines</t>
        </is>
      </c>
    </row>
    <row r="15" ht="19" customHeight="1">
      <c r="A15" s="105" t="inlineStr">
        <is>
          <t xml:space="preserve">31/05/2026</t>
        </is>
      </c>
      <c r="B15" s="105" t="inlineStr">
        <is>
          <t xml:space="preserve">M_05.xlsx</t>
        </is>
      </c>
      <c r="C15" s="105" t="inlineStr">
        <is>
          <t xml:space="preserve">700</t>
        </is>
      </c>
      <c r="D15" s="105" t="inlineStr">
        <is>
          <t xml:space="preserve">Tendances et sparklines</t>
        </is>
      </c>
    </row>
    <row r="16" ht="19" customHeight="1">
      <c r="A16" s="106" t="inlineStr">
        <is>
          <t xml:space="preserve">30/06/2026</t>
        </is>
      </c>
      <c r="B16" s="106" t="inlineStr">
        <is>
          <t xml:space="preserve">M_06.xlsx</t>
        </is>
      </c>
      <c r="C16" s="106" t="inlineStr">
        <is>
          <t xml:space="preserve">700</t>
        </is>
      </c>
      <c r="D16" s="106" t="inlineStr">
        <is>
          <t xml:space="preserve">Tendances et sparklines</t>
        </is>
      </c>
    </row>
    <row r="17" ht="19" customHeight="1">
      <c r="A17" s="105" t="inlineStr">
        <is>
          <t xml:space="preserve">31/07/2026</t>
        </is>
      </c>
      <c r="B17" s="105" t="inlineStr">
        <is>
          <t xml:space="preserve">M_07.xlsx</t>
        </is>
      </c>
      <c r="C17" s="105" t="inlineStr">
        <is>
          <t xml:space="preserve">700</t>
        </is>
      </c>
      <c r="D17" s="105" t="inlineStr">
        <is>
          <t xml:space="preserve">Tendances et sparklines</t>
        </is>
      </c>
    </row>
    <row r="18" ht="19" customHeight="1">
      <c r="A18" s="106" t="inlineStr">
        <is>
          <t xml:space="preserve">31/08/2026</t>
        </is>
      </c>
      <c r="B18" s="106" t="inlineStr">
        <is>
          <t xml:space="preserve">M_08.xlsx</t>
        </is>
      </c>
      <c r="C18" s="106" t="inlineStr">
        <is>
          <t xml:space="preserve">700</t>
        </is>
      </c>
      <c r="D18" s="106" t="inlineStr">
        <is>
          <t xml:space="preserve">Comparaison (N-1), pont et migrations</t>
        </is>
      </c>
    </row>
    <row r="19" ht="19" customHeight="1">
      <c r="A19" s="105" t="inlineStr">
        <is>
          <t xml:space="preserve">30/09/2026</t>
        </is>
      </c>
      <c r="B19" s="105" t="inlineStr">
        <is>
          <t xml:space="preserve">M_09.xlsx</t>
        </is>
      </c>
      <c r="C19" s="105" t="inlineStr">
        <is>
          <t xml:space="preserve">700</t>
        </is>
      </c>
      <c r="D19" s="105" t="inlineStr">
        <is>
          <t xml:space="preserve">Arrêté de référence (N)</t>
        </is>
      </c>
    </row>
    <row r="21" ht="22" customHeight="1">
      <c r="A21" s="107" t="inlineStr">
        <is>
          <r>
            <rPr>
              <rFont val="Segoe UI"/>
              <b/>
              <color rgb="FF001B4D"/>
              <sz val="11"/>
            </rPr>
            <t xml:space="preserve">CONTRÔLES AUTOMATIQUES</t>
          </r>
          <r>
            <rPr>
              <rFont val="Segoe UI"/>
              <color rgb="FF64748B"/>
              <sz val="8.5"/>
            </rPr>
            <t xml:space="preserve">   vérifiés à la génération</t>
          </r>
        </is>
      </c>
      <c r="B21" s="107"/>
      <c r="C21" s="107"/>
      <c r="D21" s="107"/>
      <c r="E21" s="107"/>
      <c r="F21" s="107"/>
      <c r="G21" s="107"/>
      <c r="H21" s="107"/>
      <c r="I21" s="107"/>
    </row>
    <row r="22" ht="30" customHeight="1">
      <c r="A22" s="104" t="inlineStr">
        <is>
          <t xml:space="preserve">Contrôle</t>
        </is>
      </c>
      <c r="B22" s="104" t="inlineStr">
        <is>
          <t xml:space="preserve">Valeur</t>
        </is>
      </c>
      <c r="C22" s="104" t="inlineStr">
        <is>
          <t xml:space="preserve">Référence</t>
        </is>
      </c>
      <c r="D22" s="104" t="inlineStr">
        <is>
          <t xml:space="preserve">Résultat</t>
        </is>
      </c>
    </row>
    <row r="23" ht="19" customHeight="1">
      <c r="A23" s="105" t="inlineStr">
        <is>
          <t xml:space="preserve">Encours : somme des clients = agrégat APEX</t>
        </is>
      </c>
      <c r="B23" s="105" t="inlineStr">
        <is>
          <t xml:space="preserve">850 385 585 746</t>
        </is>
      </c>
      <c r="C23" s="105" t="inlineStr">
        <is>
          <t xml:space="preserve">850 385 585 746</t>
        </is>
      </c>
      <c r="D23" s="108" t="inlineStr">
        <is>
          <t xml:space="preserve">✔ CONFORME</t>
        </is>
      </c>
    </row>
    <row r="24" ht="19" customHeight="1">
      <c r="A24" s="106" t="inlineStr">
        <is>
          <t xml:space="preserve">Impayés : somme des clients = agrégat APEX</t>
        </is>
      </c>
      <c r="B24" s="106" t="inlineStr">
        <is>
          <t xml:space="preserve">31 893 133 004</t>
        </is>
      </c>
      <c r="C24" s="106" t="inlineStr">
        <is>
          <t xml:space="preserve">31 893 133 004</t>
        </is>
      </c>
      <c r="D24" s="108" t="inlineStr">
        <is>
          <t xml:space="preserve">✔ CONFORME</t>
        </is>
      </c>
    </row>
    <row r="25" ht="19" customHeight="1">
      <c r="A25" s="105" t="inlineStr">
        <is>
          <t xml:space="preserve">Pont des impayés : ouverture + mouvements = clôture</t>
        </is>
      </c>
      <c r="B25" s="105" t="inlineStr">
        <is>
          <t xml:space="preserve">0</t>
        </is>
      </c>
      <c r="C25" s="105" t="inlineStr">
        <is>
          <t xml:space="preserve">0</t>
        </is>
      </c>
      <c r="D25" s="108" t="inlineStr">
        <is>
          <t xml:space="preserve">✔ CONFORME</t>
        </is>
      </c>
    </row>
    <row r="26" ht="19" customHeight="1">
      <c r="A26" s="106" t="inlineStr">
        <is>
          <t xml:space="preserve">Tranches : somme des encours par tranche = encours total</t>
        </is>
      </c>
      <c r="B26" s="106" t="inlineStr">
        <is>
          <t xml:space="preserve">850 385 585 746</t>
        </is>
      </c>
      <c r="C26" s="106" t="inlineStr">
        <is>
          <t xml:space="preserve">850 385 585 746</t>
        </is>
      </c>
      <c r="D26" s="108" t="inlineStr">
        <is>
          <t xml:space="preserve">✔ CONFORME</t>
        </is>
      </c>
    </row>
    <row r="27" ht="19" customHeight="1">
      <c r="A27" s="105" t="inlineStr">
        <is>
          <t xml:space="preserve">Watchlist : encours ≤ encours total</t>
        </is>
      </c>
      <c r="B27" s="105" t="inlineStr">
        <is>
          <t xml:space="preserve">322 705 241 935</t>
        </is>
      </c>
      <c r="C27" s="105" t="inlineStr">
        <is>
          <t xml:space="preserve">322 705 241 935</t>
        </is>
      </c>
      <c r="D27" s="108" t="inlineStr">
        <is>
          <t xml:space="preserve">✔ CONFORME</t>
        </is>
      </c>
    </row>
    <row r="28" ht="19" customHeight="1">
      <c r="A28" s="106" t="inlineStr">
        <is>
          <t xml:space="preserve">Clients en double</t>
        </is>
      </c>
      <c r="B28" s="106" t="inlineStr">
        <is>
          <t xml:space="preserve">700</t>
        </is>
      </c>
      <c r="C28" s="106" t="inlineStr">
        <is>
          <t xml:space="preserve">700</t>
        </is>
      </c>
      <c r="D28" s="108" t="inlineStr">
        <is>
          <t xml:space="preserve">✔ CONFORME</t>
        </is>
      </c>
    </row>
    <row r="29" ht="19" customHeight="1">
      <c r="A29" s="105" t="inlineStr">
        <is>
          <t xml:space="preserve">Valeurs non numériques (NaN / Infini)</t>
        </is>
      </c>
      <c r="B29" s="105" t="inlineStr">
        <is>
          <t xml:space="preserve">0</t>
        </is>
      </c>
      <c r="C29" s="105" t="inlineStr">
        <is>
          <t xml:space="preserve">0</t>
        </is>
      </c>
      <c r="D29" s="108" t="inlineStr">
        <is>
          <t xml:space="preserve">✔ CONFORME</t>
        </is>
      </c>
    </row>
    <row r="30" ht="19" customHeight="1">
      <c r="A30" s="106" t="inlineStr">
        <is>
          <t xml:space="preserve">Provisions de l'historique sur base IFRS 9 (comparables)</t>
        </is>
      </c>
      <c r="B30" s="106" t="inlineStr">
        <is>
          <t xml:space="preserve">9</t>
        </is>
      </c>
      <c r="C30" s="106" t="inlineStr">
        <is>
          <t xml:space="preserve">9</t>
        </is>
      </c>
      <c r="D30" s="108" t="inlineStr">
        <is>
          <t xml:space="preserve">✔ CONFORME</t>
        </is>
      </c>
    </row>
    <row r="31" ht="19" customHeight="1">
      <c r="A31" s="105" t="inlineStr">
        <is>
          <t xml:space="preserve">Historique disponible pour les tendances</t>
        </is>
      </c>
      <c r="B31" s="105" t="inlineStr">
        <is>
          <t xml:space="preserve">9</t>
        </is>
      </c>
      <c r="C31" s="105" t="inlineStr">
        <is>
          <t xml:space="preserve">2</t>
        </is>
      </c>
      <c r="D31" s="108" t="inlineStr">
        <is>
          <t xml:space="preserve">✔ CONFORME</t>
        </is>
      </c>
    </row>
    <row r="33" ht="22" customHeight="1">
      <c r="A33" s="61" t="inlineStr">
        <is>
          <r>
            <rPr>
              <rFont val="Segoe UI"/>
              <b/>
              <color rgb="FF001B4D"/>
              <sz val="11"/>
            </rPr>
            <t xml:space="preserve">RÈGLES DE CALCUL</t>
          </r>
          <r>
            <rPr>
              <rFont val="Segoe UI"/>
              <color rgb="FF64748B"/>
              <sz val="8.5"/>
            </rPr>
            <t xml:space="preserve">   identiques à l'écran, au PDF et à toutes les feuilles</t>
          </r>
        </is>
      </c>
      <c r="B33" s="61"/>
      <c r="C33" s="61"/>
      <c r="D33" s="61"/>
      <c r="E33" s="61"/>
      <c r="F33" s="61"/>
      <c r="G33" s="61"/>
      <c r="H33" s="61"/>
      <c r="I33" s="61"/>
    </row>
    <row r="34" ht="30" customHeight="1">
      <c r="A34" s="104" t="inlineStr">
        <is>
          <t xml:space="preserve">Indicateur</t>
        </is>
      </c>
      <c r="B34" s="104" t="inlineStr">
        <is>
          <t xml:space="preserve">Règle</t>
        </is>
      </c>
      <c r="C34" s="104"/>
      <c r="D34" s="104"/>
    </row>
    <row r="35" ht="32" customHeight="1">
      <c r="A35" s="105" t="inlineStr">
        <is>
          <t xml:space="preserve">Tranches d'impayé</t>
        </is>
      </c>
      <c r="B35" s="109" t="inlineStr">
        <is>
          <t xml:space="preserve">Sain · 1-30 j · 31-60 j · 61-90 j · &gt; 90 j / S3 (Stage 3, classe III/IV/V ou GL 292)</t>
        </is>
      </c>
      <c r="C35" s="105"/>
      <c r="D35" s="105"/>
    </row>
    <row r="36" ht="32" customHeight="1">
      <c r="A36" s="106" t="inlineStr">
        <is>
          <t xml:space="preserve">Criticité</t>
        </is>
      </c>
      <c r="B36" s="110" t="inlineStr">
        <is>
          <t xml:space="preserve">CRITICAL : criticité APEX « CRITIQUE », migration vers &gt; 90 j / S3, ou 76-90 j · HIGH : « ÉLEVÉE », tranche 61-90 j ou migration · WATCH : Stage 2, 31-60 j, impayé en hausse · CURED : impayé N-1 régularisé</t>
        </is>
      </c>
      <c r="C36" s="106"/>
      <c r="D36" s="106"/>
    </row>
    <row r="37" ht="32" customHeight="1">
      <c r="A37" s="105" t="inlineStr">
        <is>
          <t xml:space="preserve">Pont des impayés</t>
        </is>
      </c>
      <c r="B37" s="109" t="inlineStr">
        <is>
          <t xml:space="preserve">Ouverture (N-1) + nouveaux impayés + détériorations + nouveaux clients + régularisations + remboursements partiels + sorties = clôture (N)</t>
        </is>
      </c>
      <c r="C37" s="105"/>
      <c r="D37" s="105"/>
    </row>
    <row r="38" ht="32" customHeight="1">
      <c r="A38" s="106" t="inlineStr">
        <is>
          <t xml:space="preserve">Provisions</t>
        </is>
      </c>
      <c r="B38" s="110" t="inlineStr">
        <is>
          <t xml:space="preserve">ECL réel de l'ACTE 7, sinon modélisé par stage (1 % / 25 % / 100 %) — règle APEX</t>
        </is>
      </c>
      <c r="C38" s="106"/>
      <c r="D38" s="106"/>
    </row>
    <row r="39" ht="32" customHeight="1">
      <c r="A39" s="105" t="inlineStr">
        <is>
          <t xml:space="preserve">Concentration</t>
        </is>
      </c>
      <c r="B39" s="109" t="inlineStr">
        <is>
          <t xml:space="preserve">Top 10 clients, part du premier client, HHI (somme des parts au carré × 10 000)</t>
        </is>
      </c>
      <c r="C39" s="105"/>
      <c r="D39" s="105"/>
    </row>
    <row r="40" ht="32" customHeight="1">
      <c r="A40" s="106" t="inlineStr">
        <is>
          <t xml:space="preserve">Classes et stages</t>
        </is>
      </c>
      <c r="B40" s="110" t="inlineStr">
        <is>
          <t xml:space="preserve">BCEAO, IFRS 9 et ACTE 7 calculés par APEX ; ce moteur ne les modifie pas</t>
        </is>
      </c>
      <c r="C40" s="106"/>
      <c r="D40" s="106"/>
    </row>
    <row r="41" ht="32" customHeight="1">
      <c r="A41" s="105" t="inlineStr">
        <is>
          <t xml:space="preserve">TypeSafe</t>
        </is>
      </c>
      <c r="B41" s="109" t="inlineStr">
        <is>
          <t xml:space="preserve">Jugements uniquement (motif, crédibilité, incohérence) ; aucun chiffre ; revue analyste si confiance faible</t>
        </is>
      </c>
      <c r="C41" s="105"/>
      <c r="D41" s="105"/>
    </row>
    <row r="42" ht="32" customHeight="1">
      <c r="A42" s="106" t="inlineStr">
        <is>
          <t xml:space="preserve">JEV</t>
        </is>
      </c>
      <c r="B42" s="110" t="inlineStr">
        <is>
          <t xml:space="preserve">Probabilités avec provenance obligatoire (OBSERVED, EMPIRICAL, MARKOV, EXPERT, STRESS, SIMULATED, HYBRID)</t>
        </is>
      </c>
      <c r="C42" s="106"/>
      <c r="D42" s="106"/>
    </row>
    <row r="44">
      <c r="A44" s="111" t="inlineStr">
        <is>
          <t xml:space="preserve">Généré le 03/10/2026 10:41:12 · RI 1.0 · APEX Credit Risk OS · source : M_09.xlsx</t>
        </is>
      </c>
      <c r="B44" s="111"/>
      <c r="C44" s="111"/>
      <c r="D44" s="111"/>
      <c r="E44" s="111"/>
      <c r="F44" s="111"/>
      <c r="G44" s="111"/>
      <c r="H44" s="111"/>
      <c r="I44" s="111"/>
    </row>
  </sheetData>
  <mergeCells count="22">
    <mergeCell ref="A1:C1"/>
    <mergeCell ref="D1:I1"/>
    <mergeCell ref="A2:F5"/>
    <mergeCell ref="G2:I2"/>
    <mergeCell ref="G3:I3"/>
    <mergeCell ref="G4:I4"/>
    <mergeCell ref="G5:I5"/>
    <mergeCell ref="A7:C7"/>
    <mergeCell ref="D7:F7"/>
    <mergeCell ref="G7:I7"/>
    <mergeCell ref="A9:I9"/>
    <mergeCell ref="A21:I21"/>
    <mergeCell ref="A33:I33"/>
    <mergeCell ref="B35:I35"/>
    <mergeCell ref="B36:I36"/>
    <mergeCell ref="B37:I37"/>
    <mergeCell ref="B38:I38"/>
    <mergeCell ref="B39:I39"/>
    <mergeCell ref="B40:I40"/>
    <mergeCell ref="B41:I41"/>
    <mergeCell ref="B42:I42"/>
    <mergeCell ref="A44:I44"/>
  </mergeCells>
  <hyperlinks>
    <hyperlink ref="A7" location="'EXECUTIVE'!A1" display="EXECUTIVE"/>
    <hyperlink ref="D7" location="'INSIGHTS'!A1" display="INSIGHTS"/>
  </hyperlinks>
  <printOptions horizontalCentered="1"/>
  <pageMargins left="0.3" right="0.3" top="0.45" bottom="0.5" header="0.2" footer="0.25"/>
  <pageSetup paperSize="9" orientation="landscape" fitToWidth="1" fitToHeight="0"/>
  <headerFooter>
    <oddHeader>&amp;L&amp;8&amp;K003DA5ECOBANK SÉNÉGAL · CREDIT RISK INTELLIGENCE&amp;R&amp;8&amp;K64748BArrêté 30/09/2026</oddHeader>
    <oddFooter>&amp;L&amp;8&amp;K64748BAUDIT · INTERNAL USE ONLY&amp;R&amp;8&amp;K64748BPage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22"/>
  <sheetViews>
    <sheetView showGridLines="0" zoomScale="90" zoomScaleNormal="90" workbookViewId="0"/>
  </sheetViews>
  <sheetFormatPr defaultRowHeight="15"/>
  <sheetData>
    <row r="1">
      <c r="A1" t="inlineStr">
        <is>
          <t xml:space="preserve">trend:TOTAL EXPOSURE</t>
        </is>
      </c>
      <c r="B1">
        <v>850385585746</v>
      </c>
      <c r="C1">
        <v>850385585746</v>
      </c>
      <c r="D1">
        <v>850385585746</v>
      </c>
      <c r="E1">
        <v>850385585746</v>
      </c>
      <c r="F1">
        <v>850385585746</v>
      </c>
      <c r="G1">
        <v>850385585746</v>
      </c>
      <c r="H1">
        <v>850385585746</v>
      </c>
      <c r="I1">
        <v>850385585746</v>
      </c>
      <c r="J1">
        <v>850385585746</v>
      </c>
    </row>
    <row r="2">
      <c r="A2" t="inlineStr">
        <is>
          <t xml:space="preserve">trend:TOTAL ARREARS</t>
        </is>
      </c>
      <c r="B2">
        <v>29184523554</v>
      </c>
      <c r="C2">
        <v>29420095999</v>
      </c>
      <c r="D2">
        <v>29702243448</v>
      </c>
      <c r="E2">
        <v>29928927133</v>
      </c>
      <c r="F2">
        <v>30088767435</v>
      </c>
      <c r="G2">
        <v>30408508959</v>
      </c>
      <c r="H2">
        <v>31308379288</v>
      </c>
      <c r="I2">
        <v>31559855616</v>
      </c>
      <c r="J2">
        <v>31893133004</v>
      </c>
    </row>
    <row r="3">
      <c r="A3" t="inlineStr">
        <is>
          <t xml:space="preserve">trend:31–60 DAYS</t>
        </is>
      </c>
      <c r="B3">
        <v>97919154363</v>
      </c>
      <c r="C3">
        <v>100736196861</v>
      </c>
      <c r="D3">
        <v>100820998088</v>
      </c>
      <c r="E3">
        <v>102686058724</v>
      </c>
      <c r="F3">
        <v>95240867443</v>
      </c>
      <c r="G3">
        <v>95336464373</v>
      </c>
      <c r="H3">
        <v>95555921752</v>
      </c>
      <c r="I3">
        <v>89488301160</v>
      </c>
      <c r="J3">
        <v>86369133509</v>
      </c>
    </row>
    <row r="4">
      <c r="A4" t="inlineStr">
        <is>
          <t xml:space="preserve">trend:61–90 DAYS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inlineStr">
        <is>
          <t xml:space="preserve">trend:&gt; 90 DAYS / S3</t>
        </is>
      </c>
      <c r="B5">
        <v>263523119585</v>
      </c>
      <c r="C5">
        <v>275253548816</v>
      </c>
      <c r="D5">
        <v>278163621132</v>
      </c>
      <c r="E5">
        <v>288562532063</v>
      </c>
      <c r="F5">
        <v>302210258189</v>
      </c>
      <c r="G5">
        <v>311191155804</v>
      </c>
      <c r="H5">
        <v>313715142480</v>
      </c>
      <c r="I5">
        <v>320285953006</v>
      </c>
      <c r="J5">
        <v>323775211401</v>
      </c>
    </row>
    <row r="6">
      <c r="A6" t="inlineStr">
        <is>
          <t xml:space="preserve">trend:STAGE 2</t>
        </is>
      </c>
      <c r="B6">
        <v>269638115746</v>
      </c>
      <c r="C6">
        <v>265469334553</v>
      </c>
      <c r="D6">
        <v>267459762762</v>
      </c>
      <c r="E6">
        <v>260155324243</v>
      </c>
      <c r="F6">
        <v>251913499667</v>
      </c>
      <c r="G6">
        <v>247382030353</v>
      </c>
      <c r="H6">
        <v>256897530911</v>
      </c>
      <c r="I6">
        <v>260405484457</v>
      </c>
      <c r="J6">
        <v>259457540560</v>
      </c>
    </row>
    <row r="7">
      <c r="A7" t="inlineStr">
        <is>
          <t xml:space="preserve">trend:STAGE 3</t>
        </is>
      </c>
      <c r="B7">
        <v>263523119585</v>
      </c>
      <c r="C7">
        <v>275253548816</v>
      </c>
      <c r="D7">
        <v>278163621132</v>
      </c>
      <c r="E7">
        <v>288562532063</v>
      </c>
      <c r="F7">
        <v>302210258189</v>
      </c>
      <c r="G7">
        <v>311191155804</v>
      </c>
      <c r="H7">
        <v>313715142480</v>
      </c>
      <c r="I7">
        <v>320285953006</v>
      </c>
      <c r="J7">
        <v>323775211401</v>
      </c>
    </row>
    <row r="8">
      <c r="A8" t="inlineStr">
        <is>
          <t xml:space="preserve">trend:PROVISIONS (ECL)</t>
        </is>
      </c>
      <c r="B8">
        <v>32603696363</v>
      </c>
      <c r="C8">
        <v>33027204821</v>
      </c>
      <c r="D8">
        <v>33173836337</v>
      </c>
      <c r="E8">
        <v>34374433886</v>
      </c>
      <c r="F8">
        <v>34796946036</v>
      </c>
      <c r="G8">
        <v>35240567833</v>
      </c>
      <c r="H8">
        <v>35586135093</v>
      </c>
      <c r="I8">
        <v>37136450935</v>
      </c>
      <c r="J8">
        <v>37319879435</v>
      </c>
    </row>
    <row r="9">
      <c r="A9" t="inlineStr">
        <is>
          <t xml:space="preserve">imp:100000078</t>
        </is>
      </c>
      <c r="B9">
        <v>9571269</v>
      </c>
      <c r="C9">
        <v>9571269</v>
      </c>
      <c r="D9">
        <v>9571269</v>
      </c>
      <c r="E9">
        <v>9571269</v>
      </c>
      <c r="F9">
        <v>9571269</v>
      </c>
      <c r="G9">
        <v>9571269</v>
      </c>
      <c r="H9">
        <v>9571269</v>
      </c>
      <c r="I9">
        <v>9571269</v>
      </c>
      <c r="J9">
        <v>9571269</v>
      </c>
    </row>
    <row r="10">
      <c r="A10" t="inlineStr">
        <is>
          <t xml:space="preserve">imp:100000450</t>
        </is>
      </c>
      <c r="B10">
        <v>4339639</v>
      </c>
      <c r="C10">
        <v>4339639</v>
      </c>
      <c r="D10">
        <v>4339639</v>
      </c>
      <c r="E10">
        <v>4339639</v>
      </c>
      <c r="F10">
        <v>4339639</v>
      </c>
      <c r="G10">
        <v>4339639</v>
      </c>
      <c r="H10">
        <v>4339639</v>
      </c>
      <c r="I10">
        <v>4339639</v>
      </c>
      <c r="J10">
        <v>4339639</v>
      </c>
    </row>
    <row r="11">
      <c r="A11" t="inlineStr">
        <is>
          <t xml:space="preserve">imp:100000088</t>
        </is>
      </c>
      <c r="B11">
        <v>1642184</v>
      </c>
      <c r="C11">
        <v>1642184</v>
      </c>
      <c r="D11">
        <v>1642184</v>
      </c>
      <c r="E11">
        <v>1642184</v>
      </c>
      <c r="F11">
        <v>1642184</v>
      </c>
      <c r="G11">
        <v>1642184</v>
      </c>
      <c r="H11">
        <v>1642184</v>
      </c>
      <c r="I11">
        <v>1642184</v>
      </c>
      <c r="J11">
        <v>1642184</v>
      </c>
    </row>
    <row r="12">
      <c r="A12" t="inlineStr">
        <is>
          <t xml:space="preserve">imp:100000208</t>
        </is>
      </c>
      <c r="B12">
        <v>1558852</v>
      </c>
      <c r="C12">
        <v>1558852</v>
      </c>
      <c r="D12">
        <v>1558852</v>
      </c>
      <c r="E12">
        <v>1558852</v>
      </c>
      <c r="F12">
        <v>1558852</v>
      </c>
      <c r="G12">
        <v>1558852</v>
      </c>
      <c r="H12">
        <v>1558852</v>
      </c>
      <c r="I12">
        <v>1558852</v>
      </c>
      <c r="J12">
        <v>1558852</v>
      </c>
    </row>
    <row r="13">
      <c r="A13" t="inlineStr">
        <is>
          <t xml:space="preserve">cat:</t>
        </is>
      </c>
      <c r="B13" t="inlineStr">
        <is>
          <t xml:space="preserve">31/01/26</t>
        </is>
      </c>
      <c r="C13" t="inlineStr">
        <is>
          <t xml:space="preserve">28/02/26</t>
        </is>
      </c>
      <c r="D13" t="inlineStr">
        <is>
          <t xml:space="preserve">31/03/26</t>
        </is>
      </c>
      <c r="E13" t="inlineStr">
        <is>
          <t xml:space="preserve">30/04/26</t>
        </is>
      </c>
      <c r="F13" t="inlineStr">
        <is>
          <t xml:space="preserve">31/05/26</t>
        </is>
      </c>
      <c r="G13" t="inlineStr">
        <is>
          <t xml:space="preserve">30/06/26</t>
        </is>
      </c>
      <c r="H13" t="inlineStr">
        <is>
          <t xml:space="preserve">31/07/26</t>
        </is>
      </c>
      <c r="I13" t="inlineStr">
        <is>
          <t xml:space="preserve">31/08/26</t>
        </is>
      </c>
      <c r="J13" t="inlineStr">
        <is>
          <t xml:space="preserve">30/09/26</t>
        </is>
      </c>
    </row>
    <row r="14">
      <c r="A14" t="inlineStr">
        <is>
          <t xml:space="preserve">Encours</t>
        </is>
      </c>
      <c r="B14">
        <v>850385585746</v>
      </c>
      <c r="C14">
        <v>850385585746</v>
      </c>
      <c r="D14">
        <v>850385585746</v>
      </c>
      <c r="E14">
        <v>850385585746</v>
      </c>
      <c r="F14">
        <v>850385585746</v>
      </c>
      <c r="G14">
        <v>850385585746</v>
      </c>
      <c r="H14">
        <v>850385585746</v>
      </c>
      <c r="I14">
        <v>850385585746</v>
      </c>
      <c r="J14">
        <v>850385585746</v>
      </c>
    </row>
    <row r="15">
      <c r="A15" t="inlineStr">
        <is>
          <t xml:space="preserve">Impayés</t>
        </is>
      </c>
      <c r="B15">
        <v>29184523554</v>
      </c>
      <c r="C15">
        <v>29420095999</v>
      </c>
      <c r="D15">
        <v>29702243448</v>
      </c>
      <c r="E15">
        <v>29928927133</v>
      </c>
      <c r="F15">
        <v>30088767435</v>
      </c>
      <c r="G15">
        <v>30408508959</v>
      </c>
      <c r="H15">
        <v>31308379288</v>
      </c>
      <c r="I15">
        <v>31559855616</v>
      </c>
      <c r="J15">
        <v>31893133004</v>
      </c>
    </row>
    <row r="16">
      <c r="A16" t="inlineStr">
        <is>
          <t xml:space="preserve">Stage 2</t>
        </is>
      </c>
      <c r="B16">
        <v>269638115746</v>
      </c>
      <c r="C16">
        <v>265469334553</v>
      </c>
      <c r="D16">
        <v>267459762762</v>
      </c>
      <c r="E16">
        <v>260155324243</v>
      </c>
      <c r="F16">
        <v>251913499667</v>
      </c>
      <c r="G16">
        <v>247382030353</v>
      </c>
      <c r="H16">
        <v>256897530911</v>
      </c>
      <c r="I16">
        <v>260405484457</v>
      </c>
      <c r="J16">
        <v>259457540560</v>
      </c>
    </row>
    <row r="17">
      <c r="A17" t="inlineStr">
        <is>
          <t xml:space="preserve">Stage 3</t>
        </is>
      </c>
      <c r="B17">
        <v>263523119585</v>
      </c>
      <c r="C17">
        <v>275253548816</v>
      </c>
      <c r="D17">
        <v>278163621132</v>
      </c>
      <c r="E17">
        <v>288562532063</v>
      </c>
      <c r="F17">
        <v>302210258189</v>
      </c>
      <c r="G17">
        <v>311191155804</v>
      </c>
      <c r="H17">
        <v>313715142480</v>
      </c>
      <c r="I17">
        <v>320285953006</v>
      </c>
      <c r="J17">
        <v>323775211401</v>
      </c>
    </row>
    <row r="18">
      <c r="A18" t="inlineStr">
        <is>
          <t xml:space="preserve">cat:</t>
        </is>
      </c>
      <c r="B18" t="inlineStr">
        <is>
          <t xml:space="preserve">Stage 1</t>
        </is>
      </c>
      <c r="C18" t="inlineStr">
        <is>
          <t xml:space="preserve">Stage 2</t>
        </is>
      </c>
      <c r="D18" t="inlineStr">
        <is>
          <t xml:space="preserve">Stage 3</t>
        </is>
      </c>
    </row>
    <row r="19">
      <c r="A19" t="inlineStr">
        <is>
          <t xml:space="preserve">Encours</t>
        </is>
      </c>
      <c r="B19">
        <v>267152833785</v>
      </c>
      <c r="C19">
        <v>259457540560</v>
      </c>
      <c r="D19">
        <v>323775211401</v>
      </c>
    </row>
    <row r="20">
      <c r="A20" t="inlineStr">
        <is>
          <t xml:space="preserve">cat:</t>
        </is>
      </c>
      <c r="B20" t="inlineStr">
        <is>
          <t xml:space="preserve">Ouverture</t>
        </is>
      </c>
      <c r="C20" t="inlineStr">
        <is>
          <t xml:space="preserve">Nouveaux impayés</t>
        </is>
      </c>
      <c r="D20" t="inlineStr">
        <is>
          <t xml:space="preserve">Détériorations</t>
        </is>
      </c>
      <c r="E20" t="inlineStr">
        <is>
          <t xml:space="preserve">Clôture</t>
        </is>
      </c>
    </row>
    <row r="21">
      <c r="A21" t="inlineStr">
        <is>
          <t xml:space="preserve">base</t>
        </is>
      </c>
      <c r="B21">
        <v>0</v>
      </c>
      <c r="C21">
        <v>31559855616</v>
      </c>
      <c r="D21">
        <v>31568337947</v>
      </c>
      <c r="E21">
        <v>0</v>
      </c>
    </row>
    <row r="22">
      <c r="A22" t="inlineStr">
        <is>
          <t xml:space="preserve">Mouvement</t>
        </is>
      </c>
      <c r="B22">
        <v>31559855616</v>
      </c>
      <c r="C22">
        <v>8482331</v>
      </c>
      <c r="D22">
        <v>324795057</v>
      </c>
      <c r="E22">
        <v>31893133004</v>
      </c>
    </row>
  </sheetData>
</worksheet>
</file>

<file path=docProps/app.xml><?xml version="1.0" encoding="utf-8"?>
<Properties xmlns="http://schemas.openxmlformats.org/officeDocument/2006/extended-properties">
  <Application>Microsoft Excel</Application>
  <Company>Ecobank Sénégal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Ecobank Sénégal · Credit Risk Intelligence · Executive report (Comité)</dc:title>
  <dc:subject>Arrêté 30/09/2026</dc:subject>
  <dc:creator>Ecobank Sénégal · Credit Risk</dc:creator>
  <cp:keywords>APEX-RI</cp:keywords>
  <dcterms:created xsi:type="dcterms:W3CDTF">2026-10-03T10:41:12Z</dcterms:created>
  <dcterms:modified xsi:type="dcterms:W3CDTF">2026-10-03T10:41:12Z</dcterms:modified>
</cp:coreProperties>
</file>