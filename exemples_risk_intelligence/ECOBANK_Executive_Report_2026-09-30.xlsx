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5600" tabRatio="850" activeTab="0"/>
  </bookViews>
  <sheets>
    <sheet name="EXECUTIVE" sheetId="1" r:id="rId1"/>
    <sheet name="INSIGHTS" sheetId="2" r:id="rId2"/>
    <sheet name="AUDIT" sheetId="3" r:id="rId3"/>
    <sheet name="_data" sheetId="4" state="hidden" r:id="rId4"/>
  </sheets>
  <definedNames>
    <definedName name="_xlnm.Print_Area" localSheetId="0">'EXECUTIVE'!$A$1:$X$89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&gt;=1000000000]#,##0.00,,,&quot; Md&quot;;[&gt;=1000000]#,##0.0,,&quot; M&quot;;#,##0"/>
  </numFmts>
  <fonts count="47">
    <font>
      <sz val="10"/>
      <color rgb="FF0F172A"/>
      <name val="Segoe UI"/>
      <family val="2"/>
    </font>
    <font>
      <sz val="10"/>
      <color rgb="FF0F172A"/>
      <name val="Segoe UI"/>
      <family val="2"/>
    </font>
    <font>
      <b/>
      <sz val="7.5"/>
      <color rgb="FFC8A951"/>
      <name val="Segoe UI"/>
      <family val="2"/>
    </font>
    <font>
      <b/>
      <sz val="18"/>
      <color rgb="FFFFFFFF"/>
      <name val="Segoe UI"/>
      <family val="2"/>
    </font>
    <font>
      <b/>
      <sz val="8.5"/>
      <color rgb="FFE0EAFF"/>
      <name val="Segoe UI"/>
      <family val="2"/>
    </font>
    <font>
      <sz val="7.5"/>
      <color rgb="FFBFD3FF"/>
      <name val="Segoe UI"/>
      <family val="2"/>
    </font>
    <font>
      <b/>
      <sz val="22"/>
      <color rgb="FFFFFFFF"/>
      <name val="Segoe UI"/>
      <family val="2"/>
    </font>
    <font>
      <sz val="7.5"/>
      <color rgb="FFD6E4FF"/>
      <name val="Segoe UI"/>
      <family val="2"/>
    </font>
    <font>
      <b/>
      <sz val="9.5"/>
      <color rgb="FFE6EEFF"/>
      <name val="Segoe UI"/>
      <family val="2"/>
    </font>
    <font>
      <b/>
      <sz val="22"/>
      <color rgb="FF001B4D"/>
      <name val="Segoe UI"/>
      <family val="2"/>
    </font>
    <font>
      <sz val="7.5"/>
      <color rgb="FF64748B"/>
      <name val="Segoe UI"/>
      <family val="2"/>
    </font>
    <font>
      <b/>
      <sz val="9.5"/>
      <color rgb="FFDC2626"/>
      <name val="Segoe UI"/>
      <family val="2"/>
    </font>
    <font>
      <b/>
      <sz val="9.5"/>
      <color rgb="FF16A34A"/>
      <name val="Segoe UI"/>
      <family val="2"/>
    </font>
    <font>
      <b/>
      <sz val="9.5"/>
      <color rgb="FF64748B"/>
      <name val="Segoe UI"/>
      <family val="2"/>
    </font>
    <font>
      <b/>
      <sz val="9.5"/>
      <color rgb="FFFCA5A5"/>
      <name val="Segoe UI"/>
      <family val="2"/>
    </font>
    <font>
      <b/>
      <sz val="16"/>
      <color rgb="FF001B4D"/>
      <name val="Segoe UI"/>
      <family val="2"/>
    </font>
    <font>
      <b/>
      <sz val="16"/>
      <color rgb="FFDC2626"/>
      <name val="Segoe UI"/>
      <family val="2"/>
    </font>
    <font>
      <b/>
      <sz val="16"/>
      <color rgb="FF2563EB"/>
      <name val="Segoe UI"/>
      <family val="2"/>
    </font>
    <font>
      <b/>
      <sz val="9"/>
      <color rgb="FF001B4D"/>
      <name val="Segoe UI"/>
      <family val="2"/>
    </font>
    <font>
      <b/>
      <sz val="10"/>
      <color rgb="FFDC2626"/>
      <name val="Segoe UI"/>
      <family val="2"/>
    </font>
    <font>
      <b/>
      <sz val="18"/>
      <color rgb="FFC8A951"/>
      <name val="Segoe UI"/>
      <family val="2"/>
    </font>
    <font>
      <b/>
      <sz val="10.5"/>
      <color rgb="FF001B4D"/>
      <name val="Segoe UI"/>
      <family val="2"/>
    </font>
    <font>
      <i/>
      <sz val="7.5"/>
      <color rgb="FF64748B"/>
      <name val="Segoe UI"/>
      <family val="2"/>
    </font>
    <font>
      <b/>
      <sz val="8"/>
      <color rgb="FFFFFFFF"/>
      <name val="Segoe UI"/>
      <family val="2"/>
    </font>
    <font>
      <b/>
      <sz val="7.5"/>
      <color rgb="FFDC2626"/>
      <name val="Segoe UI"/>
      <family val="2"/>
    </font>
    <font>
      <sz val="8.5"/>
      <color rgb="FF334155"/>
      <name val="Segoe UI"/>
      <family val="2"/>
    </font>
    <font>
      <sz val="7"/>
      <color rgb="FF334155"/>
      <name val="Segoe UI"/>
      <family val="2"/>
    </font>
    <font>
      <sz val="7"/>
      <color rgb="FF64748B"/>
      <name val="Segoe UI"/>
      <family val="2"/>
    </font>
    <font>
      <b/>
      <sz val="13"/>
      <color rgb="FFDC2626"/>
      <name val="Segoe UI"/>
      <family val="2"/>
    </font>
    <font>
      <sz val="7.5"/>
      <color rgb="FF334155"/>
      <name val="Segoe UI"/>
      <family val="2"/>
    </font>
    <font>
      <b/>
      <sz val="13"/>
      <color rgb="FFC8A951"/>
      <name val="Segoe UI"/>
      <family val="2"/>
    </font>
    <font>
      <b/>
      <sz val="13"/>
      <color rgb="FFF97316"/>
      <name val="Segoe UI"/>
      <family val="2"/>
    </font>
    <font>
      <b/>
      <sz val="30"/>
      <color rgb="FFC8A951"/>
      <name val="Segoe UI"/>
      <family val="2"/>
    </font>
    <font>
      <b/>
      <sz val="9.5"/>
      <color rgb="FF334155"/>
      <name val="Segoe UI"/>
      <family val="2"/>
    </font>
    <font>
      <b/>
      <sz val="18"/>
      <color rgb="FFDC2626"/>
      <name val="Segoe UI"/>
      <family val="2"/>
    </font>
    <font>
      <b/>
      <sz val="18"/>
      <color rgb="FF001B4D"/>
      <name val="Segoe UI"/>
      <family val="2"/>
    </font>
    <font>
      <b/>
      <sz val="18"/>
      <color rgb="FFF97316"/>
      <name val="Segoe UI"/>
      <family val="2"/>
    </font>
    <font>
      <b/>
      <sz val="18"/>
      <color rgb="FFF59E0B"/>
      <name val="Segoe UI"/>
      <family val="2"/>
    </font>
    <font>
      <b/>
      <sz val="18"/>
      <color rgb="FF16A34A"/>
      <name val="Segoe UI"/>
      <family val="2"/>
    </font>
    <font>
      <b/>
      <sz val="18"/>
      <color rgb="FF2563EB"/>
      <name val="Segoe UI"/>
      <family val="2"/>
    </font>
    <font>
      <b/>
      <sz val="18"/>
      <color rgb="FF06B6D4"/>
      <name val="Segoe UI"/>
      <family val="2"/>
    </font>
    <font>
      <sz val="9.5"/>
      <color rgb="FF334155"/>
      <name val="Segoe UI"/>
      <family val="2"/>
    </font>
    <font>
      <b/>
      <sz val="8.5"/>
      <color rgb="FFFFFFFF"/>
      <name val="Segoe UI"/>
      <family val="2"/>
    </font>
    <font>
      <sz val="9"/>
      <color rgb="FF0F172A"/>
      <name val="Segoe UI"/>
      <family val="2"/>
    </font>
    <font>
      <b/>
      <sz val="9"/>
      <color rgb="FF16A34A"/>
      <name val="Segoe UI"/>
      <family val="2"/>
    </font>
    <font>
      <sz val="8.5"/>
      <color rgb="FF0F172A"/>
      <name val="Segoe UI"/>
      <family val="2"/>
    </font>
    <font>
      <i/>
      <sz val="8"/>
      <color rgb="FF64748B"/>
      <name val="Segoe UI"/>
      <family val="2"/>
    </font>
  </fonts>
  <fills count="29">
    <fill>
      <patternFill patternType="none"/>
    </fill>
    <fill>
      <patternFill patternType="gray125"/>
    </fill>
    <fill>
      <patternFill patternType="solid">
        <fgColor rgb="FF001B4D"/>
        <bgColor indexed="64"/>
      </patternFill>
    </fill>
    <fill>
      <gradientFill degree="0">
        <stop position="0">
          <color rgb="FF001B4D"/>
        </stop>
        <stop position="1">
          <color rgb="FF003DA5"/>
        </stop>
      </gradientFill>
    </fill>
    <fill>
      <gradientFill degree="0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8A951"/>
        </stop>
        <stop position="1">
          <color rgb="FFF3E7BF"/>
        </stop>
      </gradientFill>
    </fill>
    <fill>
      <gradientFill degree="90">
        <stop position="0">
          <color rgb="FF003DA5"/>
        </stop>
        <stop position="1">
          <color rgb="FF2563EB"/>
        </stop>
      </gradientFill>
    </fill>
    <fill>
      <patternFill patternType="solid">
        <fgColor rgb="FFEAF2FF"/>
        <bgColor indexed="64"/>
      </patternFill>
    </fill>
    <fill>
      <patternFill patternType="solid">
        <fgColor rgb="FFFFFFFF"/>
        <bgColor indexed="64"/>
      </patternFill>
    </fill>
    <fill>
      <gradientFill degree="45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9D5EA"/>
        </stop>
        <stop position="1">
          <color rgb="FFFFFFFF"/>
        </stop>
      </gradientFill>
    </fill>
    <fill>
      <gradientFill degree="90">
        <stop position="0">
          <color rgb="FFC9D5EA"/>
        </stop>
        <stop position="1">
          <color rgb="FFFFFFFF"/>
        </stop>
      </gradientFill>
    </fill>
    <fill>
      <gradientFill degree="90">
        <stop position="0">
          <color rgb="FFFFFFFF"/>
        </stop>
        <stop position="1">
          <color rgb="FFEAF2FF"/>
        </stop>
      </gradientFill>
    </fill>
    <fill>
      <gradientFill degree="45">
        <stop position="0">
          <color rgb="FF003DA5"/>
        </stop>
        <stop position="1">
          <color rgb="FF06B6D4"/>
        </stop>
      </gradientFill>
    </fill>
    <fill>
      <gradientFill degree="0">
        <stop position="0">
          <color rgb="FFD5DEEE"/>
        </stop>
        <stop position="1">
          <color rgb="FFFFFFFF"/>
        </stop>
      </gradientFill>
    </fill>
    <fill>
      <patternFill patternType="solid">
        <fgColor rgb="FFDC2626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16A34A"/>
        <bgColor indexed="64"/>
      </patternFill>
    </fill>
    <fill>
      <gradientFill degree="0">
        <stop position="0">
          <color rgb="FFDC2626"/>
        </stop>
        <stop position="1">
          <color rgb="FFEF9D9D"/>
        </stop>
      </gradientFill>
    </fill>
    <fill>
      <gradientFill degree="0">
        <stop position="0">
          <color rgb="FFC8A951"/>
        </stop>
        <stop position="1">
          <color rgb="FFE6D8B1"/>
        </stop>
      </gradientFill>
    </fill>
    <fill>
      <gradientFill degree="0">
        <stop position="0">
          <color rgb="FFF97316"/>
        </stop>
        <stop position="1">
          <color rgb="FFFCC096"/>
        </stop>
      </gradientFill>
    </fill>
    <fill>
      <gradientFill degree="0">
        <stop position="0">
          <color rgb="FFF59E0B"/>
        </stop>
        <stop position="1">
          <color rgb="FFFBD391"/>
        </stop>
      </gradientFill>
    </fill>
    <fill>
      <gradientFill degree="0">
        <stop position="0">
          <color rgb="FF16A34A"/>
        </stop>
        <stop position="1">
          <color rgb="FF96D6AE"/>
        </stop>
      </gradientFill>
    </fill>
    <fill>
      <gradientFill degree="0">
        <stop position="0">
          <color rgb="FF2563EB"/>
        </stop>
        <stop position="1">
          <color rgb="FF9DB9F6"/>
        </stop>
      </gradientFill>
    </fill>
    <fill>
      <gradientFill degree="0">
        <stop position="0">
          <color rgb="FF06B6D4"/>
        </stop>
        <stop position="1">
          <color rgb="FF8FDEEC"/>
        </stop>
      </gradientFill>
    </fill>
    <fill>
      <patternFill patternType="solid">
        <fgColor rgb="FFF2F7FF"/>
        <bgColor indexed="64"/>
      </patternFill>
    </fill>
    <fill>
      <patternFill patternType="solid">
        <fgColor rgb="FFDCFCE7"/>
        <bgColor indexed="64"/>
      </patternFill>
    </fill>
  </fills>
  <borders count="49">
    <border>
      <left/>
      <right/>
      <top/>
      <bottom/>
      <diagonal/>
    </border>
    <border>
      <left/>
      <right style="thin">
        <color rgb="FFFFFFFF"/>
      </right>
      <top/>
      <bottom style="thick">
        <color rgb="FFC8A951"/>
      </bottom>
      <diagonal/>
    </border>
    <border>
      <left/>
      <right style="thin">
        <color rgb="FFFFFFFF"/>
      </right>
      <top/>
      <bottom style="thin">
        <color rgb="FFC7D7F5"/>
      </bottom>
      <diagonal/>
    </border>
    <border>
      <left style="thin">
        <color rgb="FFDBE6F7"/>
      </left>
      <right style="thin">
        <color rgb="FFDBE6F7"/>
      </right>
      <top style="thin">
        <color rgb="FFDBE6F7"/>
      </top>
      <bottom style="thin">
        <color rgb="FFDBE6F7"/>
      </bottom>
      <diagonal/>
    </border>
    <border>
      <left style="thin">
        <color rgb="FFFFFFFF"/>
      </left>
      <right style="thin">
        <color rgb="FFDBE6F7"/>
      </right>
      <top style="thin">
        <color rgb="FFDBE6F7"/>
      </top>
      <bottom style="thin">
        <color rgb="FFDBE6F7"/>
      </bottom>
      <diagonal/>
    </border>
    <border>
      <left style="thick">
        <color rgb="FFC8A951"/>
      </left>
      <right/>
      <top style="thin">
        <color rgb="FF003DA5"/>
      </top>
      <bottom/>
      <diagonal/>
    </border>
    <border>
      <left style="thick">
        <color rgb="FFC8A951"/>
      </left>
      <right/>
      <top/>
      <bottom/>
      <diagonal/>
    </border>
    <border>
      <left/>
      <right/>
      <top/>
      <bottom/>
      <diagonal/>
    </border>
    <border>
      <left style="thick">
        <color rgb="FFC8A951"/>
      </left>
      <right/>
      <top/>
      <bottom style="thin">
        <color rgb="FF003DA5"/>
      </bottom>
      <diagonal/>
    </border>
    <border>
      <left style="thick">
        <color rgb="FF06B6D4"/>
      </left>
      <right style="thin">
        <color rgb="FFDBE6F7"/>
      </right>
      <top style="thin">
        <color rgb="FFDBE6F7"/>
      </top>
      <bottom/>
      <diagonal/>
    </border>
    <border>
      <left style="thick">
        <color rgb="FF06B6D4"/>
      </left>
      <right style="thin">
        <color rgb="FFDBE6F7"/>
      </right>
      <top/>
      <bottom/>
      <diagonal/>
    </border>
    <border>
      <left/>
      <right style="thin">
        <color rgb="FFDBE6F7"/>
      </right>
      <top/>
      <bottom/>
      <diagonal/>
    </border>
    <border>
      <left style="thick">
        <color rgb="FF06B6D4"/>
      </left>
      <right style="thin">
        <color rgb="FFDBE6F7"/>
      </right>
      <top/>
      <bottom style="thin">
        <color rgb="FFDBE6F7"/>
      </bottom>
      <diagonal/>
    </border>
    <border>
      <left style="thick">
        <color rgb="FFF59E0B"/>
      </left>
      <right style="thin">
        <color rgb="FFDBE6F7"/>
      </right>
      <top style="thin">
        <color rgb="FFDBE6F7"/>
      </top>
      <bottom/>
      <diagonal/>
    </border>
    <border>
      <left style="thick">
        <color rgb="FFF59E0B"/>
      </left>
      <right style="thin">
        <color rgb="FFDBE6F7"/>
      </right>
      <top/>
      <bottom/>
      <diagonal/>
    </border>
    <border>
      <left style="thick">
        <color rgb="FFF59E0B"/>
      </left>
      <right style="thin">
        <color rgb="FFDBE6F7"/>
      </right>
      <top/>
      <bottom style="thin">
        <color rgb="FFDBE6F7"/>
      </bottom>
      <diagonal/>
    </border>
    <border>
      <left style="thick">
        <color rgb="FFF97316"/>
      </left>
      <right style="thin">
        <color rgb="FFDBE6F7"/>
      </right>
      <top style="thin">
        <color rgb="FFDBE6F7"/>
      </top>
      <bottom/>
      <diagonal/>
    </border>
    <border>
      <left style="thick">
        <color rgb="FFF97316"/>
      </left>
      <right style="thin">
        <color rgb="FFDBE6F7"/>
      </right>
      <top/>
      <bottom/>
      <diagonal/>
    </border>
    <border>
      <left style="thick">
        <color rgb="FFF97316"/>
      </left>
      <right style="thin">
        <color rgb="FFDBE6F7"/>
      </right>
      <top/>
      <bottom style="thin">
        <color rgb="FFDBE6F7"/>
      </bottom>
      <diagonal/>
    </border>
    <border>
      <left style="thick">
        <color rgb="FFDC2626"/>
      </left>
      <right style="thin">
        <color rgb="FFDBE6F7"/>
      </right>
      <top style="thin">
        <color rgb="FFDBE6F7"/>
      </top>
      <bottom/>
      <diagonal/>
    </border>
    <border>
      <left style="thick">
        <color rgb="FFDC2626"/>
      </left>
      <right style="thin">
        <color rgb="FFDBE6F7"/>
      </right>
      <top/>
      <bottom/>
      <diagonal/>
    </border>
    <border>
      <left style="thick">
        <color rgb="FFDC2626"/>
      </left>
      <right style="thin">
        <color rgb="FFDBE6F7"/>
      </right>
      <top/>
      <bottom style="thin">
        <color rgb="FFDBE6F7"/>
      </bottom>
      <diagonal/>
    </border>
    <border>
      <left style="thick">
        <color rgb="FFC8A951"/>
      </left>
      <right style="thin">
        <color rgb="FFDBE6F7"/>
      </right>
      <top style="thin">
        <color rgb="FFDBE6F7"/>
      </top>
      <bottom/>
      <diagonal/>
    </border>
    <border>
      <left style="thick">
        <color rgb="FFC8A951"/>
      </left>
      <right style="thin">
        <color rgb="FFDBE6F7"/>
      </right>
      <top/>
      <bottom/>
      <diagonal/>
    </border>
    <border>
      <left style="thick">
        <color rgb="FFC8A951"/>
      </left>
      <right style="thin">
        <color rgb="FFDBE6F7"/>
      </right>
      <top/>
      <bottom style="thin">
        <color rgb="FFDBE6F7"/>
      </bottom>
      <diagonal/>
    </border>
    <border>
      <left style="thick">
        <color rgb="FFDC2626"/>
      </left>
      <right/>
      <top style="thin">
        <color rgb="FF003DA5"/>
      </top>
      <bottom/>
      <diagonal/>
    </border>
    <border>
      <left style="thick">
        <color rgb="FFDC2626"/>
      </left>
      <right/>
      <top/>
      <bottom/>
      <diagonal/>
    </border>
    <border>
      <left style="thick">
        <color rgb="FFDC2626"/>
      </left>
      <right/>
      <top/>
      <bottom style="thin">
        <color rgb="FF003DA5"/>
      </bottom>
      <diagonal/>
    </border>
    <border>
      <left style="thin">
        <color rgb="FFDBE6F7"/>
      </left>
      <right style="thin">
        <color rgb="FFDBE6F7"/>
      </right>
      <top style="thick">
        <color rgb="FFC8A951"/>
      </top>
      <bottom/>
      <diagonal/>
    </border>
    <border>
      <left style="thin">
        <color rgb="FFDBE6F7"/>
      </left>
      <right style="thin">
        <color rgb="FFDBE6F7"/>
      </right>
      <top/>
      <bottom/>
      <diagonal/>
    </border>
    <border>
      <left style="thin">
        <color rgb="FFDBE6F7"/>
      </left>
      <right style="thin">
        <color rgb="FFDBE6F7"/>
      </right>
      <top/>
      <bottom style="thin">
        <color rgb="FFDBE6F7"/>
      </bottom>
      <diagonal/>
    </border>
    <border>
      <left style="thin">
        <color rgb="FFDBE6F7"/>
      </left>
      <right style="thin">
        <color rgb="FFDBE6F7"/>
      </right>
      <top style="thick">
        <color rgb="FFDC2626"/>
      </top>
      <bottom/>
      <diagonal/>
    </border>
    <border>
      <left style="thin">
        <color rgb="FFDBE6F7"/>
      </left>
      <right style="thin">
        <color rgb="FFDBE6F7"/>
      </right>
      <top style="thick">
        <color rgb="FF2563EB"/>
      </top>
      <bottom/>
      <diagonal/>
    </border>
    <border>
      <left/>
      <right/>
      <top/>
      <bottom style="thin">
        <color rgb="FF003DA5"/>
      </bottom>
      <diagonal/>
    </border>
    <border>
      <left/>
      <right/>
      <top/>
      <bottom style="thin">
        <color rgb="FFC8A951"/>
      </bottom>
      <diagonal/>
    </border>
    <border>
      <left/>
      <right/>
      <top/>
      <bottom style="thin">
        <color rgb="FF06B6D4"/>
      </bottom>
      <diagonal/>
    </border>
    <border>
      <left/>
      <right/>
      <top/>
      <bottom style="thin">
        <color rgb="FFDC2626"/>
      </bottom>
      <diagonal/>
    </border>
    <border>
      <left/>
      <right/>
      <top style="thin">
        <color rgb="FFE2E8F0"/>
      </top>
      <bottom/>
      <diagonal/>
    </border>
    <border>
      <left/>
      <right/>
      <top style="thick">
        <color rgb="FFDC2626"/>
      </top>
      <bottom/>
      <diagonal/>
    </border>
    <border>
      <left/>
      <right/>
      <top style="thick">
        <color rgb="FFC8A951"/>
      </top>
      <bottom/>
      <diagonal/>
    </border>
    <border>
      <left/>
      <right/>
      <top style="thick">
        <color rgb="FFF97316"/>
      </top>
      <bottom/>
      <diagonal/>
    </border>
    <border>
      <left style="thin">
        <color rgb="FFDBE6F7"/>
      </left>
      <right/>
      <top/>
      <bottom/>
      <diagonal/>
    </border>
    <border>
      <left/>
      <right/>
      <top/>
      <bottom style="thin">
        <color rgb="FFDBE6F7"/>
      </bottom>
      <diagonal/>
    </border>
    <border>
      <left style="thin">
        <color rgb="FFDBE6F7"/>
      </left>
      <right/>
      <top/>
      <bottom style="thin">
        <color rgb="FFDBE6F7"/>
      </bottom>
      <diagonal/>
    </border>
    <border>
      <left/>
      <right style="thin">
        <color rgb="FFDBE6F7"/>
      </right>
      <top/>
      <bottom style="thin">
        <color rgb="FFDBE6F7"/>
      </bottom>
      <diagonal/>
    </border>
    <border>
      <left/>
      <right/>
      <top/>
      <bottom style="medium">
        <color rgb="FFC8A951"/>
      </bottom>
      <diagonal/>
    </border>
    <border>
      <left/>
      <right/>
      <top/>
      <bottom style="thin">
        <color rgb="FFE6EDF7"/>
      </bottom>
      <diagonal/>
    </border>
    <border>
      <left/>
      <right/>
      <top/>
      <bottom style="thin">
        <color rgb="FF16A34A"/>
      </bottom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2" borderId="0" xfId="0" applyNumberFormat="1" applyFont="1" applyFill="1" applyBorder="1" applyAlignment="1">
      <alignment horizontal="left" vertical="center" indent="1"/>
    </xf>
    <xf numFmtId="0" fontId="1" fillId="2" borderId="0" xfId="0" applyNumberFormat="1" applyFont="1" applyFill="1" applyBorder="1" applyAlignment="1">
      <alignment horizontal="right" vertical="center"/>
    </xf>
    <xf numFmtId="0" fontId="1" fillId="3" borderId="0" xfId="0" applyNumberFormat="1" applyFont="1" applyFill="1" applyBorder="1" applyAlignment="1">
      <alignment horizontal="left" vertical="center" wrapText="1" indent="2"/>
    </xf>
    <xf numFmtId="0" fontId="1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bottom" indent="2"/>
    </xf>
    <xf numFmtId="0" fontId="3" fillId="4" borderId="0" xfId="0" applyNumberFormat="1" applyFont="1" applyFill="1" applyBorder="1" applyAlignment="1">
      <alignment horizontal="left" vertical="center" indent="2"/>
    </xf>
    <xf numFmtId="0" fontId="4" fillId="4" borderId="0" xfId="0" applyNumberFormat="1" applyFont="1" applyFill="1" applyBorder="1" applyAlignment="1">
      <alignment horizontal="left" vertical="center" indent="2"/>
    </xf>
    <xf numFmtId="0" fontId="5" fillId="4" borderId="0" xfId="0" applyNumberFormat="1" applyFont="1" applyFill="1" applyBorder="1" applyAlignment="1">
      <alignment horizontal="left" vertical="top" indent="2"/>
    </xf>
    <xf numFmtId="0" fontId="1" fillId="5" borderId="0" xfId="0" applyNumberFormat="1" applyFont="1" applyFill="1" applyBorder="1" applyAlignment="1">
      <alignment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1" fillId="8" borderId="3" xfId="0" applyNumberFormat="1" applyFont="1" applyFill="1" applyBorder="1" applyAlignment="1">
      <alignment horizontal="left" vertical="center" indent="1"/>
    </xf>
    <xf numFmtId="0" fontId="1" fillId="8" borderId="4" xfId="0" applyNumberFormat="1" applyFont="1" applyFill="1" applyBorder="1" applyAlignment="1">
      <alignment horizontal="left" vertical="center" indent="1"/>
    </xf>
    <xf numFmtId="0" fontId="1" fillId="9" borderId="5" xfId="0" applyNumberFormat="1" applyFont="1" applyFill="1" applyBorder="1" applyAlignment="1">
      <alignment horizontal="left" vertical="bottom" indent="1"/>
    </xf>
    <xf numFmtId="164" fontId="6" fillId="9" borderId="6" xfId="0" applyNumberFormat="1" applyFont="1" applyFill="1" applyBorder="1" applyAlignment="1">
      <alignment horizontal="left" vertical="center" indent="1"/>
    </xf>
    <xf numFmtId="0" fontId="7" fillId="9" borderId="6" xfId="0" applyNumberFormat="1" applyFont="1" applyFill="1" applyBorder="1" applyAlignment="1">
      <alignment horizontal="left" vertical="top" indent="1"/>
    </xf>
    <xf numFmtId="0" fontId="8" fillId="9" borderId="6" xfId="0" applyNumberFormat="1" applyFont="1" applyFill="1" applyBorder="1" applyAlignment="1">
      <alignment horizontal="left" vertical="center" indent="1"/>
    </xf>
    <xf numFmtId="0" fontId="1" fillId="9" borderId="7" xfId="0" applyNumberFormat="1" applyFont="1" applyFill="1" applyBorder="1" applyAlignment="1">
      <alignment vertical="center"/>
    </xf>
    <xf numFmtId="0" fontId="1" fillId="9" borderId="8" xfId="0" applyNumberFormat="1" applyFont="1" applyFill="1" applyBorder="1" applyAlignment="1">
      <alignment horizontal="left" vertical="top" indent="1"/>
    </xf>
    <xf numFmtId="0" fontId="1" fillId="10" borderId="0" xfId="0" applyNumberFormat="1" applyFont="1" applyFill="1" applyBorder="1" applyAlignment="1">
      <alignment vertical="center"/>
    </xf>
    <xf numFmtId="0" fontId="1" fillId="11" borderId="0" xfId="0" applyNumberFormat="1" applyFont="1" applyFill="1" applyBorder="1" applyAlignment="1">
      <alignment vertical="center"/>
    </xf>
    <xf numFmtId="0" fontId="1" fillId="8" borderId="9" xfId="0" applyNumberFormat="1" applyFont="1" applyFill="1" applyBorder="1" applyAlignment="1">
      <alignment horizontal="left" vertical="bottom" indent="1"/>
    </xf>
    <xf numFmtId="164" fontId="9" fillId="8" borderId="10" xfId="0" applyNumberFormat="1" applyFont="1" applyFill="1" applyBorder="1" applyAlignment="1">
      <alignment horizontal="left" vertical="center" indent="1"/>
    </xf>
    <xf numFmtId="0" fontId="10" fillId="8" borderId="10" xfId="0" applyNumberFormat="1" applyFont="1" applyFill="1" applyBorder="1" applyAlignment="1">
      <alignment horizontal="left" vertical="top" indent="1"/>
    </xf>
    <xf numFmtId="0" fontId="11" fillId="8" borderId="10" xfId="0" applyNumberFormat="1" applyFont="1" applyFill="1" applyBorder="1" applyAlignment="1">
      <alignment horizontal="left" vertical="center" indent="1"/>
    </xf>
    <xf numFmtId="0" fontId="1" fillId="8" borderId="11" xfId="0" applyNumberFormat="1" applyFont="1" applyFill="1" applyBorder="1" applyAlignment="1">
      <alignment vertical="center"/>
    </xf>
    <xf numFmtId="0" fontId="1" fillId="8" borderId="12" xfId="0" applyNumberFormat="1" applyFont="1" applyFill="1" applyBorder="1" applyAlignment="1">
      <alignment horizontal="left" vertical="top" indent="1"/>
    </xf>
    <xf numFmtId="0" fontId="1" fillId="12" borderId="13" xfId="0" applyNumberFormat="1" applyFont="1" applyFill="1" applyBorder="1" applyAlignment="1">
      <alignment horizontal="left" vertical="bottom" indent="1"/>
    </xf>
    <xf numFmtId="164" fontId="9" fillId="12" borderId="14" xfId="0" applyNumberFormat="1" applyFont="1" applyFill="1" applyBorder="1" applyAlignment="1">
      <alignment horizontal="left" vertical="center" indent="1"/>
    </xf>
    <xf numFmtId="0" fontId="10" fillId="12" borderId="14" xfId="0" applyNumberFormat="1" applyFont="1" applyFill="1" applyBorder="1" applyAlignment="1">
      <alignment horizontal="left" vertical="top" indent="1"/>
    </xf>
    <xf numFmtId="0" fontId="12" fillId="12" borderId="14" xfId="0" applyNumberFormat="1" applyFont="1" applyFill="1" applyBorder="1" applyAlignment="1">
      <alignment horizontal="left" vertical="center" indent="1"/>
    </xf>
    <xf numFmtId="0" fontId="1" fillId="12" borderId="11" xfId="0" applyNumberFormat="1" applyFont="1" applyFill="1" applyBorder="1" applyAlignment="1">
      <alignment vertical="center"/>
    </xf>
    <xf numFmtId="0" fontId="1" fillId="12" borderId="15" xfId="0" applyNumberFormat="1" applyFont="1" applyFill="1" applyBorder="1" applyAlignment="1">
      <alignment horizontal="left" vertical="top" indent="1"/>
    </xf>
    <xf numFmtId="0" fontId="1" fillId="8" borderId="16" xfId="0" applyNumberFormat="1" applyFont="1" applyFill="1" applyBorder="1" applyAlignment="1">
      <alignment horizontal="left" vertical="bottom" indent="1"/>
    </xf>
    <xf numFmtId="164" fontId="9" fillId="8" borderId="17" xfId="0" applyNumberFormat="1" applyFont="1" applyFill="1" applyBorder="1" applyAlignment="1">
      <alignment horizontal="left" vertical="center" indent="1"/>
    </xf>
    <xf numFmtId="0" fontId="10" fillId="8" borderId="17" xfId="0" applyNumberFormat="1" applyFont="1" applyFill="1" applyBorder="1" applyAlignment="1">
      <alignment horizontal="left" vertical="top" indent="1"/>
    </xf>
    <xf numFmtId="0" fontId="13" fillId="8" borderId="17" xfId="0" applyNumberFormat="1" applyFont="1" applyFill="1" applyBorder="1" applyAlignment="1">
      <alignment horizontal="left" vertical="center" indent="1"/>
    </xf>
    <xf numFmtId="0" fontId="1" fillId="8" borderId="18" xfId="0" applyNumberFormat="1" applyFont="1" applyFill="1" applyBorder="1" applyAlignment="1">
      <alignment horizontal="left" vertical="top" indent="1"/>
    </xf>
    <xf numFmtId="0" fontId="1" fillId="12" borderId="19" xfId="0" applyNumberFormat="1" applyFont="1" applyFill="1" applyBorder="1" applyAlignment="1">
      <alignment horizontal="left" vertical="bottom" indent="1"/>
    </xf>
    <xf numFmtId="164" fontId="9" fillId="12" borderId="20" xfId="0" applyNumberFormat="1" applyFont="1" applyFill="1" applyBorder="1" applyAlignment="1">
      <alignment horizontal="left" vertical="center" indent="1"/>
    </xf>
    <xf numFmtId="0" fontId="10" fillId="12" borderId="20" xfId="0" applyNumberFormat="1" applyFont="1" applyFill="1" applyBorder="1" applyAlignment="1">
      <alignment horizontal="left" vertical="top" indent="1"/>
    </xf>
    <xf numFmtId="0" fontId="11" fillId="12" borderId="20" xfId="0" applyNumberFormat="1" applyFont="1" applyFill="1" applyBorder="1" applyAlignment="1">
      <alignment horizontal="left" vertical="center" indent="1"/>
    </xf>
    <xf numFmtId="0" fontId="1" fillId="12" borderId="21" xfId="0" applyNumberFormat="1" applyFont="1" applyFill="1" applyBorder="1" applyAlignment="1">
      <alignment horizontal="left" vertical="top" indent="1"/>
    </xf>
    <xf numFmtId="0" fontId="1" fillId="8" borderId="22" xfId="0" applyNumberFormat="1" applyFont="1" applyFill="1" applyBorder="1" applyAlignment="1">
      <alignment horizontal="left" vertical="bottom" indent="1"/>
    </xf>
    <xf numFmtId="164" fontId="9" fillId="8" borderId="23" xfId="0" applyNumberFormat="1" applyFont="1" applyFill="1" applyBorder="1" applyAlignment="1">
      <alignment horizontal="left" vertical="center" indent="1"/>
    </xf>
    <xf numFmtId="0" fontId="10" fillId="8" borderId="23" xfId="0" applyNumberFormat="1" applyFont="1" applyFill="1" applyBorder="1" applyAlignment="1">
      <alignment horizontal="left" vertical="top" indent="1"/>
    </xf>
    <xf numFmtId="0" fontId="12" fillId="8" borderId="23" xfId="0" applyNumberFormat="1" applyFont="1" applyFill="1" applyBorder="1" applyAlignment="1">
      <alignment horizontal="left" vertical="center" indent="1"/>
    </xf>
    <xf numFmtId="0" fontId="1" fillId="8" borderId="24" xfId="0" applyNumberFormat="1" applyFont="1" applyFill="1" applyBorder="1" applyAlignment="1">
      <alignment horizontal="left" vertical="top" indent="1"/>
    </xf>
    <xf numFmtId="0" fontId="1" fillId="13" borderId="5" xfId="0" applyNumberFormat="1" applyFont="1" applyFill="1" applyBorder="1" applyAlignment="1">
      <alignment horizontal="left" vertical="bottom" indent="1"/>
    </xf>
    <xf numFmtId="164" fontId="6" fillId="13" borderId="6" xfId="0" applyNumberFormat="1" applyFont="1" applyFill="1" applyBorder="1" applyAlignment="1">
      <alignment horizontal="left" vertical="center" indent="1"/>
    </xf>
    <xf numFmtId="0" fontId="7" fillId="13" borderId="6" xfId="0" applyNumberFormat="1" applyFont="1" applyFill="1" applyBorder="1" applyAlignment="1">
      <alignment horizontal="left" vertical="top" indent="1"/>
    </xf>
    <xf numFmtId="0" fontId="14" fillId="13" borderId="6" xfId="0" applyNumberFormat="1" applyFont="1" applyFill="1" applyBorder="1" applyAlignment="1">
      <alignment horizontal="left" vertical="center" indent="1"/>
    </xf>
    <xf numFmtId="0" fontId="1" fillId="13" borderId="7" xfId="0" applyNumberFormat="1" applyFont="1" applyFill="1" applyBorder="1" applyAlignment="1">
      <alignment vertical="center"/>
    </xf>
    <xf numFmtId="0" fontId="1" fillId="13" borderId="8" xfId="0" applyNumberFormat="1" applyFont="1" applyFill="1" applyBorder="1" applyAlignment="1">
      <alignment horizontal="left" vertical="top" indent="1"/>
    </xf>
    <xf numFmtId="0" fontId="1" fillId="8" borderId="13" xfId="0" applyNumberFormat="1" applyFont="1" applyFill="1" applyBorder="1" applyAlignment="1">
      <alignment horizontal="left" vertical="bottom" indent="1"/>
    </xf>
    <xf numFmtId="3" fontId="9" fillId="8" borderId="14" xfId="0" applyNumberFormat="1" applyFont="1" applyFill="1" applyBorder="1" applyAlignment="1">
      <alignment horizontal="left" vertical="center" indent="1"/>
    </xf>
    <xf numFmtId="0" fontId="10" fillId="8" borderId="14" xfId="0" applyNumberFormat="1" applyFont="1" applyFill="1" applyBorder="1" applyAlignment="1">
      <alignment horizontal="left" vertical="top" indent="1"/>
    </xf>
    <xf numFmtId="0" fontId="13" fillId="8" borderId="14" xfId="0" applyNumberFormat="1" applyFont="1" applyFill="1" applyBorder="1" applyAlignment="1">
      <alignment horizontal="left" vertical="center" indent="1"/>
    </xf>
    <xf numFmtId="0" fontId="1" fillId="8" borderId="15" xfId="0" applyNumberFormat="1" applyFont="1" applyFill="1" applyBorder="1" applyAlignment="1">
      <alignment horizontal="left" vertical="top" indent="1"/>
    </xf>
    <xf numFmtId="0" fontId="1" fillId="9" borderId="25" xfId="0" applyNumberFormat="1" applyFont="1" applyFill="1" applyBorder="1" applyAlignment="1">
      <alignment horizontal="left" vertical="bottom" indent="1"/>
    </xf>
    <xf numFmtId="164" fontId="6" fillId="9" borderId="26" xfId="0" applyNumberFormat="1" applyFont="1" applyFill="1" applyBorder="1" applyAlignment="1">
      <alignment horizontal="left" vertical="center" indent="1"/>
    </xf>
    <xf numFmtId="0" fontId="7" fillId="9" borderId="26" xfId="0" applyNumberFormat="1" applyFont="1" applyFill="1" applyBorder="1" applyAlignment="1">
      <alignment horizontal="left" vertical="top" indent="1"/>
    </xf>
    <xf numFmtId="0" fontId="8" fillId="9" borderId="26" xfId="0" applyNumberFormat="1" applyFont="1" applyFill="1" applyBorder="1" applyAlignment="1">
      <alignment horizontal="left" vertical="center" indent="1"/>
    </xf>
    <xf numFmtId="0" fontId="1" fillId="9" borderId="27" xfId="0" applyNumberFormat="1" applyFont="1" applyFill="1" applyBorder="1" applyAlignment="1">
      <alignment horizontal="left" vertical="top" indent="1"/>
    </xf>
    <xf numFmtId="0" fontId="1" fillId="8" borderId="28" xfId="0" applyNumberFormat="1" applyFont="1" applyFill="1" applyBorder="1" applyAlignment="1">
      <alignment horizontal="left" vertical="center" indent="1"/>
    </xf>
    <xf numFmtId="0" fontId="15" fillId="8" borderId="29" xfId="0" applyNumberFormat="1" applyFont="1" applyFill="1" applyBorder="1" applyAlignment="1">
      <alignment horizontal="left" vertical="center" indent="1"/>
    </xf>
    <xf numFmtId="0" fontId="10" fillId="8" borderId="30" xfId="0" applyNumberFormat="1" applyFont="1" applyFill="1" applyBorder="1" applyAlignment="1">
      <alignment horizontal="left" vertical="top" indent="1"/>
    </xf>
    <xf numFmtId="0" fontId="1" fillId="14" borderId="0" xfId="0" applyNumberFormat="1" applyFont="1" applyFill="1" applyBorder="1" applyAlignment="1">
      <alignment vertical="center"/>
    </xf>
    <xf numFmtId="0" fontId="1" fillId="8" borderId="31" xfId="0" applyNumberFormat="1" applyFont="1" applyFill="1" applyBorder="1" applyAlignment="1">
      <alignment horizontal="left" vertical="center" indent="1"/>
    </xf>
    <xf numFmtId="0" fontId="16" fillId="8" borderId="29" xfId="0" applyNumberFormat="1" applyFont="1" applyFill="1" applyBorder="1" applyAlignment="1">
      <alignment horizontal="left" vertical="center" indent="1"/>
    </xf>
    <xf numFmtId="0" fontId="1" fillId="8" borderId="32" xfId="0" applyNumberFormat="1" applyFont="1" applyFill="1" applyBorder="1" applyAlignment="1">
      <alignment horizontal="left" vertical="center" indent="1"/>
    </xf>
    <xf numFmtId="0" fontId="17" fillId="8" borderId="29" xfId="0" applyNumberFormat="1" applyFont="1" applyFill="1" applyBorder="1" applyAlignment="1">
      <alignment horizontal="left" vertical="center" indent="1"/>
    </xf>
    <xf numFmtId="0" fontId="1" fillId="0" borderId="33" xfId="0" applyNumberFormat="1" applyFont="1" applyFill="1" applyBorder="1" applyAlignment="1">
      <alignment horizontal="left" vertical="bottom"/>
    </xf>
    <xf numFmtId="0" fontId="1" fillId="0" borderId="34" xfId="0" applyNumberFormat="1" applyFont="1" applyFill="1" applyBorder="1" applyAlignment="1">
      <alignment horizontal="left" vertical="bottom"/>
    </xf>
    <xf numFmtId="0" fontId="1" fillId="0" borderId="35" xfId="0" applyNumberFormat="1" applyFont="1" applyFill="1" applyBorder="1" applyAlignment="1">
      <alignment horizontal="left" vertical="bottom"/>
    </xf>
    <xf numFmtId="0" fontId="18" fillId="0" borderId="26" xfId="0" applyNumberFormat="1" applyFont="1" applyFill="1" applyBorder="1" applyAlignment="1">
      <alignment horizontal="left" vertical="center" indent="1"/>
    </xf>
    <xf numFmtId="0" fontId="19" fillId="0" borderId="0" xfId="0" applyNumberFormat="1" applyFont="1" applyFill="1" applyBorder="1" applyAlignment="1">
      <alignment horizontal="right" vertical="center"/>
    </xf>
    <xf numFmtId="0" fontId="10" fillId="0" borderId="26" xfId="0" applyNumberFormat="1" applyFont="1" applyFill="1" applyBorder="1" applyAlignment="1">
      <alignment horizontal="left" vertical="top" indent="1"/>
    </xf>
    <xf numFmtId="0" fontId="1" fillId="0" borderId="36" xfId="0" applyNumberFormat="1" applyFont="1" applyFill="1" applyBorder="1" applyAlignment="1">
      <alignment horizontal="left" vertical="bottom"/>
    </xf>
    <xf numFmtId="0" fontId="20" fillId="0" borderId="0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22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23" fillId="15" borderId="0" xfId="0" applyNumberFormat="1" applyFont="1" applyFill="1" applyBorder="1" applyAlignment="1">
      <alignment horizontal="center" vertical="center"/>
    </xf>
    <xf numFmtId="0" fontId="24" fillId="0" borderId="0" xfId="0" applyNumberFormat="1" applyFont="1" applyFill="1" applyBorder="1" applyAlignment="1">
      <alignment horizontal="center" vertical="center"/>
    </xf>
    <xf numFmtId="0" fontId="1" fillId="0" borderId="37" xfId="0" applyNumberFormat="1" applyFont="1" applyFill="1" applyBorder="1" applyAlignment="1">
      <alignment vertical="center"/>
    </xf>
    <xf numFmtId="3" fontId="3" fillId="15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left" vertical="center" indent="1"/>
    </xf>
    <xf numFmtId="0" fontId="25" fillId="0" borderId="0" xfId="0" applyNumberFormat="1" applyFont="1" applyFill="1" applyBorder="1" applyAlignment="1">
      <alignment horizontal="left" vertical="center" indent="1"/>
    </xf>
    <xf numFmtId="0" fontId="1" fillId="16" borderId="0" xfId="0" applyNumberFormat="1" applyFont="1" applyFill="1" applyBorder="1" applyAlignment="1">
      <alignment vertical="center"/>
    </xf>
    <xf numFmtId="9" fontId="26" fillId="16" borderId="0" xfId="0" applyNumberFormat="1" applyFont="1" applyFill="1" applyBorder="1" applyAlignment="1">
      <alignment horizontal="left" vertical="center"/>
    </xf>
    <xf numFmtId="0" fontId="27" fillId="0" borderId="0" xfId="0" applyNumberFormat="1" applyFont="1" applyFill="1" applyBorder="1" applyAlignment="1">
      <alignment horizontal="left" vertical="center"/>
    </xf>
    <xf numFmtId="3" fontId="3" fillId="17" borderId="0" xfId="0" applyNumberFormat="1" applyFont="1" applyFill="1" applyBorder="1" applyAlignment="1">
      <alignment horizontal="center" vertical="center"/>
    </xf>
    <xf numFmtId="3" fontId="3" fillId="18" borderId="0" xfId="0" applyNumberFormat="1" applyFont="1" applyFill="1" applyBorder="1" applyAlignment="1">
      <alignment horizontal="center" vertical="center"/>
    </xf>
    <xf numFmtId="3" fontId="3" fillId="19" borderId="0" xfId="0" applyNumberFormat="1" applyFont="1" applyFill="1" applyBorder="1" applyAlignment="1">
      <alignment horizontal="center" vertical="center"/>
    </xf>
    <xf numFmtId="0" fontId="1" fillId="0" borderId="38" xfId="0" applyNumberFormat="1" applyFont="1" applyFill="1" applyBorder="1" applyAlignment="1">
      <alignment horizontal="left" vertical="center" indent="1"/>
    </xf>
    <xf numFmtId="0" fontId="28" fillId="0" borderId="0" xfId="0" applyNumberFormat="1" applyFont="1" applyFill="1" applyBorder="1" applyAlignment="1">
      <alignment horizontal="left" vertical="center" indent="1"/>
    </xf>
    <xf numFmtId="0" fontId="29" fillId="0" borderId="0" xfId="0" applyNumberFormat="1" applyFont="1" applyFill="1" applyBorder="1" applyAlignment="1">
      <alignment horizontal="left" vertical="top" wrapText="1" indent="1"/>
    </xf>
    <xf numFmtId="0" fontId="1" fillId="0" borderId="39" xfId="0" applyNumberFormat="1" applyFont="1" applyFill="1" applyBorder="1" applyAlignment="1">
      <alignment horizontal="left" vertical="center" indent="1"/>
    </xf>
    <xf numFmtId="0" fontId="30" fillId="0" borderId="0" xfId="0" applyNumberFormat="1" applyFont="1" applyFill="1" applyBorder="1" applyAlignment="1">
      <alignment horizontal="left" vertical="center" indent="1"/>
    </xf>
    <xf numFmtId="0" fontId="1" fillId="0" borderId="40" xfId="0" applyNumberFormat="1" applyFont="1" applyFill="1" applyBorder="1" applyAlignment="1">
      <alignment horizontal="left" vertical="center" indent="1"/>
    </xf>
    <xf numFmtId="0" fontId="31" fillId="0" borderId="0" xfId="0" applyNumberFormat="1" applyFont="1" applyFill="1" applyBorder="1" applyAlignment="1">
      <alignment horizontal="left" vertical="center" indent="1"/>
    </xf>
    <xf numFmtId="0" fontId="1" fillId="20" borderId="0" xfId="0" applyNumberFormat="1" applyFont="1" applyFill="1" applyBorder="1" applyAlignment="1">
      <alignment vertical="center"/>
    </xf>
    <xf numFmtId="0" fontId="32" fillId="8" borderId="41" xfId="0" applyNumberFormat="1" applyFont="1" applyFill="1" applyBorder="1" applyAlignment="1">
      <alignment horizontal="center" vertical="center"/>
    </xf>
    <xf numFmtId="0" fontId="33" fillId="8" borderId="11" xfId="0" applyNumberFormat="1" applyFont="1" applyFill="1" applyBorder="1" applyAlignment="1">
      <alignment horizontal="left" vertical="bottom"/>
    </xf>
    <xf numFmtId="0" fontId="34" fillId="8" borderId="11" xfId="0" applyNumberFormat="1" applyFont="1" applyFill="1" applyBorder="1" applyAlignment="1">
      <alignment horizontal="left" vertical="center"/>
    </xf>
    <xf numFmtId="0" fontId="1" fillId="8" borderId="41" xfId="0" applyNumberFormat="1" applyFont="1" applyFill="1" applyBorder="1" applyAlignment="1">
      <alignment vertical="center"/>
    </xf>
    <xf numFmtId="0" fontId="25" fillId="8" borderId="11" xfId="0" applyNumberFormat="1" applyFont="1" applyFill="1" applyBorder="1" applyAlignment="1">
      <alignment horizontal="left" vertical="top" wrapText="1"/>
    </xf>
    <xf numFmtId="0" fontId="1" fillId="8" borderId="42" xfId="0" applyNumberFormat="1" applyFont="1" applyFill="1" applyBorder="1" applyAlignment="1">
      <alignment vertical="center"/>
    </xf>
    <xf numFmtId="0" fontId="1" fillId="8" borderId="43" xfId="0" applyNumberFormat="1" applyFont="1" applyFill="1" applyBorder="1" applyAlignment="1">
      <alignment vertical="center"/>
    </xf>
    <xf numFmtId="0" fontId="1" fillId="8" borderId="44" xfId="0" applyNumberFormat="1" applyFont="1" applyFill="1" applyBorder="1" applyAlignment="1">
      <alignment vertical="center"/>
    </xf>
    <xf numFmtId="0" fontId="1" fillId="21" borderId="0" xfId="0" applyNumberFormat="1" applyFont="1" applyFill="1" applyBorder="1" applyAlignment="1">
      <alignment vertical="center"/>
    </xf>
    <xf numFmtId="0" fontId="35" fillId="8" borderId="11" xfId="0" applyNumberFormat="1" applyFont="1" applyFill="1" applyBorder="1" applyAlignment="1">
      <alignment horizontal="left" vertical="center"/>
    </xf>
    <xf numFmtId="0" fontId="1" fillId="22" borderId="0" xfId="0" applyNumberFormat="1" applyFont="1" applyFill="1" applyBorder="1" applyAlignment="1">
      <alignment vertical="center"/>
    </xf>
    <xf numFmtId="0" fontId="36" fillId="8" borderId="11" xfId="0" applyNumberFormat="1" applyFont="1" applyFill="1" applyBorder="1" applyAlignment="1">
      <alignment horizontal="left" vertical="center"/>
    </xf>
    <xf numFmtId="0" fontId="1" fillId="23" borderId="0" xfId="0" applyNumberFormat="1" applyFont="1" applyFill="1" applyBorder="1" applyAlignment="1">
      <alignment vertical="center"/>
    </xf>
    <xf numFmtId="0" fontId="37" fillId="8" borderId="11" xfId="0" applyNumberFormat="1" applyFont="1" applyFill="1" applyBorder="1" applyAlignment="1">
      <alignment horizontal="left" vertical="center"/>
    </xf>
    <xf numFmtId="0" fontId="1" fillId="24" borderId="0" xfId="0" applyNumberFormat="1" applyFont="1" applyFill="1" applyBorder="1" applyAlignment="1">
      <alignment vertical="center"/>
    </xf>
    <xf numFmtId="0" fontId="38" fillId="8" borderId="11" xfId="0" applyNumberFormat="1" applyFont="1" applyFill="1" applyBorder="1" applyAlignment="1">
      <alignment horizontal="left" vertical="center"/>
    </xf>
    <xf numFmtId="0" fontId="1" fillId="25" borderId="0" xfId="0" applyNumberFormat="1" applyFont="1" applyFill="1" applyBorder="1" applyAlignment="1">
      <alignment vertical="center"/>
    </xf>
    <xf numFmtId="0" fontId="39" fillId="8" borderId="11" xfId="0" applyNumberFormat="1" applyFont="1" applyFill="1" applyBorder="1" applyAlignment="1">
      <alignment horizontal="left" vertical="center"/>
    </xf>
    <xf numFmtId="0" fontId="1" fillId="26" borderId="0" xfId="0" applyNumberFormat="1" applyFont="1" applyFill="1" applyBorder="1" applyAlignment="1">
      <alignment vertical="center"/>
    </xf>
    <xf numFmtId="0" fontId="40" fillId="8" borderId="11" xfId="0" applyNumberFormat="1" applyFont="1" applyFill="1" applyBorder="1" applyAlignment="1">
      <alignment horizontal="left" vertical="center"/>
    </xf>
    <xf numFmtId="0" fontId="41" fillId="0" borderId="0" xfId="0" applyNumberFormat="1" applyFont="1" applyFill="1" applyBorder="1" applyAlignment="1">
      <alignment horizontal="left" vertical="center" indent="1"/>
    </xf>
    <xf numFmtId="0" fontId="42" fillId="2" borderId="45" xfId="0" applyNumberFormat="1" applyFont="1" applyFill="1" applyBorder="1" applyAlignment="1">
      <alignment horizontal="left" vertical="center" wrapText="1" indent="1"/>
    </xf>
    <xf numFmtId="0" fontId="43" fillId="8" borderId="46" xfId="0" applyNumberFormat="1" applyFont="1" applyFill="1" applyBorder="1" applyAlignment="1">
      <alignment horizontal="left" vertical="center" indent="1"/>
    </xf>
    <xf numFmtId="0" fontId="43" fillId="27" borderId="46" xfId="0" applyNumberFormat="1" applyFont="1" applyFill="1" applyBorder="1" applyAlignment="1">
      <alignment horizontal="left" vertical="center" indent="1"/>
    </xf>
    <xf numFmtId="0" fontId="1" fillId="0" borderId="47" xfId="0" applyNumberFormat="1" applyFont="1" applyFill="1" applyBorder="1" applyAlignment="1">
      <alignment horizontal="left" vertical="bottom"/>
    </xf>
    <xf numFmtId="0" fontId="44" fillId="28" borderId="0" xfId="0" applyNumberFormat="1" applyFont="1" applyFill="1" applyBorder="1" applyAlignment="1">
      <alignment horizontal="center" vertical="center"/>
    </xf>
    <xf numFmtId="0" fontId="45" fillId="27" borderId="0" xfId="0" applyNumberFormat="1" applyFont="1" applyFill="1" applyBorder="1" applyAlignment="1">
      <alignment horizontal="left" vertical="center" wrapText="1" indent="1"/>
    </xf>
    <xf numFmtId="0" fontId="45" fillId="8" borderId="0" xfId="0" applyNumberFormat="1" applyFont="1" applyFill="1" applyBorder="1" applyAlignment="1">
      <alignment horizontal="left" vertical="center" wrapText="1" indent="1"/>
    </xf>
    <xf numFmtId="0" fontId="1" fillId="0" borderId="48" xfId="0" applyNumberFormat="1" applyFont="1" applyFill="1" applyBorder="1" applyAlignment="1">
      <alignment horizontal="left" vertical="bottom"/>
    </xf>
    <xf numFmtId="0" fontId="46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'_data'!$A$14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60A5FA">
                    <a:alpha val="55000"/>
                  </a:srgbClr>
                </a:gs>
                <a:gs pos="100000">
                  <a:srgbClr val="60A5FA">
                    <a:alpha val="8000"/>
                  </a:srgbClr>
                </a:gs>
              </a:gsLst>
              <a:lin ang="5400000" scaled="0"/>
            </a:gradFill>
            <a:ln w="22225" cap="rnd">
              <a:solidFill>
                <a:srgbClr val="60A5FA"/>
              </a:solidFill>
              <a:round/>
            </a:ln>
          </c:spP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'_data'!$B$14:$J$14</c:f>
              <c:numCache>
                <c:formatCode>#,##0</c:formatCode>
                <c:ptCount val="9"/>
                <c:pt idx="0">
                  <c:v>850385585746</c:v>
                </c:pt>
                <c:pt idx="1">
                  <c:v>850385585746</c:v>
                </c:pt>
                <c:pt idx="2">
                  <c:v>850385585746</c:v>
                </c:pt>
                <c:pt idx="3">
                  <c:v>850385585746</c:v>
                </c:pt>
                <c:pt idx="4">
                  <c:v>850385585746</c:v>
                </c:pt>
                <c:pt idx="5">
                  <c:v>850385585746</c:v>
                </c:pt>
                <c:pt idx="6">
                  <c:v>850385585746</c:v>
                </c:pt>
                <c:pt idx="7">
                  <c:v>850385585746</c:v>
                </c:pt>
                <c:pt idx="8">
                  <c:v>850385585746</c:v>
                </c:pt>
              </c:numCache>
            </c:numRef>
          </c:val>
        </c:ser>
        <c:axId val="101"/>
        <c:axId val="102"/>
      </c:areaChart>
      <c:lineChart>
        <c:grouping val="standard"/>
        <c:varyColors val="0"/>
        <c:ser>
          <c:idx val="1"/>
          <c:order val="1"/>
          <c:tx>
            <c:strRef>
              <c:f>'_data'!$A$15</c:f>
              <c:strCache>
                <c:ptCount val="1"/>
                <c:pt idx="0">
                  <c:v>Impayés</c:v>
                </c:pt>
              </c:strCache>
            </c:strRef>
          </c:tx>
          <c:spPr>
            <a:ln w="31750" cap="rnd">
              <a:solidFill>
                <a:srgbClr val="06B6D4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06B6D4"/>
                </a:solidFill>
                <a:round/>
              </a:ln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'_data'!$B$15:$J$15</c:f>
              <c:numCache>
                <c:formatCode>#,##0</c:formatCode>
                <c:ptCount val="9"/>
                <c:pt idx="0">
                  <c:v>29184523554</c:v>
                </c:pt>
                <c:pt idx="1">
                  <c:v>29420095999</c:v>
                </c:pt>
                <c:pt idx="2">
                  <c:v>29702243448</c:v>
                </c:pt>
                <c:pt idx="3">
                  <c:v>29928927133</c:v>
                </c:pt>
                <c:pt idx="4">
                  <c:v>30088767435</c:v>
                </c:pt>
                <c:pt idx="5">
                  <c:v>30408508959</c:v>
                </c:pt>
                <c:pt idx="6">
                  <c:v>31308379288</c:v>
                </c:pt>
                <c:pt idx="7">
                  <c:v>31559855616</c:v>
                </c:pt>
                <c:pt idx="8">
                  <c:v>31893133004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'_data'!$A$16</c:f>
              <c:strCache>
                <c:ptCount val="1"/>
                <c:pt idx="0">
                  <c:v>Stage 2</c:v>
                </c:pt>
              </c:strCache>
            </c:strRef>
          </c:tx>
          <c:spPr>
            <a:ln w="28575" cap="rnd">
              <a:solidFill>
                <a:srgbClr val="C8A951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C8A951"/>
                </a:solidFill>
                <a:round/>
              </a:ln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'_data'!$B$16:$J$16</c:f>
              <c:numCache>
                <c:formatCode>#,##0</c:formatCode>
                <c:ptCount val="9"/>
                <c:pt idx="0">
                  <c:v>269638115746</c:v>
                </c:pt>
                <c:pt idx="1">
                  <c:v>265469334553</c:v>
                </c:pt>
                <c:pt idx="2">
                  <c:v>267459762762</c:v>
                </c:pt>
                <c:pt idx="3">
                  <c:v>260155324243</c:v>
                </c:pt>
                <c:pt idx="4">
                  <c:v>251913499667</c:v>
                </c:pt>
                <c:pt idx="5">
                  <c:v>247382030353</c:v>
                </c:pt>
                <c:pt idx="6">
                  <c:v>256897530911</c:v>
                </c:pt>
                <c:pt idx="7">
                  <c:v>260405484457</c:v>
                </c:pt>
                <c:pt idx="8">
                  <c:v>259457540560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'_data'!$A$17</c:f>
              <c:strCache>
                <c:ptCount val="1"/>
                <c:pt idx="0">
                  <c:v>Stage 3</c:v>
                </c:pt>
              </c:strCache>
            </c:strRef>
          </c:tx>
          <c:spPr>
            <a:ln w="28575" cap="rnd">
              <a:solidFill>
                <a:srgbClr val="DC2626"/>
              </a:solidFill>
              <a:round/>
            </a:ln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DC2626"/>
                </a:solidFill>
                <a:round/>
              </a:ln>
            </c:spPr>
          </c:marker>
          <c:cat>
            <c:strRef>
              <c:f>'_data'!$B$13:$J$13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'_data'!$B$17:$J$17</c:f>
              <c:numCache>
                <c:formatCode>#,##0</c:formatCode>
                <c:ptCount val="9"/>
                <c:pt idx="0">
                  <c:v>263523119585</c:v>
                </c:pt>
                <c:pt idx="1">
                  <c:v>275253548816</c:v>
                </c:pt>
                <c:pt idx="2">
                  <c:v>278163621132</c:v>
                </c:pt>
                <c:pt idx="3">
                  <c:v>288562532063</c:v>
                </c:pt>
                <c:pt idx="4">
                  <c:v>302210258189</c:v>
                </c:pt>
                <c:pt idx="5">
                  <c:v>311191155804</c:v>
                </c:pt>
                <c:pt idx="6">
                  <c:v>313715142480</c:v>
                </c:pt>
                <c:pt idx="7">
                  <c:v>320285953006</c:v>
                </c:pt>
                <c:pt idx="8">
                  <c:v>323775211401</c:v>
                </c:pt>
              </c:numCache>
            </c:numRef>
          </c:val>
          <c:smooth val="0"/>
        </c:ser>
        <c:marker val="1"/>
        <c:axId val="103"/>
        <c:axId val="104"/>
      </c:lineChart>
      <c:catAx>
        <c:axId val="1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2"/>
        <c:crosses val="autoZero"/>
        <c:auto val="1"/>
        <c:lblAlgn val="ctr"/>
        <c:lblOffset val="100"/>
        <c:noMultiLvlLbl val="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1"/>
        <c:crosses val="autoZero"/>
        <c:crossBetween val="between"/>
      </c:valAx>
      <c:catAx>
        <c:axId val="1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4"/>
        <c:crosses val="autoZero"/>
        <c:auto val="1"/>
        <c:lblAlgn val="ctr"/>
        <c:lblOffset val="100"/>
        <c:noMultiLvlLbl val="0"/>
      </c:catAx>
      <c:valAx>
        <c:axId val="104"/>
        <c:scaling>
          <c:orientation val="minMax"/>
        </c:scaling>
        <c:delete val="0"/>
        <c:axPos val="r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doughnutChart>
        <c:varyColors val="1"/>
        <c:ser>
          <c:idx val="0"/>
          <c:order val="0"/>
          <c:tx>
            <c:strRef>
              <c:f>'_data'!$A$19</c:f>
              <c:strCache>
                <c:ptCount val="1"/>
                <c:pt idx="0">
                  <c:v>Encours</c:v>
                </c:pt>
              </c:strCache>
            </c:strRef>
          </c:tx>
          <c:dPt>
            <c:idx val="0"/>
            <c:bubble3D val="0"/>
            <c:spPr>
              <a:solidFill>
                <a:srgbClr val="003DA5"/>
              </a:solidFill>
              <a:ln w="25400" cap="rnd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C8A951"/>
              </a:solidFill>
              <a:ln w="25400" cap="rnd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DC2626"/>
              </a:solidFill>
              <a:ln w="25400" cap="rnd">
                <a:solidFill>
                  <a:srgbClr val="FFFFFF"/>
                </a:solidFill>
                <a:round/>
              </a:ln>
            </c:spPr>
          </c:dPt>
          <c:dLbls>
            <c:numFmt formatCode="0%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'_data'!$B$18:$D$18</c:f>
              <c:strCache>
                <c:ptCount val="3"/>
                <c:pt idx="0">
                  <c:v>Stage 1</c:v>
                </c:pt>
                <c:pt idx="1">
                  <c:v>Stage 2</c:v>
                </c:pt>
                <c:pt idx="2">
                  <c:v>Stage 3</c:v>
                </c:pt>
              </c:strCache>
            </c:strRef>
          </c:cat>
          <c:val>
            <c:numRef>
              <c:f>'_data'!$B$19:$D$19</c:f>
              <c:numCache>
                <c:formatCode>#,##0</c:formatCode>
                <c:ptCount val="3"/>
                <c:pt idx="0">
                  <c:v>267152833785</c:v>
                </c:pt>
                <c:pt idx="1">
                  <c:v>259457540560</c:v>
                </c:pt>
                <c:pt idx="2">
                  <c:v>323775211401</c:v>
                </c:pt>
              </c:numCache>
            </c:numRef>
          </c:val>
        </c:ser>
        <c:firstSliceAng val="0"/>
        <c:holeSize val="64"/>
      </c:doughnutChart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'_data'!$A$21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'_data'!$B$20:$E$20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'_data'!$B$21:$E$21</c:f>
              <c:numCache>
                <c:formatCode>#,##0</c:formatCode>
                <c:ptCount val="4"/>
                <c:pt idx="0">
                  <c:v>0</c:v>
                </c:pt>
                <c:pt idx="1">
                  <c:v>31559855616</c:v>
                </c:pt>
                <c:pt idx="2">
                  <c:v>31568337947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'_data'!$A$22</c:f>
              <c:strCache>
                <c:ptCount val="1"/>
                <c:pt idx="0">
                  <c:v>Mouvement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406EBC">
                      <a:alpha val="100000"/>
                    </a:srgbClr>
                  </a:gs>
                  <a:gs pos="100000">
                    <a:srgbClr val="003DA5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D6BF7D">
                      <a:alpha val="100000"/>
                    </a:srgbClr>
                  </a:gs>
                  <a:gs pos="100000">
                    <a:srgbClr val="C8A951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31,56 Md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+8,5 M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+324,8 M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31,89 Md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'_data'!$B$20:$E$20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'_data'!$B$22:$E$22</c:f>
              <c:numCache>
                <c:formatCode>#,##0</c:formatCode>
                <c:ptCount val="4"/>
                <c:pt idx="0">
                  <c:v>31559855616</c:v>
                </c:pt>
                <c:pt idx="1">
                  <c:v>8482331</c:v>
                </c:pt>
                <c:pt idx="2">
                  <c:v>324795057</c:v>
                </c:pt>
                <c:pt idx="3">
                  <c:v>31893133004</c:v>
                </c:pt>
              </c:numCache>
            </c:numRef>
          </c:val>
        </c:ser>
        <c:gapWidth val="40"/>
        <c:overlap val="100"/>
        <c:axId val="201"/>
        <c:axId val="202"/>
      </c:bar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drawings/_rels/drawing1.xml.rels><?xml version="1.0" encoding="UTF-8" standalone="yes"?><Relationships xmlns="http://schemas.openxmlformats.org/package/2006/relationships"><Relationship Id="rIdC1" Type="http://schemas.openxmlformats.org/officeDocument/2006/relationships/chart" Target="../charts/chart1.xml"/><Relationship Id="rIdC2" Type="http://schemas.openxmlformats.org/officeDocument/2006/relationships/chart" Target="../charts/chart2.xml"/><Relationship Id="rIdC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33</xdr:row>
      <xdr:rowOff>38100</xdr:rowOff>
    </xdr:from>
    <xdr:to>
      <xdr:col>15</xdr:col>
      <xdr:colOff>0</xdr:colOff>
      <xdr:row>48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16</xdr:col>
      <xdr:colOff>38100</xdr:colOff>
      <xdr:row>33</xdr:row>
      <xdr:rowOff>38100</xdr:rowOff>
    </xdr:from>
    <xdr:to>
      <xdr:col>24</xdr:col>
      <xdr:colOff>0</xdr:colOff>
      <xdr:row>48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0</xdr:col>
      <xdr:colOff>38100</xdr:colOff>
      <xdr:row>50</xdr:row>
      <xdr:rowOff>38100</xdr:rowOff>
    </xdr:from>
    <xdr:to>
      <xdr:col>15</xdr:col>
      <xdr:colOff>0</xdr:colOff>
      <xdr:row>65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3DA5"/>
    <pageSetUpPr fitToPage="1"/>
  </sheetPr>
  <dimension ref="A1:Y89"/>
  <sheetViews>
    <sheetView showGridLines="0" tabSelected="1" zoomScale="85" zoomScaleNormal="85" workbookViewId="0"/>
  </sheetViews>
  <sheetFormatPr defaultRowHeight="15"/>
  <cols>
    <col min="1" max="1" width="6.1" customWidth="1"/>
    <col min="2" max="2" width="6.1" customWidth="1"/>
    <col min="3" max="3" width="6.1" customWidth="1"/>
    <col min="4" max="4" width="6.1" customWidth="1"/>
    <col min="5" max="5" width="1.6" customWidth="1"/>
    <col min="6" max="6" width="6.1" customWidth="1"/>
    <col min="7" max="7" width="6.1" customWidth="1"/>
    <col min="8" max="8" width="6.1" customWidth="1"/>
    <col min="9" max="9" width="6.1" customWidth="1"/>
    <col min="10" max="10" width="1.6" customWidth="1"/>
    <col min="11" max="11" width="6.1" customWidth="1"/>
    <col min="12" max="12" width="6.1" customWidth="1"/>
    <col min="13" max="13" width="6.1" customWidth="1"/>
    <col min="14" max="14" width="6.1" customWidth="1"/>
    <col min="15" max="15" width="1.6" customWidth="1"/>
    <col min="16" max="16" width="6.1" customWidth="1"/>
    <col min="17" max="17" width="6.1" customWidth="1"/>
    <col min="18" max="18" width="6.1" customWidth="1"/>
    <col min="19" max="19" width="6.1" customWidth="1"/>
    <col min="20" max="20" width="1.6" customWidth="1"/>
    <col min="21" max="21" width="6.1" customWidth="1"/>
    <col min="22" max="22" width="6.1" customWidth="1"/>
    <col min="23" max="23" width="6.1" customWidth="1"/>
    <col min="24" max="24" width="6.1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EXECUTIVE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CREDIT RISK INTELLIGENCE
</t>
          </r>
          <r>
            <rPr>
              <rFont val="Segoe UI"/>
              <color rgb="FFC7D7F5"/>
              <sz val="10.5"/>
            </rPr>
            <t xml:space="preserve">Portfolio Monitoring &amp; Early Warning  ·  Vue Comité des Risques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0" t="inlineStr">
        <is>
          <r>
            <rPr>
              <rFont val="Segoe UI"/>
              <color rgb="FFC8A951"/>
              <sz val="8.5"/>
            </rPr>
            <t xml:space="preserve">◆  </t>
          </r>
          <r>
            <rPr>
              <rFont val="Segoe UI"/>
              <b/>
              <color rgb="FFFFFFFF"/>
              <sz val="8.5"/>
            </rPr>
            <t xml:space="preserve">EXECUTIVE</t>
          </r>
        </is>
      </c>
      <c r="B8" s="10"/>
      <c r="C8" s="10"/>
      <c r="D8" s="10"/>
      <c r="E8" s="10"/>
      <c r="F8" s="10"/>
      <c r="G8" s="10"/>
      <c r="H8" s="10"/>
      <c r="I8" s="11" t="inlineStr">
        <is>
          <r>
            <rPr>
              <rFont val="Segoe UI"/>
              <color rgb="FF7C93C9"/>
              <sz val="8.5"/>
            </rPr>
            <t xml:space="preserve">✦  </t>
          </r>
          <r>
            <rPr>
              <rFont val="Segoe UI"/>
              <b/>
              <color rgb="FF003DA5"/>
              <sz val="8.5"/>
            </rPr>
            <t xml:space="preserve">INSIGHTS</t>
          </r>
        </is>
      </c>
      <c r="J8" s="11"/>
      <c r="K8" s="11"/>
      <c r="L8" s="11"/>
      <c r="M8" s="11"/>
      <c r="N8" s="11"/>
      <c r="O8" s="11"/>
      <c r="P8" s="11"/>
      <c r="Q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R8" s="11"/>
      <c r="S8" s="11"/>
      <c r="T8" s="11"/>
      <c r="U8" s="11"/>
      <c r="V8" s="11"/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6" customHeight="1"/>
    <row r="13" ht="17" customHeight="1">
      <c r="A13" s="14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TOTAL EXPOSURE</t>
          </r>
        </is>
      </c>
      <c r="B13" s="14"/>
      <c r="C13" s="14"/>
      <c r="D13" s="14"/>
      <c r="F13" s="22" t="inlineStr">
        <is>
          <r>
            <rPr>
              <rFont val="Segoe UI"/>
              <color rgb="FF06B6D4"/>
              <sz val="9"/>
            </rPr>
            <t xml:space="preserve">●  </t>
          </r>
          <r>
            <rPr>
              <rFont val="Segoe UI"/>
              <b/>
              <color rgb="FF334155"/>
              <sz val="7.5"/>
            </rPr>
            <t xml:space="preserve">TOTAL ARREARS</t>
          </r>
        </is>
      </c>
      <c r="G13" s="22"/>
      <c r="H13" s="22"/>
      <c r="I13" s="22"/>
      <c r="K13" s="28" t="inlineStr">
        <is>
          <r>
            <rPr>
              <rFont val="Segoe UI"/>
              <color rgb="FFF59E0B"/>
              <sz val="9"/>
            </rPr>
            <t xml:space="preserve">◔  </t>
          </r>
          <r>
            <rPr>
              <rFont val="Segoe UI"/>
              <b/>
              <color rgb="FF334155"/>
              <sz val="7.5"/>
            </rPr>
            <t xml:space="preserve">31–60 DAYS</t>
          </r>
        </is>
      </c>
      <c r="L13" s="28"/>
      <c r="M13" s="28"/>
      <c r="N13" s="28"/>
      <c r="P13" s="34" t="inlineStr">
        <is>
          <r>
            <rPr>
              <rFont val="Segoe UI"/>
              <color rgb="FFF97316"/>
              <sz val="9"/>
            </rPr>
            <t xml:space="preserve">◑  </t>
          </r>
          <r>
            <rPr>
              <rFont val="Segoe UI"/>
              <b/>
              <color rgb="FF334155"/>
              <sz val="7.5"/>
            </rPr>
            <t xml:space="preserve">61–90 DAYS</t>
          </r>
        </is>
      </c>
      <c r="Q13" s="34"/>
      <c r="R13" s="34"/>
      <c r="S13" s="34"/>
      <c r="U13" s="39" t="inlineStr">
        <is>
          <r>
            <rPr>
              <rFont val="Segoe UI"/>
              <color rgb="FFDC2626"/>
              <sz val="9"/>
            </rPr>
            <t xml:space="preserve">●  </t>
          </r>
          <r>
            <rPr>
              <rFont val="Segoe UI"/>
              <b/>
              <color rgb="FF334155"/>
              <sz val="7.5"/>
            </rPr>
            <t xml:space="preserve">&gt; 90 DAYS / S3</t>
          </r>
        </is>
      </c>
      <c r="V13" s="39"/>
      <c r="W13" s="39"/>
      <c r="X13" s="39"/>
    </row>
    <row r="14" ht="19" customHeight="1">
      <c r="A14" s="15">
        <v>850385585746</v>
      </c>
      <c r="B14" s="15"/>
      <c r="C14" s="15"/>
      <c r="D14" s="15"/>
      <c r="E14" s="20"/>
      <c r="F14" s="23">
        <v>31893133004</v>
      </c>
      <c r="G14" s="23"/>
      <c r="H14" s="23"/>
      <c r="I14" s="23"/>
      <c r="J14" s="20"/>
      <c r="K14" s="29">
        <v>86369133509</v>
      </c>
      <c r="L14" s="29"/>
      <c r="M14" s="29"/>
      <c r="N14" s="29"/>
      <c r="O14" s="20"/>
      <c r="P14" s="35">
        <v>0</v>
      </c>
      <c r="Q14" s="35"/>
      <c r="R14" s="35"/>
      <c r="S14" s="35"/>
      <c r="T14" s="20"/>
      <c r="U14" s="40">
        <v>323775211401</v>
      </c>
      <c r="V14" s="40"/>
      <c r="W14" s="40"/>
      <c r="X14" s="40"/>
      <c r="Y14" s="20"/>
    </row>
    <row r="15" ht="19" customHeight="1">
      <c r="A15" s="15"/>
      <c r="B15" s="15"/>
      <c r="C15" s="15"/>
      <c r="D15" s="15"/>
      <c r="E15" s="20"/>
      <c r="F15" s="23"/>
      <c r="G15" s="23"/>
      <c r="H15" s="23"/>
      <c r="I15" s="23"/>
      <c r="J15" s="20"/>
      <c r="K15" s="29"/>
      <c r="L15" s="29"/>
      <c r="M15" s="29"/>
      <c r="N15" s="29"/>
      <c r="O15" s="20"/>
      <c r="P15" s="35"/>
      <c r="Q15" s="35"/>
      <c r="R15" s="35"/>
      <c r="S15" s="35"/>
      <c r="T15" s="20"/>
      <c r="U15" s="40"/>
      <c r="V15" s="40"/>
      <c r="W15" s="40"/>
      <c r="X15" s="40"/>
      <c r="Y15" s="20"/>
    </row>
    <row r="16" ht="13" customHeight="1">
      <c r="A16" s="16" t="inlineStr">
        <is>
          <t xml:space="preserve">XOF · encours brut · 700 clients</t>
        </is>
      </c>
      <c r="B16" s="16"/>
      <c r="C16" s="16"/>
      <c r="D16" s="16"/>
      <c r="E16" s="20"/>
      <c r="F16" s="24" t="inlineStr">
        <is>
          <t xml:space="preserve">XOF · impayés · 547 clients</t>
        </is>
      </c>
      <c r="G16" s="24"/>
      <c r="H16" s="24"/>
      <c r="I16" s="24"/>
      <c r="J16" s="20"/>
      <c r="K16" s="30" t="inlineStr">
        <is>
          <t xml:space="preserve">XOF · encours · 84 clients</t>
        </is>
      </c>
      <c r="L16" s="30"/>
      <c r="M16" s="30"/>
      <c r="N16" s="30"/>
      <c r="O16" s="20"/>
      <c r="P16" s="36" t="inlineStr">
        <is>
          <t xml:space="preserve">XOF · encours · 0 clients</t>
        </is>
      </c>
      <c r="Q16" s="36"/>
      <c r="R16" s="36"/>
      <c r="S16" s="36"/>
      <c r="T16" s="20"/>
      <c r="U16" s="41" t="inlineStr">
        <is>
          <t xml:space="preserve">XOF · encours · 264 clients</t>
        </is>
      </c>
      <c r="V16" s="41"/>
      <c r="W16" s="41"/>
      <c r="X16" s="41"/>
      <c r="Y16" s="20"/>
    </row>
    <row r="17" ht="18" customHeight="1">
      <c r="A17" s="17" t="inlineStr">
        <is>
          <t xml:space="preserve">■ 0,0 %</t>
        </is>
      </c>
      <c r="B17" s="17"/>
      <c r="C17" s="18"/>
      <c r="D17" s="18"/>
      <c r="E17" s="20"/>
      <c r="F17" s="25" t="inlineStr">
        <is>
          <t xml:space="preserve">▲ 1,1 %</t>
        </is>
      </c>
      <c r="G17" s="25"/>
      <c r="H17" s="26"/>
      <c r="I17" s="26"/>
      <c r="J17" s="20"/>
      <c r="K17" s="31" t="inlineStr">
        <is>
          <t xml:space="preserve">▼ -3,5 %</t>
        </is>
      </c>
      <c r="L17" s="31"/>
      <c r="M17" s="32"/>
      <c r="N17" s="32"/>
      <c r="O17" s="20"/>
      <c r="P17" s="37" t="inlineStr">
        <is>
          <t xml:space="preserve">—</t>
        </is>
      </c>
      <c r="Q17" s="37"/>
      <c r="R17" s="26"/>
      <c r="S17" s="26"/>
      <c r="T17" s="20"/>
      <c r="U17" s="42" t="inlineStr">
        <is>
          <t xml:space="preserve">▲ 1,1 %</t>
        </is>
      </c>
      <c r="V17" s="42"/>
      <c r="W17" s="32"/>
      <c r="X17" s="32"/>
      <c r="Y17" s="20"/>
    </row>
    <row r="18" ht="14" customHeight="1">
      <c r="A18" s="19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86EFAC"/>
              <sz val="7"/>
            </rPr>
            <t xml:space="preserve">● FAVORABLE</t>
          </r>
        </is>
      </c>
      <c r="B18" s="19"/>
      <c r="C18" s="19"/>
      <c r="D18" s="19"/>
      <c r="E18" s="20"/>
      <c r="F18" s="27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G18" s="27"/>
      <c r="H18" s="27"/>
      <c r="I18" s="27"/>
      <c r="J18" s="20"/>
      <c r="K18" s="3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16A34A"/>
              <sz val="7"/>
            </rPr>
            <t xml:space="preserve">● FAVORABLE</t>
          </r>
        </is>
      </c>
      <c r="L18" s="33"/>
      <c r="M18" s="33"/>
      <c r="N18" s="33"/>
      <c r="O18" s="20"/>
      <c r="P18" s="38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64748B"/>
              <sz val="7"/>
            </rPr>
            <t xml:space="preserve"/>
          </r>
        </is>
      </c>
      <c r="Q18" s="38"/>
      <c r="R18" s="38"/>
      <c r="S18" s="38"/>
      <c r="T18" s="20"/>
      <c r="U18" s="4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V18" s="43"/>
      <c r="W18" s="43"/>
      <c r="X18" s="43"/>
      <c r="Y18" s="20"/>
    </row>
    <row r="19" ht="5" customHeight="1">
      <c r="B19" s="21"/>
      <c r="C19" s="21"/>
      <c r="D19" s="21"/>
      <c r="E19" s="20"/>
      <c r="G19" s="21"/>
      <c r="H19" s="21"/>
      <c r="I19" s="21"/>
      <c r="J19" s="20"/>
      <c r="L19" s="21"/>
      <c r="M19" s="21"/>
      <c r="N19" s="21"/>
      <c r="O19" s="20"/>
      <c r="Q19" s="21"/>
      <c r="R19" s="21"/>
      <c r="S19" s="21"/>
      <c r="T19" s="20"/>
      <c r="V19" s="21"/>
      <c r="W19" s="21"/>
      <c r="X19" s="21"/>
      <c r="Y19" s="20"/>
    </row>
    <row r="20" ht="10" customHeight="1"/>
    <row r="21" ht="17" customHeight="1">
      <c r="A21" s="44" t="inlineStr">
        <is>
          <r>
            <rPr>
              <rFont val="Segoe UI"/>
              <color rgb="FFC8A951"/>
              <sz val="9"/>
            </rPr>
            <t xml:space="preserve">▲  </t>
          </r>
          <r>
            <rPr>
              <rFont val="Segoe UI"/>
              <b/>
              <color rgb="FF334155"/>
              <sz val="7.5"/>
            </rPr>
            <t xml:space="preserve">STAGE 2</t>
          </r>
        </is>
      </c>
      <c r="B21" s="44"/>
      <c r="C21" s="44"/>
      <c r="D21" s="44"/>
      <c r="F21" s="39" t="inlineStr">
        <is>
          <r>
            <rPr>
              <rFont val="Segoe UI"/>
              <color rgb="FFDC2626"/>
              <sz val="9"/>
            </rPr>
            <t xml:space="preserve">▲  </t>
          </r>
          <r>
            <rPr>
              <rFont val="Segoe UI"/>
              <b/>
              <color rgb="FF334155"/>
              <sz val="7.5"/>
            </rPr>
            <t xml:space="preserve">STAGE 3</t>
          </r>
        </is>
      </c>
      <c r="G21" s="39"/>
      <c r="H21" s="39"/>
      <c r="I21" s="39"/>
      <c r="K21" s="49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PROVISIONS (ECL)</t>
          </r>
        </is>
      </c>
      <c r="L21" s="49"/>
      <c r="M21" s="49"/>
      <c r="N21" s="49"/>
      <c r="P21" s="55" t="inlineStr">
        <is>
          <r>
            <rPr>
              <rFont val="Segoe UI"/>
              <color rgb="FFF59E0B"/>
              <sz val="9"/>
            </rPr>
            <t xml:space="preserve">◉  </t>
          </r>
          <r>
            <rPr>
              <rFont val="Segoe UI"/>
              <b/>
              <color rgb="FF334155"/>
              <sz val="7.5"/>
            </rPr>
            <t xml:space="preserve">WATCHLIST</t>
          </r>
        </is>
      </c>
      <c r="Q21" s="55"/>
      <c r="R21" s="55"/>
      <c r="S21" s="55"/>
      <c r="U21" s="60" t="inlineStr">
        <is>
          <r>
            <rPr>
              <rFont val="Segoe UI"/>
              <color rgb="FFC8A951"/>
              <sz val="9"/>
            </rPr>
            <t xml:space="preserve">■  </t>
          </r>
          <r>
            <rPr>
              <rFont val="Segoe UI"/>
              <b/>
              <color rgb="FFE6EEFF"/>
              <sz val="7.5"/>
            </rPr>
            <t xml:space="preserve">CRITICAL EXPOSURES</t>
          </r>
        </is>
      </c>
      <c r="V21" s="60"/>
      <c r="W21" s="60"/>
      <c r="X21" s="60"/>
    </row>
    <row r="22" ht="19" customHeight="1">
      <c r="A22" s="45">
        <v>259457540560</v>
      </c>
      <c r="B22" s="45"/>
      <c r="C22" s="45"/>
      <c r="D22" s="45"/>
      <c r="E22" s="20"/>
      <c r="F22" s="40">
        <v>323775211401</v>
      </c>
      <c r="G22" s="40"/>
      <c r="H22" s="40"/>
      <c r="I22" s="40"/>
      <c r="J22" s="20"/>
      <c r="K22" s="50">
        <v>37319879435</v>
      </c>
      <c r="L22" s="50"/>
      <c r="M22" s="50"/>
      <c r="N22" s="50"/>
      <c r="O22" s="20"/>
      <c r="P22" s="56">
        <v>289</v>
      </c>
      <c r="Q22" s="56"/>
      <c r="R22" s="56"/>
      <c r="S22" s="56"/>
      <c r="T22" s="20"/>
      <c r="U22" s="61">
        <v>3489258395</v>
      </c>
      <c r="V22" s="61"/>
      <c r="W22" s="61"/>
      <c r="X22" s="61"/>
      <c r="Y22" s="20"/>
    </row>
    <row r="23" ht="19" customHeight="1">
      <c r="A23" s="45"/>
      <c r="B23" s="45"/>
      <c r="C23" s="45"/>
      <c r="D23" s="45"/>
      <c r="E23" s="20"/>
      <c r="F23" s="40"/>
      <c r="G23" s="40"/>
      <c r="H23" s="40"/>
      <c r="I23" s="40"/>
      <c r="J23" s="20"/>
      <c r="K23" s="50"/>
      <c r="L23" s="50"/>
      <c r="M23" s="50"/>
      <c r="N23" s="50"/>
      <c r="O23" s="20"/>
      <c r="P23" s="56"/>
      <c r="Q23" s="56"/>
      <c r="R23" s="56"/>
      <c r="S23" s="56"/>
      <c r="T23" s="20"/>
      <c r="U23" s="61"/>
      <c r="V23" s="61"/>
      <c r="W23" s="61"/>
      <c r="X23" s="61"/>
      <c r="Y23" s="20"/>
    </row>
    <row r="24" ht="13" customHeight="1">
      <c r="A24" s="46" t="inlineStr">
        <is>
          <t xml:space="preserve">XOF · 30,5 % de l'encours</t>
        </is>
      </c>
      <c r="B24" s="46"/>
      <c r="C24" s="46"/>
      <c r="D24" s="46"/>
      <c r="E24" s="20"/>
      <c r="F24" s="41" t="inlineStr">
        <is>
          <t xml:space="preserve">XOF · 38,1 % de l'encours</t>
        </is>
      </c>
      <c r="G24" s="41"/>
      <c r="H24" s="41"/>
      <c r="I24" s="41"/>
      <c r="J24" s="20"/>
      <c r="K24" s="51" t="inlineStr">
        <is>
          <t xml:space="preserve">XOF · couverture 4,4 %</t>
        </is>
      </c>
      <c r="L24" s="51"/>
      <c r="M24" s="51"/>
      <c r="N24" s="51"/>
      <c r="O24" s="20"/>
      <c r="P24" s="57" t="inlineStr">
        <is>
          <t xml:space="preserve">dossiers · 322,71 Md XOF</t>
        </is>
      </c>
      <c r="Q24" s="57"/>
      <c r="R24" s="57"/>
      <c r="S24" s="57"/>
      <c r="T24" s="20"/>
      <c r="U24" s="62" t="inlineStr">
        <is>
          <t xml:space="preserve">XOF · 6 dossiers critiques</t>
        </is>
      </c>
      <c r="V24" s="62"/>
      <c r="W24" s="62"/>
      <c r="X24" s="62"/>
      <c r="Y24" s="20"/>
    </row>
    <row r="25" ht="18" customHeight="1">
      <c r="A25" s="47" t="inlineStr">
        <is>
          <t xml:space="preserve">▼ -0,4 %</t>
        </is>
      </c>
      <c r="B25" s="47"/>
      <c r="C25" s="26"/>
      <c r="D25" s="26"/>
      <c r="E25" s="20"/>
      <c r="F25" s="42" t="inlineStr">
        <is>
          <t xml:space="preserve">▲ 1,1 %</t>
        </is>
      </c>
      <c r="G25" s="42"/>
      <c r="H25" s="32"/>
      <c r="I25" s="32"/>
      <c r="J25" s="20"/>
      <c r="K25" s="52" t="inlineStr">
        <is>
          <t xml:space="preserve">▲ 0,5 %</t>
        </is>
      </c>
      <c r="L25" s="52"/>
      <c r="M25" s="53"/>
      <c r="N25" s="53"/>
      <c r="O25" s="20"/>
      <c r="P25" s="58" t="inlineStr">
        <is>
          <t xml:space="preserve">—</t>
        </is>
      </c>
      <c r="Q25" s="58"/>
      <c r="R25" s="26"/>
      <c r="S25" s="26"/>
      <c r="T25" s="20"/>
      <c r="U25" s="63" t="inlineStr">
        <is>
          <t xml:space="preserve">—</t>
        </is>
      </c>
      <c r="V25" s="63"/>
      <c r="W25" s="18"/>
      <c r="X25" s="18"/>
      <c r="Y25" s="20"/>
    </row>
    <row r="26" ht="14" customHeight="1">
      <c r="A26" s="48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16A34A"/>
              <sz val="7"/>
            </rPr>
            <t xml:space="preserve">● FAVORABLE</t>
          </r>
        </is>
      </c>
      <c r="B26" s="48"/>
      <c r="C26" s="48"/>
      <c r="D26" s="48"/>
      <c r="E26" s="20"/>
      <c r="F26" s="4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G26" s="43"/>
      <c r="H26" s="43"/>
      <c r="I26" s="43"/>
      <c r="J26" s="20"/>
      <c r="K26" s="54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D6E4FF"/>
              <sz val="7"/>
            </rPr>
            <t xml:space="preserve">● STABLE</t>
          </r>
        </is>
      </c>
      <c r="L26" s="54"/>
      <c r="M26" s="54"/>
      <c r="N26" s="54"/>
      <c r="O26" s="20"/>
      <c r="P26" s="59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64748B"/>
              <sz val="7"/>
            </rPr>
            <t xml:space="preserve"/>
          </r>
        </is>
      </c>
      <c r="Q26" s="59"/>
      <c r="R26" s="59"/>
      <c r="S26" s="59"/>
      <c r="T26" s="20"/>
      <c r="U26" s="64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D6E4FF"/>
              <sz val="7"/>
            </rPr>
            <t xml:space="preserve"/>
          </r>
        </is>
      </c>
      <c r="V26" s="64"/>
      <c r="W26" s="64"/>
      <c r="X26" s="64"/>
      <c r="Y26" s="20"/>
    </row>
    <row r="27" ht="5" customHeight="1">
      <c r="B27" s="21"/>
      <c r="C27" s="21"/>
      <c r="D27" s="21"/>
      <c r="E27" s="20"/>
      <c r="G27" s="21"/>
      <c r="H27" s="21"/>
      <c r="I27" s="21"/>
      <c r="J27" s="20"/>
      <c r="L27" s="21"/>
      <c r="M27" s="21"/>
      <c r="N27" s="21"/>
      <c r="O27" s="20"/>
      <c r="Q27" s="21"/>
      <c r="R27" s="21"/>
      <c r="S27" s="21"/>
      <c r="T27" s="20"/>
      <c r="V27" s="21"/>
      <c r="W27" s="21"/>
      <c r="X27" s="21"/>
      <c r="Y27" s="20"/>
    </row>
    <row r="28" ht="12" customHeight="1"/>
    <row r="29" ht="18" customHeight="1">
      <c r="A29" s="65" t="inlineStr">
        <is>
          <r>
            <rPr>
              <rFont val="Segoe UI"/>
              <b/>
              <color rgb="FFC8A951"/>
              <sz val="10"/>
            </rPr>
            <t xml:space="preserve">⚠  </t>
          </r>
          <r>
            <rPr>
              <rFont val="Segoe UI"/>
              <b/>
              <color rgb="FF334155"/>
              <sz val="8"/>
            </rPr>
            <t xml:space="preserve">CONCENTRATION ALERT</t>
          </r>
        </is>
      </c>
      <c r="B29" s="65"/>
      <c r="C29" s="65"/>
      <c r="D29" s="65"/>
      <c r="E29" s="65"/>
      <c r="F29" s="65"/>
      <c r="G29" s="65"/>
      <c r="H29" s="65"/>
      <c r="I29" s="65"/>
      <c r="K29" s="69" t="inlineStr">
        <is>
          <r>
            <rPr>
              <rFont val="Segoe UI"/>
              <b/>
              <color rgb="FFDC2626"/>
              <sz val="10"/>
            </rPr>
            <t xml:space="preserve">▲  </t>
          </r>
          <r>
            <rPr>
              <rFont val="Segoe UI"/>
              <b/>
              <color rgb="FF334155"/>
              <sz val="8"/>
            </rPr>
            <t xml:space="preserve">NEW ARREARS</t>
          </r>
        </is>
      </c>
      <c r="L29" s="69"/>
      <c r="M29" s="69"/>
      <c r="N29" s="69"/>
      <c r="O29" s="69"/>
      <c r="P29" s="69"/>
      <c r="Q29" s="69"/>
      <c r="R29" s="69"/>
      <c r="S29" s="69"/>
      <c r="U29" s="71" t="inlineStr">
        <is>
          <r>
            <rPr>
              <rFont val="Segoe UI"/>
              <b/>
              <color rgb="FF2563EB"/>
              <sz val="10"/>
            </rPr>
            <t xml:space="preserve">✦  </t>
          </r>
          <r>
            <rPr>
              <rFont val="Segoe UI"/>
              <b/>
              <color rgb="FF334155"/>
              <sz val="8"/>
            </rPr>
            <t xml:space="preserve">JEV OUTLOOK</t>
          </r>
        </is>
      </c>
      <c r="V29" s="71"/>
      <c r="W29" s="71"/>
      <c r="X29" s="71"/>
    </row>
    <row r="30" ht="26" customHeight="1">
      <c r="A30" s="66" t="inlineStr">
        <is>
          <t xml:space="preserve">TOP 5 CLIENTS = 4,4 %</t>
        </is>
      </c>
      <c r="B30" s="66"/>
      <c r="C30" s="66"/>
      <c r="D30" s="66"/>
      <c r="E30" s="66"/>
      <c r="F30" s="66"/>
      <c r="G30" s="66"/>
      <c r="H30" s="66"/>
      <c r="I30" s="66"/>
      <c r="J30" s="68"/>
      <c r="K30" s="70" t="inlineStr">
        <is>
          <t xml:space="preserve">+333,3 M XOF</t>
        </is>
      </c>
      <c r="L30" s="70"/>
      <c r="M30" s="70"/>
      <c r="N30" s="70"/>
      <c r="O30" s="70"/>
      <c r="P30" s="70"/>
      <c r="Q30" s="70"/>
      <c r="R30" s="70"/>
      <c r="S30" s="70"/>
      <c r="T30" s="68"/>
      <c r="U30" s="72" t="inlineStr">
        <is>
          <t xml:space="preserve">PD 12M 3,8 %</t>
        </is>
      </c>
      <c r="V30" s="72"/>
      <c r="W30" s="72"/>
      <c r="X30" s="72"/>
      <c r="Y30" s="68"/>
    </row>
    <row r="31" ht="16" customHeight="1">
      <c r="A31" s="67" t="inlineStr">
        <is>
          <t xml:space="preserve">+0,0 pts vs 31/08/2026</t>
        </is>
      </c>
      <c r="B31" s="67"/>
      <c r="C31" s="67"/>
      <c r="D31" s="67"/>
      <c r="E31" s="67"/>
      <c r="F31" s="67"/>
      <c r="G31" s="67"/>
      <c r="H31" s="67"/>
      <c r="I31" s="67"/>
      <c r="J31" s="68"/>
      <c r="K31" s="67" t="inlineStr">
        <is>
          <t xml:space="preserve">nouveaux impayés et aggravations · aucune régularisation sur la période</t>
        </is>
      </c>
      <c r="L31" s="67"/>
      <c r="M31" s="67"/>
      <c r="N31" s="67"/>
      <c r="O31" s="67"/>
      <c r="P31" s="67"/>
      <c r="Q31" s="67"/>
      <c r="R31" s="67"/>
      <c r="S31" s="67"/>
      <c r="T31" s="68"/>
      <c r="U31" s="67" t="inlineStr">
        <is>
          <t xml:space="preserve">MARKOV · confiance faible · indicatif</t>
        </is>
      </c>
      <c r="V31" s="67"/>
      <c r="W31" s="67"/>
      <c r="X31" s="67"/>
      <c r="Y31" s="68"/>
    </row>
    <row r="32">
      <c r="J32" s="68"/>
      <c r="T32" s="68"/>
      <c r="Y32" s="68"/>
    </row>
    <row r="33" ht="24" customHeight="1">
      <c r="A33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PORTFOLIO TREND</t>
          </r>
          <r>
            <rPr>
              <rFont val="Segoe UI"/>
              <i/>
              <color rgb="FF64748B"/>
              <sz val="8"/>
            </rPr>
            <t xml:space="preserve">    encours (aire) · impayés, Stage 2, Stage 3 (courbes, axe droit)</t>
          </r>
        </is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Q33" s="74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RISK DISTRIBUTION</t>
          </r>
          <r>
            <rPr>
              <rFont val="Segoe UI"/>
              <i/>
              <color rgb="FF64748B"/>
              <sz val="8"/>
            </rPr>
            <t xml:space="preserve">    encours par stage IFRS 9</t>
          </r>
        </is>
      </c>
      <c r="R33" s="74"/>
      <c r="S33" s="74"/>
      <c r="T33" s="74"/>
      <c r="U33" s="74"/>
      <c r="V33" s="74"/>
      <c r="W33" s="74"/>
      <c r="X33" s="74"/>
    </row>
    <row r="50" ht="24" customHeight="1">
      <c r="A50" s="75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WHY DID IT MOVE?</t>
          </r>
          <r>
            <rPr>
              <rFont val="Segoe UI"/>
              <i/>
              <color rgb="FF64748B"/>
              <sz val="8"/>
            </rPr>
            <t xml:space="preserve">    pont des impayés 31/08/2026 → 30/09/2026</t>
          </r>
        </is>
      </c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Q50" s="75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TOP DRIVERS</t>
          </r>
          <r>
            <rPr>
              <rFont val="Segoe UI"/>
              <i/>
              <color rgb="FF64748B"/>
              <sz val="8"/>
            </rPr>
            <t xml:space="preserve">    plus fortes variations d'impayés</t>
          </r>
        </is>
      </c>
      <c r="R50" s="75"/>
      <c r="S50" s="75"/>
      <c r="T50" s="75"/>
      <c r="U50" s="75"/>
      <c r="V50" s="75"/>
      <c r="W50" s="75"/>
      <c r="X50" s="75"/>
    </row>
    <row r="51" ht="17" customHeight="1">
      <c r="Q51" s="76" t="inlineStr">
        <is>
          <t xml:space="preserve">SOCIETE 0403</t>
        </is>
      </c>
      <c r="R51" s="76"/>
      <c r="S51" s="76"/>
      <c r="T51" s="76"/>
      <c r="U51" s="76"/>
      <c r="V51" s="77" t="inlineStr">
        <is>
          <t xml:space="preserve">+280,1 M</t>
        </is>
      </c>
      <c r="W51" s="77"/>
      <c r="X51" s="77"/>
    </row>
    <row r="52" ht="13" customHeight="1">
      <c r="Q52" s="78" t="inlineStr">
        <is>
          <t xml:space="preserve">459,0 M XOF d'impayés · 33 j · Stage 2 · GUEYE</t>
        </is>
      </c>
      <c r="R52" s="78"/>
      <c r="S52" s="78"/>
      <c r="T52" s="78"/>
      <c r="U52" s="78"/>
      <c r="V52" s="78"/>
      <c r="W52" s="78"/>
      <c r="X52" s="78"/>
    </row>
    <row r="53" ht="17" customHeight="1">
      <c r="Q53" s="76" t="inlineStr">
        <is>
          <t xml:space="preserve">SOCIETE 0666</t>
        </is>
      </c>
      <c r="R53" s="76"/>
      <c r="S53" s="76"/>
      <c r="T53" s="76"/>
      <c r="U53" s="76"/>
      <c r="V53" s="77" t="inlineStr">
        <is>
          <t xml:space="preserve">+29,5 M</t>
        </is>
      </c>
      <c r="W53" s="77"/>
      <c r="X53" s="77"/>
    </row>
    <row r="54" ht="13" customHeight="1">
      <c r="Q54" s="78" t="inlineStr">
        <is>
          <t xml:space="preserve">30,2 M XOF d'impayés · 308 j · Stage 3 · GUEYE</t>
        </is>
      </c>
      <c r="R54" s="78"/>
      <c r="S54" s="78"/>
      <c r="T54" s="78"/>
      <c r="U54" s="78"/>
      <c r="V54" s="78"/>
      <c r="W54" s="78"/>
      <c r="X54" s="78"/>
    </row>
    <row r="55" ht="17" customHeight="1">
      <c r="Q55" s="76" t="inlineStr">
        <is>
          <t xml:space="preserve">SOCIETE 0518</t>
        </is>
      </c>
      <c r="R55" s="76"/>
      <c r="S55" s="76"/>
      <c r="T55" s="76"/>
      <c r="U55" s="76"/>
      <c r="V55" s="77" t="inlineStr">
        <is>
          <t xml:space="preserve">+5,6 M</t>
        </is>
      </c>
      <c r="W55" s="77"/>
      <c r="X55" s="77"/>
    </row>
    <row r="56" ht="13" customHeight="1">
      <c r="Q56" s="78" t="inlineStr">
        <is>
          <t xml:space="preserve">5,6 M XOF d'impayés · 12 j · Stage 2 · GUEYE</t>
        </is>
      </c>
      <c r="R56" s="78"/>
      <c r="S56" s="78"/>
      <c r="T56" s="78"/>
      <c r="U56" s="78"/>
      <c r="V56" s="78"/>
      <c r="W56" s="78"/>
      <c r="X56" s="78"/>
    </row>
    <row r="57" ht="17" customHeight="1">
      <c r="Q57" s="76" t="inlineStr">
        <is>
          <t xml:space="preserve">SOCIETE 0043</t>
        </is>
      </c>
      <c r="R57" s="76"/>
      <c r="S57" s="76"/>
      <c r="T57" s="76"/>
      <c r="U57" s="76"/>
      <c r="V57" s="77" t="inlineStr">
        <is>
          <t xml:space="preserve">+3,8 M</t>
        </is>
      </c>
      <c r="W57" s="77"/>
      <c r="X57" s="77"/>
    </row>
    <row r="58" ht="13" customHeight="1">
      <c r="Q58" s="78" t="inlineStr">
        <is>
          <t xml:space="preserve">5,6 M XOF d'impayés · 19 j · Stage 2 · GUEYE</t>
        </is>
      </c>
      <c r="R58" s="78"/>
      <c r="S58" s="78"/>
      <c r="T58" s="78"/>
      <c r="U58" s="78"/>
      <c r="V58" s="78"/>
      <c r="W58" s="78"/>
      <c r="X58" s="78"/>
    </row>
    <row r="59" ht="17" customHeight="1">
      <c r="Q59" s="76" t="inlineStr">
        <is>
          <t xml:space="preserve">SOCIETE 0170</t>
        </is>
      </c>
      <c r="R59" s="76"/>
      <c r="S59" s="76"/>
      <c r="T59" s="76"/>
      <c r="U59" s="76"/>
      <c r="V59" s="77" t="inlineStr">
        <is>
          <t xml:space="preserve">+3,4 M</t>
        </is>
      </c>
      <c r="W59" s="77"/>
      <c r="X59" s="77"/>
    </row>
    <row r="60" ht="13" customHeight="1">
      <c r="Q60" s="78" t="inlineStr">
        <is>
          <t xml:space="preserve">4,4 M XOF d'impayés · 11 j · Stage 2 · GUEYE</t>
        </is>
      </c>
      <c r="R60" s="78"/>
      <c r="S60" s="78"/>
      <c r="T60" s="78"/>
      <c r="U60" s="78"/>
      <c r="V60" s="78"/>
      <c r="W60" s="78"/>
      <c r="X60" s="78"/>
    </row>
    <row r="61" ht="17" customHeight="1">
      <c r="Q61" s="76" t="inlineStr">
        <is>
          <t xml:space="preserve">SOCIETE 0041</t>
        </is>
      </c>
      <c r="R61" s="76"/>
      <c r="S61" s="76"/>
      <c r="T61" s="76"/>
      <c r="U61" s="76"/>
      <c r="V61" s="77" t="inlineStr">
        <is>
          <t xml:space="preserve">+2,9 M</t>
        </is>
      </c>
      <c r="W61" s="77"/>
      <c r="X61" s="77"/>
    </row>
    <row r="62" ht="13" customHeight="1">
      <c r="Q62" s="78" t="inlineStr">
        <is>
          <t xml:space="preserve">2,9 M XOF d'impayés · 38 j · Stage 2 · GUEYE</t>
        </is>
      </c>
      <c r="R62" s="78"/>
      <c r="S62" s="78"/>
      <c r="T62" s="78"/>
      <c r="U62" s="78"/>
      <c r="V62" s="78"/>
      <c r="W62" s="78"/>
      <c r="X62" s="78"/>
    </row>
    <row r="63" ht="17" customHeight="1">
      <c r="Q63" s="76" t="inlineStr">
        <is>
          <t xml:space="preserve">SOCIETE 0038</t>
        </is>
      </c>
      <c r="R63" s="76"/>
      <c r="S63" s="76"/>
      <c r="T63" s="76"/>
      <c r="U63" s="76"/>
      <c r="V63" s="77" t="inlineStr">
        <is>
          <t xml:space="preserve">+2,8 M</t>
        </is>
      </c>
      <c r="W63" s="77"/>
      <c r="X63" s="77"/>
    </row>
    <row r="64" ht="13" customHeight="1">
      <c r="Q64" s="78" t="inlineStr">
        <is>
          <t xml:space="preserve">8,4 M XOF d'impayés · 281 j · Stage 3 · GUEYE</t>
        </is>
      </c>
      <c r="R64" s="78"/>
      <c r="S64" s="78"/>
      <c r="T64" s="78"/>
      <c r="U64" s="78"/>
      <c r="V64" s="78"/>
      <c r="W64" s="78"/>
      <c r="X64" s="78"/>
    </row>
    <row r="67" ht="24" customHeight="1">
      <c r="A67" s="79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TOP RISKS</t>
          </r>
          <r>
            <rPr>
              <rFont val="Segoe UI"/>
              <i/>
              <color rgb="FF64748B"/>
              <sz val="8"/>
            </rPr>
            <t xml:space="preserve">    dossiers prioritaires classés par criticité puis impayé</t>
          </r>
        </is>
      </c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Q67" s="74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ACTIONS REQUIRED</t>
          </r>
          <r>
            <rPr>
              <rFont val="Segoe UI"/>
              <i/>
              <color rgb="FF64748B"/>
              <sz val="8"/>
            </rPr>
            <t xml:space="preserve">    tableau de bord du plan d'actions</t>
          </r>
        </is>
      </c>
      <c r="R67" s="74"/>
      <c r="S67" s="74"/>
      <c r="T67" s="74"/>
      <c r="U67" s="74"/>
      <c r="V67" s="74"/>
      <c r="W67" s="74"/>
      <c r="X67" s="74"/>
    </row>
    <row r="68" ht="19" customHeight="1">
      <c r="A68" s="80" t="inlineStr">
        <is>
          <t xml:space="preserve">#01</t>
        </is>
      </c>
      <c r="B68" s="80"/>
      <c r="C68" s="81" t="inlineStr">
        <is>
          <t xml:space="preserve">SOCIETE 0078</t>
        </is>
      </c>
      <c r="D68" s="81"/>
      <c r="E68" s="81"/>
      <c r="F68" s="81"/>
      <c r="G68" s="81"/>
      <c r="H68" s="81"/>
      <c r="I68" s="81"/>
      <c r="J68" s="81"/>
      <c r="K68" s="84"/>
      <c r="L68" s="84"/>
      <c r="M68" s="85" t="inlineStr">
        <is>
          <t xml:space="preserve">CRITICAL</t>
        </is>
      </c>
      <c r="N68" s="85"/>
      <c r="O68" s="85"/>
      <c r="Q68" s="88">
        <v>6</v>
      </c>
      <c r="R68" s="88"/>
      <c r="S68" s="89" t="inlineStr">
        <is>
          <r>
            <rPr>
              <rFont val="Segoe UI"/>
              <b/>
              <color rgb="FFDC2626"/>
              <sz val="9.5"/>
            </rPr>
            <t xml:space="preserve">CRITICAL</t>
          </r>
          <r>
            <rPr>
              <rFont val="Segoe UI"/>
              <color rgb="FF334155"/>
              <sz val="8.5"/>
            </rPr>
            <t xml:space="preserve">  ·  Critique</t>
          </r>
        </is>
      </c>
      <c r="T68" s="89"/>
      <c r="U68" s="89"/>
      <c r="V68" s="89"/>
      <c r="W68" s="89"/>
      <c r="X68" s="89"/>
    </row>
    <row r="69" ht="17" customHeight="1">
      <c r="A69" s="80"/>
      <c r="B69" s="80"/>
      <c r="C69" s="82" t="inlineStr">
        <is>
          <r>
            <rPr>
              <rFont val="Segoe UI"/>
              <b/>
              <color rgb="FF003DA5"/>
              <sz val="9"/>
            </rPr>
            <t xml:space="preserve">131,5 M XOF</t>
          </r>
          <r>
            <rPr>
              <rFont val="Segoe UI"/>
              <color rgb="FF334155"/>
              <sz val="8.5"/>
            </rPr>
            <t xml:space="preserve">  ·  286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69" s="82"/>
      <c r="E69" s="82"/>
      <c r="F69" s="82"/>
      <c r="G69" s="82"/>
      <c r="H69" s="82"/>
      <c r="I69" s="82"/>
      <c r="J69" s="82"/>
      <c r="K69" s="84"/>
      <c r="L69" s="84"/>
      <c r="M69" s="86" t="inlineStr">
        <is>
          <t xml:space="preserve">ACTION REQUIRED</t>
        </is>
      </c>
      <c r="N69" s="86"/>
      <c r="O69" s="86"/>
      <c r="Q69" s="88"/>
      <c r="R69" s="88"/>
      <c r="S69" s="90" t="inlineStr">
        <is>
          <t xml:space="preserve">encours 3,49 Md XOF</t>
        </is>
      </c>
      <c r="T69" s="90"/>
      <c r="U69" s="90"/>
      <c r="V69" s="90"/>
      <c r="W69" s="90"/>
      <c r="X69" s="90"/>
    </row>
    <row r="70" ht="14" customHeight="1">
      <c r="A70" s="80"/>
      <c r="B70" s="80"/>
      <c r="C70" s="83" t="inlineStr">
        <is>
          <t xml:space="preserve">JEV PD 12M 15,4 % (HYBRID)  ·  Contrepartie déjà douteuse : mise en demeure et proposition d'un protocole d'apurement daté avant le 15/10/2026 ; rechercher des actifs sais</t>
        </is>
      </c>
      <c r="D70" s="83"/>
      <c r="E70" s="83"/>
      <c r="F70" s="83"/>
      <c r="G70" s="83"/>
      <c r="H70" s="83"/>
      <c r="I70" s="83"/>
      <c r="J70" s="83"/>
      <c r="S70" s="92">
        <v>0</v>
      </c>
      <c r="T70" s="91"/>
      <c r="U70" s="91"/>
      <c r="V70" s="91"/>
      <c r="W70" s="93" t="inlineStr">
        <is>
          <t xml:space="preserve">avancement</t>
        </is>
      </c>
      <c r="X70" s="93"/>
    </row>
    <row r="71" ht="7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</row>
    <row r="72" ht="19" customHeight="1">
      <c r="A72" s="80" t="inlineStr">
        <is>
          <t xml:space="preserve">#02</t>
        </is>
      </c>
      <c r="B72" s="80"/>
      <c r="C72" s="81" t="inlineStr">
        <is>
          <t xml:space="preserve">SOCIETE 0450</t>
        </is>
      </c>
      <c r="D72" s="81"/>
      <c r="E72" s="81"/>
      <c r="F72" s="81"/>
      <c r="G72" s="81"/>
      <c r="H72" s="81"/>
      <c r="I72" s="81"/>
      <c r="J72" s="81"/>
      <c r="K72" s="84"/>
      <c r="L72" s="84"/>
      <c r="M72" s="85" t="inlineStr">
        <is>
          <t xml:space="preserve">CRITICAL</t>
        </is>
      </c>
      <c r="N72" s="85"/>
      <c r="O72" s="85"/>
      <c r="Q72" s="94">
        <v>48</v>
      </c>
      <c r="R72" s="94"/>
      <c r="S72" s="89" t="inlineStr">
        <is>
          <r>
            <rPr>
              <rFont val="Segoe UI"/>
              <b/>
              <color rgb="FFF97316"/>
              <sz val="9.5"/>
            </rPr>
            <t xml:space="preserve">HIGH</t>
          </r>
          <r>
            <rPr>
              <rFont val="Segoe UI"/>
              <color rgb="FF334155"/>
              <sz val="8.5"/>
            </rPr>
            <t xml:space="preserve">  ·  Priorité haute</t>
          </r>
        </is>
      </c>
      <c r="T72" s="89"/>
      <c r="U72" s="89"/>
      <c r="V72" s="89"/>
      <c r="W72" s="89"/>
      <c r="X72" s="89"/>
    </row>
    <row r="73" ht="17" customHeight="1">
      <c r="A73" s="80"/>
      <c r="B73" s="80"/>
      <c r="C73" s="82" t="inlineStr">
        <is>
          <r>
            <rPr>
              <rFont val="Segoe UI"/>
              <b/>
              <color rgb="FF003DA5"/>
              <sz val="9"/>
            </rPr>
            <t xml:space="preserve">3,03 Md XOF</t>
          </r>
          <r>
            <rPr>
              <rFont val="Segoe UI"/>
              <color rgb="FF334155"/>
              <sz val="8.5"/>
            </rPr>
            <t xml:space="preserve">  ·  304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3" s="82"/>
      <c r="E73" s="82"/>
      <c r="F73" s="82"/>
      <c r="G73" s="82"/>
      <c r="H73" s="82"/>
      <c r="I73" s="82"/>
      <c r="J73" s="82"/>
      <c r="K73" s="84"/>
      <c r="L73" s="84"/>
      <c r="M73" s="86" t="inlineStr">
        <is>
          <t xml:space="preserve">ACTION REQUIRED</t>
        </is>
      </c>
      <c r="N73" s="86"/>
      <c r="O73" s="86"/>
      <c r="Q73" s="94"/>
      <c r="R73" s="94"/>
      <c r="S73" s="90" t="inlineStr">
        <is>
          <t xml:space="preserve">encours 130,04 Md XOF</t>
        </is>
      </c>
      <c r="T73" s="90"/>
      <c r="U73" s="90"/>
      <c r="V73" s="90"/>
      <c r="W73" s="90"/>
      <c r="X73" s="90"/>
    </row>
    <row r="74" ht="14" customHeight="1">
      <c r="A74" s="80"/>
      <c r="B74" s="80"/>
      <c r="C74" s="83" t="inlineStr">
        <is>
          <t xml:space="preserve">JEV PD 12M 100,0 % (OBSERVED)  ·  Surveillance renforcée</t>
        </is>
      </c>
      <c r="D74" s="83"/>
      <c r="E74" s="83"/>
      <c r="F74" s="83"/>
      <c r="G74" s="83"/>
      <c r="H74" s="83"/>
      <c r="I74" s="83"/>
      <c r="J74" s="83"/>
      <c r="S74" s="92">
        <v>0.15</v>
      </c>
      <c r="T74" s="91"/>
      <c r="U74" s="91"/>
      <c r="V74" s="91"/>
      <c r="W74" s="93" t="inlineStr">
        <is>
          <t xml:space="preserve">avancement</t>
        </is>
      </c>
      <c r="X74" s="93"/>
    </row>
    <row r="75" ht="7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</row>
    <row r="76" ht="19" customHeight="1">
      <c r="A76" s="80" t="inlineStr">
        <is>
          <t xml:space="preserve">#03</t>
        </is>
      </c>
      <c r="B76" s="80"/>
      <c r="C76" s="81" t="inlineStr">
        <is>
          <t xml:space="preserve">SOCIETE 0088</t>
        </is>
      </c>
      <c r="D76" s="81"/>
      <c r="E76" s="81"/>
      <c r="F76" s="81"/>
      <c r="G76" s="81"/>
      <c r="H76" s="81"/>
      <c r="I76" s="81"/>
      <c r="J76" s="81"/>
      <c r="K76" s="84"/>
      <c r="L76" s="84"/>
      <c r="M76" s="85" t="inlineStr">
        <is>
          <t xml:space="preserve">CRITICAL</t>
        </is>
      </c>
      <c r="N76" s="85"/>
      <c r="O76" s="85"/>
      <c r="Q76" s="95">
        <v>235</v>
      </c>
      <c r="R76" s="95"/>
      <c r="S76" s="89" t="inlineStr">
        <is>
          <r>
            <rPr>
              <rFont val="Segoe UI"/>
              <b/>
              <color rgb="FFF59E0B"/>
              <sz val="9.5"/>
            </rPr>
            <t xml:space="preserve">WATCH</t>
          </r>
          <r>
            <rPr>
              <rFont val="Segoe UI"/>
              <color rgb="FF334155"/>
              <sz val="8.5"/>
            </rPr>
            <t xml:space="preserve">  ·  Surveillance</t>
          </r>
        </is>
      </c>
      <c r="T76" s="89"/>
      <c r="U76" s="89"/>
      <c r="V76" s="89"/>
      <c r="W76" s="89"/>
      <c r="X76" s="89"/>
    </row>
    <row r="77" ht="17" customHeight="1">
      <c r="A77" s="80"/>
      <c r="B77" s="80"/>
      <c r="C77" s="82" t="inlineStr">
        <is>
          <r>
            <rPr>
              <rFont val="Segoe UI"/>
              <b/>
              <color rgb="FF003DA5"/>
              <sz val="9"/>
            </rPr>
            <t xml:space="preserve">75,4 M XOF</t>
          </r>
          <r>
            <rPr>
              <rFont val="Segoe UI"/>
              <color rgb="FF334155"/>
              <sz val="8.5"/>
            </rPr>
            <t xml:space="preserve">  ·  307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7" s="82"/>
      <c r="E77" s="82"/>
      <c r="F77" s="82"/>
      <c r="G77" s="82"/>
      <c r="H77" s="82"/>
      <c r="I77" s="82"/>
      <c r="J77" s="82"/>
      <c r="K77" s="84"/>
      <c r="L77" s="84"/>
      <c r="M77" s="86" t="inlineStr">
        <is>
          <t xml:space="preserve">ACTION REQUIRED</t>
        </is>
      </c>
      <c r="N77" s="86"/>
      <c r="O77" s="86"/>
      <c r="Q77" s="95"/>
      <c r="R77" s="95"/>
      <c r="S77" s="90" t="inlineStr">
        <is>
          <t xml:space="preserve">encours 189,18 Md XOF</t>
        </is>
      </c>
      <c r="T77" s="90"/>
      <c r="U77" s="90"/>
      <c r="V77" s="90"/>
      <c r="W77" s="90"/>
      <c r="X77" s="90"/>
    </row>
    <row r="78" ht="14" customHeight="1">
      <c r="A78" s="80"/>
      <c r="B78" s="80"/>
      <c r="C78" s="83" t="inlineStr">
        <is>
          <t xml:space="preserve">JEV PD 12M 100,0 % (OBSERVED)  ·  Surveillance renforcée</t>
        </is>
      </c>
      <c r="D78" s="83"/>
      <c r="E78" s="83"/>
      <c r="F78" s="83"/>
      <c r="G78" s="83"/>
      <c r="H78" s="83"/>
      <c r="I78" s="83"/>
      <c r="J78" s="83"/>
      <c r="S78" s="92">
        <v>0</v>
      </c>
      <c r="T78" s="91"/>
      <c r="U78" s="91"/>
      <c r="V78" s="91"/>
      <c r="W78" s="93" t="inlineStr">
        <is>
          <t xml:space="preserve">avancement</t>
        </is>
      </c>
      <c r="X78" s="93"/>
    </row>
    <row r="79" ht="7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</row>
    <row r="80" ht="19" customHeight="1">
      <c r="A80" s="80" t="inlineStr">
        <is>
          <t xml:space="preserve">#04</t>
        </is>
      </c>
      <c r="B80" s="80"/>
      <c r="C80" s="81" t="inlineStr">
        <is>
          <t xml:space="preserve">SOCIETE 0208</t>
        </is>
      </c>
      <c r="D80" s="81"/>
      <c r="E80" s="81"/>
      <c r="F80" s="81"/>
      <c r="G80" s="81"/>
      <c r="H80" s="81"/>
      <c r="I80" s="81"/>
      <c r="J80" s="81"/>
      <c r="K80" s="84"/>
      <c r="L80" s="84"/>
      <c r="M80" s="85" t="inlineStr">
        <is>
          <t xml:space="preserve">CRITICAL</t>
        </is>
      </c>
      <c r="N80" s="85"/>
      <c r="O80" s="85"/>
      <c r="Q80" s="96">
        <v>0</v>
      </c>
      <c r="R80" s="96"/>
      <c r="S80" s="89" t="inlineStr">
        <is>
          <r>
            <rPr>
              <rFont val="Segoe UI"/>
              <b/>
              <color rgb="FF16A34A"/>
              <sz val="9.5"/>
            </rPr>
            <t xml:space="preserve">CURED</t>
          </r>
          <r>
            <rPr>
              <rFont val="Segoe UI"/>
              <color rgb="FF334155"/>
              <sz val="8.5"/>
            </rPr>
            <t xml:space="preserve">  ·  Régularisé</t>
          </r>
        </is>
      </c>
      <c r="T80" s="89"/>
      <c r="U80" s="89"/>
      <c r="V80" s="89"/>
      <c r="W80" s="89"/>
      <c r="X80" s="89"/>
    </row>
    <row r="81" ht="17" customHeight="1">
      <c r="A81" s="80"/>
      <c r="B81" s="80"/>
      <c r="C81" s="82" t="inlineStr">
        <is>
          <r>
            <rPr>
              <rFont val="Segoe UI"/>
              <b/>
              <color rgb="FF003DA5"/>
              <sz val="9"/>
            </rPr>
            <t xml:space="preserve">90,4 M XOF</t>
          </r>
          <r>
            <rPr>
              <rFont val="Segoe UI"/>
              <color rgb="FF334155"/>
              <sz val="8.5"/>
            </rPr>
            <t xml:space="preserve">  ·  296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81" s="82"/>
      <c r="E81" s="82"/>
      <c r="F81" s="82"/>
      <c r="G81" s="82"/>
      <c r="H81" s="82"/>
      <c r="I81" s="82"/>
      <c r="J81" s="82"/>
      <c r="K81" s="84"/>
      <c r="L81" s="84"/>
      <c r="M81" s="86" t="inlineStr">
        <is>
          <t xml:space="preserve">ACTION REQUIRED</t>
        </is>
      </c>
      <c r="N81" s="86"/>
      <c r="O81" s="86"/>
      <c r="Q81" s="96"/>
      <c r="R81" s="96"/>
      <c r="S81" s="90" t="inlineStr">
        <is>
          <t xml:space="preserve">impayés résorbés 0 XOF</t>
        </is>
      </c>
      <c r="T81" s="90"/>
      <c r="U81" s="90"/>
      <c r="V81" s="90"/>
      <c r="W81" s="90"/>
      <c r="X81" s="90"/>
    </row>
    <row r="82" ht="14" customHeight="1">
      <c r="A82" s="80"/>
      <c r="B82" s="80"/>
      <c r="C82" s="83" t="inlineStr">
        <is>
          <t xml:space="preserve">JEV PD 12M 100,0 % (OBSERVED)  ·  Surveillance renforcée</t>
        </is>
      </c>
      <c r="D82" s="83"/>
      <c r="E82" s="83"/>
      <c r="F82" s="83"/>
      <c r="G82" s="83"/>
      <c r="H82" s="83"/>
      <c r="I82" s="83"/>
      <c r="J82" s="83"/>
      <c r="S82" s="92">
        <v>0</v>
      </c>
      <c r="T82" s="91"/>
      <c r="U82" s="91"/>
      <c r="V82" s="91"/>
      <c r="W82" s="93" t="inlineStr">
        <is>
          <t xml:space="preserve">avancement</t>
        </is>
      </c>
      <c r="X82" s="93"/>
    </row>
    <row r="83" ht="7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</row>
    <row r="86" ht="24" customHeight="1">
      <c r="A86" s="74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KEY INSIGHTS</t>
          </r>
          <r>
            <rPr>
              <rFont val="Segoe UI"/>
              <i/>
              <color rgb="FF64748B"/>
              <sz val="8"/>
            </rPr>
            <t xml:space="preserve">    calculés sur les données de l'arrêté</t>
          </r>
        </is>
      </c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</row>
    <row r="87" ht="16" customHeight="1">
      <c r="A87" s="97" t="inlineStr">
        <is>
          <r>
            <rPr>
              <rFont val="Segoe UI"/>
              <b/>
              <color rgb="FFC8A951"/>
              <sz val="12"/>
            </rPr>
            <t xml:space="preserve">01  </t>
          </r>
          <r>
            <rPr>
              <rFont val="Segoe UI"/>
              <b/>
              <color rgb="FF334155"/>
              <sz val="8.5"/>
            </rPr>
            <t xml:space="preserve">IMPAYÉS EN HAUSSE</t>
          </r>
        </is>
      </c>
      <c r="B87" s="97"/>
      <c r="C87" s="97"/>
      <c r="D87" s="97"/>
      <c r="E87" s="97"/>
      <c r="F87" s="97"/>
      <c r="G87" s="100" t="inlineStr">
        <is>
          <r>
            <rPr>
              <rFont val="Segoe UI"/>
              <b/>
              <color rgb="FFC8A951"/>
              <sz val="12"/>
            </rPr>
            <t xml:space="preserve">02  </t>
          </r>
          <r>
            <rPr>
              <rFont val="Segoe UI"/>
              <b/>
              <color rgb="FF334155"/>
              <sz val="8.5"/>
            </rPr>
            <t xml:space="preserve">CONCENTRATION</t>
          </r>
        </is>
      </c>
      <c r="H87" s="100"/>
      <c r="I87" s="100"/>
      <c r="J87" s="100"/>
      <c r="K87" s="100"/>
      <c r="L87" s="100"/>
      <c r="M87" s="102" t="inlineStr">
        <is>
          <r>
            <rPr>
              <rFont val="Segoe UI"/>
              <b/>
              <color rgb="FFC8A951"/>
              <sz val="12"/>
            </rPr>
            <t xml:space="preserve">03  </t>
          </r>
          <r>
            <rPr>
              <rFont val="Segoe UI"/>
              <b/>
              <color rgb="FF334155"/>
              <sz val="8.5"/>
            </rPr>
            <t xml:space="preserve">MIGRATION</t>
          </r>
        </is>
      </c>
      <c r="N87" s="102"/>
      <c r="O87" s="102"/>
      <c r="P87" s="102"/>
      <c r="Q87" s="102"/>
      <c r="R87" s="102"/>
      <c r="S87" s="97" t="inlineStr">
        <is>
          <r>
            <rPr>
              <rFont val="Segoe UI"/>
              <b/>
              <color rgb="FFC8A951"/>
              <sz val="12"/>
            </rPr>
            <t xml:space="preserve">04  </t>
          </r>
          <r>
            <rPr>
              <rFont val="Segoe UI"/>
              <b/>
              <color rgb="FF334155"/>
              <sz val="8.5"/>
            </rPr>
            <t xml:space="preserve">ACTION</t>
          </r>
        </is>
      </c>
      <c r="T87" s="97"/>
      <c r="U87" s="97"/>
      <c r="V87" s="97"/>
      <c r="W87" s="97"/>
      <c r="X87" s="97"/>
    </row>
    <row r="88" ht="22" customHeight="1">
      <c r="A88" s="98" t="inlineStr">
        <is>
          <t xml:space="preserve">+333,3 M XOF</t>
        </is>
      </c>
      <c r="B88" s="98"/>
      <c r="C88" s="98"/>
      <c r="D88" s="98"/>
      <c r="E88" s="98"/>
      <c r="F88" s="98"/>
      <c r="G88" s="101" t="inlineStr">
        <is>
          <t xml:space="preserve">TOP 10 = 8,3 %</t>
        </is>
      </c>
      <c r="H88" s="101"/>
      <c r="I88" s="101"/>
      <c r="J88" s="101"/>
      <c r="K88" s="101"/>
      <c r="L88" s="101"/>
      <c r="M88" s="103" t="inlineStr">
        <is>
          <t xml:space="preserve">9 dossiers</t>
        </is>
      </c>
      <c r="N88" s="103"/>
      <c r="O88" s="103"/>
      <c r="P88" s="103"/>
      <c r="Q88" s="103"/>
      <c r="R88" s="103"/>
      <c r="S88" s="98" t="inlineStr">
        <is>
          <t xml:space="preserve">54 dossiers</t>
        </is>
      </c>
      <c r="T88" s="98"/>
      <c r="U88" s="98"/>
      <c r="V88" s="98"/>
      <c r="W88" s="98"/>
      <c r="X88" s="98"/>
    </row>
    <row r="89" ht="46" customHeight="1">
      <c r="A89" s="99" t="inlineStr">
        <is>
          <t xml:space="preserve">Les impayés passent de 31,56 Md à 31,89 Md XOF depuis le 31/08/2026. Nouveaux impayés : 8,5 M (3 % des hausses) ; régularisations : 0 ; remboursements partiels : 0.</t>
        </is>
      </c>
      <c r="B89" s="99"/>
      <c r="C89" s="99"/>
      <c r="D89" s="99"/>
      <c r="E89" s="99"/>
      <c r="F89" s="99"/>
      <c r="G89" s="99" t="inlineStr">
        <is>
          <t xml:space="preserve">Les 10 premiers clients portent 70,74 Md XOF sur 850,39 Md. Premier client : SOCIETE 0378 (1,0 %). Premier segment : X (100 %).</t>
        </is>
      </c>
      <c r="H89" s="99"/>
      <c r="I89" s="99"/>
      <c r="J89" s="99"/>
      <c r="K89" s="99"/>
      <c r="L89" s="99"/>
      <c r="M89" s="99" t="inlineStr">
        <is>
          <t xml:space="preserve">9 clients ont migré vers une tranche d'impayé plus dégradée (1,3 % des clients suivis), dont 6 au-delà de 90 jours ou en Stage 3 pour 3,49 Md XOF d'encours.</t>
        </is>
      </c>
      <c r="N89" s="99"/>
      <c r="O89" s="99"/>
      <c r="P89" s="99"/>
      <c r="Q89" s="99"/>
      <c r="R89" s="99"/>
      <c r="S89" s="99" t="inlineStr">
        <is>
          <t xml:space="preserve">6 dossiers critiques (3,49 Md XOF) et 48 en priorité haute nécessitent une intervention. Premier dossier : SOCIETE 0450 (3,03 Md, 304 j).</t>
        </is>
      </c>
      <c r="T89" s="99"/>
      <c r="U89" s="99"/>
      <c r="V89" s="99"/>
      <c r="W89" s="99"/>
      <c r="X89" s="99"/>
    </row>
  </sheetData>
  <mergeCells count="172">
    <mergeCell ref="A1:R1"/>
    <mergeCell ref="S1:X1"/>
    <mergeCell ref="A2:O6"/>
    <mergeCell ref="P2:X2"/>
    <mergeCell ref="P3:X3"/>
    <mergeCell ref="P4:X4"/>
    <mergeCell ref="P5:X5"/>
    <mergeCell ref="P6:X6"/>
    <mergeCell ref="A8:H8"/>
    <mergeCell ref="I8:P8"/>
    <mergeCell ref="Q8:X8"/>
    <mergeCell ref="A10:F10"/>
    <mergeCell ref="G10:L10"/>
    <mergeCell ref="M10:R10"/>
    <mergeCell ref="S10:X10"/>
    <mergeCell ref="A13:D13"/>
    <mergeCell ref="A14:D15"/>
    <mergeCell ref="A16:D16"/>
    <mergeCell ref="A17:B17"/>
    <mergeCell ref="C17:D17"/>
    <mergeCell ref="A18:D18"/>
    <mergeCell ref="F13:I13"/>
    <mergeCell ref="F14:I15"/>
    <mergeCell ref="F16:I16"/>
    <mergeCell ref="F17:G17"/>
    <mergeCell ref="H17:I17"/>
    <mergeCell ref="F18:I18"/>
    <mergeCell ref="K13:N13"/>
    <mergeCell ref="K14:N15"/>
    <mergeCell ref="K16:N16"/>
    <mergeCell ref="K17:L17"/>
    <mergeCell ref="M17:N17"/>
    <mergeCell ref="K18:N18"/>
    <mergeCell ref="P13:S13"/>
    <mergeCell ref="P14:S15"/>
    <mergeCell ref="P16:S16"/>
    <mergeCell ref="P17:Q17"/>
    <mergeCell ref="R17:S17"/>
    <mergeCell ref="P18:S18"/>
    <mergeCell ref="U13:X13"/>
    <mergeCell ref="U14:X15"/>
    <mergeCell ref="U16:X16"/>
    <mergeCell ref="U17:V17"/>
    <mergeCell ref="W17:X17"/>
    <mergeCell ref="U18:X18"/>
    <mergeCell ref="A21:D21"/>
    <mergeCell ref="A22:D23"/>
    <mergeCell ref="A24:D24"/>
    <mergeCell ref="A25:B25"/>
    <mergeCell ref="C25:D25"/>
    <mergeCell ref="A26:D26"/>
    <mergeCell ref="F21:I21"/>
    <mergeCell ref="F22:I23"/>
    <mergeCell ref="F24:I24"/>
    <mergeCell ref="F25:G25"/>
    <mergeCell ref="H25:I25"/>
    <mergeCell ref="F26:I26"/>
    <mergeCell ref="K21:N21"/>
    <mergeCell ref="K22:N23"/>
    <mergeCell ref="K24:N24"/>
    <mergeCell ref="K25:L25"/>
    <mergeCell ref="M25:N25"/>
    <mergeCell ref="K26:N26"/>
    <mergeCell ref="P21:S21"/>
    <mergeCell ref="P22:S23"/>
    <mergeCell ref="P24:S24"/>
    <mergeCell ref="P25:Q25"/>
    <mergeCell ref="R25:S25"/>
    <mergeCell ref="P26:S26"/>
    <mergeCell ref="U21:X21"/>
    <mergeCell ref="U22:X23"/>
    <mergeCell ref="U24:X24"/>
    <mergeCell ref="U25:V25"/>
    <mergeCell ref="W25:X25"/>
    <mergeCell ref="U26:X26"/>
    <mergeCell ref="A29:I29"/>
    <mergeCell ref="A30:I30"/>
    <mergeCell ref="A31:I31"/>
    <mergeCell ref="K29:S29"/>
    <mergeCell ref="K30:S30"/>
    <mergeCell ref="K31:S31"/>
    <mergeCell ref="U29:X29"/>
    <mergeCell ref="U30:X30"/>
    <mergeCell ref="U31:X31"/>
    <mergeCell ref="A33:O33"/>
    <mergeCell ref="Q33:X33"/>
    <mergeCell ref="A50:O50"/>
    <mergeCell ref="Q50:X50"/>
    <mergeCell ref="Q51:U51"/>
    <mergeCell ref="V51:X51"/>
    <mergeCell ref="Q52:X52"/>
    <mergeCell ref="Q53:U53"/>
    <mergeCell ref="V53:X53"/>
    <mergeCell ref="Q54:X54"/>
    <mergeCell ref="Q55:U55"/>
    <mergeCell ref="V55:X55"/>
    <mergeCell ref="Q56:X56"/>
    <mergeCell ref="Q57:U57"/>
    <mergeCell ref="V57:X57"/>
    <mergeCell ref="Q58:X58"/>
    <mergeCell ref="Q59:U59"/>
    <mergeCell ref="V59:X59"/>
    <mergeCell ref="Q60:X60"/>
    <mergeCell ref="Q61:U61"/>
    <mergeCell ref="V61:X61"/>
    <mergeCell ref="Q62:X62"/>
    <mergeCell ref="Q63:U63"/>
    <mergeCell ref="V63:X63"/>
    <mergeCell ref="Q64:X64"/>
    <mergeCell ref="A67:O67"/>
    <mergeCell ref="Q67:X67"/>
    <mergeCell ref="A68:B70"/>
    <mergeCell ref="C68:J68"/>
    <mergeCell ref="C69:J69"/>
    <mergeCell ref="C70:J70"/>
    <mergeCell ref="K68:L69"/>
    <mergeCell ref="M68:O68"/>
    <mergeCell ref="M69:O69"/>
    <mergeCell ref="A72:B74"/>
    <mergeCell ref="C72:J72"/>
    <mergeCell ref="C73:J73"/>
    <mergeCell ref="C74:J74"/>
    <mergeCell ref="K72:L73"/>
    <mergeCell ref="M72:O72"/>
    <mergeCell ref="M73:O73"/>
    <mergeCell ref="A76:B78"/>
    <mergeCell ref="C76:J76"/>
    <mergeCell ref="C77:J77"/>
    <mergeCell ref="C78:J78"/>
    <mergeCell ref="K76:L77"/>
    <mergeCell ref="M76:O76"/>
    <mergeCell ref="M77:O77"/>
    <mergeCell ref="A80:B82"/>
    <mergeCell ref="C80:J80"/>
    <mergeCell ref="C81:J81"/>
    <mergeCell ref="C82:J82"/>
    <mergeCell ref="K80:L81"/>
    <mergeCell ref="M80:O80"/>
    <mergeCell ref="M81:O81"/>
    <mergeCell ref="Q68:R69"/>
    <mergeCell ref="S68:X68"/>
    <mergeCell ref="S69:X69"/>
    <mergeCell ref="S70:V70"/>
    <mergeCell ref="W70:X70"/>
    <mergeCell ref="Q72:R73"/>
    <mergeCell ref="S72:X72"/>
    <mergeCell ref="S73:X73"/>
    <mergeCell ref="S74:V74"/>
    <mergeCell ref="W74:X74"/>
    <mergeCell ref="Q76:R77"/>
    <mergeCell ref="S76:X76"/>
    <mergeCell ref="S77:X77"/>
    <mergeCell ref="S78:V78"/>
    <mergeCell ref="W78:X78"/>
    <mergeCell ref="Q80:R81"/>
    <mergeCell ref="S80:X80"/>
    <mergeCell ref="S81:X81"/>
    <mergeCell ref="S82:V82"/>
    <mergeCell ref="W82:X82"/>
    <mergeCell ref="A86:X86"/>
    <mergeCell ref="A87:F87"/>
    <mergeCell ref="A88:F88"/>
    <mergeCell ref="A89:F89"/>
    <mergeCell ref="G87:L87"/>
    <mergeCell ref="G88:L88"/>
    <mergeCell ref="G89:L89"/>
    <mergeCell ref="M87:R87"/>
    <mergeCell ref="M88:R88"/>
    <mergeCell ref="M89:R89"/>
    <mergeCell ref="S87:X87"/>
    <mergeCell ref="S88:X88"/>
    <mergeCell ref="S89:X89"/>
  </mergeCells>
  <conditionalFormatting sqref="S70">
    <cfRule type="dataBar" priority="1">
      <dataBar>
        <cfvo type="num" val="0"/>
        <cfvo type="num" val="1"/>
        <color rgb="FFDC2626"/>
      </dataBar>
    </cfRule>
  </conditionalFormatting>
  <conditionalFormatting sqref="S74">
    <cfRule type="dataBar" priority="2">
      <dataBar>
        <cfvo type="num" val="0"/>
        <cfvo type="num" val="1"/>
        <color rgb="FFF97316"/>
      </dataBar>
    </cfRule>
  </conditionalFormatting>
  <conditionalFormatting sqref="S78">
    <cfRule type="dataBar" priority="3">
      <dataBar>
        <cfvo type="num" val="0"/>
        <cfvo type="num" val="1"/>
        <color rgb="FFF59E0B"/>
      </dataBar>
    </cfRule>
  </conditionalFormatting>
  <conditionalFormatting sqref="S82">
    <cfRule type="dataBar" priority="4">
      <dataBar>
        <cfvo type="num" val="0"/>
        <cfvo type="num" val="1"/>
        <color rgb="FF16A34A"/>
      </dataBar>
    </cfRule>
  </conditionalFormatting>
  <hyperlinks>
    <hyperlink ref="I8" location="'INSIGHTS'!A1" display="INSIGHTS"/>
    <hyperlink ref="Q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&amp;L&amp;8&amp;K64748BEXECUTIVE · INTERNAL USE ONLY&amp;R&amp;8&amp;K64748BPage &amp;P / &amp;N</oddFooter>
  </headerFooter>
  <rowBreaks count="2" manualBreakCount="2">
    <brk id="32" max="16383" man="1"/>
    <brk id="66" max="16383" man="1"/>
  </rowBreak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'_data'!B1:J1</xm:f>
              <xm:sqref>C17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'_data'!B2:J2</xm:f>
              <xm:sqref>H17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'_data'!B3:J3</xm:f>
              <xm:sqref>M17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'_data'!B4:J4</xm:f>
              <xm:sqref>R17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'_data'!B5:J5</xm:f>
              <xm:sqref>W17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'_data'!B6:J6</xm:f>
              <xm:sqref>C25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'_data'!B7:J7</xm:f>
              <xm:sqref>H25</xm:sqref>
            </x14:sparkline>
          </x14:sparklines>
        </x14:sparklineGroup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'_data'!B8:J8</xm:f>
              <xm:sqref>M25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'_data'!B9:J9</xm:f>
              <xm:sqref>K68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'_data'!B10:J10</xm:f>
              <xm:sqref>K72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'_data'!B11:J11</xm:f>
              <xm:sqref>K76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'_data'!B12:J12</xm:f>
              <xm:sqref>K80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8A951"/>
    <pageSetUpPr fitToPage="1"/>
  </sheetPr>
  <dimension ref="A1:X42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1.6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INSIGHTS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INSIGHTS
</t>
          </r>
          <r>
            <rPr>
              <rFont val="Segoe UI"/>
              <color rgb="FFC7D7F5"/>
              <sz val="10.5"/>
            </rPr>
            <t xml:space="preserve">Lecture éditoriale de l'arrêté · chaque chiffre est calculé sur les données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◆  </t>
          </r>
          <r>
            <rPr>
              <rFont val="Segoe UI"/>
              <b/>
              <color rgb="FF003DA5"/>
              <sz val="8.5"/>
            </rPr>
            <t xml:space="preserve">EXECUTIVE</t>
          </r>
        </is>
      </c>
      <c r="B8" s="11"/>
      <c r="C8" s="11"/>
      <c r="D8" s="11"/>
      <c r="E8" s="11"/>
      <c r="F8" s="11"/>
      <c r="G8" s="11"/>
      <c r="H8" s="11"/>
      <c r="I8" s="10" t="inlineStr">
        <is>
          <r>
            <rPr>
              <rFont val="Segoe UI"/>
              <color rgb="FFC8A951"/>
              <sz val="8.5"/>
            </rPr>
            <t xml:space="preserve">✦  </t>
          </r>
          <r>
            <rPr>
              <rFont val="Segoe UI"/>
              <b/>
              <color rgb="FFFFFFFF"/>
              <sz val="8.5"/>
            </rPr>
            <t xml:space="preserve">INSIGHTS</t>
          </r>
        </is>
      </c>
      <c r="J8" s="10"/>
      <c r="K8" s="10"/>
      <c r="L8" s="10"/>
      <c r="M8" s="10"/>
      <c r="N8" s="10"/>
      <c r="O8" s="10"/>
      <c r="P8" s="10"/>
      <c r="Q8" s="11" t="inlineStr">
        <is>
          <r>
            <rPr>
              <rFont val="Segoe UI"/>
              <color rgb="FF7C93C9"/>
              <sz val="8.5"/>
            </rPr>
            <t xml:space="preserve">§  </t>
          </r>
          <r>
            <rPr>
              <rFont val="Segoe UI"/>
              <b/>
              <color rgb="FF003DA5"/>
              <sz val="8.5"/>
            </rPr>
            <t xml:space="preserve">AUDIT</t>
          </r>
        </is>
      </c>
      <c r="R8" s="11"/>
      <c r="S8" s="11"/>
      <c r="T8" s="11"/>
      <c r="U8" s="11"/>
      <c r="V8" s="11"/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8" customHeight="1">
      <c r="A12" s="104"/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</row>
    <row r="13" ht="30" customHeight="1">
      <c r="A13" s="105" t="inlineStr">
        <is>
          <t xml:space="preserve">01</t>
        </is>
      </c>
      <c r="B13" s="105"/>
      <c r="C13" s="105"/>
      <c r="D13" s="106" t="inlineStr">
        <is>
          <t xml:space="preserve">IMPAYÉS EN HAUSSE</t>
        </is>
      </c>
      <c r="E13" s="106"/>
      <c r="F13" s="106"/>
      <c r="G13" s="106"/>
      <c r="H13" s="106"/>
      <c r="I13" s="106"/>
      <c r="J13" s="106"/>
      <c r="K13" s="106"/>
      <c r="L13" s="20"/>
      <c r="M13" s="105" t="inlineStr">
        <is>
          <t xml:space="preserve">02</t>
        </is>
      </c>
      <c r="N13" s="105"/>
      <c r="O13" s="105"/>
      <c r="P13" s="106" t="inlineStr">
        <is>
          <t xml:space="preserve">CONCENTRATION</t>
        </is>
      </c>
      <c r="Q13" s="106"/>
      <c r="R13" s="106"/>
      <c r="S13" s="106"/>
      <c r="T13" s="106"/>
      <c r="U13" s="106"/>
      <c r="V13" s="106"/>
      <c r="W13" s="106"/>
      <c r="X13" s="20"/>
    </row>
    <row r="14" ht="26" customHeight="1">
      <c r="A14" s="105"/>
      <c r="B14" s="105"/>
      <c r="C14" s="105"/>
      <c r="D14" s="107" t="inlineStr">
        <is>
          <t xml:space="preserve">+333,3 M XOF</t>
        </is>
      </c>
      <c r="E14" s="107"/>
      <c r="F14" s="107"/>
      <c r="G14" s="107"/>
      <c r="H14" s="107"/>
      <c r="I14" s="107"/>
      <c r="J14" s="107"/>
      <c r="K14" s="107"/>
      <c r="L14" s="20"/>
      <c r="M14" s="105"/>
      <c r="N14" s="105"/>
      <c r="O14" s="105"/>
      <c r="P14" s="114" t="inlineStr">
        <is>
          <t xml:space="preserve">TOP 10 = 8,3 %</t>
        </is>
      </c>
      <c r="Q14" s="114"/>
      <c r="R14" s="114"/>
      <c r="S14" s="114"/>
      <c r="T14" s="114"/>
      <c r="U14" s="114"/>
      <c r="V14" s="114"/>
      <c r="W14" s="114"/>
      <c r="X14" s="20"/>
    </row>
    <row r="15" ht="44" customHeight="1">
      <c r="A15" s="108"/>
      <c r="B15" s="108"/>
      <c r="C15" s="108"/>
      <c r="D15" s="109" t="inlineStr">
        <is>
          <t xml:space="preserve">Les impayés passent de 31,56 Md à 31,89 Md XOF depuis le 31/08/2026. Nouveaux impayés : 8,5 M (3 % des hausses) ; régularisations : 0 ; remboursements partiels : 0.</t>
        </is>
      </c>
      <c r="E15" s="109"/>
      <c r="F15" s="109"/>
      <c r="G15" s="109"/>
      <c r="H15" s="109"/>
      <c r="I15" s="109"/>
      <c r="J15" s="109"/>
      <c r="K15" s="109"/>
      <c r="L15" s="20"/>
      <c r="M15" s="108"/>
      <c r="N15" s="108"/>
      <c r="O15" s="108"/>
      <c r="P15" s="109" t="inlineStr">
        <is>
          <t xml:space="preserve">Les 10 premiers clients portent 70,74 Md XOF sur 850,39 Md. Premier client : SOCIETE 0378 (1,0 %). Premier segment : X (100 %).</t>
        </is>
      </c>
      <c r="Q15" s="109"/>
      <c r="R15" s="109"/>
      <c r="S15" s="109"/>
      <c r="T15" s="109"/>
      <c r="U15" s="109"/>
      <c r="V15" s="109"/>
      <c r="W15" s="109"/>
      <c r="X15" s="20"/>
    </row>
    <row r="16" ht="8" customHeight="1">
      <c r="A16" s="111"/>
      <c r="B16" s="110"/>
      <c r="C16" s="110"/>
      <c r="D16" s="110"/>
      <c r="E16" s="110"/>
      <c r="F16" s="110"/>
      <c r="G16" s="110"/>
      <c r="H16" s="110"/>
      <c r="I16" s="110"/>
      <c r="J16" s="110"/>
      <c r="K16" s="112"/>
      <c r="L16" s="20"/>
      <c r="M16" s="111"/>
      <c r="N16" s="110"/>
      <c r="O16" s="110"/>
      <c r="P16" s="110"/>
      <c r="Q16" s="110"/>
      <c r="R16" s="110"/>
      <c r="S16" s="110"/>
      <c r="T16" s="110"/>
      <c r="U16" s="110"/>
      <c r="V16" s="110"/>
      <c r="W16" s="112"/>
      <c r="X16" s="20"/>
    </row>
    <row r="17" ht="8" customHeight="1"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0"/>
    </row>
    <row r="19" ht="8" customHeight="1">
      <c r="A19" s="115"/>
      <c r="B19" s="115"/>
      <c r="C19" s="115"/>
      <c r="D19" s="115"/>
      <c r="E19" s="115"/>
      <c r="F19" s="115"/>
      <c r="G19" s="115"/>
      <c r="H19" s="115"/>
      <c r="I19" s="115"/>
      <c r="J19" s="115"/>
      <c r="K19" s="115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</row>
    <row r="20" ht="30" customHeight="1">
      <c r="A20" s="105" t="inlineStr">
        <is>
          <t xml:space="preserve">03</t>
        </is>
      </c>
      <c r="B20" s="105"/>
      <c r="C20" s="105"/>
      <c r="D20" s="106" t="inlineStr">
        <is>
          <t xml:space="preserve">MIGRATION</t>
        </is>
      </c>
      <c r="E20" s="106"/>
      <c r="F20" s="106"/>
      <c r="G20" s="106"/>
      <c r="H20" s="106"/>
      <c r="I20" s="106"/>
      <c r="J20" s="106"/>
      <c r="K20" s="106"/>
      <c r="L20" s="20"/>
      <c r="M20" s="105" t="inlineStr">
        <is>
          <t xml:space="preserve">04</t>
        </is>
      </c>
      <c r="N20" s="105"/>
      <c r="O20" s="105"/>
      <c r="P20" s="106" t="inlineStr">
        <is>
          <t xml:space="preserve">ACTION</t>
        </is>
      </c>
      <c r="Q20" s="106"/>
      <c r="R20" s="106"/>
      <c r="S20" s="106"/>
      <c r="T20" s="106"/>
      <c r="U20" s="106"/>
      <c r="V20" s="106"/>
      <c r="W20" s="106"/>
      <c r="X20" s="20"/>
    </row>
    <row r="21" ht="26" customHeight="1">
      <c r="A21" s="105"/>
      <c r="B21" s="105"/>
      <c r="C21" s="105"/>
      <c r="D21" s="116" t="inlineStr">
        <is>
          <t xml:space="preserve">9 dossiers</t>
        </is>
      </c>
      <c r="E21" s="116"/>
      <c r="F21" s="116"/>
      <c r="G21" s="116"/>
      <c r="H21" s="116"/>
      <c r="I21" s="116"/>
      <c r="J21" s="116"/>
      <c r="K21" s="116"/>
      <c r="L21" s="20"/>
      <c r="M21" s="105"/>
      <c r="N21" s="105"/>
      <c r="O21" s="105"/>
      <c r="P21" s="107" t="inlineStr">
        <is>
          <t xml:space="preserve">54 dossiers</t>
        </is>
      </c>
      <c r="Q21" s="107"/>
      <c r="R21" s="107"/>
      <c r="S21" s="107"/>
      <c r="T21" s="107"/>
      <c r="U21" s="107"/>
      <c r="V21" s="107"/>
      <c r="W21" s="107"/>
      <c r="X21" s="20"/>
    </row>
    <row r="22" ht="44" customHeight="1">
      <c r="A22" s="108"/>
      <c r="B22" s="108"/>
      <c r="C22" s="108"/>
      <c r="D22" s="109" t="inlineStr">
        <is>
          <t xml:space="preserve">9 clients ont migré vers une tranche d'impayé plus dégradée (1,3 % des clients suivis), dont 6 au-delà de 90 jours ou en Stage 3 pour 3,49 Md XOF d'encours.</t>
        </is>
      </c>
      <c r="E22" s="109"/>
      <c r="F22" s="109"/>
      <c r="G22" s="109"/>
      <c r="H22" s="109"/>
      <c r="I22" s="109"/>
      <c r="J22" s="109"/>
      <c r="K22" s="109"/>
      <c r="L22" s="20"/>
      <c r="M22" s="108"/>
      <c r="N22" s="108"/>
      <c r="O22" s="108"/>
      <c r="P22" s="109" t="inlineStr">
        <is>
          <t xml:space="preserve">6 dossiers critiques (3,49 Md XOF) et 48 en priorité haute nécessitent une intervention. Premier dossier : SOCIETE 0450 (3,03 Md, 304 j).</t>
        </is>
      </c>
      <c r="Q22" s="109"/>
      <c r="R22" s="109"/>
      <c r="S22" s="109"/>
      <c r="T22" s="109"/>
      <c r="U22" s="109"/>
      <c r="V22" s="109"/>
      <c r="W22" s="109"/>
      <c r="X22" s="20"/>
    </row>
    <row r="23" ht="8" customHeight="1">
      <c r="A23" s="111"/>
      <c r="B23" s="110"/>
      <c r="C23" s="110"/>
      <c r="D23" s="110"/>
      <c r="E23" s="110"/>
      <c r="F23" s="110"/>
      <c r="G23" s="110"/>
      <c r="H23" s="110"/>
      <c r="I23" s="110"/>
      <c r="J23" s="110"/>
      <c r="K23" s="112"/>
      <c r="L23" s="20"/>
      <c r="M23" s="111"/>
      <c r="N23" s="110"/>
      <c r="O23" s="110"/>
      <c r="P23" s="110"/>
      <c r="Q23" s="110"/>
      <c r="R23" s="110"/>
      <c r="S23" s="110"/>
      <c r="T23" s="110"/>
      <c r="U23" s="110"/>
      <c r="V23" s="110"/>
      <c r="W23" s="112"/>
      <c r="X23" s="20"/>
    </row>
    <row r="24" ht="8" customHeight="1"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0"/>
    </row>
    <row r="26" ht="8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</row>
    <row r="27" ht="30" customHeight="1">
      <c r="A27" s="105" t="inlineStr">
        <is>
          <t xml:space="preserve">05</t>
        </is>
      </c>
      <c r="B27" s="105"/>
      <c r="C27" s="105"/>
      <c r="D27" s="106" t="inlineStr">
        <is>
          <t xml:space="preserve">STAGE 2 &amp; 3</t>
        </is>
      </c>
      <c r="E27" s="106"/>
      <c r="F27" s="106"/>
      <c r="G27" s="106"/>
      <c r="H27" s="106"/>
      <c r="I27" s="106"/>
      <c r="J27" s="106"/>
      <c r="K27" s="106"/>
      <c r="L27" s="20"/>
      <c r="M27" s="105" t="inlineStr">
        <is>
          <t xml:space="preserve">06</t>
        </is>
      </c>
      <c r="N27" s="105"/>
      <c r="O27" s="105"/>
      <c r="P27" s="106" t="inlineStr">
        <is>
          <t xml:space="preserve">RÉGULARISATIONS</t>
        </is>
      </c>
      <c r="Q27" s="106"/>
      <c r="R27" s="106"/>
      <c r="S27" s="106"/>
      <c r="T27" s="106"/>
      <c r="U27" s="106"/>
      <c r="V27" s="106"/>
      <c r="W27" s="106"/>
      <c r="X27" s="20"/>
    </row>
    <row r="28" ht="26" customHeight="1">
      <c r="A28" s="105"/>
      <c r="B28" s="105"/>
      <c r="C28" s="105"/>
      <c r="D28" s="118" t="inlineStr">
        <is>
          <t xml:space="preserve">583,23 Md XOF</t>
        </is>
      </c>
      <c r="E28" s="118"/>
      <c r="F28" s="118"/>
      <c r="G28" s="118"/>
      <c r="H28" s="118"/>
      <c r="I28" s="118"/>
      <c r="J28" s="118"/>
      <c r="K28" s="118"/>
      <c r="L28" s="20"/>
      <c r="M28" s="105"/>
      <c r="N28" s="105"/>
      <c r="O28" s="105"/>
      <c r="P28" s="120" t="inlineStr">
        <is>
          <t xml:space="preserve">0 dossiers</t>
        </is>
      </c>
      <c r="Q28" s="120"/>
      <c r="R28" s="120"/>
      <c r="S28" s="120"/>
      <c r="T28" s="120"/>
      <c r="U28" s="120"/>
      <c r="V28" s="120"/>
      <c r="W28" s="120"/>
      <c r="X28" s="20"/>
    </row>
    <row r="29" ht="44" customHeight="1">
      <c r="A29" s="108"/>
      <c r="B29" s="108"/>
      <c r="C29" s="108"/>
      <c r="D29" s="109" t="inlineStr">
        <is>
          <t xml:space="preserve">Stage 2 : 259,46 Md (30,5 % de l'encours) ; −947,9 M sur le mois. Stage 3 : 323,78 Md (38,1 %) ; +3,49 Md. Provisions : 37,32 Md XOF.</t>
        </is>
      </c>
      <c r="E29" s="109"/>
      <c r="F29" s="109"/>
      <c r="G29" s="109"/>
      <c r="H29" s="109"/>
      <c r="I29" s="109"/>
      <c r="J29" s="109"/>
      <c r="K29" s="109"/>
      <c r="L29" s="20"/>
      <c r="M29" s="108"/>
      <c r="N29" s="108"/>
      <c r="O29" s="108"/>
      <c r="P29" s="109" t="inlineStr">
        <is>
          <t xml:space="preserve">0 clients en impayé au 31/08/2026 sont revenus à jour, soit 0 XOF d'impayés résorbés.</t>
        </is>
      </c>
      <c r="Q29" s="109"/>
      <c r="R29" s="109"/>
      <c r="S29" s="109"/>
      <c r="T29" s="109"/>
      <c r="U29" s="109"/>
      <c r="V29" s="109"/>
      <c r="W29" s="109"/>
      <c r="X29" s="20"/>
    </row>
    <row r="30" ht="8" customHeight="1">
      <c r="A30" s="111"/>
      <c r="B30" s="110"/>
      <c r="C30" s="110"/>
      <c r="D30" s="110"/>
      <c r="E30" s="110"/>
      <c r="F30" s="110"/>
      <c r="G30" s="110"/>
      <c r="H30" s="110"/>
      <c r="I30" s="110"/>
      <c r="J30" s="110"/>
      <c r="K30" s="112"/>
      <c r="L30" s="20"/>
      <c r="M30" s="111"/>
      <c r="N30" s="110"/>
      <c r="O30" s="110"/>
      <c r="P30" s="110"/>
      <c r="Q30" s="110"/>
      <c r="R30" s="110"/>
      <c r="S30" s="110"/>
      <c r="T30" s="110"/>
      <c r="U30" s="110"/>
      <c r="V30" s="110"/>
      <c r="W30" s="112"/>
      <c r="X30" s="20"/>
    </row>
    <row r="31" ht="8" customHeight="1"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0"/>
    </row>
    <row r="33" ht="8" customHeight="1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</row>
    <row r="34" ht="30" customHeight="1">
      <c r="A34" s="105" t="inlineStr">
        <is>
          <t xml:space="preserve">07</t>
        </is>
      </c>
      <c r="B34" s="105"/>
      <c r="C34" s="105"/>
      <c r="D34" s="106" t="inlineStr">
        <is>
          <t xml:space="preserve">PROSPECTIF · JEV</t>
        </is>
      </c>
      <c r="E34" s="106"/>
      <c r="F34" s="106"/>
      <c r="G34" s="106"/>
      <c r="H34" s="106"/>
      <c r="I34" s="106"/>
      <c r="J34" s="106"/>
      <c r="K34" s="106"/>
      <c r="L34" s="20"/>
      <c r="M34" s="105" t="inlineStr">
        <is>
          <t xml:space="preserve">08</t>
        </is>
      </c>
      <c r="N34" s="105"/>
      <c r="O34" s="105"/>
      <c r="P34" s="106" t="inlineStr">
        <is>
          <t xml:space="preserve">TYPESAFE · RETOURS</t>
        </is>
      </c>
      <c r="Q34" s="106"/>
      <c r="R34" s="106"/>
      <c r="S34" s="106"/>
      <c r="T34" s="106"/>
      <c r="U34" s="106"/>
      <c r="V34" s="106"/>
      <c r="W34" s="106"/>
      <c r="X34" s="20"/>
    </row>
    <row r="35" ht="26" customHeight="1">
      <c r="A35" s="105"/>
      <c r="B35" s="105"/>
      <c r="C35" s="105"/>
      <c r="D35" s="122" t="inlineStr">
        <is>
          <t xml:space="preserve">PD 12M = 3,8 %</t>
        </is>
      </c>
      <c r="E35" s="122"/>
      <c r="F35" s="122"/>
      <c r="G35" s="122"/>
      <c r="H35" s="122"/>
      <c r="I35" s="122"/>
      <c r="J35" s="122"/>
      <c r="K35" s="122"/>
      <c r="L35" s="20"/>
      <c r="M35" s="105"/>
      <c r="N35" s="105"/>
      <c r="O35" s="105"/>
      <c r="P35" s="124" t="inlineStr">
        <is>
          <t xml:space="preserve">24 commentaires lus</t>
        </is>
      </c>
      <c r="Q35" s="124"/>
      <c r="R35" s="124"/>
      <c r="S35" s="124"/>
      <c r="T35" s="124"/>
      <c r="U35" s="124"/>
      <c r="V35" s="124"/>
      <c r="W35" s="124"/>
      <c r="X35" s="20"/>
    </row>
    <row r="36" ht="44" customHeight="1">
      <c r="A36" s="108"/>
      <c r="B36" s="108"/>
      <c r="C36" s="108"/>
      <c r="D36" s="109" t="inlineStr">
        <is>
          <t xml:space="preserve">Probabilité qu'un client sain aujourd'hui devienne douteux sous 12 mois (MARKOV, N = 17 850, 9 mois, confiance faible). Scénario sévère : 66,36 Md XOF d'entrées en douteux attendues (SIMULATED). Estimation indicative : historique insuffisant pour une calibration robuste.</t>
        </is>
      </c>
      <c r="E36" s="109"/>
      <c r="F36" s="109"/>
      <c r="G36" s="109"/>
      <c r="H36" s="109"/>
      <c r="I36" s="109"/>
      <c r="J36" s="109"/>
      <c r="K36" s="109"/>
      <c r="L36" s="20"/>
      <c r="M36" s="108"/>
      <c r="N36" s="108"/>
      <c r="O36" s="108"/>
      <c r="P36" s="109" t="inlineStr">
        <is>
          <t xml:space="preserve">8 dossiers en revue analyste (confiance faible ou incohérence), dont 0 par contrôle d'auto-cohérence ; 2 promesses tombent après la date de bascule. TypeSafe ne produit aucun chiffre.</t>
        </is>
      </c>
      <c r="Q36" s="109"/>
      <c r="R36" s="109"/>
      <c r="S36" s="109"/>
      <c r="T36" s="109"/>
      <c r="U36" s="109"/>
      <c r="V36" s="109"/>
      <c r="W36" s="109"/>
      <c r="X36" s="20"/>
    </row>
    <row r="37" ht="8" customHeight="1">
      <c r="A37" s="111"/>
      <c r="B37" s="110"/>
      <c r="C37" s="110"/>
      <c r="D37" s="110"/>
      <c r="E37" s="110"/>
      <c r="F37" s="110"/>
      <c r="G37" s="110"/>
      <c r="H37" s="110"/>
      <c r="I37" s="110"/>
      <c r="J37" s="110"/>
      <c r="K37" s="112"/>
      <c r="L37" s="20"/>
      <c r="M37" s="111"/>
      <c r="N37" s="110"/>
      <c r="O37" s="110"/>
      <c r="P37" s="110"/>
      <c r="Q37" s="110"/>
      <c r="R37" s="110"/>
      <c r="S37" s="110"/>
      <c r="T37" s="110"/>
      <c r="U37" s="110"/>
      <c r="V37" s="110"/>
      <c r="W37" s="112"/>
      <c r="X37" s="20"/>
    </row>
    <row r="38" ht="8" customHeight="1"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0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0"/>
    </row>
    <row r="41" ht="24" customHeight="1">
      <c r="A41" s="75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TYPESAFE · RETOURS GESTIONNAIRES</t>
          </r>
          <r>
            <rPr>
              <rFont val="Segoe UI"/>
              <i/>
              <color rgb="FF64748B"/>
              <sz val="8"/>
            </rPr>
            <t xml:space="preserve">    jugements jev-latest sur les commentaires (aucun chiffre produit par TypeSafe)</t>
          </r>
        </is>
      </c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</row>
    <row r="42" ht="22" customHeight="1">
      <c r="A42" s="125" t="inlineStr">
        <is>
          <t xml:space="preserve">24 retours lus · 8 en revue analyste · 2 promesses après la date de bascule · 3 sans commentaire</t>
        </is>
      </c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</row>
  </sheetData>
  <mergeCells count="57">
    <mergeCell ref="A1:R1"/>
    <mergeCell ref="S1:X1"/>
    <mergeCell ref="A2:O6"/>
    <mergeCell ref="P2:X2"/>
    <mergeCell ref="P3:X3"/>
    <mergeCell ref="P4:X4"/>
    <mergeCell ref="P5:X5"/>
    <mergeCell ref="P6:X6"/>
    <mergeCell ref="A8:H8"/>
    <mergeCell ref="I8:P8"/>
    <mergeCell ref="Q8:X8"/>
    <mergeCell ref="A10:F10"/>
    <mergeCell ref="G10:L10"/>
    <mergeCell ref="M10:R10"/>
    <mergeCell ref="S10:X10"/>
    <mergeCell ref="A13:C14"/>
    <mergeCell ref="D13:K13"/>
    <mergeCell ref="D14:K14"/>
    <mergeCell ref="A15:C15"/>
    <mergeCell ref="D15:K15"/>
    <mergeCell ref="M13:O14"/>
    <mergeCell ref="P13:W13"/>
    <mergeCell ref="P14:W14"/>
    <mergeCell ref="M15:O15"/>
    <mergeCell ref="P15:W15"/>
    <mergeCell ref="A20:C21"/>
    <mergeCell ref="D20:K20"/>
    <mergeCell ref="D21:K21"/>
    <mergeCell ref="A22:C22"/>
    <mergeCell ref="D22:K22"/>
    <mergeCell ref="M20:O21"/>
    <mergeCell ref="P20:W20"/>
    <mergeCell ref="P21:W21"/>
    <mergeCell ref="M22:O22"/>
    <mergeCell ref="P22:W22"/>
    <mergeCell ref="A27:C28"/>
    <mergeCell ref="D27:K27"/>
    <mergeCell ref="D28:K28"/>
    <mergeCell ref="A29:C29"/>
    <mergeCell ref="D29:K29"/>
    <mergeCell ref="M27:O28"/>
    <mergeCell ref="P27:W27"/>
    <mergeCell ref="P28:W28"/>
    <mergeCell ref="M29:O29"/>
    <mergeCell ref="P29:W29"/>
    <mergeCell ref="A34:C35"/>
    <mergeCell ref="D34:K34"/>
    <mergeCell ref="D35:K35"/>
    <mergeCell ref="A36:C36"/>
    <mergeCell ref="D36:K36"/>
    <mergeCell ref="M34:O35"/>
    <mergeCell ref="P34:W34"/>
    <mergeCell ref="P35:W35"/>
    <mergeCell ref="M36:O36"/>
    <mergeCell ref="P36:W36"/>
    <mergeCell ref="A41:X41"/>
    <mergeCell ref="A42:X42"/>
  </mergeCells>
  <hyperlinks>
    <hyperlink ref="A8" location="'EXECUTIVE'!A1" display="EXECUTIVE"/>
    <hyperlink ref="Q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&amp;L&amp;8&amp;K64748BINSIGHTS · INTERNAL USE ONLY&amp;R&amp;8&amp;K64748BPage &amp;P / &amp;N</oddFooter>
  </headerFooter>
  <rowBreaks count="1" manualBreakCount="1">
    <brk id="25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1B4D"/>
    <pageSetUpPr fitToPage="1"/>
  </sheetPr>
  <dimension ref="A1:I61"/>
  <sheetViews>
    <sheetView showGridLines="0" zoomScale="90" zoomScaleNormal="90" workbookViewId="0"/>
  </sheetViews>
  <sheetFormatPr defaultRowHeight="15"/>
  <cols>
    <col min="1" max="1" width="40" customWidth="1"/>
    <col min="2" max="2" width="24" customWidth="1"/>
    <col min="3" max="3" width="20" customWidth="1"/>
    <col min="4" max="4" width="34" customWidth="1"/>
    <col min="5" max="5" width="7" customWidth="1"/>
    <col min="6" max="6" width="7" customWidth="1"/>
    <col min="7" max="7" width="7" customWidth="1"/>
    <col min="8" max="8" width="7" customWidth="1"/>
    <col min="9" max="9" width="7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AUDIT</t>
          </r>
        </is>
      </c>
      <c r="B1" s="1"/>
      <c r="C1" s="1"/>
      <c r="D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E1" s="2"/>
      <c r="F1" s="2"/>
      <c r="G1" s="2"/>
      <c r="H1" s="2"/>
      <c r="I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AUDIT REPORT
</t>
          </r>
          <r>
            <rPr>
              <rFont val="Segoe UI"/>
              <color rgb="FFC7D7F5"/>
              <sz val="10.5"/>
            </rPr>
            <t xml:space="preserve">Traçabilité, contrôles automatiques et provenance</t>
          </r>
        </is>
      </c>
      <c r="B2" s="3"/>
      <c r="C2" s="3"/>
      <c r="D2" s="3"/>
      <c r="E2" s="3"/>
      <c r="F2" s="3"/>
      <c r="G2" s="4"/>
      <c r="H2" s="4"/>
      <c r="I2" s="4"/>
    </row>
    <row r="3" ht="16" customHeight="1">
      <c r="A3" s="3"/>
      <c r="B3" s="3"/>
      <c r="C3" s="3"/>
      <c r="D3" s="3"/>
      <c r="E3" s="3"/>
      <c r="F3" s="3"/>
      <c r="G3" s="5" t="inlineStr">
        <is>
          <t xml:space="preserve">REPORTING DATE</t>
        </is>
      </c>
      <c r="H3" s="5"/>
      <c r="I3" s="5"/>
    </row>
    <row r="4" ht="38" customHeight="1">
      <c r="A4" s="3"/>
      <c r="B4" s="3"/>
      <c r="C4" s="3"/>
      <c r="D4" s="3"/>
      <c r="E4" s="3"/>
      <c r="F4" s="3"/>
      <c r="G4" s="6" t="inlineStr">
        <is>
          <t xml:space="preserve">30 SEPTEMBER 2026</t>
        </is>
      </c>
      <c r="H4" s="6"/>
      <c r="I4" s="6"/>
    </row>
    <row r="5" ht="20" customHeight="1">
      <c r="A5" s="3"/>
      <c r="B5" s="3"/>
      <c r="C5" s="3"/>
      <c r="D5" s="3"/>
      <c r="E5" s="3"/>
      <c r="F5" s="3"/>
      <c r="G5" s="7" t="inlineStr">
        <is>
          <t xml:space="preserve">PORTFOLIO MONITORING</t>
        </is>
      </c>
      <c r="H5" s="7"/>
      <c r="I5" s="7"/>
    </row>
    <row r="6" ht="15" customHeight="1">
      <c r="A6" s="3"/>
      <c r="B6" s="3"/>
      <c r="C6" s="3"/>
      <c r="D6" s="3"/>
      <c r="E6" s="3"/>
      <c r="F6" s="3"/>
      <c r="G6" s="8" t="inlineStr">
        <is>
          <t xml:space="preserve">Portefeuille Ecobank Sénégal · 700 clients · 2 500 lignes ACTE 7</t>
        </is>
      </c>
      <c r="H6" s="8"/>
      <c r="I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</row>
    <row r="8" ht="23" customHeight="1">
      <c r="A8" s="11" t="inlineStr">
        <is>
          <r>
            <rPr>
              <rFont val="Segoe UI"/>
              <color rgb="FF7C93C9"/>
              <sz val="8.5"/>
            </rPr>
            <t xml:space="preserve">◆  </t>
          </r>
          <r>
            <rPr>
              <rFont val="Segoe UI"/>
              <b/>
              <color rgb="FF003DA5"/>
              <sz val="8.5"/>
            </rPr>
            <t xml:space="preserve">EXECUTIVE</t>
          </r>
        </is>
      </c>
      <c r="B8" s="11"/>
      <c r="C8" s="11"/>
      <c r="D8" s="11" t="inlineStr">
        <is>
          <r>
            <rPr>
              <rFont val="Segoe UI"/>
              <color rgb="FF7C93C9"/>
              <sz val="8.5"/>
            </rPr>
            <t xml:space="preserve">✦  </t>
          </r>
          <r>
            <rPr>
              <rFont val="Segoe UI"/>
              <b/>
              <color rgb="FF003DA5"/>
              <sz val="8.5"/>
            </rPr>
            <t xml:space="preserve">INSIGHTS</t>
          </r>
        </is>
      </c>
      <c r="E8" s="11"/>
      <c r="F8" s="11"/>
      <c r="G8" s="10" t="inlineStr">
        <is>
          <r>
            <rPr>
              <rFont val="Segoe UI"/>
              <color rgb="FFC8A951"/>
              <sz val="8.5"/>
            </rPr>
            <t xml:space="preserve">§  </t>
          </r>
          <r>
            <rPr>
              <rFont val="Segoe UI"/>
              <b/>
              <color rgb="FFFFFFFF"/>
              <sz val="8.5"/>
            </rPr>
            <t xml:space="preserve">AUDIT</t>
          </r>
        </is>
      </c>
      <c r="H8" s="10"/>
      <c r="I8" s="10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JEV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D10" s="13"/>
      <c r="E10" s="13"/>
      <c r="F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TYPESAFE  </t>
          </r>
          <r>
            <rPr>
              <rFont val="Segoe UI"/>
              <b/>
              <color rgb="FF001B4D"/>
              <sz val="8.5"/>
            </rPr>
            <t xml:space="preserve">24 retours · 8 en revue</t>
          </r>
        </is>
      </c>
      <c r="G10" s="13"/>
      <c r="H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I10" s="13"/>
    </row>
    <row r="11" ht="10" customHeight="1"/>
    <row r="12" ht="24" customHeight="1">
      <c r="A12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SOURCES</t>
          </r>
          <r>
            <rPr>
              <rFont val="Segoe UI"/>
              <i/>
              <color rgb="FF64748B"/>
              <sz val="8"/>
            </rPr>
            <t xml:space="preserve">    arrêtés utilisés · source canonique unique</t>
          </r>
        </is>
      </c>
      <c r="B12" s="73"/>
      <c r="C12" s="73"/>
      <c r="D12" s="73"/>
      <c r="E12" s="73"/>
      <c r="F12" s="73"/>
      <c r="G12" s="73"/>
      <c r="H12" s="73"/>
      <c r="I12" s="73"/>
    </row>
    <row r="13" ht="30" customHeight="1">
      <c r="A13" s="126" t="inlineStr">
        <is>
          <t xml:space="preserve">Arrêté</t>
        </is>
      </c>
      <c r="B13" s="126" t="inlineStr">
        <is>
          <t xml:space="preserve">Fichier</t>
        </is>
      </c>
      <c r="C13" s="126" t="inlineStr">
        <is>
          <t xml:space="preserve">Clients</t>
        </is>
      </c>
      <c r="D13" s="126" t="inlineStr">
        <is>
          <t xml:space="preserve">Usage</t>
        </is>
      </c>
    </row>
    <row r="14" ht="19" customHeight="1">
      <c r="A14" s="127" t="inlineStr">
        <is>
          <t xml:space="preserve">31/01/2026</t>
        </is>
      </c>
      <c r="B14" s="127" t="inlineStr">
        <is>
          <t xml:space="preserve">M_01.xlsx</t>
        </is>
      </c>
      <c r="C14" s="127" t="inlineStr">
        <is>
          <t xml:space="preserve">700</t>
        </is>
      </c>
      <c r="D14" s="127" t="inlineStr">
        <is>
          <t xml:space="preserve">Tendances et sparklines</t>
        </is>
      </c>
    </row>
    <row r="15" ht="19" customHeight="1">
      <c r="A15" s="128" t="inlineStr">
        <is>
          <t xml:space="preserve">28/02/2026</t>
        </is>
      </c>
      <c r="B15" s="128" t="inlineStr">
        <is>
          <t xml:space="preserve">M_02.xlsx</t>
        </is>
      </c>
      <c r="C15" s="128" t="inlineStr">
        <is>
          <t xml:space="preserve">700</t>
        </is>
      </c>
      <c r="D15" s="128" t="inlineStr">
        <is>
          <t xml:space="preserve">Tendances et sparklines</t>
        </is>
      </c>
    </row>
    <row r="16" ht="19" customHeight="1">
      <c r="A16" s="127" t="inlineStr">
        <is>
          <t xml:space="preserve">31/03/2026</t>
        </is>
      </c>
      <c r="B16" s="127" t="inlineStr">
        <is>
          <t xml:space="preserve">M_03.xlsx</t>
        </is>
      </c>
      <c r="C16" s="127" t="inlineStr">
        <is>
          <t xml:space="preserve">700</t>
        </is>
      </c>
      <c r="D16" s="127" t="inlineStr">
        <is>
          <t xml:space="preserve">Tendances et sparklines</t>
        </is>
      </c>
    </row>
    <row r="17" ht="19" customHeight="1">
      <c r="A17" s="128" t="inlineStr">
        <is>
          <t xml:space="preserve">30/04/2026</t>
        </is>
      </c>
      <c r="B17" s="128" t="inlineStr">
        <is>
          <t xml:space="preserve">M_04.xlsx</t>
        </is>
      </c>
      <c r="C17" s="128" t="inlineStr">
        <is>
          <t xml:space="preserve">700</t>
        </is>
      </c>
      <c r="D17" s="128" t="inlineStr">
        <is>
          <t xml:space="preserve">Tendances et sparklines</t>
        </is>
      </c>
    </row>
    <row r="18" ht="19" customHeight="1">
      <c r="A18" s="127" t="inlineStr">
        <is>
          <t xml:space="preserve">31/05/2026</t>
        </is>
      </c>
      <c r="B18" s="127" t="inlineStr">
        <is>
          <t xml:space="preserve">M_05.xlsx</t>
        </is>
      </c>
      <c r="C18" s="127" t="inlineStr">
        <is>
          <t xml:space="preserve">700</t>
        </is>
      </c>
      <c r="D18" s="127" t="inlineStr">
        <is>
          <t xml:space="preserve">Tendances et sparklines</t>
        </is>
      </c>
    </row>
    <row r="19" ht="19" customHeight="1">
      <c r="A19" s="128" t="inlineStr">
        <is>
          <t xml:space="preserve">30/06/2026</t>
        </is>
      </c>
      <c r="B19" s="128" t="inlineStr">
        <is>
          <t xml:space="preserve">M_06.xlsx</t>
        </is>
      </c>
      <c r="C19" s="128" t="inlineStr">
        <is>
          <t xml:space="preserve">700</t>
        </is>
      </c>
      <c r="D19" s="128" t="inlineStr">
        <is>
          <t xml:space="preserve">Tendances et sparklines</t>
        </is>
      </c>
    </row>
    <row r="20" ht="19" customHeight="1">
      <c r="A20" s="127" t="inlineStr">
        <is>
          <t xml:space="preserve">31/07/2026</t>
        </is>
      </c>
      <c r="B20" s="127" t="inlineStr">
        <is>
          <t xml:space="preserve">M_07.xlsx</t>
        </is>
      </c>
      <c r="C20" s="127" t="inlineStr">
        <is>
          <t xml:space="preserve">700</t>
        </is>
      </c>
      <c r="D20" s="127" t="inlineStr">
        <is>
          <t xml:space="preserve">Tendances et sparklines</t>
        </is>
      </c>
    </row>
    <row r="21" ht="19" customHeight="1">
      <c r="A21" s="128" t="inlineStr">
        <is>
          <t xml:space="preserve">31/08/2026</t>
        </is>
      </c>
      <c r="B21" s="128" t="inlineStr">
        <is>
          <t xml:space="preserve">M_08.xlsx</t>
        </is>
      </c>
      <c r="C21" s="128" t="inlineStr">
        <is>
          <t xml:space="preserve">700</t>
        </is>
      </c>
      <c r="D21" s="128" t="inlineStr">
        <is>
          <t xml:space="preserve">Comparaison (N-1), pont et migrations</t>
        </is>
      </c>
    </row>
    <row r="22" ht="19" customHeight="1">
      <c r="A22" s="127" t="inlineStr">
        <is>
          <t xml:space="preserve">30/09/2026</t>
        </is>
      </c>
      <c r="B22" s="127" t="inlineStr">
        <is>
          <t xml:space="preserve">M_09.xlsx</t>
        </is>
      </c>
      <c r="C22" s="127" t="inlineStr">
        <is>
          <t xml:space="preserve">700</t>
        </is>
      </c>
      <c r="D22" s="127" t="inlineStr">
        <is>
          <t xml:space="preserve">Arrêté de référence (N)</t>
        </is>
      </c>
    </row>
    <row r="24" ht="24" customHeight="1">
      <c r="A24" s="129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CONTRÔLES AUTOMATIQUES</t>
          </r>
          <r>
            <rPr>
              <rFont val="Segoe UI"/>
              <i/>
              <color rgb="FF64748B"/>
              <sz val="8"/>
            </rPr>
            <t xml:space="preserve">    vérifiés à la génération</t>
          </r>
        </is>
      </c>
      <c r="B24" s="129"/>
      <c r="C24" s="129"/>
      <c r="D24" s="129"/>
      <c r="E24" s="129"/>
      <c r="F24" s="129"/>
      <c r="G24" s="129"/>
      <c r="H24" s="129"/>
      <c r="I24" s="129"/>
    </row>
    <row r="25" ht="30" customHeight="1">
      <c r="A25" s="126" t="inlineStr">
        <is>
          <t xml:space="preserve">Contrôle</t>
        </is>
      </c>
      <c r="B25" s="126" t="inlineStr">
        <is>
          <t xml:space="preserve">Valeur</t>
        </is>
      </c>
      <c r="C25" s="126" t="inlineStr">
        <is>
          <t xml:space="preserve">Référence</t>
        </is>
      </c>
      <c r="D25" s="126" t="inlineStr">
        <is>
          <t xml:space="preserve">Résultat</t>
        </is>
      </c>
    </row>
    <row r="26" ht="19" customHeight="1">
      <c r="A26" s="127" t="inlineStr">
        <is>
          <t xml:space="preserve">Encours : somme des clients = agrégat APEX</t>
        </is>
      </c>
      <c r="B26" s="127" t="inlineStr">
        <is>
          <t xml:space="preserve">850 385 585 746</t>
        </is>
      </c>
      <c r="C26" s="127" t="inlineStr">
        <is>
          <t xml:space="preserve">850 385 585 746</t>
        </is>
      </c>
      <c r="D26" s="130" t="inlineStr">
        <is>
          <t xml:space="preserve">✔ CONFORME</t>
        </is>
      </c>
    </row>
    <row r="27" ht="19" customHeight="1">
      <c r="A27" s="128" t="inlineStr">
        <is>
          <t xml:space="preserve">Impayés : somme des clients = agrégat APEX</t>
        </is>
      </c>
      <c r="B27" s="128" t="inlineStr">
        <is>
          <t xml:space="preserve">31 893 133 004</t>
        </is>
      </c>
      <c r="C27" s="128" t="inlineStr">
        <is>
          <t xml:space="preserve">31 893 133 004</t>
        </is>
      </c>
      <c r="D27" s="130" t="inlineStr">
        <is>
          <t xml:space="preserve">✔ CONFORME</t>
        </is>
      </c>
    </row>
    <row r="28" ht="19" customHeight="1">
      <c r="A28" s="127" t="inlineStr">
        <is>
          <t xml:space="preserve">Pont des impayés : ouverture + mouvements = clôture</t>
        </is>
      </c>
      <c r="B28" s="127" t="inlineStr">
        <is>
          <t xml:space="preserve">0</t>
        </is>
      </c>
      <c r="C28" s="127" t="inlineStr">
        <is>
          <t xml:space="preserve">0</t>
        </is>
      </c>
      <c r="D28" s="130" t="inlineStr">
        <is>
          <t xml:space="preserve">✔ CONFORME</t>
        </is>
      </c>
    </row>
    <row r="29" ht="19" customHeight="1">
      <c r="A29" s="128" t="inlineStr">
        <is>
          <t xml:space="preserve">Tranches : somme des encours par tranche = encours total</t>
        </is>
      </c>
      <c r="B29" s="128" t="inlineStr">
        <is>
          <t xml:space="preserve">850 385 585 746</t>
        </is>
      </c>
      <c r="C29" s="128" t="inlineStr">
        <is>
          <t xml:space="preserve">850 385 585 746</t>
        </is>
      </c>
      <c r="D29" s="130" t="inlineStr">
        <is>
          <t xml:space="preserve">✔ CONFORME</t>
        </is>
      </c>
    </row>
    <row r="30" ht="19" customHeight="1">
      <c r="A30" s="127" t="inlineStr">
        <is>
          <t xml:space="preserve">Watchlist : encours ≤ encours total</t>
        </is>
      </c>
      <c r="B30" s="127" t="inlineStr">
        <is>
          <t xml:space="preserve">322 705 241 935</t>
        </is>
      </c>
      <c r="C30" s="127" t="inlineStr">
        <is>
          <t xml:space="preserve">322 705 241 935</t>
        </is>
      </c>
      <c r="D30" s="130" t="inlineStr">
        <is>
          <t xml:space="preserve">✔ CONFORME</t>
        </is>
      </c>
    </row>
    <row r="31" ht="19" customHeight="1">
      <c r="A31" s="128" t="inlineStr">
        <is>
          <t xml:space="preserve">Clients en double</t>
        </is>
      </c>
      <c r="B31" s="128" t="inlineStr">
        <is>
          <t xml:space="preserve">700</t>
        </is>
      </c>
      <c r="C31" s="128" t="inlineStr">
        <is>
          <t xml:space="preserve">700</t>
        </is>
      </c>
      <c r="D31" s="130" t="inlineStr">
        <is>
          <t xml:space="preserve">✔ CONFORME</t>
        </is>
      </c>
    </row>
    <row r="32" ht="19" customHeight="1">
      <c r="A32" s="127" t="inlineStr">
        <is>
          <t xml:space="preserve">Valeurs non numériques (NaN / Infini)</t>
        </is>
      </c>
      <c r="B32" s="127" t="inlineStr">
        <is>
          <t xml:space="preserve">0</t>
        </is>
      </c>
      <c r="C32" s="127" t="inlineStr">
        <is>
          <t xml:space="preserve">0</t>
        </is>
      </c>
      <c r="D32" s="130" t="inlineStr">
        <is>
          <t xml:space="preserve">✔ CONFORME</t>
        </is>
      </c>
    </row>
    <row r="33" ht="19" customHeight="1">
      <c r="A33" s="128" t="inlineStr">
        <is>
          <t xml:space="preserve">Provisions de l'historique sur base IFRS 9 (comparables)</t>
        </is>
      </c>
      <c r="B33" s="128" t="inlineStr">
        <is>
          <t xml:space="preserve">9</t>
        </is>
      </c>
      <c r="C33" s="128" t="inlineStr">
        <is>
          <t xml:space="preserve">9</t>
        </is>
      </c>
      <c r="D33" s="130" t="inlineStr">
        <is>
          <t xml:space="preserve">✔ CONFORME</t>
        </is>
      </c>
    </row>
    <row r="34" ht="19" customHeight="1">
      <c r="A34" s="127" t="inlineStr">
        <is>
          <t xml:space="preserve">JEV : PD avec provenance pour chaque client de la watchlist</t>
        </is>
      </c>
      <c r="B34" s="127" t="inlineStr">
        <is>
          <t xml:space="preserve">289</t>
        </is>
      </c>
      <c r="C34" s="127" t="inlineStr">
        <is>
          <t xml:space="preserve">289</t>
        </is>
      </c>
      <c r="D34" s="130" t="inlineStr">
        <is>
          <t xml:space="preserve">✔ CONFORME</t>
        </is>
      </c>
    </row>
    <row r="35" ht="19" customHeight="1">
      <c r="A35" s="128" t="inlineStr">
        <is>
          <t xml:space="preserve">Historique disponible pour les tendances</t>
        </is>
      </c>
      <c r="B35" s="128" t="inlineStr">
        <is>
          <t xml:space="preserve">9</t>
        </is>
      </c>
      <c r="C35" s="128" t="inlineStr">
        <is>
          <t xml:space="preserve">2</t>
        </is>
      </c>
      <c r="D35" s="130" t="inlineStr">
        <is>
          <t xml:space="preserve">✔ CONFORME</t>
        </is>
      </c>
    </row>
    <row r="37" ht="24" customHeight="1">
      <c r="A37" s="74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RÈGLES DE CALCUL</t>
          </r>
          <r>
            <rPr>
              <rFont val="Segoe UI"/>
              <i/>
              <color rgb="FF64748B"/>
              <sz val="8"/>
            </rPr>
            <t xml:space="preserve">    identiques à l'écran, au PDF et à toutes les feuilles</t>
          </r>
        </is>
      </c>
      <c r="B37" s="74"/>
      <c r="C37" s="74"/>
      <c r="D37" s="74"/>
      <c r="E37" s="74"/>
      <c r="F37" s="74"/>
      <c r="G37" s="74"/>
      <c r="H37" s="74"/>
      <c r="I37" s="74"/>
    </row>
    <row r="38" ht="30" customHeight="1">
      <c r="A38" s="126" t="inlineStr">
        <is>
          <t xml:space="preserve">Indicateur</t>
        </is>
      </c>
      <c r="B38" s="126" t="inlineStr">
        <is>
          <t xml:space="preserve">Règle</t>
        </is>
      </c>
      <c r="C38" s="126"/>
      <c r="D38" s="126"/>
    </row>
    <row r="39" ht="32" customHeight="1">
      <c r="A39" s="127" t="inlineStr">
        <is>
          <t xml:space="preserve">Tranches d'impayé</t>
        </is>
      </c>
      <c r="B39" s="131" t="inlineStr">
        <is>
          <t xml:space="preserve">Sain · 1-30 j · 31-60 j · 61-90 j · &gt; 90 j / S3 (Stage 3, classe III/IV/V ou GL 292)</t>
        </is>
      </c>
      <c r="C39" s="127"/>
      <c r="D39" s="127"/>
    </row>
    <row r="40" ht="32" customHeight="1">
      <c r="A40" s="128" t="inlineStr">
        <is>
          <t xml:space="preserve">Criticité</t>
        </is>
      </c>
      <c r="B40" s="132" t="inlineStr">
        <is>
          <t xml:space="preserve">CRITICAL : criticité APEX « CRITIQUE », migration vers &gt; 90 j / S3, ou 76-90 j · HIGH : « ÉLEVÉE », tranche 61-90 j ou migration · WATCH : Stage 2, 31-60 j, impayé en hausse · CURED : impayé N-1 régularisé</t>
        </is>
      </c>
      <c r="C40" s="128"/>
      <c r="D40" s="128"/>
    </row>
    <row r="41" ht="32" customHeight="1">
      <c r="A41" s="127" t="inlineStr">
        <is>
          <t xml:space="preserve">Pont des impayés</t>
        </is>
      </c>
      <c r="B41" s="131" t="inlineStr">
        <is>
          <t xml:space="preserve">Ouverture (N-1) + nouveaux impayés + détériorations + nouveaux clients + régularisations + remboursements partiels + sorties = clôture (N)</t>
        </is>
      </c>
      <c r="C41" s="127"/>
      <c r="D41" s="127"/>
    </row>
    <row r="42" ht="32" customHeight="1">
      <c r="A42" s="128" t="inlineStr">
        <is>
          <t xml:space="preserve">Provisions</t>
        </is>
      </c>
      <c r="B42" s="132" t="inlineStr">
        <is>
          <t xml:space="preserve">ECL réel de l'ACTE 7, sinon modélisé par stage (1 % / 25 % / 100 %) — règle APEX</t>
        </is>
      </c>
      <c r="C42" s="128"/>
      <c r="D42" s="128"/>
    </row>
    <row r="43" ht="32" customHeight="1">
      <c r="A43" s="127" t="inlineStr">
        <is>
          <t xml:space="preserve">Concentration</t>
        </is>
      </c>
      <c r="B43" s="131" t="inlineStr">
        <is>
          <t xml:space="preserve">Top 10 clients, part du premier client, HHI (somme des parts au carré × 10 000)</t>
        </is>
      </c>
      <c r="C43" s="127"/>
      <c r="D43" s="127"/>
    </row>
    <row r="44" ht="32" customHeight="1">
      <c r="A44" s="128" t="inlineStr">
        <is>
          <t xml:space="preserve">Classes et stages</t>
        </is>
      </c>
      <c r="B44" s="132" t="inlineStr">
        <is>
          <t xml:space="preserve">BCEAO, IFRS 9 et ACTE 7 calculés par APEX ; ce moteur ne les modifie pas</t>
        </is>
      </c>
      <c r="C44" s="128"/>
      <c r="D44" s="128"/>
    </row>
    <row r="45" ht="32" customHeight="1">
      <c r="A45" s="127" t="inlineStr">
        <is>
          <t xml:space="preserve">TypeSafe</t>
        </is>
      </c>
      <c r="B45" s="131" t="inlineStr">
        <is>
          <t xml:space="preserve">Jugements uniquement (motif, crédibilité, incohérence) ; aucun chiffre ; revue analyste si confiance faible</t>
        </is>
      </c>
      <c r="C45" s="127"/>
      <c r="D45" s="127"/>
    </row>
    <row r="46" ht="32" customHeight="1">
      <c r="A46" s="128" t="inlineStr">
        <is>
          <t xml:space="preserve">JEV</t>
        </is>
      </c>
      <c r="B46" s="132" t="inlineStr">
        <is>
          <t xml:space="preserve">Probabilités avec provenance obligatoire (OBSERVED, EMPIRICAL, MARKOV, EXPERT, STRESS, SIMULATED, HYBRID)</t>
        </is>
      </c>
      <c r="C46" s="128"/>
      <c r="D46" s="128"/>
    </row>
    <row r="48" ht="24" customHeight="1">
      <c r="A48" s="133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COUVERTURE JEV &amp; TYPESAFE</t>
          </r>
          <r>
            <rPr>
              <rFont val="Segoe UI"/>
              <i/>
              <color rgb="FF64748B"/>
              <sz val="8"/>
            </rPr>
            <t xml:space="preserve">    tout ce qui peut relever d'un jugement ou d'une probabilité</t>
          </r>
        </is>
      </c>
      <c r="B48" s="133"/>
      <c r="C48" s="133"/>
      <c r="D48" s="133"/>
      <c r="E48" s="133"/>
      <c r="F48" s="133"/>
      <c r="G48" s="133"/>
      <c r="H48" s="133"/>
      <c r="I48" s="133"/>
    </row>
    <row r="49" ht="30" customHeight="1">
      <c r="A49" s="126" t="inlineStr">
        <is>
          <t xml:space="preserve">Domaine</t>
        </is>
      </c>
      <c r="B49" s="126" t="inlineStr">
        <is>
          <t xml:space="preserve">Contrôle</t>
        </is>
      </c>
      <c r="C49" s="126" t="inlineStr">
        <is>
          <t xml:space="preserve">Couverture</t>
        </is>
      </c>
      <c r="D49" s="126" t="inlineStr">
        <is>
          <t xml:space="preserve">Détail</t>
        </is>
      </c>
    </row>
    <row r="50" ht="19" customHeight="1">
      <c r="A50" s="127" t="inlineStr">
        <is>
          <t xml:space="preserve">Probabilité de dégradation (PD 3/6/12M)</t>
        </is>
      </c>
      <c r="B50" s="127" t="inlineStr">
        <is>
          <t xml:space="preserve">JEV · MARKOV / HYBRID</t>
        </is>
      </c>
      <c r="C50" s="127" t="inlineStr">
        <is>
          <t xml:space="preserve">✔ actif</t>
        </is>
      </c>
      <c r="D50" s="127" t="inlineStr">
        <is>
          <t xml:space="preserve">calibré sur 9 arrêtés · MARKOV · Markov mensuel portefeuille · N = 17 850 · Historique = 9 mois · Horizon = 12 m · Confiance = faible</t>
        </is>
      </c>
    </row>
    <row r="51" ht="19" customHeight="1">
      <c r="A51" s="128" t="inlineStr">
        <is>
          <t xml:space="preserve">Taux observé (cohortes)</t>
        </is>
      </c>
      <c r="B51" s="128" t="inlineStr">
        <is>
          <t xml:space="preserve">JEV · EMPIRICAL</t>
        </is>
      </c>
      <c r="C51" s="128" t="inlineStr">
        <is>
          <t xml:space="preserve">✔ actif</t>
        </is>
      </c>
      <c r="D51" s="128" t="inlineStr">
        <is>
          <t xml:space="preserve">pas de cohorte complète à 12 mois</t>
        </is>
      </c>
    </row>
    <row r="52" ht="19" customHeight="1">
      <c r="A52" s="127" t="inlineStr">
        <is>
          <t xml:space="preserve">Stress et scénarios</t>
        </is>
      </c>
      <c r="B52" s="127" t="inlineStr">
        <is>
          <t xml:space="preserve">JEV · STRESS / SIMULATED</t>
        </is>
      </c>
      <c r="C52" s="127" t="inlineStr">
        <is>
          <t xml:space="preserve">✔ actif</t>
        </is>
      </c>
      <c r="D52" s="127" t="inlineStr">
        <is>
          <t xml:space="preserve">×1,5 et ×2,0 · Monte Carlo</t>
        </is>
      </c>
    </row>
    <row r="53" ht="19" customHeight="1">
      <c r="A53" s="128" t="inlineStr">
        <is>
          <t xml:space="preserve">PD par dossier de la watchlist</t>
        </is>
      </c>
      <c r="B53" s="128" t="inlineStr">
        <is>
          <t xml:space="preserve">JEV · HYBRID (Markov + EWS + expert)</t>
        </is>
      </c>
      <c r="C53" s="128" t="inlineStr">
        <is>
          <t xml:space="preserve">✔ 289 / 289</t>
        </is>
      </c>
      <c r="D53" s="128" t="inlineStr">
        <is>
          <t xml:space="preserve">signaux TypeSafe et APEX en multiplicateurs EXPERT affichés</t>
        </is>
      </c>
    </row>
    <row r="54" ht="19" customHeight="1">
      <c r="A54" s="127" t="inlineStr">
        <is>
          <t xml:space="preserve">Effet des actions sur la PD</t>
        </is>
      </c>
      <c r="B54" s="127" t="inlineStr">
        <is>
          <t xml:space="preserve">JEV · recalcul par le code</t>
        </is>
      </c>
      <c r="C54" s="127" t="inlineStr">
        <is>
          <t xml:space="preserve">✔ actif</t>
        </is>
      </c>
      <c r="D54" s="127" t="inlineStr">
        <is>
          <t xml:space="preserve">régularisation, règlement partiel, levée des signaux</t>
        </is>
      </c>
    </row>
    <row r="55" ht="19" customHeight="1">
      <c r="A55" s="128" t="inlineStr">
        <is>
          <t xml:space="preserve">Motif, crédibilité, incohérence, statut</t>
        </is>
      </c>
      <c r="B55" s="128" t="inlineStr">
        <is>
          <t xml:space="preserve">TypeSafe · Choice / Score / Noul</t>
        </is>
      </c>
      <c r="C55" s="128" t="inlineStr">
        <is>
          <t xml:space="preserve">✔ 24 dossiers</t>
        </is>
      </c>
      <c r="D55" s="128" t="inlineStr">
        <is>
          <t xml:space="preserve">commentaires gestionnaires (feuille _TYPESAFE)</t>
        </is>
      </c>
    </row>
    <row r="56" ht="19" customHeight="1">
      <c r="A56" s="127" t="inlineStr">
        <is>
          <t xml:space="preserve">Nature de l'entité, intra-groupe, segment</t>
        </is>
      </c>
      <c r="B56" s="127" t="inlineStr">
        <is>
          <t xml:space="preserve">TypeSafe · Choice / Noul</t>
        </is>
      </c>
      <c r="C56" s="127" t="inlineStr">
        <is>
          <t xml:space="preserve">✔ actif</t>
        </is>
      </c>
      <c r="D56" s="127" t="inlineStr">
        <is>
          <t xml:space="preserve">noms de clients</t>
        </is>
      </c>
    </row>
    <row r="57" ht="19" customHeight="1">
      <c r="A57" s="128" t="inlineStr">
        <is>
          <t xml:space="preserve">Urgence et orientation (re-classement, routage)</t>
        </is>
      </c>
      <c r="B57" s="128" t="inlineStr">
        <is>
          <t xml:space="preserve">TypeSafe · Score / Choice</t>
        </is>
      </c>
      <c r="C57" s="128" t="inlineStr">
        <is>
          <t xml:space="preserve">en attente</t>
        </is>
      </c>
      <c r="D57" s="128" t="inlineStr">
        <is>
          <t xml:space="preserve">capacités avancées</t>
        </is>
      </c>
    </row>
    <row r="58" ht="19" customHeight="1">
      <c r="A58" s="127" t="inlineStr">
        <is>
          <t xml:space="preserve">Auto-cohérence et cohérence du plan</t>
        </is>
      </c>
      <c r="B58" s="127" t="inlineStr">
        <is>
          <t xml:space="preserve">TypeSafe · Noul + Choice croisés</t>
        </is>
      </c>
      <c r="C58" s="127" t="inlineStr">
        <is>
          <t xml:space="preserve">en attente</t>
        </is>
      </c>
      <c r="D58" s="127" t="inlineStr">
        <is>
          <t xml:space="preserve">divergence → revue analyste</t>
        </is>
      </c>
    </row>
    <row r="59" ht="19" customHeight="1">
      <c r="A59" s="128" t="inlineStr">
        <is>
          <t xml:space="preserve">Montants, ratios, classes BCEAO / IFRS 9 / ACTE 7</t>
        </is>
      </c>
      <c r="B59" s="128" t="inlineStr">
        <is>
          <t xml:space="preserve">Code APEX uniquement</t>
        </is>
      </c>
      <c r="C59" s="128" t="inlineStr">
        <is>
          <t xml:space="preserve">✔ code</t>
        </is>
      </c>
      <c r="D59" s="128" t="inlineStr">
        <is>
          <t xml:space="preserve">jamais confiés à TypeSafe ni à JEV</t>
        </is>
      </c>
    </row>
    <row r="61">
      <c r="A61" s="134" t="inlineStr">
        <is>
          <t xml:space="preserve">Généré le 03/10/2026 13:32:39 · RI 1.0 · APEX Credit Risk OS · source : M_09.xlsx</t>
        </is>
      </c>
      <c r="B61" s="134"/>
      <c r="C61" s="134"/>
      <c r="D61" s="134"/>
      <c r="E61" s="134"/>
      <c r="F61" s="134"/>
      <c r="G61" s="134"/>
      <c r="H61" s="134"/>
      <c r="I61" s="134"/>
    </row>
  </sheetData>
  <mergeCells count="28">
    <mergeCell ref="A1:C1"/>
    <mergeCell ref="D1:I1"/>
    <mergeCell ref="A2:F6"/>
    <mergeCell ref="G2:I2"/>
    <mergeCell ref="G3:I3"/>
    <mergeCell ref="G4:I4"/>
    <mergeCell ref="G5:I5"/>
    <mergeCell ref="G6:I6"/>
    <mergeCell ref="A8:C8"/>
    <mergeCell ref="D8:F8"/>
    <mergeCell ref="G8:I8"/>
    <mergeCell ref="A10:B10"/>
    <mergeCell ref="C10:E10"/>
    <mergeCell ref="F10:G10"/>
    <mergeCell ref="H10:I10"/>
    <mergeCell ref="A12:I12"/>
    <mergeCell ref="A24:I24"/>
    <mergeCell ref="A37:I37"/>
    <mergeCell ref="B39:I39"/>
    <mergeCell ref="B40:I40"/>
    <mergeCell ref="B41:I41"/>
    <mergeCell ref="B42:I42"/>
    <mergeCell ref="B43:I43"/>
    <mergeCell ref="B44:I44"/>
    <mergeCell ref="B45:I45"/>
    <mergeCell ref="B46:I46"/>
    <mergeCell ref="A48:I48"/>
    <mergeCell ref="A61:I61"/>
  </mergeCells>
  <hyperlinks>
    <hyperlink ref="A8" location="'EXECUTIVE'!A1" display="EXECUTIVE"/>
    <hyperlink ref="D8" location="'INSIGHTS'!A1" display="INSIGHTS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&amp;L&amp;8&amp;K64748BAUDIT · INTERNAL USE ONLY&amp;R&amp;8&amp;K64748BPage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22"/>
  <sheetViews>
    <sheetView showGridLines="0" zoomScale="90" zoomScaleNormal="90" workbookViewId="0"/>
  </sheetViews>
  <sheetFormatPr defaultRowHeight="15"/>
  <sheetData>
    <row r="1">
      <c r="A1" t="inlineStr">
        <is>
          <t xml:space="preserve">trend:TOTAL EXPOSURE</t>
        </is>
      </c>
      <c r="B1">
        <v>850385585746</v>
      </c>
      <c r="C1">
        <v>850385585746</v>
      </c>
      <c r="D1">
        <v>850385585746</v>
      </c>
      <c r="E1">
        <v>850385585746</v>
      </c>
      <c r="F1">
        <v>850385585746</v>
      </c>
      <c r="G1">
        <v>850385585746</v>
      </c>
      <c r="H1">
        <v>850385585746</v>
      </c>
      <c r="I1">
        <v>850385585746</v>
      </c>
      <c r="J1">
        <v>850385585746</v>
      </c>
    </row>
    <row r="2">
      <c r="A2" t="inlineStr">
        <is>
          <t xml:space="preserve">trend:TOTAL ARREARS</t>
        </is>
      </c>
      <c r="B2">
        <v>29184523554</v>
      </c>
      <c r="C2">
        <v>29420095999</v>
      </c>
      <c r="D2">
        <v>29702243448</v>
      </c>
      <c r="E2">
        <v>29928927133</v>
      </c>
      <c r="F2">
        <v>30088767435</v>
      </c>
      <c r="G2">
        <v>30408508959</v>
      </c>
      <c r="H2">
        <v>31308379288</v>
      </c>
      <c r="I2">
        <v>31559855616</v>
      </c>
      <c r="J2">
        <v>31893133004</v>
      </c>
    </row>
    <row r="3">
      <c r="A3" t="inlineStr">
        <is>
          <t xml:space="preserve">trend:31–60 DAYS</t>
        </is>
      </c>
      <c r="B3">
        <v>97919154363</v>
      </c>
      <c r="C3">
        <v>100736196861</v>
      </c>
      <c r="D3">
        <v>100820998088</v>
      </c>
      <c r="E3">
        <v>102686058724</v>
      </c>
      <c r="F3">
        <v>95240867443</v>
      </c>
      <c r="G3">
        <v>95336464373</v>
      </c>
      <c r="H3">
        <v>95555921752</v>
      </c>
      <c r="I3">
        <v>89488301160</v>
      </c>
      <c r="J3">
        <v>86369133509</v>
      </c>
    </row>
    <row r="4">
      <c r="A4" t="inlineStr">
        <is>
          <t xml:space="preserve">trend:61–90 DAYS</t>
        </is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>
      <c r="A5" t="inlineStr">
        <is>
          <t xml:space="preserve">trend:&gt; 90 DAYS / S3</t>
        </is>
      </c>
      <c r="B5">
        <v>263523119585</v>
      </c>
      <c r="C5">
        <v>275253548816</v>
      </c>
      <c r="D5">
        <v>278163621132</v>
      </c>
      <c r="E5">
        <v>288562532063</v>
      </c>
      <c r="F5">
        <v>302210258189</v>
      </c>
      <c r="G5">
        <v>311191155804</v>
      </c>
      <c r="H5">
        <v>313715142480</v>
      </c>
      <c r="I5">
        <v>320285953006</v>
      </c>
      <c r="J5">
        <v>323775211401</v>
      </c>
    </row>
    <row r="6">
      <c r="A6" t="inlineStr">
        <is>
          <t xml:space="preserve">trend:STAGE 2</t>
        </is>
      </c>
      <c r="B6">
        <v>269638115746</v>
      </c>
      <c r="C6">
        <v>265469334553</v>
      </c>
      <c r="D6">
        <v>267459762762</v>
      </c>
      <c r="E6">
        <v>260155324243</v>
      </c>
      <c r="F6">
        <v>251913499667</v>
      </c>
      <c r="G6">
        <v>247382030353</v>
      </c>
      <c r="H6">
        <v>256897530911</v>
      </c>
      <c r="I6">
        <v>260405484457</v>
      </c>
      <c r="J6">
        <v>259457540560</v>
      </c>
    </row>
    <row r="7">
      <c r="A7" t="inlineStr">
        <is>
          <t xml:space="preserve">trend:STAGE 3</t>
        </is>
      </c>
      <c r="B7">
        <v>263523119585</v>
      </c>
      <c r="C7">
        <v>275253548816</v>
      </c>
      <c r="D7">
        <v>278163621132</v>
      </c>
      <c r="E7">
        <v>288562532063</v>
      </c>
      <c r="F7">
        <v>302210258189</v>
      </c>
      <c r="G7">
        <v>311191155804</v>
      </c>
      <c r="H7">
        <v>313715142480</v>
      </c>
      <c r="I7">
        <v>320285953006</v>
      </c>
      <c r="J7">
        <v>323775211401</v>
      </c>
    </row>
    <row r="8">
      <c r="A8" t="inlineStr">
        <is>
          <t xml:space="preserve">trend:PROVISIONS (ECL)</t>
        </is>
      </c>
      <c r="B8">
        <v>32603696363</v>
      </c>
      <c r="C8">
        <v>33027204821</v>
      </c>
      <c r="D8">
        <v>33173836337</v>
      </c>
      <c r="E8">
        <v>34374433886</v>
      </c>
      <c r="F8">
        <v>34796946036</v>
      </c>
      <c r="G8">
        <v>35240567833</v>
      </c>
      <c r="H8">
        <v>35586135093</v>
      </c>
      <c r="I8">
        <v>37136450935</v>
      </c>
      <c r="J8">
        <v>37319879435</v>
      </c>
    </row>
    <row r="9">
      <c r="A9" t="inlineStr">
        <is>
          <t xml:space="preserve">imp:100000078</t>
        </is>
      </c>
      <c r="B9">
        <v>9571269</v>
      </c>
      <c r="C9">
        <v>9571269</v>
      </c>
      <c r="D9">
        <v>9571269</v>
      </c>
      <c r="E9">
        <v>9571269</v>
      </c>
      <c r="F9">
        <v>9571269</v>
      </c>
      <c r="G9">
        <v>9571269</v>
      </c>
      <c r="H9">
        <v>9571269</v>
      </c>
      <c r="I9">
        <v>9571269</v>
      </c>
      <c r="J9">
        <v>9571269</v>
      </c>
    </row>
    <row r="10">
      <c r="A10" t="inlineStr">
        <is>
          <t xml:space="preserve">imp:100000450</t>
        </is>
      </c>
      <c r="B10">
        <v>4339639</v>
      </c>
      <c r="C10">
        <v>4339639</v>
      </c>
      <c r="D10">
        <v>4339639</v>
      </c>
      <c r="E10">
        <v>4339639</v>
      </c>
      <c r="F10">
        <v>4339639</v>
      </c>
      <c r="G10">
        <v>4339639</v>
      </c>
      <c r="H10">
        <v>4339639</v>
      </c>
      <c r="I10">
        <v>4339639</v>
      </c>
      <c r="J10">
        <v>4339639</v>
      </c>
    </row>
    <row r="11">
      <c r="A11" t="inlineStr">
        <is>
          <t xml:space="preserve">imp:100000088</t>
        </is>
      </c>
      <c r="B11">
        <v>1642184</v>
      </c>
      <c r="C11">
        <v>1642184</v>
      </c>
      <c r="D11">
        <v>1642184</v>
      </c>
      <c r="E11">
        <v>1642184</v>
      </c>
      <c r="F11">
        <v>1642184</v>
      </c>
      <c r="G11">
        <v>1642184</v>
      </c>
      <c r="H11">
        <v>1642184</v>
      </c>
      <c r="I11">
        <v>1642184</v>
      </c>
      <c r="J11">
        <v>1642184</v>
      </c>
    </row>
    <row r="12">
      <c r="A12" t="inlineStr">
        <is>
          <t xml:space="preserve">imp:100000208</t>
        </is>
      </c>
      <c r="B12">
        <v>1558852</v>
      </c>
      <c r="C12">
        <v>1558852</v>
      </c>
      <c r="D12">
        <v>1558852</v>
      </c>
      <c r="E12">
        <v>1558852</v>
      </c>
      <c r="F12">
        <v>1558852</v>
      </c>
      <c r="G12">
        <v>1558852</v>
      </c>
      <c r="H12">
        <v>1558852</v>
      </c>
      <c r="I12">
        <v>1558852</v>
      </c>
      <c r="J12">
        <v>1558852</v>
      </c>
    </row>
    <row r="13">
      <c r="A13" t="inlineStr">
        <is>
          <t xml:space="preserve">cat:</t>
        </is>
      </c>
      <c r="B13" t="inlineStr">
        <is>
          <t xml:space="preserve">31/01/26</t>
        </is>
      </c>
      <c r="C13" t="inlineStr">
        <is>
          <t xml:space="preserve">28/02/26</t>
        </is>
      </c>
      <c r="D13" t="inlineStr">
        <is>
          <t xml:space="preserve">31/03/26</t>
        </is>
      </c>
      <c r="E13" t="inlineStr">
        <is>
          <t xml:space="preserve">30/04/26</t>
        </is>
      </c>
      <c r="F13" t="inlineStr">
        <is>
          <t xml:space="preserve">31/05/26</t>
        </is>
      </c>
      <c r="G13" t="inlineStr">
        <is>
          <t xml:space="preserve">30/06/26</t>
        </is>
      </c>
      <c r="H13" t="inlineStr">
        <is>
          <t xml:space="preserve">31/07/26</t>
        </is>
      </c>
      <c r="I13" t="inlineStr">
        <is>
          <t xml:space="preserve">31/08/26</t>
        </is>
      </c>
      <c r="J13" t="inlineStr">
        <is>
          <t xml:space="preserve">30/09/26</t>
        </is>
      </c>
    </row>
    <row r="14">
      <c r="A14" t="inlineStr">
        <is>
          <t xml:space="preserve">Encours</t>
        </is>
      </c>
      <c r="B14">
        <v>850385585746</v>
      </c>
      <c r="C14">
        <v>850385585746</v>
      </c>
      <c r="D14">
        <v>850385585746</v>
      </c>
      <c r="E14">
        <v>850385585746</v>
      </c>
      <c r="F14">
        <v>850385585746</v>
      </c>
      <c r="G14">
        <v>850385585746</v>
      </c>
      <c r="H14">
        <v>850385585746</v>
      </c>
      <c r="I14">
        <v>850385585746</v>
      </c>
      <c r="J14">
        <v>850385585746</v>
      </c>
    </row>
    <row r="15">
      <c r="A15" t="inlineStr">
        <is>
          <t xml:space="preserve">Impayés</t>
        </is>
      </c>
      <c r="B15">
        <v>29184523554</v>
      </c>
      <c r="C15">
        <v>29420095999</v>
      </c>
      <c r="D15">
        <v>29702243448</v>
      </c>
      <c r="E15">
        <v>29928927133</v>
      </c>
      <c r="F15">
        <v>30088767435</v>
      </c>
      <c r="G15">
        <v>30408508959</v>
      </c>
      <c r="H15">
        <v>31308379288</v>
      </c>
      <c r="I15">
        <v>31559855616</v>
      </c>
      <c r="J15">
        <v>31893133004</v>
      </c>
    </row>
    <row r="16">
      <c r="A16" t="inlineStr">
        <is>
          <t xml:space="preserve">Stage 2</t>
        </is>
      </c>
      <c r="B16">
        <v>269638115746</v>
      </c>
      <c r="C16">
        <v>265469334553</v>
      </c>
      <c r="D16">
        <v>267459762762</v>
      </c>
      <c r="E16">
        <v>260155324243</v>
      </c>
      <c r="F16">
        <v>251913499667</v>
      </c>
      <c r="G16">
        <v>247382030353</v>
      </c>
      <c r="H16">
        <v>256897530911</v>
      </c>
      <c r="I16">
        <v>260405484457</v>
      </c>
      <c r="J16">
        <v>259457540560</v>
      </c>
    </row>
    <row r="17">
      <c r="A17" t="inlineStr">
        <is>
          <t xml:space="preserve">Stage 3</t>
        </is>
      </c>
      <c r="B17">
        <v>263523119585</v>
      </c>
      <c r="C17">
        <v>275253548816</v>
      </c>
      <c r="D17">
        <v>278163621132</v>
      </c>
      <c r="E17">
        <v>288562532063</v>
      </c>
      <c r="F17">
        <v>302210258189</v>
      </c>
      <c r="G17">
        <v>311191155804</v>
      </c>
      <c r="H17">
        <v>313715142480</v>
      </c>
      <c r="I17">
        <v>320285953006</v>
      </c>
      <c r="J17">
        <v>323775211401</v>
      </c>
    </row>
    <row r="18">
      <c r="A18" t="inlineStr">
        <is>
          <t xml:space="preserve">cat:</t>
        </is>
      </c>
      <c r="B18" t="inlineStr">
        <is>
          <t xml:space="preserve">Stage 1</t>
        </is>
      </c>
      <c r="C18" t="inlineStr">
        <is>
          <t xml:space="preserve">Stage 2</t>
        </is>
      </c>
      <c r="D18" t="inlineStr">
        <is>
          <t xml:space="preserve">Stage 3</t>
        </is>
      </c>
    </row>
    <row r="19">
      <c r="A19" t="inlineStr">
        <is>
          <t xml:space="preserve">Encours</t>
        </is>
      </c>
      <c r="B19">
        <v>267152833785</v>
      </c>
      <c r="C19">
        <v>259457540560</v>
      </c>
      <c r="D19">
        <v>323775211401</v>
      </c>
    </row>
    <row r="20">
      <c r="A20" t="inlineStr">
        <is>
          <t xml:space="preserve">cat:</t>
        </is>
      </c>
      <c r="B20" t="inlineStr">
        <is>
          <t xml:space="preserve">Ouverture</t>
        </is>
      </c>
      <c r="C20" t="inlineStr">
        <is>
          <t xml:space="preserve">Nouveaux impayés</t>
        </is>
      </c>
      <c r="D20" t="inlineStr">
        <is>
          <t xml:space="preserve">Détériorations</t>
        </is>
      </c>
      <c r="E20" t="inlineStr">
        <is>
          <t xml:space="preserve">Clôture</t>
        </is>
      </c>
    </row>
    <row r="21">
      <c r="A21" t="inlineStr">
        <is>
          <t xml:space="preserve">base</t>
        </is>
      </c>
      <c r="B21">
        <v>0</v>
      </c>
      <c r="C21">
        <v>31559855616</v>
      </c>
      <c r="D21">
        <v>31568337947</v>
      </c>
      <c r="E21">
        <v>0</v>
      </c>
    </row>
    <row r="22">
      <c r="A22" t="inlineStr">
        <is>
          <t xml:space="preserve">Mouvement</t>
        </is>
      </c>
      <c r="B22">
        <v>31559855616</v>
      </c>
      <c r="C22">
        <v>8482331</v>
      </c>
      <c r="D22">
        <v>324795057</v>
      </c>
      <c r="E22">
        <v>31893133004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Ecobank Sénégal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Ecobank Sénégal · Credit Risk Intelligence · Executive report (Comité)</dc:title>
  <dc:subject>Arrêté 30/09/2026</dc:subject>
  <dc:creator>Ecobank Sénégal · Credit Risk</dc:creator>
  <cp:keywords>APEX-RI</cp:keywords>
  <dcterms:created xsi:type="dcterms:W3CDTF">2026-10-03T13:32:39Z</dcterms:created>
  <dcterms:modified xsi:type="dcterms:W3CDTF">2026-10-03T13:32:39Z</dcterms:modified>
</cp:coreProperties>
</file>