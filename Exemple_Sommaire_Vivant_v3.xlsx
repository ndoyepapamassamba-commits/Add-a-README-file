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Apex1.xml" ContentType="application/vnd.openxmlformats-officedocument.spreadsheetml.worksheet+xml"/>
  <Override PartName="/xl/worksheets/sheetApex2.xml" ContentType="application/vnd.openxmlformats-officedocument.spreadsheetml.worksheet+xml"/>
  <Override PartName="/xl/charts/chartApex1.xml" ContentType="application/vnd.openxmlformats-officedocument.drawingml.chart+xml"/>
  <Override PartName="/xl/charts/chartApex2.xml" ContentType="application/vnd.openxmlformats-officedocument.drawingml.chart+xml"/>
  <Override PartName="/xl/charts/chartApex3.xml" ContentType="application/vnd.openxmlformats-officedocument.drawingml.chart+xml"/>
  <Override PartName="/xl/charts/chartApex4.xml" ContentType="application/vnd.openxmlformats-officedocument.drawingml.chart+xml"/>
  <Override PartName="/xl/charts/chartApex5.xml" ContentType="application/vnd.openxmlformats-officedocument.drawingml.chart+xml"/>
  <Override PartName="/xl/charts/chartApex6.xml" ContentType="application/vnd.openxmlformats-officedocument.drawingml.chart+xml"/>
  <Override PartName="/xl/charts/chartApex7.xml" ContentType="application/vnd.openxmlformats-officedocument.drawingml.chart+xml"/>
  <Override PartName="/xl/charts/chartApex8.xml" ContentType="application/vnd.openxmlformats-officedocument.drawingml.chart+xml"/>
  <Override PartName="/xl/tables/tableApex1.xml" ContentType="application/vnd.openxmlformats-officedocument.spreadsheetml.table+xml"/>
  <Override PartName="/xl/slicerCaches/slicerCacheApex1.xml" ContentType="application/vnd.ms-excel.slicerCache+xml"/>
  <Override PartName="/xl/slicerCaches/slicerCacheApex2.xml" ContentType="application/vnd.ms-excel.slicerCache+xml"/>
  <Override PartName="/xl/slicerCaches/slicerCacheApex3.xml" ContentType="application/vnd.ms-excel.slicerCache+xml"/>
  <Override PartName="/xl/slicers/slicerApexSum.xml" ContentType="application/vnd.ms-excel.slicer+xml"/>
  <Override PartName="/xl/drawings/drawingApexSum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mmaire" sheetId="3" r:id="rIdApex1"/>
    <sheet name="Données du tableau de bord" sheetId="4" r:id="rIdApex2"/>
    <sheet name="Impayés" sheetId="2" r:id="rId2"/>
  </sheets>
  <definedNames>
    <definedName name="Segment_Sommaire_Segment_1">#N/A</definedName>
    <definedName name="Segment_Sommaire_Classe_2">#N/A</definedName>
    <definedName name="Segment_Sommaire_Stage_3">#N/A</definedName>
    <definedName name="_xlnm._FilterDatabase" localSheetId="2">'Impayés'!A8:C9</definedName>
  </definedNames>
  <calcPr fullCalcOnLoad="1"/>
  <extLst>
    <ext xmlns:x15="http://schemas.microsoft.com/office/spreadsheetml/2010/11/main" uri="{46BE6895-7355-4a93-B00E-2C351335B9C9}">
      <x15:slicerCaches xmlns:x14="http://schemas.microsoft.com/office/spreadsheetml/2009/9/main">
        <x14:slicerCache r:id="rIdApexSC1"/>
        <x14:slicerCache r:id="rIdApexSC2"/>
        <x14:slicerCache r:id="rIdApexSC3"/>
      </x15:slicerCach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80" formatCode="[&gt;=1000000000]#,##0.0,,,&quot; Md&quot;;#,##0,,&quot; M&quot;"/>
  </numFmts>
  <fonts count="42" x14ac:knownFonts="1">
    <font>
      <sz val="11"/>
      <name val="Calibri"/>
    </font>
    <font>
      <sz val="11"/>
      <name val="Calibri"/>
    </font>
    <font>
      <b/>
      <sz val="15"/>
      <color rgb="FFFFFFFF"/>
      <name val="Segoe UI"/>
    </font>
    <font>
      <i/>
      <sz val="10"/>
      <color rgb="FF3E5C6B"/>
      <name val="Segoe UI"/>
    </font>
    <font>
      <b/>
      <sz val="9"/>
      <color rgb="FFDCEBF1"/>
      <name val="Segoe UI"/>
    </font>
    <font>
      <b/>
      <sz val="9"/>
      <color rgb="FFDCEBF1"/>
      <name val="Segoe UI"/>
    </font>
    <font>
      <b/>
      <sz val="9"/>
      <color rgb="FFDCEBF1"/>
      <name val="Segoe UI"/>
    </font>
    <font>
      <b/>
      <sz val="9"/>
      <color rgb="FFDCEBF1"/>
      <name val="Segoe UI"/>
    </font>
    <font>
      <b/>
      <sz val="16"/>
      <color rgb="FFFFFFFF"/>
      <name val="Consolas"/>
    </font>
    <font>
      <b/>
      <sz val="16"/>
      <color rgb="FFFFFFFF"/>
      <name val="Consolas"/>
    </font>
    <font>
      <b/>
      <sz val="13"/>
      <color rgb="FFFFFFFF"/>
      <name val="Consolas"/>
    </font>
    <font>
      <b/>
      <sz val="16"/>
      <color rgb="FFFFFFFF"/>
      <name val="Consolas"/>
    </font>
    <font>
      <b/>
      <sz val="10"/>
      <color rgb="FFFFFFFF"/>
      <name val="Segoe UI"/>
    </font>
    <font>
      <sz val="9.5"/>
      <color rgb="FF12333F"/>
      <name val="Segoe UI"/>
    </font>
    <font>
      <sz val="9.5"/>
      <color rgb="FF12333F"/>
      <name val="Consolas"/>
    </font>
    <font>
      <sz val="9.5"/>
      <color rgb="FF12333F"/>
      <name val="Consolas"/>
    </font>
    <font>
      <sz val="9.5"/>
      <color rgb="FF12333F"/>
      <name val="Segoe UI"/>
    </font>
    <font>
      <b/>
      <sz val="20"/>
      <color rgb="FFFFFFFF"/>
      <name val="Segoe UI"/>
    </font>
    <font>
      <sz val="11"/>
      <color rgb="FF8CC63F"/>
      <name val="Segoe UI"/>
    </font>
    <font>
      <sz val="9.5"/>
      <color rgb="FFDDEEF5"/>
      <name val="Segoe UI"/>
    </font>
    <font>
      <b/>
      <sz val="10"/>
      <color rgb="FFFFFFFF"/>
      <name val="Segoe UI"/>
    </font>
    <font>
      <b/>
      <sz val="13"/>
      <color rgb="FF00415E"/>
      <name val="Segoe UI"/>
    </font>
    <font>
      <sz val="10"/>
      <color rgb="FF12333F"/>
      <name val="Segoe UI"/>
    </font>
    <font>
      <i/>
      <sz val="9"/>
      <color rgb="FF3E5C6B"/>
      <name val="Segoe UI"/>
    </font>
    <font>
      <b/>
      <u/>
      <sz val="11"/>
      <color rgb="FF005C83"/>
      <name val="Segoe UI"/>
    </font>
    <font>
      <sz val="10"/>
      <color rgb="FF12333F"/>
      <name val="Consolas"/>
    </font>
    <font>
      <b/>
      <sz val="8.5"/>
      <color rgb="FF3E5C6B"/>
      <name val="Segoe UI"/>
    </font>
    <font>
      <b/>
      <sz val="16"/>
      <color rgb="FF00415E"/>
      <name val="Consolas"/>
    </font>
    <font>
      <b/>
      <sz val="11"/>
      <color rgb="FF00415E"/>
      <name val="Consolas"/>
    </font>
    <font>
      <b/>
      <sz val="11"/>
      <color rgb="FF00415E"/>
      <name val="Consolas"/>
    </font>
    <font>
      <b/>
      <sz val="11"/>
      <color rgb="FF1E5E12"/>
      <name val="Consolas"/>
    </font>
    <font>
      <b/>
      <sz val="11"/>
      <color rgb="FF1E5E12"/>
      <name val="Consolas"/>
    </font>
    <font>
      <b/>
      <sz val="10"/>
      <color rgb="FF12333F"/>
      <name val="Segoe UI"/>
    </font>
    <font>
      <b/>
      <sz val="10.5"/>
      <color rgb="FFFFFFFF"/>
      <name val="Segoe UI"/>
    </font>
    <font>
      <sz val="10"/>
      <color rgb="FF8CC63F"/>
      <name val="Consolas"/>
    </font>
    <font>
      <b/>
      <sz val="10"/>
      <color rgb="FF12333F"/>
      <name val="Segoe UI"/>
    </font>
    <font>
      <sz val="9"/>
      <color rgb="FF12333F"/>
      <name val="Segoe UI"/>
    </font>
    <font>
      <b/>
      <sz val="11"/>
      <color rgb="FF00415E"/>
      <name val="Segoe UI"/>
    </font>
    <font>
      <b/>
      <sz val="9.5"/>
      <color rgb="FFFFFFFF"/>
      <name val="Segoe UI"/>
    </font>
    <font>
      <b/>
      <u/>
      <sz val="10"/>
      <color rgb="FF005C83"/>
      <name val="Segoe UI"/>
    </font>
    <font>
      <b/>
      <sz val="16"/>
      <color rgb="FF00415E"/>
      <name val="Consolas"/>
    </font>
    <font>
      <b/>
      <sz val="16"/>
      <color rgb="FF00415E"/>
      <name val="Consolas"/>
    </font>
  </fonts>
  <fills count="41">
    <fill>
      <patternFill patternType="none">
        <bgColor/>
      </patternFill>
    </fill>
    <fill>
      <patternFill patternType="gray125">
        <bgColor/>
      </patternFill>
    </fill>
    <fill>
      <gradientFill degree="90">
        <stop position="0">
          <color rgb="FF61899B"/>
        </stop>
        <stop position="0.5">
          <color rgb="FF00415E"/>
        </stop>
        <stop position="1">
          <color rgb="FF002E42"/>
        </stop>
      </gradientFill>
    </fill>
    <fill>
      <gradientFill degree="90">
        <stop position="0">
          <color rgb="FF61899B"/>
        </stop>
        <stop position="0.5">
          <color rgb="FF00415E"/>
        </stop>
        <stop position="1">
          <color rgb="FF002E42"/>
        </stop>
      </gradientFill>
    </fill>
    <fill>
      <gradientFill degree="90">
        <stop position="0">
          <color rgb="FF619AB2"/>
        </stop>
        <stop position="0.5">
          <color rgb="FF005C83"/>
        </stop>
        <stop position="1">
          <color rgb="FF00405C"/>
        </stop>
      </gradientFill>
    </fill>
    <fill>
      <gradientFill degree="90">
        <stop position="0">
          <color rgb="FFA3C585"/>
        </stop>
        <stop position="0.5">
          <color rgb="FF6BA23A"/>
        </stop>
        <stop position="1">
          <color rgb="FF4B7129"/>
        </stop>
      </gradientFill>
    </fill>
    <fill>
      <gradientFill degree="90">
        <stop position="0">
          <color rgb="FFE4BB7B"/>
        </stop>
        <stop position="0.5">
          <color rgb="FFD4912A"/>
        </stop>
        <stop position="1">
          <color rgb="FF94661D"/>
        </stop>
      </gradientFill>
    </fill>
    <fill>
      <gradientFill degree="90">
        <stop position="0">
          <color rgb="FF61899B"/>
        </stop>
        <stop position="0.5">
          <color rgb="FF00415E"/>
        </stop>
        <stop position="1">
          <color rgb="FF002E42"/>
        </stop>
      </gradientFill>
    </fill>
    <fill>
      <gradientFill degree="90">
        <stop position="0">
          <color rgb="FF619AB2"/>
        </stop>
        <stop position="0.5">
          <color rgb="FF005C83"/>
        </stop>
        <stop position="1">
          <color rgb="FF00405C"/>
        </stop>
      </gradientFill>
    </fill>
    <fill>
      <gradientFill degree="90">
        <stop position="0">
          <color rgb="FFA3C585"/>
        </stop>
        <stop position="0.5">
          <color rgb="FF6BA23A"/>
        </stop>
        <stop position="1">
          <color rgb="FF4B7129"/>
        </stop>
      </gradientFill>
    </fill>
    <fill>
      <gradientFill degree="90">
        <stop position="0">
          <color rgb="FFE4BB7B"/>
        </stop>
        <stop position="0.5">
          <color rgb="FFD4912A"/>
        </stop>
        <stop position="1">
          <color rgb="FF94661D"/>
        </stop>
      </gradientFill>
    </fill>
    <fill>
      <gradientFill degree="90">
        <stop position="0">
          <color rgb="FF61899B"/>
        </stop>
        <stop position="0.5">
          <color rgb="FF00415E"/>
        </stop>
        <stop position="1">
          <color rgb="FF002E42"/>
        </stop>
      </gradientFill>
    </fill>
    <fill>
      <gradientFill degree="90">
        <stop position="0">
          <color rgb="FFFFFFFF"/>
        </stop>
        <stop position="0.6">
          <color rgb="FFFFFFFF"/>
        </stop>
        <stop position="1">
          <color rgb="FFF2F2F2"/>
        </stop>
      </gradientFill>
    </fill>
    <fill>
      <gradientFill degree="90">
        <stop position="0">
          <color rgb="FFFFFFFF"/>
        </stop>
        <stop position="0.6">
          <color rgb="FFFFFFFF"/>
        </stop>
        <stop position="1">
          <color rgb="FFF2F2F2"/>
        </stop>
      </gradientFill>
    </fill>
    <fill>
      <gradientFill degree="90">
        <stop position="0">
          <color rgb="FFFFFFFF"/>
        </stop>
        <stop position="0.6">
          <color rgb="FFFFFFFF"/>
        </stop>
        <stop position="1">
          <color rgb="FFF2F2F2"/>
        </stop>
      </gradientFill>
    </fill>
    <fill>
      <gradientFill degree="90">
        <stop position="0">
          <color rgb="FFFFFFFF"/>
        </stop>
        <stop position="0.6">
          <color rgb="FFFFFFFF"/>
        </stop>
        <stop position="1">
          <color rgb="FFF2F2F2"/>
        </stop>
      </gradientFill>
    </fill>
    <fill>
      <patternFill patternType="solid">
        <fgColor rgb="FF00415E"/>
        <bgColor indexed="64"/>
      </patternFill>
    </fill>
    <fill>
      <patternFill patternType="solid">
        <fgColor rgb="FF00415E"/>
        <bgColor indexed="64"/>
      </patternFill>
    </fill>
    <fill>
      <patternFill patternType="solid">
        <fgColor rgb="FF005C83"/>
        <bgColor indexed="64"/>
      </patternFill>
    </fill>
    <fill>
      <patternFill patternType="solid">
        <fgColor rgb="FF005C8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3F8FA"/>
        <bgColor indexed="64"/>
      </patternFill>
    </fill>
    <fill>
      <patternFill patternType="none"/>
    </fill>
    <fill>
      <patternFill patternType="solid">
        <fgColor rgb="FFEE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8F4D5"/>
        <bgColor indexed="64"/>
      </patternFill>
    </fill>
    <fill>
      <patternFill patternType="solid">
        <fgColor rgb="FFE8F4D5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00415E"/>
        <bgColor indexed="64"/>
      </patternFill>
    </fill>
    <fill>
      <patternFill patternType="none"/>
    </fill>
    <fill>
      <patternFill patternType="none"/>
    </fill>
    <fill>
      <patternFill patternType="solid">
        <fgColor rgb="FFEAF1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00415E"/>
        <bgColor indexed="64"/>
      </patternFill>
    </fill>
    <fill>
      <patternFill patternType="solid">
        <fgColor rgb="FFEAF1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8CC63F"/>
      </bottom>
      <diagonal/>
    </border>
    <border>
      <left style="medium">
        <color rgb="FF8CC63F"/>
      </left>
      <right style="medium">
        <color rgb="FF002738"/>
      </right>
      <top style="thin">
        <color rgb="FF80A0AF"/>
      </top>
      <bottom style="thick">
        <color rgb="FF00212F"/>
      </bottom>
      <diagonal/>
    </border>
    <border>
      <left style="medium">
        <color rgb="FF8CC63F"/>
      </left>
      <right style="medium">
        <color rgb="FF00374F"/>
      </right>
      <top style="thin">
        <color rgb="FF80AEC1"/>
      </top>
      <bottom style="thick">
        <color rgb="FF002E42"/>
      </bottom>
      <diagonal/>
    </border>
    <border>
      <left style="medium">
        <color rgb="FF8CC63F"/>
      </left>
      <right style="medium">
        <color rgb="FF406123"/>
      </right>
      <top style="thin">
        <color rgb="FFB5D19D"/>
      </top>
      <bottom style="thick">
        <color rgb="FF36511D"/>
      </bottom>
      <diagonal/>
    </border>
    <border>
      <left style="medium">
        <color rgb="FF8CC63F"/>
      </left>
      <right style="medium">
        <color rgb="FF7F5719"/>
      </right>
      <top style="thin">
        <color rgb="FFEAC895"/>
      </top>
      <bottom style="thick">
        <color rgb="FF6A4915"/>
      </bottom>
      <diagonal/>
    </border>
    <border>
      <left style="medium">
        <color rgb="FF8CC63F"/>
      </left>
      <right style="medium">
        <color rgb="FF002738"/>
      </right>
      <top style="thin">
        <color rgb="FF80A0AF"/>
      </top>
      <bottom style="thick">
        <color rgb="FF00212F"/>
      </bottom>
      <diagonal/>
    </border>
    <border>
      <left style="medium">
        <color rgb="FF8CC63F"/>
      </left>
      <right style="medium">
        <color rgb="FF00374F"/>
      </right>
      <top style="thin">
        <color rgb="FF80AEC1"/>
      </top>
      <bottom style="thick">
        <color rgb="FF002E42"/>
      </bottom>
      <diagonal/>
    </border>
    <border>
      <left style="medium">
        <color rgb="FF8CC63F"/>
      </left>
      <right style="medium">
        <color rgb="FF406123"/>
      </right>
      <top style="thin">
        <color rgb="FFB5D19D"/>
      </top>
      <bottom style="thick">
        <color rgb="FF36511D"/>
      </bottom>
      <diagonal/>
    </border>
    <border>
      <left style="medium">
        <color rgb="FF8CC63F"/>
      </left>
      <right style="medium">
        <color rgb="FF7F5719"/>
      </right>
      <top style="thin">
        <color rgb="FFEAC895"/>
      </top>
      <bottom style="thick">
        <color rgb="FF6A4915"/>
      </bottom>
      <diagonal/>
    </border>
    <border>
      <left style="thin">
        <color rgb="FF3F8FB5"/>
      </left>
      <right style="thin">
        <color rgb="FF00344B"/>
      </right>
      <top style="thin">
        <color rgb="FF3F8FB5"/>
      </top>
      <bottom style="medium">
        <color rgb="FF8CC63F"/>
      </bottom>
      <diagonal/>
    </border>
    <border>
      <left style="thin">
        <color rgb="FFFFFFFF"/>
      </left>
      <right style="thin">
        <color rgb="FFB7CDD8"/>
      </right>
      <top style="thin">
        <color rgb="FFFFFFFF"/>
      </top>
      <bottom style="medium">
        <color rgb="FFB7CDD8"/>
      </bottom>
      <diagonal/>
    </border>
    <border>
      <left style="thin">
        <color rgb="FFFFFFFF"/>
      </left>
      <right style="thin">
        <color rgb="FFB7CDD8"/>
      </right>
      <top style="thin">
        <color rgb="FFFFFFFF"/>
      </top>
      <bottom style="medium">
        <color rgb="FFB7CDD8"/>
      </bottom>
      <diagonal/>
    </border>
    <border>
      <left style="thin">
        <color rgb="FFFFFFFF"/>
      </left>
      <right style="thin">
        <color rgb="FFB7CDD8"/>
      </right>
      <top style="thin">
        <color rgb="FFFFFFFF"/>
      </top>
      <bottom style="medium">
        <color rgb="FFB7CDD8"/>
      </bottom>
      <diagonal/>
    </border>
    <border>
      <left style="thin">
        <color rgb="FFFFFFFF"/>
      </left>
      <right style="thin">
        <color rgb="FFB7CDD8"/>
      </right>
      <top style="thin">
        <color rgb="FFFFFFFF"/>
      </top>
      <bottom style="medium">
        <color rgb="FFB7CDD8"/>
      </bottom>
      <diagonal/>
    </border>
    <border>
      <left style="thin">
        <color rgb="FFCFE0E7"/>
      </left>
      <right style="thin">
        <color rgb="FFCFE0E7"/>
      </right>
      <top style="thin">
        <color rgb="FFCFE0E7"/>
      </top>
      <bottom style="thin">
        <color rgb="FFCFE0E7"/>
      </bottom>
      <diagonal/>
    </border>
  </borders>
  <cellStyleXfs>
    <xf numFmtId="0" fontId="0" fillId="0" borderId="0"/>
  </cellStyleXfs>
  <cellXfs count="4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vertical="top" wrapText="true"/>
    </xf>
    <xf numFmtId="0" fontId="4" fillId="3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horizontal="left" vertical="center"/>
    </xf>
    <xf numFmtId="0" fontId="9" fillId="8" borderId="8" xfId="0" applyFont="1" applyFill="1" applyBorder="1" applyAlignment="1">
      <alignment horizontal="left" vertical="center"/>
    </xf>
    <xf numFmtId="0" fontId="10" fillId="9" borderId="9" xfId="0" applyFont="1" applyFill="1" applyBorder="1" applyAlignment="1">
      <alignment horizontal="left" vertical="center"/>
    </xf>
    <xf numFmtId="0" fontId="11" fillId="10" borderId="10" xfId="0" applyFont="1" applyFill="1" applyBorder="1" applyAlignment="1">
      <alignment horizontal="left" vertical="center"/>
    </xf>
    <xf numFmtId="0" fontId="12" fillId="11" borderId="11" xfId="0" applyFont="1" applyFill="1" applyBorder="1" applyAlignment="1">
      <alignment horizontal="center" vertical="center" wrapText="true"/>
    </xf>
    <xf numFmtId="0" fontId="13" fillId="12" borderId="12" xfId="0" applyFont="1" applyFill="1" applyBorder="1" applyAlignment="1">
      <alignment vertical="top"/>
    </xf>
    <xf numFmtId="3" fontId="14" fillId="13" borderId="13" xfId="0" applyFont="1" applyFill="1" applyBorder="1" applyNumberFormat="1" applyAlignment="1">
      <alignment horizontal="right"/>
    </xf>
    <xf numFmtId="3" fontId="15" fillId="14" borderId="14" xfId="0" applyFont="1" applyFill="1" applyBorder="1" applyNumberFormat="1" applyAlignment="1">
      <alignment horizontal="right"/>
    </xf>
    <xf numFmtId="0" fontId="16" fillId="15" borderId="15" xfId="0" applyFont="1" applyFill="1" applyBorder="1" applyAlignment="1">
      <alignment vertical="top"/>
    </xf>
    <xf numFmtId="0" fontId="17" fillId="16" borderId="0" xfId="0" applyFont="1" applyFill="1" applyBorder="1" applyNumberFormat="1" applyAlignment="1">
      <alignment horizontal="left" vertical="center"/>
    </xf>
    <xf numFmtId="0" fontId="18" fillId="17" borderId="0" xfId="0" applyFont="1" applyFill="1" applyBorder="1" applyNumberFormat="1" applyAlignment="1">
      <alignment horizontal="left" vertical="center"/>
    </xf>
    <xf numFmtId="0" fontId="19" fillId="18" borderId="0" xfId="0" applyFont="1" applyFill="1" applyBorder="1" applyNumberFormat="1" applyAlignment="1">
      <alignment horizontal="left" vertical="center"/>
    </xf>
    <xf numFmtId="0" fontId="20" fillId="19" borderId="16" xfId="0" applyFont="1" applyFill="1" applyBorder="1" applyNumberFormat="1" applyAlignment="1">
      <alignment horizontal="center" vertical="center"/>
    </xf>
    <xf numFmtId="0" fontId="21" fillId="20" borderId="0" xfId="0" applyFont="1" applyFill="1" applyBorder="1" applyNumberFormat="1" applyAlignment="1">
      <alignment horizontal="left" vertical="center"/>
    </xf>
    <xf numFmtId="0" fontId="22" fillId="21" borderId="16" xfId="0" applyFont="1" applyFill="1" applyBorder="1" applyNumberFormat="1" applyAlignment="1">
      <alignment horizontal="left" vertical="center"/>
    </xf>
    <xf numFmtId="0" fontId="23" fillId="22" borderId="0" xfId="0" applyFont="1" applyFill="1" applyBorder="1" applyNumberFormat="1" applyAlignment="1">
      <alignment horizontal="left" vertical="center" wrapText="1"/>
    </xf>
    <xf numFmtId="0" fontId="24" fillId="23" borderId="16" xfId="0" applyFont="1" applyFill="1" applyBorder="1" applyNumberFormat="1" applyAlignment="1">
      <alignment horizontal="left" vertical="center"/>
    </xf>
    <xf numFmtId="3" fontId="25" fillId="24" borderId="16" xfId="0" applyFont="1" applyFill="1" applyBorder="1" applyNumberFormat="1" applyAlignment="1">
      <alignment horizontal="right" vertical="center"/>
    </xf>
    <xf numFmtId="0" fontId="26" fillId="25" borderId="16" xfId="0" applyFont="1" applyFill="1" applyBorder="1" applyNumberFormat="1" applyAlignment="1">
      <alignment horizontal="center" vertical="center"/>
    </xf>
    <xf numFmtId="3" fontId="27" fillId="26" borderId="16" xfId="0" applyFont="1" applyFill="1" applyBorder="1" applyNumberFormat="1" applyAlignment="1">
      <alignment horizontal="center" vertical="center"/>
    </xf>
    <xf numFmtId="3" fontId="28" fillId="27" borderId="16" xfId="0" applyFont="1" applyFill="1" applyBorder="1" applyNumberFormat="1" applyAlignment="1">
      <alignment horizontal="right" vertical="center"/>
    </xf>
    <xf numFmtId="10" fontId="29" fillId="28" borderId="16" xfId="0" applyFont="1" applyFill="1" applyBorder="1" applyNumberFormat="1" applyAlignment="1">
      <alignment horizontal="right" vertical="center"/>
    </xf>
    <xf numFmtId="3" fontId="30" fillId="29" borderId="16" xfId="0" applyFont="1" applyFill="1" applyBorder="1" applyNumberFormat="1" applyAlignment="1">
      <alignment horizontal="right" vertical="center"/>
    </xf>
    <xf numFmtId="10" fontId="31" fillId="30" borderId="16" xfId="0" applyFont="1" applyFill="1" applyBorder="1" applyNumberFormat="1" applyAlignment="1">
      <alignment horizontal="right" vertical="center"/>
    </xf>
    <xf numFmtId="0" fontId="32" fillId="31" borderId="16" xfId="0" applyFont="1" applyFill="1" applyBorder="1" applyNumberFormat="1" applyAlignment="1">
      <alignment horizontal="left" vertical="center"/>
    </xf>
    <xf numFmtId="0" fontId="33" fillId="32" borderId="16" xfId="0" applyFont="1" applyFill="1" applyBorder="1" applyNumberFormat="1" applyAlignment="1">
      <alignment horizontal="center" vertical="center"/>
    </xf>
    <xf numFmtId="0" fontId="34" fillId="33" borderId="16" xfId="0" applyFont="1" applyFill="1" applyBorder="1" applyNumberFormat="1" applyAlignment="1">
      <alignment horizontal="left" vertical="center"/>
    </xf>
    <xf numFmtId="0" fontId="35" fillId="34" borderId="16" xfId="0" applyFont="1" applyFill="1" applyBorder="1" applyNumberFormat="1" applyAlignment="1">
      <alignment horizontal="center" vertical="center"/>
    </xf>
    <xf numFmtId="0" fontId="36" fillId="35" borderId="0" xfId="0" applyFont="1" applyFill="1" applyBorder="1" applyNumberFormat="1" applyAlignment="1">
      <alignment horizontal="left" vertical="center"/>
    </xf>
    <xf numFmtId="0" fontId="37" fillId="36" borderId="16" xfId="0" applyFont="1" applyFill="1" applyBorder="1" applyNumberFormat="1" applyAlignment="1">
      <alignment horizontal="left" vertical="center"/>
    </xf>
    <xf numFmtId="0" fontId="38" fillId="37" borderId="16" xfId="0" applyFont="1" applyFill="1" applyBorder="1" applyNumberFormat="1" applyAlignment="1">
      <alignment horizontal="center" vertical="center"/>
    </xf>
    <xf numFmtId="0" fontId="39" fillId="38" borderId="0" xfId="0" applyFont="1" applyFill="1" applyBorder="1" applyNumberFormat="1" applyAlignment="1">
      <alignment horizontal="left" vertical="center"/>
    </xf>
    <xf numFmtId="10" fontId="40" fillId="39" borderId="16" xfId="0" applyFont="1" applyFill="1" applyBorder="1" applyNumberFormat="1" applyAlignment="1">
      <alignment horizontal="center" vertical="center"/>
    </xf>
    <xf numFmtId="180" fontId="41" fillId="40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18"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E5E12"/>
      </font>
      <fill>
        <patternFill patternType="solid">
          <bgColor rgb="FFD9F0C0"/>
        </patternFill>
      </fill>
    </dxf>
    <dxf>
      <font>
        <b/>
        <color rgb="FFFFFFFF"/>
      </font>
      <fill>
        <patternFill patternType="solid">
          <bgColor rgb="FF2EA3D6"/>
        </patternFill>
      </fill>
    </dxf>
    <dxf>
      <font>
        <b/>
        <color rgb="FFFFFFFF"/>
      </font>
      <fill>
        <patternFill patternType="solid">
          <bgColor rgb="FF7FC7E8"/>
        </patternFill>
      </fill>
    </dxf>
    <dxf>
      <font>
        <b/>
        <color rgb="FFFFFFFF"/>
      </font>
      <fill>
        <patternFill patternType="solid">
          <bgColor rgb="FF8CC63F"/>
        </patternFill>
      </fill>
    </dxf>
    <dxf>
      <font>
        <b/>
        <color rgb="FFFFFFFF"/>
      </font>
      <fill>
        <patternFill patternType="solid">
          <bgColor rgb="FFF2B632"/>
        </patternFill>
      </fill>
    </dxf>
    <dxf>
      <font>
        <b/>
        <color rgb="FFFFFFFF"/>
      </font>
      <fill>
        <patternFill patternType="solid">
          <bgColor rgb="FFE08A3C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8CC63F"/>
        </patternFill>
      </fill>
    </dxf>
    <dxf>
      <font>
        <b/>
        <color rgb="FFFFFFFF"/>
      </font>
      <fill>
        <patternFill patternType="solid">
          <bgColor rgb="FFF2B632"/>
        </patternFill>
      </fill>
    </dxf>
    <dxf>
      <font>
        <b/>
        <color rgb="FFFFFFFF"/>
      </font>
      <fill>
        <patternFill patternType="solid">
          <bgColor rgb="FFE0674F"/>
        </patternFill>
      </fill>
    </dxf>
    <dxf>
      <font>
        <b/>
        <color rgb="FF002E42"/>
      </font>
      <fill>
        <patternFill patternType="solid">
          <bgColor rgb="FFC7DBE4"/>
        </patternFill>
      </fill>
    </dxf>
    <dxf>
      <font>
        <b/>
        <color rgb="FF17526B"/>
      </font>
      <fill>
        <patternFill patternType="solid">
          <bgColor rgb="FFD1EBF6"/>
        </patternFill>
      </fill>
    </dxf>
    <dxf>
      <font>
        <b/>
        <color rgb="FF466320"/>
      </font>
      <fill>
        <patternFill patternType="solid">
          <bgColor rgb="FFE6F2D5"/>
        </patternFill>
      </fill>
    </dxf>
    <dxf>
      <font>
        <b/>
        <color rgb="FF795B19"/>
      </font>
      <fill>
        <patternFill patternType="solid">
          <bgColor rgb="FFFCEFD2"/>
        </patternFill>
      </fill>
    </dxf>
    <dxf>
      <font>
        <b/>
        <color rgb="FF70451E"/>
      </font>
      <fill>
        <patternFill patternType="solid">
          <bgColor rgb="FFF8E5D4"/>
        </patternFill>
      </fill>
    </dxf>
    <dxf>
      <font>
        <b/>
        <color rgb="FF703428"/>
      </font>
      <fill>
        <patternFill patternType="solid">
          <bgColor rgb="FFF8DED8"/>
        </patternFill>
      </fill>
    </dxf>
    <dxf>
      <font>
        <b/>
        <color rgb="FFFFFFFF"/>
      </font>
      <fill>
        <patternFill patternType="solid">
          <bgColor rgb="FFE0674F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Relationship Id="rIdApex1" Type="http://schemas.openxmlformats.org/officeDocument/2006/relationships/worksheet" Target="worksheets/sheetApex1.xml"/><Relationship Id="rIdApex2" Type="http://schemas.openxmlformats.org/officeDocument/2006/relationships/worksheet" Target="worksheets/sheetApex2.xml"/><Relationship Id="rIdApexSC1" Type="http://schemas.microsoft.com/office/2007/relationships/slicerCache" Target="slicerCaches/slicerCacheApex1.xml"/><Relationship Id="rIdApexSC2" Type="http://schemas.microsoft.com/office/2007/relationships/slicerCache" Target="slicerCaches/slicerCacheApex2.xml"/><Relationship Id="rIdApexSC3" Type="http://schemas.microsoft.com/office/2007/relationships/slicerCache" Target="slicerCaches/slicerCacheApex3.xml"/></Relationships>
</file>

<file path=xl/charts/chartApex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200" b="1">
                <a:solidFill>
                  <a:srgbClr val="00415E"/>
                </a:solidFill>
                <a:latin typeface="Segoe UI"/>
              </a:defRPr>
            </a:pPr>
            <a:r>
              <a:rPr lang="fr-FR" sz="1200" b="1">
                <a:solidFill>
                  <a:srgbClr val="00415E"/>
                </a:solidFill>
                <a:latin typeface="Segoe UI"/>
              </a:rPr>
              <a:t>Stages IFRS 9 — encours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Encours</c:v>
          </c:tx>
          <c:spPr>
            <a:solidFill>
              <a:srgbClr val="005C83"/>
            </a:solidFill>
            <a:ln>
              <a:noFill/>
            </a:ln>
          </c:spPr>
          <c:dPt>
            <c:idx val="0"/>
            <c:bubble3D val="0"/>
            <c:spPr>
              <a:solidFill>
                <a:srgbClr val="2EA3D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F2B632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E0674F"/>
              </a:solidFill>
              <a:ln w="19050">
                <a:solidFill>
                  <a:srgbClr val="FFFFFF"/>
                </a:solidFill>
              </a:ln>
            </c:spPr>
          </c:dPt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FFFFFF"/>
                    </a:solidFill>
                    <a:latin typeface="Segoe UI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'Sommaire'!$AF$1:$AF$3</c:f>
              <c:strCache>
                <c:ptCount val="3"/>
                <c:pt idx="0">
                  <c:v>Stage 1</c:v>
                </c:pt>
                <c:pt idx="1">
                  <c:v>Stage 2</c:v>
                </c:pt>
                <c:pt idx="2">
                  <c:v>Stage 3</c:v>
                </c:pt>
              </c:strCache>
            </c:strRef>
          </c:cat>
          <c:val>
            <c:numRef>
              <c:f>'Sommaire'!$AG$1:$AG$3</c:f>
              <c:numCache>
                <c:formatCode>General</c:formatCode>
                <c:ptCount val="3"/>
                <c:pt idx="0">
                  <c:v>1736377596648</c:v>
                </c:pt>
                <c:pt idx="1">
                  <c:v>1138973490201</c:v>
                </c:pt>
                <c:pt idx="2">
                  <c:v>1118236070558</c:v>
                </c:pt>
              </c:numCache>
            </c:numRef>
          </c:val>
        </c:ser>
        <c:firstSliceAng val="0"/>
        <c:holeSize val="60"/>
      </c:doughnutChart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850">
              <a:solidFill>
                <a:srgbClr val="12333F"/>
              </a:solidFill>
              <a:latin typeface="Segoe UI"/>
            </a:defRPr>
          </a:pPr>
          <a:endParaRPr lang="fr-FR"/>
        </a:p>
      </c:txPr>
    </c:legend>
    <c:plotVisOnly val="0"/>
    <c:dispBlanksAs val="gap"/>
  </c:chart>
  <c:spPr>
    <a:solidFill>
      <a:srgbClr val="FFFFFF"/>
    </a:solidFill>
    <a:ln w="12700">
      <a:solidFill>
        <a:srgbClr val="D6E6EE"/>
      </a:solidFill>
    </a:ln>
    <a:effectLst>
      <a:outerShdw blurRad="88900" dist="25400" dir="5400000" algn="t" rotWithShape="0">
        <a:srgbClr val="00415E">
          <a:alpha val="20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Apex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200" b="1">
                <a:solidFill>
                  <a:srgbClr val="00415E"/>
                </a:solidFill>
                <a:latin typeface="Segoe UI"/>
              </a:defRPr>
            </a:pPr>
            <a:r>
              <a:rPr lang="fr-FR" sz="1200" b="1">
                <a:solidFill>
                  <a:srgbClr val="00415E"/>
                </a:solidFill>
                <a:latin typeface="Segoe UI"/>
              </a:rPr>
              <a:t>Ratio NPL par arrêté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Ratio NPL</c:v>
          </c:tx>
          <c:spPr>
            <a:ln w="31750" cap="rnd">
              <a:solidFill>
                <a:srgbClr val="005C83"/>
              </a:solidFill>
              <a:round/>
            </a:ln>
          </c:spPr>
          <c:marker>
            <c:symbol val="circle"/>
            <c:size val="7"/>
            <c:spPr>
              <a:solidFill>
                <a:srgbClr val="FFFFFF"/>
              </a:solidFill>
              <a:ln w="22225">
                <a:solidFill>
                  <a:srgbClr val="005C83"/>
                </a:solidFill>
              </a:ln>
            </c:spPr>
          </c:marker>
          <c:dLbls>
            <c:numFmt formatCode="0.0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00415E"/>
                    </a:solidFill>
                    <a:latin typeface="Segoe UI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'Sommaire'!$AF$44:$AF$49</c:f>
              <c:strCache>
                <c:ptCount val="6"/>
                <c:pt idx="0">
                  <c:v>28/04</c:v>
                </c:pt>
                <c:pt idx="1">
                  <c:v>28/05</c:v>
                </c:pt>
                <c:pt idx="2">
                  <c:v>28/06</c:v>
                </c:pt>
                <c:pt idx="3">
                  <c:v>28/07</c:v>
                </c:pt>
                <c:pt idx="4">
                  <c:v>28/08</c:v>
                </c:pt>
                <c:pt idx="5">
                  <c:v>28/09</c:v>
                </c:pt>
              </c:strCache>
            </c:strRef>
          </c:cat>
          <c:val>
            <c:numRef>
              <c:f>'Sommaire'!$AG$51:$AG$56</c:f>
              <c:numCache>
                <c:formatCode>0.00%</c:formatCode>
                <c:ptCount val="6"/>
                <c:pt idx="0">
                  <c:v>0.066</c:v>
                </c:pt>
                <c:pt idx="1">
                  <c:v>0.0645</c:v>
                </c:pt>
                <c:pt idx="2">
                  <c:v>0.063</c:v>
                </c:pt>
                <c:pt idx="3">
                  <c:v>0.0615</c:v>
                </c:pt>
                <c:pt idx="4">
                  <c:v>0.060000000000000005</c:v>
                </c:pt>
                <c:pt idx="5">
                  <c:v>0.0585</c:v>
                </c:pt>
              </c:numCache>
            </c:numRef>
          </c:val>
          <c:smooth val="1"/>
        </c:ser>
        <c:marker val="1"/>
        <c:axId val="7001"/>
        <c:axId val="7002"/>
      </c:lineChart>
      <c:catAx>
        <c:axId val="7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CFE0E7"/>
            </a:solidFill>
          </a:ln>
        </c:spPr>
        <c:txPr>
          <a:bodyPr/>
          <a:lstStyle/>
          <a:p>
            <a:pPr>
              <a:defRPr sz="800">
                <a:solidFill>
                  <a:srgbClr val="3E5C6B"/>
                </a:solidFill>
                <a:latin typeface="Segoe UI"/>
              </a:defRPr>
            </a:pPr>
            <a:endParaRPr lang="fr-FR"/>
          </a:p>
        </c:txPr>
        <c:crossAx val="7002"/>
        <c:crosses val="autoZero"/>
        <c:auto val="1"/>
        <c:lblAlgn val="ctr"/>
        <c:lblOffset val="100"/>
        <c:noMultiLvlLbl val="0"/>
      </c:catAx>
      <c:valAx>
        <c:axId val="7002"/>
        <c:scaling>
          <c:orientation val="minMax"/>
        </c:scaling>
        <c:delete val="0"/>
        <c:axPos val="l"/>
        <c:majorGridlines>
          <c:spPr>
            <a:ln w="6350">
              <a:solidFill>
                <a:srgbClr val="E3EDF2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>
                <a:solidFill>
                  <a:srgbClr val="6B8796"/>
                </a:solidFill>
                <a:latin typeface="Segoe UI"/>
              </a:defRPr>
            </a:pPr>
            <a:endParaRPr lang="fr-FR"/>
          </a:p>
        </c:txPr>
        <c:crossAx val="7001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</c:chart>
  <c:spPr>
    <a:solidFill>
      <a:srgbClr val="FFFFFF"/>
    </a:solidFill>
    <a:ln w="12700">
      <a:solidFill>
        <a:srgbClr val="D6E6EE"/>
      </a:solidFill>
    </a:ln>
    <a:effectLst>
      <a:outerShdw blurRad="88900" dist="25400" dir="5400000" algn="t" rotWithShape="0">
        <a:srgbClr val="00415E">
          <a:alpha val="20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Apex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200" b="1">
                <a:solidFill>
                  <a:srgbClr val="00415E"/>
                </a:solidFill>
                <a:latin typeface="Segoe UI"/>
              </a:defRPr>
            </a:pPr>
            <a:r>
              <a:rPr lang="fr-FR" sz="1200" b="1">
                <a:solidFill>
                  <a:srgbClr val="00415E"/>
                </a:solidFill>
                <a:latin typeface="Segoe UI"/>
              </a:rPr>
              <a:t>Classes BCEAO — répartition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Classe I</c:v>
          </c:tx>
          <c:spPr>
            <a:solidFill>
              <a:srgbClr val="2EA3D6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'Sommaire'!$AF$5</c:f>
              <c:strCache>
                <c:ptCount val="1"/>
                <c:pt idx="0">
                  <c:v>Encours</c:v>
                </c:pt>
              </c:strCache>
            </c:strRef>
          </c:cat>
          <c:val>
            <c:numRef>
              <c:f>'Sommaire'!$AG$5:$AG$5</c:f>
              <c:numCache>
                <c:formatCode>General</c:formatCode>
                <c:ptCount val="1"/>
                <c:pt idx="0">
                  <c:v>1736377596648</c:v>
                </c:pt>
              </c:numCache>
            </c:numRef>
          </c:val>
        </c:ser>
        <c:ser>
          <c:idx val="1"/>
          <c:order val="1"/>
          <c:tx>
            <c:v>Classe IA</c:v>
          </c:tx>
          <c:spPr>
            <a:solidFill>
              <a:srgbClr val="7FC7E8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'Sommaire'!$AF$5</c:f>
              <c:strCache>
                <c:ptCount val="1"/>
                <c:pt idx="0">
                  <c:v>Encours</c:v>
                </c:pt>
              </c:strCache>
            </c:strRef>
          </c:cat>
          <c:val>
            <c:numRef>
              <c:f>'Sommaire'!$AG$7:$AG$7</c:f>
              <c:numCache>
                <c:formatCode>General</c:formatCode>
                <c:ptCount val="1"/>
                <c:pt idx="0">
                  <c:v>755797967152</c:v>
                </c:pt>
              </c:numCache>
            </c:numRef>
          </c:val>
        </c:ser>
        <c:ser>
          <c:idx val="2"/>
          <c:order val="2"/>
          <c:tx>
            <c:v>Classe II</c:v>
          </c:tx>
          <c:spPr>
            <a:solidFill>
              <a:srgbClr val="8CC63F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'Sommaire'!$AF$5</c:f>
              <c:strCache>
                <c:ptCount val="1"/>
                <c:pt idx="0">
                  <c:v>Encours</c:v>
                </c:pt>
              </c:strCache>
            </c:strRef>
          </c:cat>
          <c:val>
            <c:numRef>
              <c:f>'Sommaire'!$AG$9:$AG$9</c:f>
              <c:numCache>
                <c:formatCode>General</c:formatCode>
                <c:ptCount val="1"/>
                <c:pt idx="0">
                  <c:v>383175523049</c:v>
                </c:pt>
              </c:numCache>
            </c:numRef>
          </c:val>
        </c:ser>
        <c:ser>
          <c:idx val="3"/>
          <c:order val="3"/>
          <c:tx>
            <c:v>Classe III</c:v>
          </c:tx>
          <c:spPr>
            <a:solidFill>
              <a:srgbClr val="F2B632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'Sommaire'!$AF$5</c:f>
              <c:strCache>
                <c:ptCount val="1"/>
                <c:pt idx="0">
                  <c:v>Encours</c:v>
                </c:pt>
              </c:strCache>
            </c:strRef>
          </c:cat>
          <c:val>
            <c:numRef>
              <c:f>'Sommaire'!$AG$11:$AG$11</c:f>
              <c:numCache>
                <c:formatCode>General</c:formatCode>
                <c:ptCount val="1"/>
                <c:pt idx="0">
                  <c:v>372987355565</c:v>
                </c:pt>
              </c:numCache>
            </c:numRef>
          </c:val>
        </c:ser>
        <c:ser>
          <c:idx val="4"/>
          <c:order val="4"/>
          <c:tx>
            <c:v>Classe IV</c:v>
          </c:tx>
          <c:spPr>
            <a:solidFill>
              <a:srgbClr val="E08A3C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'Sommaire'!$AF$5</c:f>
              <c:strCache>
                <c:ptCount val="1"/>
                <c:pt idx="0">
                  <c:v>Encours</c:v>
                </c:pt>
              </c:strCache>
            </c:strRef>
          </c:cat>
          <c:val>
            <c:numRef>
              <c:f>'Sommaire'!$AG$13:$AG$13</c:f>
              <c:numCache>
                <c:formatCode>General</c:formatCode>
                <c:ptCount val="1"/>
                <c:pt idx="0">
                  <c:v>386352858893</c:v>
                </c:pt>
              </c:numCache>
            </c:numRef>
          </c:val>
        </c:ser>
        <c:ser>
          <c:idx val="5"/>
          <c:order val="5"/>
          <c:tx>
            <c:v>Classe V</c:v>
          </c:tx>
          <c:spPr>
            <a:solidFill>
              <a:srgbClr val="C0392B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'Sommaire'!$AF$5</c:f>
              <c:strCache>
                <c:ptCount val="1"/>
                <c:pt idx="0">
                  <c:v>Encours</c:v>
                </c:pt>
              </c:strCache>
            </c:strRef>
          </c:cat>
          <c:val>
            <c:numRef>
              <c:f>'Sommaire'!$AG$15:$AG$15</c:f>
              <c:numCache>
                <c:formatCode>General</c:formatCode>
                <c:ptCount val="1"/>
                <c:pt idx="0">
                  <c:v>358895856100</c:v>
                </c:pt>
              </c:numCache>
            </c:numRef>
          </c:val>
        </c:ser>
        <c:gapWidth val="30"/>
        <c:overlap val="100"/>
        <c:axId val="7201"/>
        <c:axId val="7202"/>
      </c:barChart>
      <c:catAx>
        <c:axId val="7201"/>
        <c:scaling>
          <c:orientation val="maxMin"/>
        </c:scaling>
        <c:delete val="1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CFE0E7"/>
            </a:solidFill>
          </a:ln>
        </c:spPr>
        <c:txPr>
          <a:bodyPr/>
          <a:lstStyle/>
          <a:p>
            <a:pPr>
              <a:defRPr sz="800">
                <a:solidFill>
                  <a:srgbClr val="3E5C6B"/>
                </a:solidFill>
                <a:latin typeface="Segoe UI"/>
              </a:defRPr>
            </a:pPr>
            <a:endParaRPr lang="fr-FR"/>
          </a:p>
        </c:txPr>
        <c:crossAx val="7202"/>
        <c:crosses val="autoZero"/>
        <c:auto val="1"/>
        <c:lblAlgn val="ctr"/>
        <c:lblOffset val="100"/>
        <c:noMultiLvlLbl val="0"/>
      </c:catAx>
      <c:valAx>
        <c:axId val="7202"/>
        <c:scaling>
          <c:orientation val="minMax"/>
        </c:scaling>
        <c:delete val="1"/>
        <c:axPos val="b"/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>
                <a:solidFill>
                  <a:srgbClr val="6B8796"/>
                </a:solidFill>
                <a:latin typeface="Segoe UI"/>
              </a:defRPr>
            </a:pPr>
            <a:endParaRPr lang="fr-FR"/>
          </a:p>
        </c:txPr>
        <c:crossAx val="72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12333F"/>
              </a:solidFill>
              <a:latin typeface="Segoe UI"/>
            </a:defRPr>
          </a:pPr>
          <a:endParaRPr lang="fr-FR"/>
        </a:p>
      </c:txPr>
    </c:legend>
    <c:plotVisOnly val="0"/>
    <c:dispBlanksAs val="gap"/>
  </c:chart>
  <c:spPr>
    <a:solidFill>
      <a:srgbClr val="FFFFFF"/>
    </a:solidFill>
    <a:ln w="12700">
      <a:solidFill>
        <a:srgbClr val="D6E6EE"/>
      </a:solidFill>
    </a:ln>
    <a:effectLst>
      <a:outerShdw blurRad="88900" dist="25400" dir="5400000" algn="t" rotWithShape="0">
        <a:srgbClr val="00415E">
          <a:alpha val="20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Apex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200" b="1">
                <a:solidFill>
                  <a:srgbClr val="00415E"/>
                </a:solidFill>
                <a:latin typeface="Segoe UI"/>
              </a:defRPr>
            </a:pPr>
            <a:r>
              <a:rPr lang="fr-FR" sz="1200" b="1">
                <a:solidFill>
                  <a:srgbClr val="00415E"/>
                </a:solidFill>
                <a:latin typeface="Segoe UI"/>
              </a:rPr>
              <a:t>Couverture ECL / NPL (échelle 150 %)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Couverture</c:v>
          </c:tx>
          <c:spPr>
            <a:solidFill>
              <a:srgbClr val="005C83"/>
            </a:solidFill>
            <a:ln>
              <a:noFill/>
            </a:ln>
          </c:spPr>
          <c:dPt>
            <c:idx val="0"/>
            <c:bubble3D val="0"/>
            <c:spPr>
              <a:solidFill>
                <a:srgbClr val="8CC63F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E3EDF2"/>
              </a:solidFill>
              <a:ln w="0">
                <a:noFill/>
              </a:ln>
            </c:spPr>
          </c:dPt>
          <c:dPt>
            <c:idx val="2"/>
            <c:bubble3D val="0"/>
            <c:spPr>
              <a:noFill/>
              <a:ln w="0">
                <a:noFill/>
              </a:ln>
            </c:spPr>
          </c:dPt>
          <c:dLbls>
            <c:delete val="1"/>
          </c:dLbls>
          <c:cat>
            <c:strRef>
              <c:f>'Sommaire'!$AF$40:$AF$42</c:f>
              <c:strCache>
                <c:ptCount val="3"/>
                <c:pt idx="0">
                  <c:v>Couverture</c:v>
                </c:pt>
                <c:pt idx="1">
                  <c:v>Reste</c:v>
                </c:pt>
                <c:pt idx="2">
                  <c:v>Base</c:v>
                </c:pt>
              </c:strCache>
            </c:strRef>
          </c:cat>
          <c:val>
            <c:numRef>
              <c:f>'Sommaire'!$AG$40:$AG$42</c:f>
              <c:numCache>
                <c:formatCode>General</c:formatCode>
                <c:ptCount val="3"/>
                <c:pt idx="0">
                  <c:v>0.41776034155968195</c:v>
                </c:pt>
                <c:pt idx="1">
                  <c:v>0.582239658440318</c:v>
                </c:pt>
                <c:pt idx="2">
                  <c:v>1</c:v>
                </c:pt>
              </c:numCache>
            </c:numRef>
          </c:val>
        </c:ser>
        <c:firstSliceAng val="270"/>
        <c:holeSize val="68"/>
      </c:doughnutChart>
      <c:spPr>
        <a:noFill/>
        <a:ln>
          <a:noFill/>
        </a:ln>
      </c:spPr>
    </c:plotArea>
    <c:plotVisOnly val="0"/>
    <c:dispBlanksAs val="gap"/>
  </c:chart>
  <c:spPr>
    <a:solidFill>
      <a:srgbClr val="FFFFFF"/>
    </a:solidFill>
    <a:ln w="12700">
      <a:solidFill>
        <a:srgbClr val="D6E6EE"/>
      </a:solidFill>
    </a:ln>
    <a:effectLst>
      <a:outerShdw blurRad="88900" dist="25400" dir="5400000" algn="t" rotWithShape="0">
        <a:srgbClr val="00415E">
          <a:alpha val="20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Apex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200" b="1">
                <a:solidFill>
                  <a:srgbClr val="00415E"/>
                </a:solidFill>
                <a:latin typeface="Segoe UI"/>
              </a:defRPr>
            </a:pPr>
            <a:r>
              <a:rPr lang="fr-FR" sz="1200" b="1">
                <a:solidFill>
                  <a:srgbClr val="00415E"/>
                </a:solidFill>
                <a:latin typeface="Segoe UI"/>
              </a:rPr>
              <a:t>Encours et ECL par arrêté (milliards XOF)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Encours</c:v>
          </c:tx>
          <c:spPr>
            <a:gradFill rotWithShape="1">
              <a:gsLst>
                <a:gs pos="0">
                  <a:srgbClr val="005C83">
                    <a:lumMod val="75000"/>
                  </a:srgbClr>
                </a:gs>
                <a:gs pos="100000">
                  <a:srgbClr val="005C83">
                    <a:lumMod val="110000"/>
                  </a:srgbClr>
                </a:gs>
              </a:gsLst>
              <a:lin ang="16200000" scaled="0"/>
            </a:gradFill>
            <a:ln>
              <a:noFill/>
            </a:ln>
          </c:spPr>
          <c:invertIfNegative val="0"/>
          <c:dLbls>
            <c:delete val="1"/>
          </c:dLbls>
          <c:cat>
            <c:strRef>
              <c:f>'Sommaire'!$AF$44:$AF$49</c:f>
              <c:strCache>
                <c:ptCount val="6"/>
                <c:pt idx="0">
                  <c:v>28/04</c:v>
                </c:pt>
                <c:pt idx="1">
                  <c:v>28/05</c:v>
                </c:pt>
                <c:pt idx="2">
                  <c:v>28/06</c:v>
                </c:pt>
                <c:pt idx="3">
                  <c:v>28/07</c:v>
                </c:pt>
                <c:pt idx="4">
                  <c:v>28/08</c:v>
                </c:pt>
                <c:pt idx="5">
                  <c:v>28/09</c:v>
                </c:pt>
              </c:strCache>
            </c:strRef>
          </c:cat>
          <c:val>
            <c:numRef>
              <c:f>'Sommaire'!$AG$44:$AG$49</c:f>
              <c:numCache>
                <c:formatCode>General</c:formatCode>
                <c:ptCount val="6"/>
                <c:pt idx="0">
                  <c:v>560000000000</c:v>
                </c:pt>
                <c:pt idx="1">
                  <c:v>578000000000</c:v>
                </c:pt>
                <c:pt idx="2">
                  <c:v>596000000000</c:v>
                </c:pt>
                <c:pt idx="3">
                  <c:v>614000000000</c:v>
                </c:pt>
                <c:pt idx="4">
                  <c:v>632000000000</c:v>
                </c:pt>
                <c:pt idx="5">
                  <c:v>650000000000</c:v>
                </c:pt>
              </c:numCache>
            </c:numRef>
          </c:val>
        </c:ser>
        <c:gapWidth val="45"/>
        <c:axId val="7301"/>
        <c:axId val="7302"/>
      </c:barChart>
      <c:lineChart>
        <c:grouping val="standard"/>
        <c:varyColors val="0"/>
        <c:ser>
          <c:idx val="1"/>
          <c:order val="1"/>
          <c:tx>
            <c:v>ECL</c:v>
          </c:tx>
          <c:spPr>
            <a:ln w="31750" cap="rnd">
              <a:solidFill>
                <a:srgbClr val="8CC63F"/>
              </a:solidFill>
              <a:round/>
            </a:ln>
          </c:spPr>
          <c:marker>
            <c:symbol val="circle"/>
            <c:size val="6"/>
            <c:spPr>
              <a:solidFill>
                <a:srgbClr val="8CC63F"/>
              </a:solidFill>
              <a:ln>
                <a:noFill/>
              </a:ln>
            </c:spPr>
          </c:marker>
          <c:dLbls>
            <c:delete val="1"/>
          </c:dLbls>
          <c:cat>
            <c:strRef>
              <c:f>'Sommaire'!$AF$44:$AF$49</c:f>
              <c:strCache>
                <c:ptCount val="6"/>
                <c:pt idx="0">
                  <c:v>28/04</c:v>
                </c:pt>
                <c:pt idx="1">
                  <c:v>28/05</c:v>
                </c:pt>
                <c:pt idx="2">
                  <c:v>28/06</c:v>
                </c:pt>
                <c:pt idx="3">
                  <c:v>28/07</c:v>
                </c:pt>
                <c:pt idx="4">
                  <c:v>28/08</c:v>
                </c:pt>
                <c:pt idx="5">
                  <c:v>28/09</c:v>
                </c:pt>
              </c:strCache>
            </c:strRef>
          </c:cat>
          <c:val>
            <c:numRef>
              <c:f>'Sommaire'!$AG$58:$AG$63</c:f>
              <c:numCache>
                <c:formatCode>General</c:formatCode>
                <c:ptCount val="6"/>
                <c:pt idx="0">
                  <c:v>28000000000</c:v>
                </c:pt>
                <c:pt idx="1">
                  <c:v>29000000000</c:v>
                </c:pt>
                <c:pt idx="2">
                  <c:v>30000000000</c:v>
                </c:pt>
                <c:pt idx="3">
                  <c:v>31000000000</c:v>
                </c:pt>
                <c:pt idx="4">
                  <c:v>32000000000</c:v>
                </c:pt>
                <c:pt idx="5">
                  <c:v>33000000000</c:v>
                </c:pt>
              </c:numCache>
            </c:numRef>
          </c:val>
          <c:smooth val="1"/>
        </c:ser>
        <c:marker val="1"/>
        <c:axId val="7303"/>
        <c:axId val="7304"/>
      </c:lineChart>
      <c:catAx>
        <c:axId val="73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CFE0E7"/>
            </a:solidFill>
          </a:ln>
        </c:spPr>
        <c:txPr>
          <a:bodyPr/>
          <a:lstStyle/>
          <a:p>
            <a:pPr>
              <a:defRPr sz="800">
                <a:solidFill>
                  <a:srgbClr val="3E5C6B"/>
                </a:solidFill>
                <a:latin typeface="Segoe UI"/>
              </a:defRPr>
            </a:pPr>
            <a:endParaRPr lang="fr-FR"/>
          </a:p>
        </c:txPr>
        <c:crossAx val="7302"/>
        <c:crosses val="autoZero"/>
        <c:auto val="1"/>
        <c:lblAlgn val="ctr"/>
        <c:lblOffset val="100"/>
        <c:noMultiLvlLbl val="0"/>
      </c:catAx>
      <c:valAx>
        <c:axId val="7302"/>
        <c:scaling>
          <c:orientation val="minMax"/>
        </c:scaling>
        <c:delete val="0"/>
        <c:axPos val="l"/>
        <c:majorGridlines>
          <c:spPr>
            <a:ln w="6350">
              <a:solidFill>
                <a:srgbClr val="E3EDF2"/>
              </a:solidFill>
            </a:ln>
          </c:spPr>
        </c:majorGridlines>
        <c:numFmt formatCode="#,##0,,,&quot; Md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>
                <a:solidFill>
                  <a:srgbClr val="6B8796"/>
                </a:solidFill>
                <a:latin typeface="Segoe UI"/>
              </a:defRPr>
            </a:pPr>
            <a:endParaRPr lang="fr-FR"/>
          </a:p>
        </c:txPr>
        <c:crossAx val="7301"/>
        <c:crosses val="autoZero"/>
        <c:crossBetween val="between"/>
      </c:valAx>
      <c:catAx>
        <c:axId val="730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CFE0E7"/>
            </a:solidFill>
          </a:ln>
        </c:spPr>
        <c:txPr>
          <a:bodyPr/>
          <a:lstStyle/>
          <a:p>
            <a:pPr>
              <a:defRPr sz="800">
                <a:solidFill>
                  <a:srgbClr val="3E5C6B"/>
                </a:solidFill>
                <a:latin typeface="Segoe UI"/>
              </a:defRPr>
            </a:pPr>
            <a:endParaRPr lang="fr-FR"/>
          </a:p>
        </c:txPr>
        <c:crossAx val="7304"/>
        <c:crosses val="autoZero"/>
        <c:auto val="1"/>
        <c:lblAlgn val="ctr"/>
        <c:lblOffset val="100"/>
        <c:noMultiLvlLbl val="0"/>
      </c:catAx>
      <c:valAx>
        <c:axId val="7304"/>
        <c:scaling>
          <c:orientation val="minMax"/>
        </c:scaling>
        <c:delete val="0"/>
        <c:axPos val="r"/>
        <c:numFmt formatCode="#,##0,,,&quot; Md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>
                <a:solidFill>
                  <a:srgbClr val="6B8796"/>
                </a:solidFill>
                <a:latin typeface="Segoe UI"/>
              </a:defRPr>
            </a:pPr>
            <a:endParaRPr lang="fr-FR"/>
          </a:p>
        </c:txPr>
        <c:crossAx val="7303"/>
        <c:crosses val="max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800">
              <a:solidFill>
                <a:srgbClr val="12333F"/>
              </a:solidFill>
              <a:latin typeface="Segoe UI"/>
            </a:defRPr>
          </a:pPr>
          <a:endParaRPr lang="fr-FR"/>
        </a:p>
      </c:txPr>
    </c:legend>
    <c:plotVisOnly val="0"/>
    <c:dispBlanksAs val="gap"/>
  </c:chart>
  <c:spPr>
    <a:solidFill>
      <a:srgbClr val="FFFFFF"/>
    </a:solidFill>
    <a:ln w="12700">
      <a:solidFill>
        <a:srgbClr val="D6E6EE"/>
      </a:solidFill>
    </a:ln>
    <a:effectLst>
      <a:outerShdw blurRad="88900" dist="25400" dir="5400000" algn="t" rotWithShape="0">
        <a:srgbClr val="00415E">
          <a:alpha val="20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Apex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200" b="1">
                <a:solidFill>
                  <a:srgbClr val="00415E"/>
                </a:solidFill>
                <a:latin typeface="Segoe UI"/>
              </a:defRPr>
            </a:pPr>
            <a:r>
              <a:rPr lang="fr-FR" sz="1200" b="1">
                <a:solidFill>
                  <a:srgbClr val="00415E"/>
                </a:solidFill>
                <a:latin typeface="Segoe UI"/>
              </a:rPr>
              <a:t>Top 8 contreparties — encours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Encours</c:v>
          </c:tx>
          <c:spPr>
            <a:gradFill rotWithShape="1">
              <a:gsLst>
                <a:gs pos="0">
                  <a:srgbClr val="005C83">
                    <a:lumMod val="75000"/>
                  </a:srgbClr>
                </a:gs>
                <a:gs pos="100000">
                  <a:srgbClr val="005C83">
                    <a:lumMod val="110000"/>
                  </a:srgbClr>
                </a:gs>
              </a:gsLst>
              <a:lin ang="16200000" scaled="0"/>
            </a:gradFill>
            <a:ln>
              <a:noFill/>
            </a:ln>
          </c:spPr>
          <c:invertIfNegative val="0"/>
          <c:dLbls>
            <c:numFmt formatCode="#,##0,,&quot; M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00415E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'Sommaire'!$AF$24:$AF$31</c:f>
              <c:strCache>
                <c:ptCount val="8"/>
                <c:pt idx="0">
                  <c:v>SOCIETE C1015</c:v>
                </c:pt>
                <c:pt idx="1">
                  <c:v>SOCIETE C442</c:v>
                </c:pt>
                <c:pt idx="2">
                  <c:v>SOCIETE C2214</c:v>
                </c:pt>
                <c:pt idx="3">
                  <c:v>SOCIETE C1743</c:v>
                </c:pt>
                <c:pt idx="4">
                  <c:v>SOCIETE C1770</c:v>
                </c:pt>
                <c:pt idx="5">
                  <c:v>SOCIETE C1474</c:v>
                </c:pt>
                <c:pt idx="6">
                  <c:v>SOCIETE C511</c:v>
                </c:pt>
                <c:pt idx="7">
                  <c:v>SOCIETE C999</c:v>
                </c:pt>
              </c:strCache>
            </c:strRef>
          </c:cat>
          <c:val>
            <c:numRef>
              <c:f>'Sommaire'!$AG$24:$AG$31</c:f>
              <c:numCache>
                <c:formatCode>#,##0,," M"</c:formatCode>
                <c:ptCount val="8"/>
                <c:pt idx="0">
                  <c:v>10455650707</c:v>
                </c:pt>
                <c:pt idx="1">
                  <c:v>10364318704</c:v>
                </c:pt>
                <c:pt idx="2">
                  <c:v>8738953879</c:v>
                </c:pt>
                <c:pt idx="3">
                  <c:v>8666599343</c:v>
                </c:pt>
                <c:pt idx="4">
                  <c:v>8660397459</c:v>
                </c:pt>
                <c:pt idx="5">
                  <c:v>8528678252</c:v>
                </c:pt>
                <c:pt idx="6">
                  <c:v>8411902445</c:v>
                </c:pt>
                <c:pt idx="7">
                  <c:v>8383349914</c:v>
                </c:pt>
              </c:numCache>
            </c:numRef>
          </c:val>
        </c:ser>
        <c:gapWidth val="45"/>
        <c:axId val="7101"/>
        <c:axId val="7102"/>
      </c:barChart>
      <c:catAx>
        <c:axId val="71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CFE0E7"/>
            </a:solidFill>
          </a:ln>
        </c:spPr>
        <c:txPr>
          <a:bodyPr/>
          <a:lstStyle/>
          <a:p>
            <a:pPr>
              <a:defRPr sz="800">
                <a:solidFill>
                  <a:srgbClr val="3E5C6B"/>
                </a:solidFill>
                <a:latin typeface="Segoe UI"/>
              </a:defRPr>
            </a:pPr>
            <a:endParaRPr lang="fr-FR"/>
          </a:p>
        </c:txPr>
        <c:crossAx val="7102"/>
        <c:crosses val="autoZero"/>
        <c:auto val="1"/>
        <c:lblAlgn val="ctr"/>
        <c:lblOffset val="100"/>
        <c:noMultiLvlLbl val="0"/>
      </c:catAx>
      <c:valAx>
        <c:axId val="7102"/>
        <c:scaling>
          <c:orientation val="minMax"/>
        </c:scaling>
        <c:delete val="1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>
                <a:solidFill>
                  <a:srgbClr val="6B8796"/>
                </a:solidFill>
                <a:latin typeface="Segoe UI"/>
              </a:defRPr>
            </a:pPr>
            <a:endParaRPr lang="fr-FR"/>
          </a:p>
        </c:txPr>
        <c:crossAx val="7101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</c:chart>
  <c:spPr>
    <a:solidFill>
      <a:srgbClr val="FFFFFF"/>
    </a:solidFill>
    <a:ln w="12700">
      <a:solidFill>
        <a:srgbClr val="D6E6EE"/>
      </a:solidFill>
    </a:ln>
    <a:effectLst>
      <a:outerShdw blurRad="88900" dist="25400" dir="5400000" algn="t" rotWithShape="0">
        <a:srgbClr val="00415E">
          <a:alpha val="20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Apex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200" b="1">
                <a:solidFill>
                  <a:srgbClr val="00415E"/>
                </a:solidFill>
                <a:latin typeface="Segoe UI"/>
              </a:defRPr>
            </a:pPr>
            <a:r>
              <a:rPr lang="fr-FR" sz="1200" b="1">
                <a:solidFill>
                  <a:srgbClr val="00415E"/>
                </a:solidFill>
                <a:latin typeface="Segoe UI"/>
              </a:rPr>
              <a:t>Encours par segment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Encours</c:v>
          </c:tx>
          <c:spPr>
            <a:gradFill rotWithShape="1">
              <a:gsLst>
                <a:gs pos="0">
                  <a:srgbClr val="2EA3D6">
                    <a:lumMod val="75000"/>
                  </a:srgbClr>
                </a:gs>
                <a:gs pos="100000">
                  <a:srgbClr val="2EA3D6">
                    <a:lumMod val="110000"/>
                  </a:srgbClr>
                </a:gs>
              </a:gsLst>
              <a:lin ang="16200000" scaled="0"/>
            </a:gra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8CC63F">
                      <a:lumMod val="75000"/>
                    </a:srgbClr>
                  </a:gs>
                  <a:gs pos="100000">
                    <a:srgbClr val="8CC63F">
                      <a:lumMod val="110000"/>
                    </a:srgbClr>
                  </a:gs>
                </a:gsLst>
                <a:lin ang="16200000" scaled="0"/>
              </a:gra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005C83">
                      <a:lumMod val="75000"/>
                    </a:srgbClr>
                  </a:gs>
                  <a:gs pos="100000">
                    <a:srgbClr val="005C83">
                      <a:lumMod val="110000"/>
                    </a:srgbClr>
                  </a:gs>
                </a:gsLst>
                <a:lin ang="16200000" scaled="0"/>
              </a:gra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19B5A5">
                      <a:lumMod val="75000"/>
                    </a:srgbClr>
                  </a:gs>
                  <a:gs pos="100000">
                    <a:srgbClr val="19B5A5">
                      <a:lumMod val="110000"/>
                    </a:srgbClr>
                  </a:gs>
                </a:gsLst>
                <a:lin ang="16200000" scaled="0"/>
              </a:gradFill>
              <a:ln w="0"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7B8FE8">
                      <a:lumMod val="75000"/>
                    </a:srgbClr>
                  </a:gs>
                  <a:gs pos="100000">
                    <a:srgbClr val="7B8FE8">
                      <a:lumMod val="110000"/>
                    </a:srgbClr>
                  </a:gs>
                </a:gsLst>
                <a:lin ang="16200000" scaled="0"/>
              </a:gradFill>
              <a:ln w="0">
                <a:noFill/>
              </a:ln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F2B632">
                      <a:lumMod val="75000"/>
                    </a:srgbClr>
                  </a:gs>
                  <a:gs pos="100000">
                    <a:srgbClr val="F2B632">
                      <a:lumMod val="110000"/>
                    </a:srgbClr>
                  </a:gs>
                </a:gsLst>
                <a:lin ang="16200000" scaled="0"/>
              </a:gradFill>
              <a:ln w="0">
                <a:noFill/>
              </a:ln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rgbClr val="E08A3C">
                      <a:lumMod val="75000"/>
                    </a:srgbClr>
                  </a:gs>
                  <a:gs pos="100000">
                    <a:srgbClr val="E08A3C">
                      <a:lumMod val="110000"/>
                    </a:srgbClr>
                  </a:gs>
                </a:gsLst>
                <a:lin ang="16200000" scaled="0"/>
              </a:gradFill>
              <a:ln w="0">
                <a:noFill/>
              </a:ln>
            </c:spPr>
          </c:dPt>
          <c:dLbls>
            <c:numFmt formatCode="#,##0,,,&quot; Md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00415E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'Sommaire'!$AF$17:$AF$22</c:f>
              <c:strCache>
                <c:ptCount val="6"/>
                <c:pt idx="0">
                  <c:v>CORPORATE BANKING</c:v>
                </c:pt>
                <c:pt idx="1">
                  <c:v>COMMERCIAL BANKING</c:v>
                </c:pt>
                <c:pt idx="2">
                  <c:v>CONSUMER BANKING</c:v>
                </c:pt>
                <c:pt idx="3">
                  <c:v>PUBLIC SECTOR</c:v>
                </c:pt>
                <c:pt idx="4">
                  <c:v>SME</c:v>
                </c:pt>
                <c:pt idx="5">
                  <c:v>INSTITUTIONAL</c:v>
                </c:pt>
              </c:strCache>
            </c:strRef>
          </c:cat>
          <c:val>
            <c:numRef>
              <c:f>'Sommaire'!$AG$17:$AG$22</c:f>
              <c:numCache>
                <c:formatCode>#,##0,,," Md"</c:formatCode>
                <c:ptCount val="6"/>
                <c:pt idx="0">
                  <c:v>1832150088955</c:v>
                </c:pt>
                <c:pt idx="1">
                  <c:v>953861673493</c:v>
                </c:pt>
                <c:pt idx="2">
                  <c:v>576201653032</c:v>
                </c:pt>
                <c:pt idx="3">
                  <c:v>339736774315</c:v>
                </c:pt>
                <c:pt idx="4">
                  <c:v>209626465172</c:v>
                </c:pt>
                <c:pt idx="5">
                  <c:v>82010502440</c:v>
                </c:pt>
              </c:numCache>
            </c:numRef>
          </c:val>
        </c:ser>
        <c:gapWidth val="55"/>
        <c:axId val="7101"/>
        <c:axId val="7102"/>
      </c:barChart>
      <c:catAx>
        <c:axId val="71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CFE0E7"/>
            </a:solidFill>
          </a:ln>
        </c:spPr>
        <c:txPr>
          <a:bodyPr/>
          <a:lstStyle/>
          <a:p>
            <a:pPr>
              <a:defRPr sz="800">
                <a:solidFill>
                  <a:srgbClr val="3E5C6B"/>
                </a:solidFill>
                <a:latin typeface="Segoe UI"/>
              </a:defRPr>
            </a:pPr>
            <a:endParaRPr lang="fr-FR"/>
          </a:p>
        </c:txPr>
        <c:crossAx val="7102"/>
        <c:crosses val="autoZero"/>
        <c:auto val="1"/>
        <c:lblAlgn val="ctr"/>
        <c:lblOffset val="100"/>
        <c:noMultiLvlLbl val="0"/>
      </c:catAx>
      <c:valAx>
        <c:axId val="7102"/>
        <c:scaling>
          <c:orientation val="minMax"/>
        </c:scaling>
        <c:delete val="1"/>
        <c:axPos val="l"/>
        <c:majorGridlines>
          <c:spPr>
            <a:ln w="6350">
              <a:solidFill>
                <a:srgbClr val="E3EDF2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>
                <a:solidFill>
                  <a:srgbClr val="6B8796"/>
                </a:solidFill>
                <a:latin typeface="Segoe UI"/>
              </a:defRPr>
            </a:pPr>
            <a:endParaRPr lang="fr-FR"/>
          </a:p>
        </c:txPr>
        <c:crossAx val="7101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</c:chart>
  <c:spPr>
    <a:solidFill>
      <a:srgbClr val="FFFFFF"/>
    </a:solidFill>
    <a:ln w="12700">
      <a:solidFill>
        <a:srgbClr val="D6E6EE"/>
      </a:solidFill>
    </a:ln>
    <a:effectLst>
      <a:outerShdw blurRad="88900" dist="25400" dir="5400000" algn="t" rotWithShape="0">
        <a:srgbClr val="00415E">
          <a:alpha val="20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Apex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200" b="1">
                <a:solidFill>
                  <a:srgbClr val="00415E"/>
                </a:solidFill>
                <a:latin typeface="Segoe UI"/>
              </a:defRPr>
            </a:pPr>
            <a:r>
              <a:rPr lang="fr-FR" sz="1200" b="1">
                <a:solidFill>
                  <a:srgbClr val="00415E"/>
                </a:solidFill>
                <a:latin typeface="Segoe UI"/>
              </a:rPr>
              <a:t>Impayés par ancienneté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Impayés</c:v>
          </c:tx>
          <c:spPr>
            <a:gradFill rotWithShape="1">
              <a:gsLst>
                <a:gs pos="0">
                  <a:srgbClr val="2EA3D6">
                    <a:lumMod val="75000"/>
                  </a:srgbClr>
                </a:gs>
                <a:gs pos="100000">
                  <a:srgbClr val="2EA3D6">
                    <a:lumMod val="110000"/>
                  </a:srgbClr>
                </a:gs>
              </a:gsLst>
              <a:lin ang="16200000" scaled="0"/>
            </a:gra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2EA3D6">
                      <a:lumMod val="75000"/>
                    </a:srgbClr>
                  </a:gs>
                  <a:gs pos="100000">
                    <a:srgbClr val="2EA3D6">
                      <a:lumMod val="110000"/>
                    </a:srgbClr>
                  </a:gs>
                </a:gsLst>
                <a:lin ang="16200000" scaled="0"/>
              </a:gra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2EA3D6">
                      <a:lumMod val="75000"/>
                    </a:srgbClr>
                  </a:gs>
                  <a:gs pos="100000">
                    <a:srgbClr val="2EA3D6">
                      <a:lumMod val="110000"/>
                    </a:srgbClr>
                  </a:gs>
                </a:gsLst>
                <a:lin ang="16200000" scaled="0"/>
              </a:gra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2B632">
                      <a:lumMod val="75000"/>
                    </a:srgbClr>
                  </a:gs>
                  <a:gs pos="100000">
                    <a:srgbClr val="F2B632">
                      <a:lumMod val="110000"/>
                    </a:srgbClr>
                  </a:gs>
                </a:gsLst>
                <a:lin ang="16200000" scaled="0"/>
              </a:gradFill>
              <a:ln w="0"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E08A3C">
                      <a:lumMod val="75000"/>
                    </a:srgbClr>
                  </a:gs>
                  <a:gs pos="100000">
                    <a:srgbClr val="E08A3C">
                      <a:lumMod val="110000"/>
                    </a:srgbClr>
                  </a:gs>
                </a:gsLst>
                <a:lin ang="16200000" scaled="0"/>
              </a:gradFill>
              <a:ln w="0">
                <a:noFill/>
              </a:ln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E0674F">
                      <a:lumMod val="75000"/>
                    </a:srgbClr>
                  </a:gs>
                  <a:gs pos="100000">
                    <a:srgbClr val="E0674F">
                      <a:lumMod val="110000"/>
                    </a:srgbClr>
                  </a:gs>
                </a:gsLst>
                <a:lin ang="16200000" scaled="0"/>
              </a:gradFill>
              <a:ln w="0">
                <a:noFill/>
              </a:ln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rgbClr val="C0392B">
                      <a:lumMod val="75000"/>
                    </a:srgbClr>
                  </a:gs>
                  <a:gs pos="100000">
                    <a:srgbClr val="C0392B">
                      <a:lumMod val="110000"/>
                    </a:srgbClr>
                  </a:gs>
                </a:gsLst>
                <a:lin ang="16200000" scaled="0"/>
              </a:gradFill>
              <a:ln w="0">
                <a:noFill/>
              </a:ln>
            </c:spPr>
          </c:dPt>
          <c:dLbls>
            <c:numFmt formatCode="#,##0,,&quot; M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00415E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'Sommaire'!$AF$33:$AF$38</c:f>
              <c:strCache>
                <c:ptCount val="6"/>
                <c:pt idx="0">
                  <c:v>0-30 j</c:v>
                </c:pt>
                <c:pt idx="1">
                  <c:v>31-60 j</c:v>
                </c:pt>
                <c:pt idx="2">
                  <c:v>61-90 j</c:v>
                </c:pt>
                <c:pt idx="3">
                  <c:v>91-180 j</c:v>
                </c:pt>
                <c:pt idx="4">
                  <c:v>181-360 j</c:v>
                </c:pt>
                <c:pt idx="5">
                  <c:v>&gt; 360 j</c:v>
                </c:pt>
              </c:strCache>
            </c:strRef>
          </c:cat>
          <c:val>
            <c:numRef>
              <c:f>'Sommaire'!$AG$33:$AG$38</c:f>
              <c:numCache>
                <c:formatCode>#,##0,," M"</c:formatCode>
                <c:ptCount val="6"/>
                <c:pt idx="0">
                  <c:v>33308779024</c:v>
                </c:pt>
                <c:pt idx="1">
                  <c:v>16342048422</c:v>
                </c:pt>
                <c:pt idx="2">
                  <c:v>14704147930</c:v>
                </c:pt>
                <c:pt idx="3">
                  <c:v>32773337791</c:v>
                </c:pt>
                <c:pt idx="4">
                  <c:v>22316834321</c:v>
                </c:pt>
                <c:pt idx="5">
                  <c:v>714927342</c:v>
                </c:pt>
              </c:numCache>
            </c:numRef>
          </c:val>
        </c:ser>
        <c:gapWidth val="55"/>
        <c:axId val="7101"/>
        <c:axId val="7102"/>
      </c:barChart>
      <c:catAx>
        <c:axId val="71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CFE0E7"/>
            </a:solidFill>
          </a:ln>
        </c:spPr>
        <c:txPr>
          <a:bodyPr/>
          <a:lstStyle/>
          <a:p>
            <a:pPr>
              <a:defRPr sz="800">
                <a:solidFill>
                  <a:srgbClr val="3E5C6B"/>
                </a:solidFill>
                <a:latin typeface="Segoe UI"/>
              </a:defRPr>
            </a:pPr>
            <a:endParaRPr lang="fr-FR"/>
          </a:p>
        </c:txPr>
        <c:crossAx val="7102"/>
        <c:crosses val="autoZero"/>
        <c:auto val="1"/>
        <c:lblAlgn val="ctr"/>
        <c:lblOffset val="100"/>
        <c:noMultiLvlLbl val="0"/>
      </c:catAx>
      <c:valAx>
        <c:axId val="7102"/>
        <c:scaling>
          <c:orientation val="minMax"/>
        </c:scaling>
        <c:delete val="1"/>
        <c:axPos val="l"/>
        <c:majorGridlines>
          <c:spPr>
            <a:ln w="6350">
              <a:solidFill>
                <a:srgbClr val="E3EDF2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>
                <a:solidFill>
                  <a:srgbClr val="6B8796"/>
                </a:solidFill>
                <a:latin typeface="Segoe UI"/>
              </a:defRPr>
            </a:pPr>
            <a:endParaRPr lang="fr-FR"/>
          </a:p>
        </c:txPr>
        <c:crossAx val="7101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</c:chart>
  <c:spPr>
    <a:solidFill>
      <a:srgbClr val="FFFFFF"/>
    </a:solidFill>
    <a:ln w="12700">
      <a:solidFill>
        <a:srgbClr val="D6E6EE"/>
      </a:solidFill>
    </a:ln>
    <a:effectLst>
      <a:outerShdw blurRad="88900" dist="25400" dir="5400000" algn="t" rotWithShape="0">
        <a:srgbClr val="00415E">
          <a:alpha val="20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drawings/_rels/drawing1.xml.rels><?xml version="1.0" encoding="UTF-8" standalone="yes"?><Relationships xmlns="http://schemas.openxmlformats.org/package/2006/relationships"><Relationship Id="rIdLogo" Type="http://schemas.openxmlformats.org/officeDocument/2006/relationships/image" Target="../media/logo3d.png"/></Relationships>
</file>

<file path=xl/drawings/_rels/drawing2.xml.rels><?xml version="1.0" encoding="UTF-8" standalone="yes"?><Relationships xmlns="http://schemas.openxmlformats.org/package/2006/relationships"><Relationship Id="rIdLogo" Type="http://schemas.openxmlformats.org/officeDocument/2006/relationships/image" Target="../media/logo3d.png"/></Relationships>
</file>

<file path=xl/drawings/_rels/drawingApexSum.xml.rels><?xml version="1.0" encoding="UTF-8" standalone="yes"?><Relationships xmlns="http://schemas.openxmlformats.org/package/2006/relationships"><Relationship Id="rIdApexLC1" Type="http://schemas.openxmlformats.org/officeDocument/2006/relationships/chart" Target="../charts/chartApex1.xml"/><Relationship Id="rIdApexLC2" Type="http://schemas.openxmlformats.org/officeDocument/2006/relationships/chart" Target="../charts/chartApex2.xml"/><Relationship Id="rIdApexLC3" Type="http://schemas.openxmlformats.org/officeDocument/2006/relationships/chart" Target="../charts/chartApex3.xml"/><Relationship Id="rIdApexLC4" Type="http://schemas.openxmlformats.org/officeDocument/2006/relationships/chart" Target="../charts/chartApex4.xml"/><Relationship Id="rIdApexLC5" Type="http://schemas.openxmlformats.org/officeDocument/2006/relationships/chart" Target="../charts/chartApex5.xml"/><Relationship Id="rIdApexLC6" Type="http://schemas.openxmlformats.org/officeDocument/2006/relationships/chart" Target="../charts/chartApex6.xml"/><Relationship Id="rIdApexLC7" Type="http://schemas.openxmlformats.org/officeDocument/2006/relationships/chart" Target="../charts/chartApex7.xml"/><Relationship Id="rIdApexLC8" Type="http://schemas.openxmlformats.org/officeDocument/2006/relationships/chart" Target="../charts/chartApex8.xml"/><Relationship Id="rIdApexNvS0" Type="http://schemas.openxmlformats.org/officeDocument/2006/relationships/hyperlink" Target="#'Sommaire'!A1"/><Relationship Id="rIdApexNvS1" Type="http://schemas.openxmlformats.org/officeDocument/2006/relationships/hyperlink" Target="#'Donn&#233;es du tableau de bord'!A1"/><Relationship Id="rIdApexNvS2" Type="http://schemas.openxmlformats.org/officeDocument/2006/relationships/hyperlink" Target="#'Impay&#233;s'!A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526553</xdr:colOff>
      <xdr:row>0</xdr:row>
      <xdr:rowOff>38100</xdr:rowOff>
    </xdr:from>
    <xdr:ext cx="1426072" cy="508000"/>
    <xdr:pic>
      <xdr:nvPicPr>
        <xdr:cNvPr id="1" name="Logo Ecobank"/>
        <xdr:cNvPicPr>
          <a:picLocks noChangeAspect="1"/>
        </xdr:cNvPicPr>
      </xdr:nvPicPr>
      <xdr:blipFill>
        <a:blip r:embed="rIdLogo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393203</xdr:colOff>
      <xdr:row>0</xdr:row>
      <xdr:rowOff>38100</xdr:rowOff>
    </xdr:from>
    <xdr:ext cx="1426072" cy="508000"/>
    <xdr:pic>
      <xdr:nvPicPr>
        <xdr:cNvPr id="1" name="Logo Ecobank"/>
        <xdr:cNvPicPr>
          <a:picLocks noChangeAspect="1"/>
        </xdr:cNvPicPr>
      </xdr:nvPicPr>
      <xdr:blipFill>
        <a:blip r:embed="rIdLogo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ApexSum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9</xdr:row>
      <xdr:rowOff>25400</xdr:rowOff>
    </xdr:from>
    <xdr:to>
      <xdr:col>3</xdr:col>
      <xdr:colOff>1028700</xdr:colOff>
      <xdr:row>22</xdr:row>
      <xdr:rowOff>228600</xdr:rowOff>
    </xdr:to>
    <xdr:graphicFrame macro="">
      <xdr:nvGraphicFramePr>
        <xdr:cNvPr id="1201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LC1"/>
        </a:graphicData>
      </a:graphic>
    </xdr:graphicFrame>
    <xdr:clientData/>
  </xdr:twoCellAnchor>
  <xdr:twoCellAnchor editAs="oneCell">
    <xdr:from>
      <xdr:col>4</xdr:col>
      <xdr:colOff>47625</xdr:colOff>
      <xdr:row>9</xdr:row>
      <xdr:rowOff>25400</xdr:rowOff>
    </xdr:from>
    <xdr:to>
      <xdr:col>6</xdr:col>
      <xdr:colOff>1028700</xdr:colOff>
      <xdr:row>22</xdr:row>
      <xdr:rowOff>228600</xdr:rowOff>
    </xdr:to>
    <xdr:graphicFrame macro="">
      <xdr:nvGraphicFramePr>
        <xdr:cNvPr id="1202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LC2"/>
        </a:graphicData>
      </a:graphic>
    </xdr:graphicFrame>
    <xdr:clientData/>
  </xdr:twoCellAnchor>
  <xdr:twoCellAnchor editAs="oneCell">
    <xdr:from>
      <xdr:col>7</xdr:col>
      <xdr:colOff>47625</xdr:colOff>
      <xdr:row>9</xdr:row>
      <xdr:rowOff>25400</xdr:rowOff>
    </xdr:from>
    <xdr:to>
      <xdr:col>9</xdr:col>
      <xdr:colOff>1028700</xdr:colOff>
      <xdr:row>22</xdr:row>
      <xdr:rowOff>228600</xdr:rowOff>
    </xdr:to>
    <xdr:graphicFrame macro="">
      <xdr:nvGraphicFramePr>
        <xdr:cNvPr id="1203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LC3"/>
        </a:graphicData>
      </a:graphic>
    </xdr:graphicFrame>
    <xdr:clientData/>
  </xdr:twoCellAnchor>
  <xdr:twoCellAnchor editAs="oneCell">
    <xdr:from>
      <xdr:col>10</xdr:col>
      <xdr:colOff>47625</xdr:colOff>
      <xdr:row>9</xdr:row>
      <xdr:rowOff>25400</xdr:rowOff>
    </xdr:from>
    <xdr:to>
      <xdr:col>12</xdr:col>
      <xdr:colOff>1028700</xdr:colOff>
      <xdr:row>22</xdr:row>
      <xdr:rowOff>228600</xdr:rowOff>
    </xdr:to>
    <xdr:graphicFrame macro="">
      <xdr:nvGraphicFramePr>
        <xdr:cNvPr id="1204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LC4"/>
        </a:graphicData>
      </a:graphic>
    </xdr:graphicFrame>
    <xdr:clientData/>
  </xdr:twoCellAnchor>
  <xdr:twoCellAnchor editAs="oneCell">
    <xdr:from>
      <xdr:col>1</xdr:col>
      <xdr:colOff>47625</xdr:colOff>
      <xdr:row>24</xdr:row>
      <xdr:rowOff>25400</xdr:rowOff>
    </xdr:from>
    <xdr:to>
      <xdr:col>6</xdr:col>
      <xdr:colOff>1028700</xdr:colOff>
      <xdr:row>37</xdr:row>
      <xdr:rowOff>228600</xdr:rowOff>
    </xdr:to>
    <xdr:graphicFrame macro="">
      <xdr:nvGraphicFramePr>
        <xdr:cNvPr id="1205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LC5"/>
        </a:graphicData>
      </a:graphic>
    </xdr:graphicFrame>
    <xdr:clientData/>
  </xdr:twoCellAnchor>
  <xdr:twoCellAnchor editAs="oneCell">
    <xdr:from>
      <xdr:col>7</xdr:col>
      <xdr:colOff>47625</xdr:colOff>
      <xdr:row>24</xdr:row>
      <xdr:rowOff>25400</xdr:rowOff>
    </xdr:from>
    <xdr:to>
      <xdr:col>12</xdr:col>
      <xdr:colOff>1028700</xdr:colOff>
      <xdr:row>37</xdr:row>
      <xdr:rowOff>228600</xdr:rowOff>
    </xdr:to>
    <xdr:graphicFrame macro="">
      <xdr:nvGraphicFramePr>
        <xdr:cNvPr id="1206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LC6"/>
        </a:graphicData>
      </a:graphic>
    </xdr:graphicFrame>
    <xdr:clientData/>
  </xdr:twoCellAnchor>
  <xdr:twoCellAnchor editAs="oneCell">
    <xdr:from>
      <xdr:col>1</xdr:col>
      <xdr:colOff>47625</xdr:colOff>
      <xdr:row>39</xdr:row>
      <xdr:rowOff>25400</xdr:rowOff>
    </xdr:from>
    <xdr:to>
      <xdr:col>6</xdr:col>
      <xdr:colOff>1028700</xdr:colOff>
      <xdr:row>52</xdr:row>
      <xdr:rowOff>228600</xdr:rowOff>
    </xdr:to>
    <xdr:graphicFrame macro="">
      <xdr:nvGraphicFramePr>
        <xdr:cNvPr id="1207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LC7"/>
        </a:graphicData>
      </a:graphic>
    </xdr:graphicFrame>
    <xdr:clientData/>
  </xdr:twoCellAnchor>
  <xdr:twoCellAnchor editAs="oneCell">
    <xdr:from>
      <xdr:col>7</xdr:col>
      <xdr:colOff>47625</xdr:colOff>
      <xdr:row>39</xdr:row>
      <xdr:rowOff>25400</xdr:rowOff>
    </xdr:from>
    <xdr:to>
      <xdr:col>12</xdr:col>
      <xdr:colOff>1028700</xdr:colOff>
      <xdr:row>52</xdr:row>
      <xdr:rowOff>228600</xdr:rowOff>
    </xdr:to>
    <xdr:graphicFrame macro="">
      <xdr:nvGraphicFramePr>
        <xdr:cNvPr id="1208" name="Graphique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LC8"/>
        </a:graphicData>
      </a:graphic>
    </xdr:graphicFrame>
    <xdr:clientData/>
  </xdr:twoCellAnchor>
  <xdr:twoCellAnchor editAs="oneCell">
    <xdr:from>
      <xdr:col>1</xdr:col>
      <xdr:colOff>38100</xdr:colOff>
      <xdr:row>7</xdr:row>
      <xdr:rowOff>25400</xdr:rowOff>
    </xdr:from>
    <xdr:to>
      <xdr:col>4</xdr:col>
      <xdr:colOff>1028700</xdr:colOff>
      <xdr:row>7</xdr:row>
      <xdr:rowOff>1270000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209" name="TDB Seg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DB Segment 1"/>
            </a:graphicData>
          </a:graphic>
        </xdr:graphicFrame>
      </mc:Choice>
      <mc:Fallback>
        <xdr:sp macro="" textlink="">
          <xdr:nvSpPr>
            <xdr:cNvPr id="1210" name="Repli 1"/>
            <xdr:cNvSpPr>
              <a:spLocks noTextEdit="1"/>
            </xdr:cNvSpPr>
          </xdr:nvSpPr>
          <xdr:spPr>
            <a:xfrm>
              <a:off x="0" y="0"/>
              <a:ext cx="1828800" cy="495300"/>
            </a:xfrm>
            <a:prstGeom prst="rect">
              <a:avLst/>
            </a:prstGeom>
            <a:solidFill>
              <a:srgbClr val="FFFFFF"/>
            </a:solidFill>
            <a:ln w="1">
              <a:solidFill>
                <a:srgbClr val="005C83"/>
              </a:solidFill>
            </a:ln>
          </xdr:spPr>
          <xdr:txBody>
            <a:bodyPr vertOverflow="clip" horzOverflow="clip"/>
            <a:lstStyle/>
            <a:p>
              <a:r>
                <a:rPr lang="fr-FR" sz="900"/>
                <a:t>Segment Segment : Excel 2013 ou ultérieur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38100</xdr:colOff>
      <xdr:row>7</xdr:row>
      <xdr:rowOff>25400</xdr:rowOff>
    </xdr:from>
    <xdr:to>
      <xdr:col>8</xdr:col>
      <xdr:colOff>1028700</xdr:colOff>
      <xdr:row>7</xdr:row>
      <xdr:rowOff>1270000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211" name="TDB Class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DB Classe 2"/>
            </a:graphicData>
          </a:graphic>
        </xdr:graphicFrame>
      </mc:Choice>
      <mc:Fallback>
        <xdr:sp macro="" textlink="">
          <xdr:nvSpPr>
            <xdr:cNvPr id="1212" name="Repli 2"/>
            <xdr:cNvSpPr>
              <a:spLocks noTextEdit="1"/>
            </xdr:cNvSpPr>
          </xdr:nvSpPr>
          <xdr:spPr>
            <a:xfrm>
              <a:off x="0" y="0"/>
              <a:ext cx="1828800" cy="495300"/>
            </a:xfrm>
            <a:prstGeom prst="rect">
              <a:avLst/>
            </a:prstGeom>
            <a:solidFill>
              <a:srgbClr val="FFFFFF"/>
            </a:solidFill>
            <a:ln w="1">
              <a:solidFill>
                <a:srgbClr val="005C83"/>
              </a:solidFill>
            </a:ln>
          </xdr:spPr>
          <xdr:txBody>
            <a:bodyPr vertOverflow="clip" horzOverflow="clip"/>
            <a:lstStyle/>
            <a:p>
              <a:r>
                <a:rPr lang="fr-FR" sz="900"/>
                <a:t>Segment Classe : Excel 2013 ou ultérieur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38100</xdr:colOff>
      <xdr:row>7</xdr:row>
      <xdr:rowOff>25400</xdr:rowOff>
    </xdr:from>
    <xdr:to>
      <xdr:col>12</xdr:col>
      <xdr:colOff>1028700</xdr:colOff>
      <xdr:row>7</xdr:row>
      <xdr:rowOff>1270000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213" name="TDB Stage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DB Stage 3"/>
            </a:graphicData>
          </a:graphic>
        </xdr:graphicFrame>
      </mc:Choice>
      <mc:Fallback>
        <xdr:sp macro="" textlink="">
          <xdr:nvSpPr>
            <xdr:cNvPr id="1214" name="Repli 3"/>
            <xdr:cNvSpPr>
              <a:spLocks noTextEdit="1"/>
            </xdr:cNvSpPr>
          </xdr:nvSpPr>
          <xdr:spPr>
            <a:xfrm>
              <a:off x="0" y="0"/>
              <a:ext cx="1828800" cy="495300"/>
            </a:xfrm>
            <a:prstGeom prst="rect">
              <a:avLst/>
            </a:prstGeom>
            <a:solidFill>
              <a:srgbClr val="FFFFFF"/>
            </a:solidFill>
            <a:ln w="1">
              <a:solidFill>
                <a:srgbClr val="005C83"/>
              </a:solidFill>
            </a:ln>
          </xdr:spPr>
          <xdr:txBody>
            <a:bodyPr vertOverflow="clip" horzOverflow="clip"/>
            <a:lstStyle/>
            <a:p>
              <a:r>
                <a:rPr lang="fr-FR" sz="900"/>
                <a:t>Segment Stage : Excel 2013 ou ultérieur</a:t>
              </a:r>
            </a:p>
          </xdr:txBody>
        </xdr:sp>
      </mc:Fallback>
    </mc:AlternateContent>
    <xdr:clientData/>
  </xdr:twoCellAnchor>
  <xdr:absoluteAnchor>
    <xdr:pos x="28575" y="1003300"/>
    <xdr:ext cx="1657350" cy="1485900"/>
    <xdr:sp macro="" textlink="">
      <xdr:nvSpPr>
        <xdr:cNvPr id="1224" name="Rail APEX"/>
        <xdr:cNvSpPr>
          <a:spLocks noTextEdit="1"/>
        </xdr:cNvSpPr>
      </xdr:nvSpPr>
      <xdr:spPr>
        <a:xfrm>
          <a:off x="28575" y="1003300"/>
          <a:ext cx="1657350" cy="1485900"/>
        </a:xfrm>
        <a:prstGeom prst="roundRect">
          <a:avLst>
            <a:gd name="adj" fmla="val 9000"/>
          </a:avLst>
        </a:prstGeom>
        <a:gradFill rotWithShape="1">
          <a:gsLst>
            <a:gs pos="0">
              <a:srgbClr val="00304A"/>
            </a:gs>
            <a:gs pos="100000">
              <a:srgbClr val="005C83"/>
            </a:gs>
          </a:gsLst>
          <a:lin ang="5400000" scaled="0"/>
        </a:gradFill>
        <a:ln>
          <a:noFill/>
        </a:ln>
        <a:effectLst>
          <a:outerShdw blurRad="63500" dist="19050" dir="5400000" algn="t" rotWithShape="0">
            <a:srgbClr val="000000">
              <a:alpha val="35000"/>
            </a:srgbClr>
          </a:outerShdw>
        </a:effectLst>
      </xdr:spPr>
      <xdr:txBody>
        <a:bodyPr vertOverflow="clip" horzOverflow="clip" wrap="none" lIns="64008" tIns="0" rIns="27432" bIns="0" rtlCol="0" anchor="ctr"/>
        <a:lstStyle/>
        <a:p>
          <a:endParaRPr lang="fr-FR" sz="800"/>
        </a:p>
      </xdr:txBody>
    </xdr:sp>
    <xdr:clientData/>
  </xdr:absoluteAnchor>
  <xdr:absoluteAnchor>
    <xdr:pos x="66675" y="1054100"/>
    <xdr:ext cx="1581150" cy="355600"/>
    <xdr:sp macro="" textlink="">
      <xdr:nvSpPr>
        <xdr:cNvPr id="1225" name="Titre rail"/>
        <xdr:cNvSpPr>
          <a:spLocks noTextEdit="1"/>
        </xdr:cNvSpPr>
      </xdr:nvSpPr>
      <xdr:spPr>
        <a:xfrm>
          <a:off x="66675" y="1054100"/>
          <a:ext cx="1581150" cy="355600"/>
        </a:xfrm>
        <a:prstGeom prst="roundRect">
          <a:avLst>
            <a:gd name="adj" fmla="val 22000"/>
          </a:avLst>
        </a:prstGeom>
        <a:noFill/>
        <a:ln>
          <a:noFill/>
        </a:ln>
      </xdr:spPr>
      <xdr:txBody>
        <a:bodyPr vertOverflow="clip" horzOverflow="clip" wrap="none" lIns="64008" tIns="0" rIns="27432" bIns="0" rtlCol="0" anchor="ctr"/>
        <a:lstStyle/>
        <a:p>
          <a:pPr algn="l"/>
          <a:r>
            <a:rPr lang="fr-FR" sz="1000" b="1">
              <a:solidFill>
                <a:srgbClr val="8CC63F"/>
              </a:solidFill>
              <a:latin typeface="Segoe UI"/>
              <a:cs typeface="Segoe UI"/>
            </a:rPr>
            <a:t>◆ APEX</a:t>
          </a:r>
          <a:r>
            <a:rPr lang="fr-FR" sz="700" b="1">
              <a:solidFill>
                <a:srgbClr val="BFE3F2"/>
              </a:solidFill>
              <a:latin typeface="Segoe UI"/>
              <a:cs typeface="Segoe UI"/>
            </a:rPr>
            <a:t>  NAVIGATION</a:t>
          </a:r>
        </a:p>
      </xdr:txBody>
    </xdr:sp>
    <xdr:clientData/>
  </xdr:absoluteAnchor>
  <xdr:absoluteAnchor>
    <xdr:pos x="76200" y="1460500"/>
    <xdr:ext cx="1562100" cy="279400"/>
    <xdr:sp macro="" textlink="">
      <xdr:nvSpPr>
        <xdr:cNvPr id="1226" name="Nav Sommaire" descr="Nav Sommaire">
          <a:hlinkClick xmlns:r="http://schemas.openxmlformats.org/officeDocument/2006/relationships" r:id="rIdApexNvS0" tooltip="Ouvrir « Sommaire »"/>
        </xdr:cNvPr>
        <xdr:cNvSpPr>
          <a:spLocks noTextEdit="1"/>
        </xdr:cNvSpPr>
      </xdr:nvSpPr>
      <xdr:spPr>
        <a:xfrm>
          <a:off x="76200" y="1460500"/>
          <a:ext cx="1562100" cy="279400"/>
        </a:xfrm>
        <a:prstGeom prst="roundRect">
          <a:avLst>
            <a:gd name="adj" fmla="val 22000"/>
          </a:avLst>
        </a:prstGeom>
        <a:gradFill rotWithShape="1">
          <a:gsLst>
            <a:gs pos="0">
              <a:srgbClr val="A6DB5C"/>
            </a:gs>
            <a:gs pos="100000">
              <a:srgbClr val="7DB82E"/>
            </a:gs>
          </a:gsLst>
          <a:lin ang="5400000" scaled="0"/>
        </a:gradFill>
        <a:ln w="12700">
          <a:solidFill>
            <a:srgbClr val="FFFFFF"/>
          </a:solidFill>
        </a:ln>
        <a:effectLst>
          <a:outerShdw blurRad="63500" dist="19050" dir="5400000" algn="t" rotWithShape="0">
            <a:srgbClr val="000000">
              <a:alpha val="45000"/>
            </a:srgbClr>
          </a:outerShdw>
        </a:effectLst>
      </xdr:spPr>
      <xdr:txBody>
        <a:bodyPr vertOverflow="clip" horzOverflow="clip" wrap="none" lIns="64008" tIns="0" rIns="27432" bIns="0" rtlCol="0" anchor="ctr"/>
        <a:lstStyle/>
        <a:p>
          <a:pPr algn="l"/>
          <a:r>
            <a:rPr lang="fr-FR" sz="900" b="1">
              <a:solidFill>
                <a:srgbClr val="00304A"/>
              </a:solidFill>
              <a:latin typeface="Segoe UI"/>
              <a:cs typeface="Segoe UI"/>
            </a:rPr>
            <a:t>⌂  Sommaire</a:t>
          </a:r>
        </a:p>
      </xdr:txBody>
    </xdr:sp>
    <xdr:clientData/>
  </xdr:absoluteAnchor>
  <xdr:absoluteAnchor>
    <xdr:pos x="76200" y="1778000"/>
    <xdr:ext cx="1562100" cy="279400"/>
    <xdr:sp macro="" textlink="">
      <xdr:nvSpPr>
        <xdr:cNvPr id="1227" name="Nav Données du tableau de bord" descr="Nav Données du tableau de bord">
          <a:hlinkClick xmlns:r="http://schemas.openxmlformats.org/officeDocument/2006/relationships" r:id="rIdApexNvS1" tooltip="Ouvrir « Données du tableau de bord »"/>
        </xdr:cNvPr>
        <xdr:cNvSpPr>
          <a:spLocks noTextEdit="1"/>
        </xdr:cNvSpPr>
      </xdr:nvSpPr>
      <xdr:spPr>
        <a:xfrm>
          <a:off x="76200" y="1778000"/>
          <a:ext cx="1562100" cy="279400"/>
        </a:xfrm>
        <a:prstGeom prst="roundRect">
          <a:avLst>
            <a:gd name="adj" fmla="val 22000"/>
          </a:avLst>
        </a:prstGeom>
        <a:gradFill rotWithShape="1">
          <a:gsLst>
            <a:gs pos="0">
              <a:srgbClr val="0E86B5"/>
            </a:gs>
            <a:gs pos="100000">
              <a:srgbClr val="006891"/>
            </a:gs>
          </a:gsLst>
          <a:lin ang="5400000" scaled="0"/>
        </a:gradFill>
        <a:ln w="6350">
          <a:solidFill>
            <a:srgbClr val="4FB3DA"/>
          </a:solidFill>
        </a:ln>
        <a:effectLst>
          <a:outerShdw blurRad="25400" dist="19050" dir="5400000" algn="t" rotWithShape="0">
            <a:srgbClr val="000000">
              <a:alpha val="30000"/>
            </a:srgbClr>
          </a:outerShdw>
        </a:effectLst>
      </xdr:spPr>
      <xdr:txBody>
        <a:bodyPr vertOverflow="clip" horzOverflow="clip" wrap="none" lIns="64008" tIns="0" rIns="27432" bIns="0" rtlCol="0" anchor="ctr"/>
        <a:lstStyle/>
        <a:p>
          <a:pPr algn="l"/>
          <a:r>
            <a:rPr lang="fr-FR" sz="850" b="0">
              <a:solidFill>
                <a:srgbClr val="FFFFFF"/>
              </a:solidFill>
              <a:latin typeface="Segoe UI"/>
              <a:cs typeface="Segoe UI"/>
            </a:rPr>
            <a:t>›  Données du tableau de bord</a:t>
          </a:r>
        </a:p>
      </xdr:txBody>
    </xdr:sp>
    <xdr:clientData/>
  </xdr:absoluteAnchor>
  <xdr:absoluteAnchor>
    <xdr:pos x="76200" y="2095500"/>
    <xdr:ext cx="1562100" cy="279400"/>
    <xdr:sp macro="" textlink="">
      <xdr:nvSpPr>
        <xdr:cNvPr id="1228" name="Nav Impayés" descr="Nav Impayés">
          <a:hlinkClick xmlns:r="http://schemas.openxmlformats.org/officeDocument/2006/relationships" r:id="rIdApexNvS2" tooltip="Ouvrir « Impayés »"/>
        </xdr:cNvPr>
        <xdr:cNvSpPr>
          <a:spLocks noTextEdit="1"/>
        </xdr:cNvSpPr>
      </xdr:nvSpPr>
      <xdr:spPr>
        <a:xfrm>
          <a:off x="76200" y="2095500"/>
          <a:ext cx="1562100" cy="279400"/>
        </a:xfrm>
        <a:prstGeom prst="roundRect">
          <a:avLst>
            <a:gd name="adj" fmla="val 22000"/>
          </a:avLst>
        </a:prstGeom>
        <a:gradFill rotWithShape="1">
          <a:gsLst>
            <a:gs pos="0">
              <a:srgbClr val="0E86B5"/>
            </a:gs>
            <a:gs pos="100000">
              <a:srgbClr val="006891"/>
            </a:gs>
          </a:gsLst>
          <a:lin ang="5400000" scaled="0"/>
        </a:gradFill>
        <a:ln w="6350">
          <a:solidFill>
            <a:srgbClr val="4FB3DA"/>
          </a:solidFill>
        </a:ln>
        <a:effectLst>
          <a:outerShdw blurRad="25400" dist="19050" dir="5400000" algn="t" rotWithShape="0">
            <a:srgbClr val="000000">
              <a:alpha val="30000"/>
            </a:srgbClr>
          </a:outerShdw>
        </a:effectLst>
      </xdr:spPr>
      <xdr:txBody>
        <a:bodyPr vertOverflow="clip" horzOverflow="clip" wrap="none" lIns="64008" tIns="0" rIns="27432" bIns="0" rtlCol="0" anchor="ctr"/>
        <a:lstStyle/>
        <a:p>
          <a:pPr algn="l"/>
          <a:r>
            <a:rPr lang="fr-FR" sz="850" b="0">
              <a:solidFill>
                <a:srgbClr val="FFFFFF"/>
              </a:solidFill>
              <a:latin typeface="Segoe UI"/>
              <a:cs typeface="Segoe UI"/>
            </a:rPr>
            <a:t>›  Impayés</a:t>
          </a:r>
        </a:p>
      </xdr:txBody>
    </xdr:sp>
    <xdr:clientData/>
  </xdr:absoluteAnchor>
</xdr:wsDr>
</file>

<file path=xl/slicerCaches/slicerCacheApex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ommaire_Segment_1" sourceName="Segment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Apex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ommaire_Classe_2" sourceName="Classe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Apex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ommaire_Stage_3" sourceName="Stage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ApexSum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DB Segment 1" cache="Segment_Sommaire_Segment_1" caption="Segment" columnCount="4" rowHeight="190500" style="SlicerStyleDark1"/>
  <slicer name="TDB Classe 2" cache="Segment_Sommaire_Classe_2" caption="Classe" columnCount="6" rowHeight="190500" style="SlicerStyleDark1"/>
  <slicer name="TDB Stage 3" cache="Segment_Sommaire_Stage_3" caption="Stage" columnCount="3" rowHeight="190500" style="SlicerStyleDark1"/>
</slicers>
</file>

<file path=xl/tables/tableApex1.xml><?xml version="1.0" encoding="utf-8"?>
<table xmlns="http://schemas.openxmlformats.org/spreadsheetml/2006/main" id="1" name="APEX_Portefeuille_1" displayName="APEX_Portefeuille_1" ref="A1:L5401" totalsRowShown="0">
  <autoFilter ref="A1:L5401"/>
  <tableColumns count="12">
    <tableColumn id="1" name="Client"/>
    <tableColumn id="2" name="Code client"/>
    <tableColumn id="3" name="Segment"/>
    <tableColumn id="4" name="Classe"/>
    <tableColumn id="5" name="Stage"/>
    <tableColumn id="6" name="Produit"/>
    <tableColumn id="7" name="Encours XOF"/>
    <tableColumn id="8" name="ECL XOF"/>
    <tableColumn id="9" name="Impayés XOF"/>
    <tableColumn id="10" name="Jours impayé"/>
    <tableColumn id="11" name="NPL"/>
    <tableColumn id="12" name="Visi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Drw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Drw2" Type="http://schemas.openxmlformats.org/officeDocument/2006/relationships/drawing" Target="../drawings/drawing2.xml"/></Relationships>
</file>

<file path=xl/worksheets/_rels/sheetApex1.xml.rels><?xml version="1.0" encoding="UTF-8" standalone="yes"?><Relationships xmlns="http://schemas.openxmlformats.org/package/2006/relationships"><Relationship Id="rIdApexSD" Type="http://schemas.openxmlformats.org/officeDocument/2006/relationships/drawing" Target="../drawings/drawingApexSum.xml"/><Relationship Id="rIdApexSS" Type="http://schemas.microsoft.com/office/2007/relationships/slicer" Target="../slicers/slicerApexSum.xml"/></Relationships>
</file>

<file path=xl/worksheets/_rels/sheetApex2.xml.rels><?xml version="1.0" encoding="UTF-8" standalone="yes"?><Relationships xmlns="http://schemas.openxmlformats.org/package/2006/relationships"><Relationship Id="rIdApexT1" Type="http://schemas.openxmlformats.org/officeDocument/2006/relationships/table" Target="../tables/tableApex1.xml"/></Relationships>
</file>

<file path=xl/worksheets/sheet2.xml><?xml version="1.0" encoding="utf-8"?>
<worksheet xmlns="http://schemas.openxmlformats.org/spreadsheetml/2006/main" xmlns:r="http://schemas.openxmlformats.org/officeDocument/2006/relationships">
  <sheetPr>
    <tabColor rgb="FF8CC63F"/>
    <pageSetUpPr fitToPage="1"/>
  </sheetPr>
  <dimension ref="A1:T41"/>
  <sheetViews>
    <sheetView showGridLines="0" zoomScale="90" zoomScaleNormal="90" workbookViewId="0">
      <pane ySplit="2" topLeftCell="A3" activePane="bottomLeft" state="frozen"/>
      <selection pane="bottomLeft" activeCell="A3" sqref="A3"/>
    </sheetView>
  </sheetViews>
  <cols>
    <col min="1" max="1" width="9.7" customWidth="1"/>
    <col min="2" max="2" width="9.7" customWidth="1"/>
    <col min="3" max="3" width="13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16" customWidth="1"/>
  </cols>
  <sheetData>
    <row r="1" ht="46" customHeight="1">
      <c r="A1" s="3" t="str">
        <v>IMPAYÉS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25" t="str">
        <f>HYPERLINK("#'Sommaire'!A1","◀ Sommaire")</f>
        <v>◀ Sommaire</v>
      </c>
    </row>
    <row r="2" ht="30" customHeight="1">
      <c r="A2" s="4" t="str">
        <v>Salle Control Tower — APEX OS GODMODE v7 · Impayes_30-90j.xlsx · mis en forme APEX le 29/09/2026 · 1 ligne(s)</v>
      </c>
    </row>
    <row r="3" ht="8" customHeight="1"/>
    <row r="4" ht="18" customHeight="1">
      <c r="A4" s="5" t="str">
        <v>LIGNES</v>
      </c>
      <c r="B4" s="5" t="str">
        <v/>
      </c>
      <c r="C4" s="6" t="str">
        <v>MONTANT</v>
      </c>
      <c r="D4" s="6" t="str">
        <v/>
      </c>
    </row>
    <row r="5" ht="30" customHeight="1">
      <c r="A5" s="9" t="str">
        <v>1</v>
      </c>
      <c r="B5" s="9" t="str">
        <v/>
      </c>
      <c r="C5" s="10" t="str">
        <v>1 M</v>
      </c>
      <c r="D5" s="10" t="str">
        <v/>
      </c>
    </row>
    <row r="6" ht="8" customHeight="1"/>
    <row r="8">
      <c r="A8" s="13" t="str">
        <v>Réf</v>
      </c>
      <c r="B8" s="13" t="str">
        <v>Client</v>
      </c>
      <c r="C8" s="13" t="str">
        <v>Montant</v>
      </c>
    </row>
    <row r="9">
      <c r="A9" s="17" t="str">
        <v>A</v>
      </c>
      <c r="B9" s="17" t="str">
        <v>X</v>
      </c>
      <c r="C9" s="16">
        <v>1000000</v>
      </c>
    </row>
  </sheetData>
  <autoFilter ref="A8:C9"/>
  <mergeCells count="6">
    <mergeCell ref="A1:H1"/>
    <mergeCell ref="A2:H2"/>
    <mergeCell ref="A4:B4"/>
    <mergeCell ref="A5:B5"/>
    <mergeCell ref="C4:D4"/>
    <mergeCell ref="C5:D5"/>
  </mergeCells>
  <conditionalFormatting sqref="C9:C9">
    <cfRule type="dataBar" priority="1">
      <dataBar>
        <cfvo type="min"/>
        <cfvo type="max"/>
        <color rgb="FF005C83"/>
      </dataBar>
    </cfRule>
  </conditionalFormatting>
  <printOptions horizontalCentered="1"/>
  <pageMargins left="0.3" right="0.3" top="0.45" bottom="0.55" header="0.2" footer="0.25"/>
  <pageSetup paperSize="9" orientation="landscape" fitToWidth="1" fitToHeight="0"/>
  <headerFooter>
    <oddFooter>&amp;L&amp;"Segoe UI,Regular"&amp;8&amp;K00305AECOBANK SÉNÉGAL · Direction des Engagements · INTERNAL USE ONLY&amp;C&amp;"Segoe UI,Bold"&amp;8&amp;K0673A2&amp;A&amp;R&amp;"Segoe UI,Regular"&amp;8&amp;K54708APage &amp;P / &amp;N</oddFooter>
  </headerFooter>
  <ignoredErrors>
    <ignoredError numberStoredAsText="1" sqref="A1:T41"/>
  </ignoredErrors>
  <drawing r:id="rIdDrw2"/>
</worksheet>
</file>

<file path=xl/worksheets/sheetApex1.xml><?xml version="1.0" encoding="utf-8"?>
<worksheet xmlns="http://schemas.openxmlformats.org/spreadsheetml/2006/main" xmlns:r="http://schemas.openxmlformats.org/officeDocument/2006/relationships">
  <sheetPr>
    <tabColor rgb="FF8CC63F"/>
    <pageSetUpPr fitToPage="1"/>
  </sheetPr>
  <dimension ref="A1:AG66"/>
  <sheetViews>
    <sheetView showGridLines="0" tabSelected="1" workbookViewId="0" zoomScale="90" zoomScaleNormal="90"/>
  </sheetViews>
  <sheetFormatPr defaultRowHeight="18"/>
  <cols>
    <col min="1" max="1" width="25" customWidth="1"/>
    <col min="2" max="13" width="15.7" customWidth="1"/>
    <col min="32" max="33" width="16" hidden="1" customWidth="1"/>
  </cols>
  <sheetData>
    <row r="1" ht="38" customHeight="1">
      <c r="A1" s="18" t="inlineStr">
        <is>
          <t xml:space="preserve">TABLEAU DE BORD DU PORTEFEUILLE</t>
        </is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AF1" s="23" t="inlineStr">
        <is>
          <t xml:space="preserve">Stage 1</t>
        </is>
      </c>
      <c r="AG1" s="26">
        <f>SUMIFS('Données du tableau de bord'!$G$2:$G$5401,'Données du tableau de bord'!$L$2:$L$5401,1,'Données du tableau de bord'!$E$2:$E$5401,"Stage 1")</f>
      </c>
    </row>
    <row r="2" ht="20" customHeight="1">
      <c r="A2" s="19" t="inlineStr">
        <is>
          <t xml:space="preserve">Impayes 30-90j plan actions  ·  Ecobank Sénégal · Credit Risk OS  ·  arrêté du 27/09/2026</t>
        </is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AF2" s="23" t="inlineStr">
        <is>
          <t xml:space="preserve">Stage 2</t>
        </is>
      </c>
      <c r="AG2" s="26">
        <f>SUMIFS('Données du tableau de bord'!$G$2:$G$5401,'Données du tableau de bord'!$L$2:$L$5401,1,'Données du tableau de bord'!$E$2:$E$5401,"Stage 2")</f>
      </c>
    </row>
    <row r="3" ht="18" customHeight="1">
      <c r="A3" s="20" t="inlineStr">
        <is>
          <t xml:space="preserve">Tableau de bord vivant : cliquez sur les segments (Segment, Classe, Stage) — tuiles et graphiques se recalculent sur la sélection</t>
        </is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AF3" s="23" t="inlineStr">
        <is>
          <t xml:space="preserve">Stage 3</t>
        </is>
      </c>
      <c r="AG3" s="26">
        <f>SUMIFS('Données du tableau de bord'!$G$2:$G$5401,'Données du tableau de bord'!$L$2:$L$5401,1,'Données du tableau de bord'!$E$2:$E$5401,"Stage 3")</f>
      </c>
    </row>
    <row r="4" ht="26" customHeight="1">
      <c r="A4" s="18"/>
      <c r="B4" s="39" t="inlineStr">
        <is>
          <t xml:space="preserve">🔍 RECHERCHER UN CLIENT</t>
        </is>
      </c>
      <c r="C4" s="39"/>
      <c r="D4" s="38"/>
      <c r="E4" s="38"/>
      <c r="F4" s="38"/>
      <c r="G4" s="40" t="str">
        <f>IF($D$4="","← tapez un code client, un nom, un produit ou un segment",SUMPRODUCT(--ISNUMBER(SEARCH($D$4,'Données du tableau de bord'!$A$2:$A$5401&amp;" "&amp;'Données du tableau de bord'!$B$2:$B$5401&amp;" "&amp;'Données du tableau de bord'!$F$2:$F$5401&amp;" "&amp;'Données du tableau de bord'!$C$2:$C$5401)))&amp;" ligne(s) trouvée(s)")</f>
      </c>
      <c r="H4" s="40"/>
      <c r="I4" s="40"/>
      <c r="J4" s="40" t="str">
        <f>IF($D$4="","",IFERROR(HYPERLINK("#'Données du tableau de bord'!A"&amp;(MATCH(TRUE,INDEX(ISNUMBER(SEARCH($D$4,'Données du tableau de bord'!$A$2:$A$5401&amp;" "&amp;'Données du tableau de bord'!$B$2:$B$5401&amp;" "&amp;'Données du tableau de bord'!$F$2:$F$5401&amp;" "&amp;'Données du tableau de bord'!$C$2:$C$5401)),0),0)+1),"→ voir dans les données"),"aucun résultat"))</f>
      </c>
      <c r="K4" s="40"/>
      <c r="L4" s="40"/>
      <c r="M4" s="40"/>
    </row>
    <row r="5" ht="18" customHeight="1">
      <c r="A5" s="18"/>
      <c r="B5" s="27" t="inlineStr">
        <is>
          <t xml:space="preserve">ENCOURS</t>
        </is>
      </c>
      <c r="C5" s="27"/>
      <c r="D5" s="27" t="inlineStr">
        <is>
          <t xml:space="preserve">RATIO NPL</t>
        </is>
      </c>
      <c r="E5" s="27"/>
      <c r="F5" s="27" t="inlineStr">
        <is>
          <t xml:space="preserve">ECL IFRS 9</t>
        </is>
      </c>
      <c r="G5" s="27"/>
      <c r="H5" s="27" t="inlineStr">
        <is>
          <t xml:space="preserve">IMPAYÉS</t>
        </is>
      </c>
      <c r="I5" s="27"/>
      <c r="J5" s="27" t="inlineStr">
        <is>
          <t xml:space="preserve">LIGNES</t>
        </is>
      </c>
      <c r="K5" s="27"/>
      <c r="L5" s="27" t="inlineStr">
        <is>
          <t xml:space="preserve">COUVERTURE ECL / NPL</t>
        </is>
      </c>
      <c r="M5" s="27"/>
      <c r="AF5" s="23" t="inlineStr">
        <is>
          <t xml:space="preserve">I</t>
        </is>
      </c>
      <c r="AG5" s="26">
        <f>SUMIFS('Données du tableau de bord'!$G$2:$G$5401,'Données du tableau de bord'!$L$2:$L$5401,1,'Données du tableau de bord'!$D$2:$D$5401,"I")</f>
      </c>
    </row>
    <row r="6" ht="36" customHeight="1">
      <c r="A6" s="18"/>
      <c r="B6" s="42">
        <f>SUMIFS('Données du tableau de bord'!$G$2:$G$5401,'Données du tableau de bord'!$L$2:$L$5401,1)</f>
      </c>
      <c r="C6" s="42"/>
      <c r="D6" s="41">
        <f>IFERROR(SUMIFS('Données du tableau de bord'!$G$2:$G$5401,'Données du tableau de bord'!$L$2:$L$5401,1,'Données du tableau de bord'!$K$2:$K$5401,"Oui")/SUMIFS('Données du tableau de bord'!$G$2:$G$5401,'Données du tableau de bord'!$L$2:$L$5401,1),0)</f>
      </c>
      <c r="E6" s="41"/>
      <c r="F6" s="42">
        <f>SUMIFS('Données du tableau de bord'!$H$2:$H$5401,'Données du tableau de bord'!$L$2:$L$5401,1)</f>
      </c>
      <c r="G6" s="42"/>
      <c r="H6" s="42">
        <f>SUMIFS('Données du tableau de bord'!$I$2:$I$5401,'Données du tableau de bord'!$L$2:$L$5401,1)</f>
      </c>
      <c r="I6" s="42"/>
      <c r="J6" s="28">
        <f>SUM('Données du tableau de bord'!$L$2:$L$5401)</f>
      </c>
      <c r="K6" s="28"/>
      <c r="L6" s="41">
        <f>IFERROR(SUMIFS('Données du tableau de bord'!$H$2:$H$5401,'Données du tableau de bord'!$L$2:$L$5401,1)/SUMIFS('Données du tableau de bord'!$G$2:$G$5401,'Données du tableau de bord'!$L$2:$L$5401,1,'Données du tableau de bord'!$K$2:$K$5401,"Oui"),0)</f>
      </c>
      <c r="M6" s="41"/>
    </row>
    <row r="7" ht="8" customHeight="1">
      <c r="A7" s="18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AF7" s="23" t="inlineStr">
        <is>
          <t xml:space="preserve">IA</t>
        </is>
      </c>
      <c r="AG7" s="26">
        <f>SUMIFS('Données du tableau de bord'!$G$2:$G$5401,'Données du tableau de bord'!$L$2:$L$5401,1,'Données du tableau de bord'!$D$2:$D$5401,"IA")</f>
      </c>
    </row>
    <row r="8" ht="104" customHeight="1">
      <c r="A8" s="18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ht="8" customHeight="1">
      <c r="A9" s="18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AF9" s="23" t="inlineStr">
        <is>
          <t xml:space="preserve">II</t>
        </is>
      </c>
      <c r="AG9" s="26">
        <f>SUMIFS('Données du tableau de bord'!$G$2:$G$5401,'Données du tableau de bord'!$L$2:$L$5401,1,'Données du tableau de bord'!$D$2:$D$5401,"II")</f>
      </c>
    </row>
    <row r="10" ht="20" customHeight="1">
      <c r="A10" s="18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ht="20" customHeight="1">
      <c r="A11" s="18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AF11" s="23" t="inlineStr">
        <is>
          <t xml:space="preserve">III</t>
        </is>
      </c>
      <c r="AG11" s="26">
        <f>SUMIFS('Données du tableau de bord'!$G$2:$G$5401,'Données du tableau de bord'!$L$2:$L$5401,1,'Données du tableau de bord'!$D$2:$D$5401,"III")</f>
      </c>
    </row>
    <row r="12" ht="20" customHeight="1">
      <c r="A12" s="18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</row>
    <row r="13" ht="20" customHeight="1">
      <c r="A13" s="18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AF13" s="23" t="inlineStr">
        <is>
          <t xml:space="preserve">IV</t>
        </is>
      </c>
      <c r="AG13" s="26">
        <f>SUMIFS('Données du tableau de bord'!$G$2:$G$5401,'Données du tableau de bord'!$L$2:$L$5401,1,'Données du tableau de bord'!$D$2:$D$5401,"IV")</f>
      </c>
    </row>
    <row r="14" ht="20" customHeight="1">
      <c r="A14" s="18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</row>
    <row r="15" ht="20" customHeight="1">
      <c r="A15" s="18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AF15" s="23" t="inlineStr">
        <is>
          <t xml:space="preserve">V</t>
        </is>
      </c>
      <c r="AG15" s="26">
        <f>SUMIFS('Données du tableau de bord'!$G$2:$G$5401,'Données du tableau de bord'!$L$2:$L$5401,1,'Données du tableau de bord'!$D$2:$D$5401,"V")</f>
      </c>
    </row>
    <row r="16" ht="20" customHeight="1">
      <c r="A16" s="18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  <row r="17" ht="20" customHeight="1">
      <c r="A17" s="18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AF17" s="23" t="inlineStr">
        <is>
          <t xml:space="preserve">CORPORATE BANKING</t>
        </is>
      </c>
      <c r="AG17" s="26">
        <f>SUMIFS('Données du tableau de bord'!$G$2:$G$5401,'Données du tableau de bord'!$L$2:$L$5401,1,'Données du tableau de bord'!$C$2:$C$5401,"CORPORATE BANKING")</f>
      </c>
    </row>
    <row r="18" ht="20" customHeight="1">
      <c r="A18" s="18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AF18" s="23" t="inlineStr">
        <is>
          <t xml:space="preserve">COMMERCIAL BANKING</t>
        </is>
      </c>
      <c r="AG18" s="26">
        <f>SUMIFS('Données du tableau de bord'!$G$2:$G$5401,'Données du tableau de bord'!$L$2:$L$5401,1,'Données du tableau de bord'!$C$2:$C$5401,"COMMERCIAL BANKING")</f>
      </c>
    </row>
    <row r="19" ht="20" customHeight="1">
      <c r="A19" s="18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AF19" s="23" t="inlineStr">
        <is>
          <t xml:space="preserve">CONSUMER BANKING</t>
        </is>
      </c>
      <c r="AG19" s="26">
        <f>SUMIFS('Données du tableau de bord'!$G$2:$G$5401,'Données du tableau de bord'!$L$2:$L$5401,1,'Données du tableau de bord'!$C$2:$C$5401,"CONSUMER BANKING")</f>
      </c>
    </row>
    <row r="20" ht="20" customHeight="1">
      <c r="A20" s="18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AF20" s="23" t="inlineStr">
        <is>
          <t xml:space="preserve">PUBLIC SECTOR</t>
        </is>
      </c>
      <c r="AG20" s="26">
        <f>SUMIFS('Données du tableau de bord'!$G$2:$G$5401,'Données du tableau de bord'!$L$2:$L$5401,1,'Données du tableau de bord'!$C$2:$C$5401,"PUBLIC SECTOR")</f>
      </c>
    </row>
    <row r="21" ht="20" customHeight="1">
      <c r="A21" s="18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AF21" s="23" t="inlineStr">
        <is>
          <t xml:space="preserve">SME</t>
        </is>
      </c>
      <c r="AG21" s="26">
        <f>SUMIFS('Données du tableau de bord'!$G$2:$G$5401,'Données du tableau de bord'!$L$2:$L$5401,1,'Données du tableau de bord'!$C$2:$C$5401,"SME")</f>
      </c>
    </row>
    <row r="22" ht="20" customHeight="1">
      <c r="A22" s="18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AF22" s="23" t="inlineStr">
        <is>
          <t xml:space="preserve">INSTITUTIONAL</t>
        </is>
      </c>
      <c r="AG22" s="26">
        <f>SUMIFS('Données du tableau de bord'!$G$2:$G$5401,'Données du tableau de bord'!$L$2:$L$5401,1,'Données du tableau de bord'!$C$2:$C$5401,"INSTITUTIONAL")</f>
      </c>
    </row>
    <row r="23" ht="20" customHeight="1">
      <c r="A23" s="18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</row>
    <row r="24" ht="8" customHeight="1">
      <c r="A24" s="18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AF24" s="23" t="inlineStr">
        <is>
          <t xml:space="preserve">SOCIETE C1015</t>
        </is>
      </c>
      <c r="AG24" s="26">
        <f>SUMIFS('Données du tableau de bord'!$G$2:$G$5401,'Données du tableau de bord'!$L$2:$L$5401,1,'Données du tableau de bord'!$A$2:$A$5401,"SOCIETE C1015")</f>
      </c>
    </row>
    <row r="25" ht="20" customHeight="1">
      <c r="A25" s="18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AF25" s="23" t="inlineStr">
        <is>
          <t xml:space="preserve">SOCIETE C442</t>
        </is>
      </c>
      <c r="AG25" s="26">
        <f>SUMIFS('Données du tableau de bord'!$G$2:$G$5401,'Données du tableau de bord'!$L$2:$L$5401,1,'Données du tableau de bord'!$A$2:$A$5401,"SOCIETE C442")</f>
      </c>
    </row>
    <row r="26" ht="20" customHeight="1">
      <c r="A26" s="18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AF26" s="23" t="inlineStr">
        <is>
          <t xml:space="preserve">SOCIETE C2214</t>
        </is>
      </c>
      <c r="AG26" s="26">
        <f>SUMIFS('Données du tableau de bord'!$G$2:$G$5401,'Données du tableau de bord'!$L$2:$L$5401,1,'Données du tableau de bord'!$A$2:$A$5401,"SOCIETE C2214")</f>
      </c>
    </row>
    <row r="27" ht="20" customHeight="1">
      <c r="A27" s="18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AF27" s="23" t="inlineStr">
        <is>
          <t xml:space="preserve">SOCIETE C1743</t>
        </is>
      </c>
      <c r="AG27" s="26">
        <f>SUMIFS('Données du tableau de bord'!$G$2:$G$5401,'Données du tableau de bord'!$L$2:$L$5401,1,'Données du tableau de bord'!$A$2:$A$5401,"SOCIETE C1743")</f>
      </c>
    </row>
    <row r="28" ht="20" customHeight="1">
      <c r="A28" s="18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AF28" s="23" t="inlineStr">
        <is>
          <t xml:space="preserve">SOCIETE C1770</t>
        </is>
      </c>
      <c r="AG28" s="26">
        <f>SUMIFS('Données du tableau de bord'!$G$2:$G$5401,'Données du tableau de bord'!$L$2:$L$5401,1,'Données du tableau de bord'!$A$2:$A$5401,"SOCIETE C1770")</f>
      </c>
    </row>
    <row r="29" ht="20" customHeight="1">
      <c r="A29" s="18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AF29" s="23" t="inlineStr">
        <is>
          <t xml:space="preserve">SOCIETE C1474</t>
        </is>
      </c>
      <c r="AG29" s="26">
        <f>SUMIFS('Données du tableau de bord'!$G$2:$G$5401,'Données du tableau de bord'!$L$2:$L$5401,1,'Données du tableau de bord'!$A$2:$A$5401,"SOCIETE C1474")</f>
      </c>
    </row>
    <row r="30" ht="20" customHeight="1">
      <c r="A30" s="18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AF30" s="23" t="inlineStr">
        <is>
          <t xml:space="preserve">SOCIETE C511</t>
        </is>
      </c>
      <c r="AG30" s="26">
        <f>SUMIFS('Données du tableau de bord'!$G$2:$G$5401,'Données du tableau de bord'!$L$2:$L$5401,1,'Données du tableau de bord'!$A$2:$A$5401,"SOCIETE C511")</f>
      </c>
    </row>
    <row r="31" ht="20" customHeight="1">
      <c r="A31" s="18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AF31" s="23" t="inlineStr">
        <is>
          <t xml:space="preserve">SOCIETE C999</t>
        </is>
      </c>
      <c r="AG31" s="26">
        <f>SUMIFS('Données du tableau de bord'!$G$2:$G$5401,'Données du tableau de bord'!$L$2:$L$5401,1,'Données du tableau de bord'!$A$2:$A$5401,"SOCIETE C999")</f>
      </c>
    </row>
    <row r="32" ht="20" customHeight="1">
      <c r="A32" s="18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</row>
    <row r="33" ht="20" customHeight="1">
      <c r="A33" s="18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AF33" s="23" t="inlineStr">
        <is>
          <t xml:space="preserve">0-30 j</t>
        </is>
      </c>
      <c r="AG33" s="26">
        <f>SUMIFS('Données du tableau de bord'!$I$2:$I$5401,'Données du tableau de bord'!$L$2:$L$5401,1,'Données du tableau de bord'!$J$2:$J$5401,"&gt;=0",'Données du tableau de bord'!$J$2:$J$5401,"&lt;=30")</f>
      </c>
    </row>
    <row r="34" ht="20" customHeight="1">
      <c r="A34" s="18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AF34" s="23" t="inlineStr">
        <is>
          <t xml:space="preserve">31-60 j</t>
        </is>
      </c>
      <c r="AG34" s="26">
        <f>SUMIFS('Données du tableau de bord'!$I$2:$I$5401,'Données du tableau de bord'!$L$2:$L$5401,1,'Données du tableau de bord'!$J$2:$J$5401,"&gt;=31",'Données du tableau de bord'!$J$2:$J$5401,"&lt;=60")</f>
      </c>
    </row>
    <row r="35" ht="20" customHeight="1">
      <c r="A35" s="18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AF35" s="23" t="inlineStr">
        <is>
          <t xml:space="preserve">61-90 j</t>
        </is>
      </c>
      <c r="AG35" s="26">
        <f>SUMIFS('Données du tableau de bord'!$I$2:$I$5401,'Données du tableau de bord'!$L$2:$L$5401,1,'Données du tableau de bord'!$J$2:$J$5401,"&gt;=61",'Données du tableau de bord'!$J$2:$J$5401,"&lt;=90")</f>
      </c>
    </row>
    <row r="36" ht="20" customHeight="1">
      <c r="A36" s="18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AF36" s="23" t="inlineStr">
        <is>
          <t xml:space="preserve">91-180 j</t>
        </is>
      </c>
      <c r="AG36" s="26">
        <f>SUMIFS('Données du tableau de bord'!$I$2:$I$5401,'Données du tableau de bord'!$L$2:$L$5401,1,'Données du tableau de bord'!$J$2:$J$5401,"&gt;=91",'Données du tableau de bord'!$J$2:$J$5401,"&lt;=180")</f>
      </c>
    </row>
    <row r="37" ht="20" customHeight="1">
      <c r="A37" s="18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AF37" s="23" t="inlineStr">
        <is>
          <t xml:space="preserve">181-360 j</t>
        </is>
      </c>
      <c r="AG37" s="26">
        <f>SUMIFS('Données du tableau de bord'!$I$2:$I$5401,'Données du tableau de bord'!$L$2:$L$5401,1,'Données du tableau de bord'!$J$2:$J$5401,"&gt;=181",'Données du tableau de bord'!$J$2:$J$5401,"&lt;=360")</f>
      </c>
    </row>
    <row r="38" ht="20" customHeight="1">
      <c r="A38" s="18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AF38" s="23" t="inlineStr">
        <is>
          <t xml:space="preserve">&gt; 360 j</t>
        </is>
      </c>
      <c r="AG38" s="26">
        <f>SUMIFS('Données du tableau de bord'!$I$2:$I$5401,'Données du tableau de bord'!$L$2:$L$5401,1,'Données du tableau de bord'!$J$2:$J$5401,"&gt;=361",'Données du tableau de bord'!$J$2:$J$5401,"&lt;=99999")</f>
      </c>
    </row>
    <row r="39" ht="8" customHeight="1">
      <c r="A39" s="18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</row>
    <row r="40" ht="20" customHeight="1">
      <c r="A40" s="18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AF40" s="23" t="inlineStr">
        <is>
          <t xml:space="preserve">Couverture</t>
        </is>
      </c>
      <c r="AG40" s="26">
        <f>MIN(1,IFERROR(SUMIFS('Données du tableau de bord'!$H$2:$H$5401,'Données du tableau de bord'!$L$2:$L$5401,1)/SUMIFS('Données du tableau de bord'!$G$2:$G$5401,'Données du tableau de bord'!$L$2:$L$5401,1,'Données du tableau de bord'!$K$2:$K$5401,"Oui"),0)/1.5)</f>
      </c>
    </row>
    <row r="41" ht="20" customHeight="1">
      <c r="A41" s="18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AF41" s="23" t="inlineStr">
        <is>
          <t xml:space="preserve">Reste</t>
        </is>
      </c>
      <c r="AG41" s="26">
        <f>1-MIN(1,IFERROR(SUMIFS('Données du tableau de bord'!$H$2:$H$5401,'Données du tableau de bord'!$L$2:$L$5401,1)/SUMIFS('Données du tableau de bord'!$G$2:$G$5401,'Données du tableau de bord'!$L$2:$L$5401,1,'Données du tableau de bord'!$K$2:$K$5401,"Oui"),0)/1.5)</f>
      </c>
    </row>
    <row r="42" ht="20" customHeight="1">
      <c r="A42" s="18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AF42" s="23" t="inlineStr">
        <is>
          <t xml:space="preserve">Base</t>
        </is>
      </c>
      <c r="AG42" s="26">
        <f>1</f>
      </c>
    </row>
    <row r="43" ht="20" customHeight="1">
      <c r="A43" s="18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</row>
    <row r="44" ht="20" customHeight="1">
      <c r="A44" s="18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AF44" s="23" t="inlineStr">
        <is>
          <t xml:space="preserve">28/04</t>
        </is>
      </c>
      <c r="AG44" s="26">
        <v>560000000000</v>
      </c>
    </row>
    <row r="45" ht="20" customHeight="1">
      <c r="A45" s="18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AF45" s="23" t="inlineStr">
        <is>
          <t xml:space="preserve">28/05</t>
        </is>
      </c>
      <c r="AG45" s="26">
        <v>578000000000</v>
      </c>
    </row>
    <row r="46" ht="20" customHeight="1">
      <c r="A46" s="18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AF46" s="23" t="inlineStr">
        <is>
          <t xml:space="preserve">28/06</t>
        </is>
      </c>
      <c r="AG46" s="26">
        <v>596000000000</v>
      </c>
    </row>
    <row r="47" ht="20" customHeight="1">
      <c r="A47" s="18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AF47" s="23" t="inlineStr">
        <is>
          <t xml:space="preserve">28/07</t>
        </is>
      </c>
      <c r="AG47" s="26">
        <v>614000000000</v>
      </c>
    </row>
    <row r="48" ht="20" customHeight="1">
      <c r="A48" s="18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AF48" s="23" t="inlineStr">
        <is>
          <t xml:space="preserve">28/08</t>
        </is>
      </c>
      <c r="AG48" s="26">
        <v>632000000000</v>
      </c>
    </row>
    <row r="49" ht="20" customHeight="1">
      <c r="A49" s="18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AF49" s="23" t="inlineStr">
        <is>
          <t xml:space="preserve">28/09</t>
        </is>
      </c>
      <c r="AG49" s="26">
        <v>650000000000</v>
      </c>
    </row>
    <row r="50" ht="20" customHeight="1">
      <c r="A50" s="18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</row>
    <row r="51" ht="20" customHeight="1">
      <c r="A51" s="18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AG51" s="26">
        <v>0.066</v>
      </c>
    </row>
    <row r="52" ht="20" customHeight="1">
      <c r="A52" s="18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AG52" s="26">
        <v>0.0645</v>
      </c>
    </row>
    <row r="53" ht="20" customHeight="1">
      <c r="A53" s="18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AG53" s="26">
        <v>0.063</v>
      </c>
    </row>
    <row r="54" ht="8" customHeight="1">
      <c r="A54" s="18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AG54" s="26">
        <v>0.0615</v>
      </c>
    </row>
    <row r="55">
      <c r="AG55" s="26">
        <v>0.060000000000000005</v>
      </c>
    </row>
    <row r="56">
      <c r="AG56" s="26">
        <v>0.0585</v>
      </c>
    </row>
    <row r="58">
      <c r="AG58" s="26">
        <v>28000000000</v>
      </c>
    </row>
    <row r="59">
      <c r="AG59" s="26">
        <v>29000000000</v>
      </c>
    </row>
    <row r="60">
      <c r="AG60" s="26">
        <v>30000000000</v>
      </c>
    </row>
    <row r="61">
      <c r="AG61" s="26">
        <v>31000000000</v>
      </c>
    </row>
    <row r="62">
      <c r="AG62" s="26">
        <v>32000000000</v>
      </c>
    </row>
    <row r="63">
      <c r="AG63" s="26">
        <v>33000000000</v>
      </c>
    </row>
    <row r="65">
      <c r="AF65" s="23" t="inlineStr">
        <is>
          <t xml:space="preserve">Couverture</t>
        </is>
      </c>
      <c r="AG65" s="41">
        <f>IFERROR(SUMIFS('Données du tableau de bord'!$H$2:$H$5401,'Données du tableau de bord'!$L$2:$L$5401,1)/SUMIFS('Données du tableau de bord'!$G$2:$G$5401,'Données du tableau de bord'!$L$2:$L$5401,1,'Données du tableau de bord'!$K$2:$K$5401,"Oui"),0)</f>
      </c>
    </row>
  </sheetData>
  <mergeCells count="19">
    <mergeCell ref="A1:M1"/>
    <mergeCell ref="A2:M2"/>
    <mergeCell ref="A3:M3"/>
    <mergeCell ref="B4:C4"/>
    <mergeCell ref="D4:F4"/>
    <mergeCell ref="G4:I4"/>
    <mergeCell ref="J4:M4"/>
    <mergeCell ref="B5:C5"/>
    <mergeCell ref="B6:C6"/>
    <mergeCell ref="D5:E5"/>
    <mergeCell ref="D6:E6"/>
    <mergeCell ref="F5:G5"/>
    <mergeCell ref="F6:G6"/>
    <mergeCell ref="H5:I5"/>
    <mergeCell ref="H6:I6"/>
    <mergeCell ref="J5:K5"/>
    <mergeCell ref="J6:K6"/>
    <mergeCell ref="L5:M5"/>
    <mergeCell ref="L6:M6"/>
  </mergeCells>
  <pageMargins left="0.3" right="0.3" top="0.4" bottom="0.4" header="0.2" footer="0.2"/>
  <pageSetup orientation="landscape" fitToWidth="1" fitToHeight="0"/>
  <headerFooter>
    <oddFooter>&amp;L&amp;8Ecobank Sénégal · Credit Risk OS · Confidentiel&amp;R&amp;8Page &amp;P / &amp;N</oddFooter>
  </headerFooter>
  <drawing r:id="rIdApexSD"/>
  <extLst>
    <ext xmlns:x14="http://schemas.microsoft.com/office/spreadsheetml/2009/9/main" uri="{3A4CF648-6AED-40f4-86FF-DC5316D8AED3}">
      <x14:slicerList>
        <x14:slicer r:id="rIdApexSS"/>
      </x14:slicerList>
    </ext>
  </extLst>
</worksheet>
</file>

<file path=xl/worksheets/sheetApex2.xml><?xml version="1.0" encoding="utf-8"?>
<worksheet xmlns="http://schemas.openxmlformats.org/spreadsheetml/2006/main" xmlns:r="http://schemas.openxmlformats.org/officeDocument/2006/relationships">
  <sheetPr>
    <tabColor rgb="FF19B5A5"/>
  </sheetPr>
  <dimension ref="A1:L5401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6" width="16" customWidth="1"/>
    <col min="7" max="9" width="17" customWidth="1"/>
    <col min="10" max="12" width="11" customWidth="1"/>
  </cols>
  <sheetData>
    <row r="1" ht="24" customHeight="1">
      <c r="A1" s="21" t="inlineStr">
        <is>
          <t xml:space="preserve">Client</t>
        </is>
      </c>
      <c r="B1" s="21" t="inlineStr">
        <is>
          <t xml:space="preserve">Code client</t>
        </is>
      </c>
      <c r="C1" s="21" t="inlineStr">
        <is>
          <t xml:space="preserve">Segment</t>
        </is>
      </c>
      <c r="D1" s="21" t="inlineStr">
        <is>
          <t xml:space="preserve">Classe</t>
        </is>
      </c>
      <c r="E1" s="21" t="inlineStr">
        <is>
          <t xml:space="preserve">Stage</t>
        </is>
      </c>
      <c r="F1" s="21" t="inlineStr">
        <is>
          <t xml:space="preserve">Produit</t>
        </is>
      </c>
      <c r="G1" s="21" t="inlineStr">
        <is>
          <t xml:space="preserve">Encours XOF</t>
        </is>
      </c>
      <c r="H1" s="21" t="inlineStr">
        <is>
          <t xml:space="preserve">ECL XOF</t>
        </is>
      </c>
      <c r="I1" s="21" t="inlineStr">
        <is>
          <t xml:space="preserve">Impayés XOF</t>
        </is>
      </c>
      <c r="J1" s="21" t="inlineStr">
        <is>
          <t xml:space="preserve">Jours impayé</t>
        </is>
      </c>
      <c r="K1" s="21" t="inlineStr">
        <is>
          <t xml:space="preserve">NPL</t>
        </is>
      </c>
      <c r="L1" s="21" t="inlineStr">
        <is>
          <t xml:space="preserve">Visible</t>
        </is>
      </c>
    </row>
    <row r="2">
      <c r="A2" t="inlineStr">
        <is>
          <t>SOCIETE C1711</t>
        </is>
      </c>
      <c r="B2" t="inlineStr">
        <is>
          <t>C1711</t>
        </is>
      </c>
      <c r="C2" t="inlineStr">
        <is>
          <t>PUBLIC SECTOR</t>
        </is>
      </c>
      <c r="D2" t="inlineStr">
        <is>
          <t>III</t>
        </is>
      </c>
      <c r="E2" t="inlineStr">
        <is>
          <t>Stage 3</t>
        </is>
      </c>
      <c r="F2" t="inlineStr">
        <is>
          <t>N/A</t>
        </is>
      </c>
      <c r="G2" s="26">
        <v>480911805</v>
      </c>
      <c r="H2" s="26">
        <v>264501493</v>
      </c>
      <c r="I2" s="26">
        <v>35994464</v>
      </c>
      <c r="J2" s="26">
        <v>197</v>
      </c>
      <c r="K2" t="inlineStr">
        <is>
          <t>Oui</t>
        </is>
      </c>
      <c r="L2">
        <f>SUBTOTAL(103,A2)</f>
        <v>1</v>
      </c>
    </row>
    <row r="3">
      <c r="A3" t="inlineStr">
        <is>
          <t>SOCIETE C1169</t>
        </is>
      </c>
      <c r="B3" t="inlineStr">
        <is>
          <t>C1169</t>
        </is>
      </c>
      <c r="C3" t="inlineStr">
        <is>
          <t>SME</t>
        </is>
      </c>
      <c r="D3" t="inlineStr">
        <is>
          <t>I</t>
        </is>
      </c>
      <c r="E3" t="inlineStr">
        <is>
          <t>Stage 1</t>
        </is>
      </c>
      <c r="F3" t="inlineStr">
        <is>
          <t>N/A</t>
        </is>
      </c>
      <c r="G3" s="26">
        <v>960659726</v>
      </c>
      <c r="H3" s="26">
        <v>9606597</v>
      </c>
      <c r="I3" s="26">
        <v>98574344</v>
      </c>
      <c r="J3" s="26">
        <v>254</v>
      </c>
      <c r="K3" t="inlineStr">
        <is>
          <t>Non</t>
        </is>
      </c>
      <c r="L3">
        <f>SUBTOTAL(103,A3)</f>
        <v>1</v>
      </c>
    </row>
    <row r="4">
      <c r="A4" t="inlineStr">
        <is>
          <t>SOCIETE C2279</t>
        </is>
      </c>
      <c r="B4" t="inlineStr">
        <is>
          <t>C2279</t>
        </is>
      </c>
      <c r="C4" t="inlineStr">
        <is>
          <t>CONSUMER BANKING</t>
        </is>
      </c>
      <c r="D4" t="inlineStr">
        <is>
          <t>II</t>
        </is>
      </c>
      <c r="E4" t="inlineStr">
        <is>
          <t>Stage 2</t>
        </is>
      </c>
      <c r="F4" t="inlineStr">
        <is>
          <t>N/A</t>
        </is>
      </c>
      <c r="G4" s="26">
        <v>578597705</v>
      </c>
      <c r="H4" s="26">
        <v>34715862</v>
      </c>
      <c r="I4" s="26">
        <v>0</v>
      </c>
      <c r="J4" s="26">
        <v>111</v>
      </c>
      <c r="K4" t="inlineStr">
        <is>
          <t>Non</t>
        </is>
      </c>
      <c r="L4">
        <f>SUBTOTAL(103,A4)</f>
        <v>1</v>
      </c>
    </row>
    <row r="5">
      <c r="A5" t="inlineStr">
        <is>
          <t>SOCIETE C1071</t>
        </is>
      </c>
      <c r="B5" t="inlineStr">
        <is>
          <t>C1071</t>
        </is>
      </c>
      <c r="C5" t="inlineStr">
        <is>
          <t>COMMERCIAL BANKING</t>
        </is>
      </c>
      <c r="D5" t="inlineStr">
        <is>
          <t>I</t>
        </is>
      </c>
      <c r="E5" t="inlineStr">
        <is>
          <t>Stage 1</t>
        </is>
      </c>
      <c r="F5" t="inlineStr">
        <is>
          <t>N/A</t>
        </is>
      </c>
      <c r="G5" s="26">
        <v>80103066</v>
      </c>
      <c r="H5" s="26">
        <v>801031</v>
      </c>
      <c r="I5" s="26">
        <v>0</v>
      </c>
      <c r="J5" s="26">
        <v>256</v>
      </c>
      <c r="K5" t="inlineStr">
        <is>
          <t>Non</t>
        </is>
      </c>
      <c r="L5">
        <f>SUBTOTAL(103,A5)</f>
        <v>1</v>
      </c>
    </row>
    <row r="6">
      <c r="A6" t="inlineStr">
        <is>
          <t>SOCIETE C1401</t>
        </is>
      </c>
      <c r="B6" t="inlineStr">
        <is>
          <t>C1401</t>
        </is>
      </c>
      <c r="C6" t="inlineStr">
        <is>
          <t>COMMERCIAL BANKING</t>
        </is>
      </c>
      <c r="D6" t="inlineStr">
        <is>
          <t>I</t>
        </is>
      </c>
      <c r="E6" t="inlineStr">
        <is>
          <t>Stage 1</t>
        </is>
      </c>
      <c r="F6" t="inlineStr">
        <is>
          <t>N/A</t>
        </is>
      </c>
      <c r="G6" s="26">
        <v>62369083</v>
      </c>
      <c r="H6" s="26">
        <v>623691</v>
      </c>
      <c r="I6" s="26">
        <v>11338322</v>
      </c>
      <c r="J6" s="26">
        <v>8</v>
      </c>
      <c r="K6" t="inlineStr">
        <is>
          <t>Non</t>
        </is>
      </c>
      <c r="L6">
        <f>SUBTOTAL(103,A6)</f>
        <v>1</v>
      </c>
    </row>
    <row r="7">
      <c r="A7" t="inlineStr">
        <is>
          <t>SOCIETE C2310</t>
        </is>
      </c>
      <c r="B7" t="inlineStr">
        <is>
          <t>C2310</t>
        </is>
      </c>
      <c r="C7" t="inlineStr">
        <is>
          <t>CORPORATE BANKING</t>
        </is>
      </c>
      <c r="D7" t="inlineStr">
        <is>
          <t>I</t>
        </is>
      </c>
      <c r="E7" t="inlineStr">
        <is>
          <t>Stage 1</t>
        </is>
      </c>
      <c r="F7" t="inlineStr">
        <is>
          <t>N/A</t>
        </is>
      </c>
      <c r="G7" s="26">
        <v>880936588</v>
      </c>
      <c r="H7" s="26">
        <v>8809366</v>
      </c>
      <c r="I7" s="26">
        <v>0</v>
      </c>
      <c r="J7" s="26">
        <v>41</v>
      </c>
      <c r="K7" t="inlineStr">
        <is>
          <t>Non</t>
        </is>
      </c>
      <c r="L7">
        <f>SUBTOTAL(103,A7)</f>
        <v>1</v>
      </c>
    </row>
    <row r="8">
      <c r="A8" t="inlineStr">
        <is>
          <t>SOCIETE C1329</t>
        </is>
      </c>
      <c r="B8" t="inlineStr">
        <is>
          <t>C1329</t>
        </is>
      </c>
      <c r="C8" t="inlineStr">
        <is>
          <t>CORPORATE BANKING</t>
        </is>
      </c>
      <c r="D8" t="inlineStr">
        <is>
          <t>IA</t>
        </is>
      </c>
      <c r="E8" t="inlineStr">
        <is>
          <t>Stage 2</t>
        </is>
      </c>
      <c r="F8" t="inlineStr">
        <is>
          <t>N/A</t>
        </is>
      </c>
      <c r="G8" s="26">
        <v>111351163</v>
      </c>
      <c r="H8" s="26">
        <v>6681070</v>
      </c>
      <c r="I8" s="26">
        <v>0</v>
      </c>
      <c r="J8" s="26">
        <v>158</v>
      </c>
      <c r="K8" t="inlineStr">
        <is>
          <t>Non</t>
        </is>
      </c>
      <c r="L8">
        <f>SUBTOTAL(103,A8)</f>
        <v>1</v>
      </c>
    </row>
    <row r="9">
      <c r="A9" t="inlineStr">
        <is>
          <t>SOCIETE C1290</t>
        </is>
      </c>
      <c r="B9" t="inlineStr">
        <is>
          <t>C1290</t>
        </is>
      </c>
      <c r="C9" t="inlineStr">
        <is>
          <t>CONSUMER BANKING</t>
        </is>
      </c>
      <c r="D9" t="inlineStr">
        <is>
          <t>II</t>
        </is>
      </c>
      <c r="E9" t="inlineStr">
        <is>
          <t>Stage 2</t>
        </is>
      </c>
      <c r="F9" t="inlineStr">
        <is>
          <t>N/A</t>
        </is>
      </c>
      <c r="G9" s="26">
        <v>766786266</v>
      </c>
      <c r="H9" s="26">
        <v>46007176</v>
      </c>
      <c r="I9" s="26">
        <v>0</v>
      </c>
      <c r="J9" s="26">
        <v>112</v>
      </c>
      <c r="K9" t="inlineStr">
        <is>
          <t>Non</t>
        </is>
      </c>
      <c r="L9">
        <f>SUBTOTAL(103,A9)</f>
        <v>1</v>
      </c>
    </row>
    <row r="10">
      <c r="A10" t="inlineStr">
        <is>
          <t>SOCIETE C876</t>
        </is>
      </c>
      <c r="B10" t="inlineStr">
        <is>
          <t>C876</t>
        </is>
      </c>
      <c r="C10" t="inlineStr">
        <is>
          <t>CORPORATE BANKING</t>
        </is>
      </c>
      <c r="D10" t="inlineStr">
        <is>
          <t>I</t>
        </is>
      </c>
      <c r="E10" t="inlineStr">
        <is>
          <t>Stage 1</t>
        </is>
      </c>
      <c r="F10" t="inlineStr">
        <is>
          <t>N/A</t>
        </is>
      </c>
      <c r="G10" s="26">
        <v>607350954</v>
      </c>
      <c r="H10" s="26">
        <v>6073510</v>
      </c>
      <c r="I10" s="26">
        <v>0</v>
      </c>
      <c r="J10" s="26">
        <v>38</v>
      </c>
      <c r="K10" t="inlineStr">
        <is>
          <t>Non</t>
        </is>
      </c>
      <c r="L10">
        <f>SUBTOTAL(103,A10)</f>
        <v>1</v>
      </c>
    </row>
    <row r="11">
      <c r="A11" t="inlineStr">
        <is>
          <t>SOCIETE C1482</t>
        </is>
      </c>
      <c r="B11" t="inlineStr">
        <is>
          <t>C1482</t>
        </is>
      </c>
      <c r="C11" t="inlineStr">
        <is>
          <t>CORPORATE BANKING</t>
        </is>
      </c>
      <c r="D11" t="inlineStr">
        <is>
          <t>I</t>
        </is>
      </c>
      <c r="E11" t="inlineStr">
        <is>
          <t>Stage 1</t>
        </is>
      </c>
      <c r="F11" t="inlineStr">
        <is>
          <t>N/A</t>
        </is>
      </c>
      <c r="G11" s="26">
        <v>287532652</v>
      </c>
      <c r="H11" s="26">
        <v>2875327</v>
      </c>
      <c r="I11" s="26">
        <v>0</v>
      </c>
      <c r="J11" s="26">
        <v>315</v>
      </c>
      <c r="K11" t="inlineStr">
        <is>
          <t>Non</t>
        </is>
      </c>
      <c r="L11">
        <f>SUBTOTAL(103,A11)</f>
        <v>1</v>
      </c>
    </row>
    <row r="12">
      <c r="A12" t="inlineStr">
        <is>
          <t>SOCIETE C688</t>
        </is>
      </c>
      <c r="B12" t="inlineStr">
        <is>
          <t>C688</t>
        </is>
      </c>
      <c r="C12" t="inlineStr">
        <is>
          <t>CORPORATE BANKING</t>
        </is>
      </c>
      <c r="D12" t="inlineStr">
        <is>
          <t>V</t>
        </is>
      </c>
      <c r="E12" t="inlineStr">
        <is>
          <t>Stage 3</t>
        </is>
      </c>
      <c r="F12" t="inlineStr">
        <is>
          <t>N/A</t>
        </is>
      </c>
      <c r="G12" s="26">
        <v>1323799611</v>
      </c>
      <c r="H12" s="26">
        <v>728089786</v>
      </c>
      <c r="I12" s="26">
        <v>419294</v>
      </c>
      <c r="J12" s="26">
        <v>57</v>
      </c>
      <c r="K12" t="inlineStr">
        <is>
          <t>Oui</t>
        </is>
      </c>
      <c r="L12">
        <f>SUBTOTAL(103,A12)</f>
        <v>1</v>
      </c>
    </row>
    <row r="13">
      <c r="A13" t="inlineStr">
        <is>
          <t>SOCIETE C1718</t>
        </is>
      </c>
      <c r="B13" t="inlineStr">
        <is>
          <t>C1718</t>
        </is>
      </c>
      <c r="C13" t="inlineStr">
        <is>
          <t>COMMERCIAL BANKING</t>
        </is>
      </c>
      <c r="D13" t="inlineStr">
        <is>
          <t>III</t>
        </is>
      </c>
      <c r="E13" t="inlineStr">
        <is>
          <t>Stage 3</t>
        </is>
      </c>
      <c r="F13" t="inlineStr">
        <is>
          <t>N/A</t>
        </is>
      </c>
      <c r="G13" s="26">
        <v>352567626</v>
      </c>
      <c r="H13" s="26">
        <v>193912194</v>
      </c>
      <c r="I13" s="26">
        <v>26368183</v>
      </c>
      <c r="J13" s="26">
        <v>42</v>
      </c>
      <c r="K13" t="inlineStr">
        <is>
          <t>Oui</t>
        </is>
      </c>
      <c r="L13">
        <f>SUBTOTAL(103,A13)</f>
        <v>1</v>
      </c>
    </row>
    <row r="14">
      <c r="A14" t="inlineStr">
        <is>
          <t>SOCIETE C2282</t>
        </is>
      </c>
      <c r="B14" t="inlineStr">
        <is>
          <t>C2282</t>
        </is>
      </c>
      <c r="C14" t="inlineStr">
        <is>
          <t>PUBLIC SECTOR</t>
        </is>
      </c>
      <c r="D14" t="inlineStr">
        <is>
          <t>IA</t>
        </is>
      </c>
      <c r="E14" t="inlineStr">
        <is>
          <t>Stage 2</t>
        </is>
      </c>
      <c r="F14" t="inlineStr">
        <is>
          <t>N/A</t>
        </is>
      </c>
      <c r="G14" s="26">
        <v>1000079</v>
      </c>
      <c r="H14" s="26">
        <v>60005</v>
      </c>
      <c r="I14" s="26">
        <v>180025</v>
      </c>
      <c r="J14" s="26">
        <v>72</v>
      </c>
      <c r="K14" t="inlineStr">
        <is>
          <t>Non</t>
        </is>
      </c>
      <c r="L14">
        <f>SUBTOTAL(103,A14)</f>
        <v>1</v>
      </c>
    </row>
    <row r="15">
      <c r="A15" t="inlineStr">
        <is>
          <t>SOCIETE C665</t>
        </is>
      </c>
      <c r="B15" t="inlineStr">
        <is>
          <t>C665</t>
        </is>
      </c>
      <c r="C15" t="inlineStr">
        <is>
          <t>CORPORATE BANKING</t>
        </is>
      </c>
      <c r="D15" t="inlineStr">
        <is>
          <t>IA</t>
        </is>
      </c>
      <c r="E15" t="inlineStr">
        <is>
          <t>Stage 2</t>
        </is>
      </c>
      <c r="F15" t="inlineStr">
        <is>
          <t>N/A</t>
        </is>
      </c>
      <c r="G15" s="26">
        <v>941700021</v>
      </c>
      <c r="H15" s="26">
        <v>56502001</v>
      </c>
      <c r="I15" s="26">
        <v>0</v>
      </c>
      <c r="J15" s="26">
        <v>16</v>
      </c>
      <c r="K15" t="inlineStr">
        <is>
          <t>Non</t>
        </is>
      </c>
      <c r="L15">
        <f>SUBTOTAL(103,A15)</f>
        <v>1</v>
      </c>
    </row>
    <row r="16">
      <c r="A16" t="inlineStr">
        <is>
          <t>SOCIETE C1245</t>
        </is>
      </c>
      <c r="B16" t="inlineStr">
        <is>
          <t>C1245</t>
        </is>
      </c>
      <c r="C16" t="inlineStr">
        <is>
          <t>CORPORATE BANKING</t>
        </is>
      </c>
      <c r="D16" t="inlineStr">
        <is>
          <t>III</t>
        </is>
      </c>
      <c r="E16" t="inlineStr">
        <is>
          <t>Stage 3</t>
        </is>
      </c>
      <c r="F16" t="inlineStr">
        <is>
          <t>N/A</t>
        </is>
      </c>
      <c r="G16" s="26">
        <v>1093338010</v>
      </c>
      <c r="H16" s="26">
        <v>601335906</v>
      </c>
      <c r="I16" s="26">
        <v>0</v>
      </c>
      <c r="J16" s="26">
        <v>35</v>
      </c>
      <c r="K16" t="inlineStr">
        <is>
          <t>Oui</t>
        </is>
      </c>
      <c r="L16">
        <f>SUBTOTAL(103,A16)</f>
        <v>1</v>
      </c>
    </row>
    <row r="17">
      <c r="A17" t="inlineStr">
        <is>
          <t>SOCIETE C2207</t>
        </is>
      </c>
      <c r="B17" t="inlineStr">
        <is>
          <t>C2207</t>
        </is>
      </c>
      <c r="C17" t="inlineStr">
        <is>
          <t>INSTITUTIONAL</t>
        </is>
      </c>
      <c r="D17" t="inlineStr">
        <is>
          <t>IV</t>
        </is>
      </c>
      <c r="E17" t="inlineStr">
        <is>
          <t>Stage 3</t>
        </is>
      </c>
      <c r="F17" t="inlineStr">
        <is>
          <t>N/A</t>
        </is>
      </c>
      <c r="G17" s="26">
        <v>1152711</v>
      </c>
      <c r="H17" s="26">
        <v>633991</v>
      </c>
      <c r="I17" s="26">
        <v>0</v>
      </c>
      <c r="J17" s="26">
        <v>128</v>
      </c>
      <c r="K17" t="inlineStr">
        <is>
          <t>Oui</t>
        </is>
      </c>
      <c r="L17">
        <f>SUBTOTAL(103,A17)</f>
        <v>1</v>
      </c>
    </row>
    <row r="18">
      <c r="A18" t="inlineStr">
        <is>
          <t>SOCIETE C2205</t>
        </is>
      </c>
      <c r="B18" t="inlineStr">
        <is>
          <t>C2205</t>
        </is>
      </c>
      <c r="C18" t="inlineStr">
        <is>
          <t>CORPORATE BANKING</t>
        </is>
      </c>
      <c r="D18" t="inlineStr">
        <is>
          <t>I</t>
        </is>
      </c>
      <c r="E18" t="inlineStr">
        <is>
          <t>Stage 1</t>
        </is>
      </c>
      <c r="F18" t="inlineStr">
        <is>
          <t>N/A</t>
        </is>
      </c>
      <c r="G18" s="26">
        <v>1156892585</v>
      </c>
      <c r="H18" s="26">
        <v>11568926</v>
      </c>
      <c r="I18" s="26">
        <v>0</v>
      </c>
      <c r="J18" s="26">
        <v>198</v>
      </c>
      <c r="K18" t="inlineStr">
        <is>
          <t>Non</t>
        </is>
      </c>
      <c r="L18">
        <f>SUBTOTAL(103,A18)</f>
        <v>1</v>
      </c>
    </row>
    <row r="19">
      <c r="A19" t="inlineStr">
        <is>
          <t>SOCIETE C1837</t>
        </is>
      </c>
      <c r="B19" t="inlineStr">
        <is>
          <t>C1837</t>
        </is>
      </c>
      <c r="C19" t="inlineStr">
        <is>
          <t>COMMERCIAL BANKING</t>
        </is>
      </c>
      <c r="D19" t="inlineStr">
        <is>
          <t>I</t>
        </is>
      </c>
      <c r="E19" t="inlineStr">
        <is>
          <t>Stage 1</t>
        </is>
      </c>
      <c r="F19" t="inlineStr">
        <is>
          <t>N/A</t>
        </is>
      </c>
      <c r="G19" s="26">
        <v>721224106</v>
      </c>
      <c r="H19" s="26">
        <v>7212241</v>
      </c>
      <c r="I19" s="26">
        <v>0</v>
      </c>
      <c r="J19" s="26">
        <v>24</v>
      </c>
      <c r="K19" t="inlineStr">
        <is>
          <t>Non</t>
        </is>
      </c>
      <c r="L19">
        <f>SUBTOTAL(103,A19)</f>
        <v>1</v>
      </c>
    </row>
    <row r="20">
      <c r="A20" t="inlineStr">
        <is>
          <t>SOCIETE C2364</t>
        </is>
      </c>
      <c r="B20" t="inlineStr">
        <is>
          <t>C2364</t>
        </is>
      </c>
      <c r="C20" t="inlineStr">
        <is>
          <t>CORPORATE BANKING</t>
        </is>
      </c>
      <c r="D20" t="inlineStr">
        <is>
          <t>IA</t>
        </is>
      </c>
      <c r="E20" t="inlineStr">
        <is>
          <t>Stage 2</t>
        </is>
      </c>
      <c r="F20" t="inlineStr">
        <is>
          <t>N/A</t>
        </is>
      </c>
      <c r="G20" s="26">
        <v>1378091405</v>
      </c>
      <c r="H20" s="26">
        <v>82685484</v>
      </c>
      <c r="I20" s="26">
        <v>0</v>
      </c>
      <c r="J20" s="26">
        <v>44</v>
      </c>
      <c r="K20" t="inlineStr">
        <is>
          <t>Non</t>
        </is>
      </c>
      <c r="L20">
        <f>SUBTOTAL(103,A20)</f>
        <v>1</v>
      </c>
    </row>
    <row r="21">
      <c r="A21" t="inlineStr">
        <is>
          <t>SOCIETE C1266</t>
        </is>
      </c>
      <c r="B21" t="inlineStr">
        <is>
          <t>C1266</t>
        </is>
      </c>
      <c r="C21" t="inlineStr">
        <is>
          <t>COMMERCIAL BANKING</t>
        </is>
      </c>
      <c r="D21" t="inlineStr">
        <is>
          <t>IA</t>
        </is>
      </c>
      <c r="E21" t="inlineStr">
        <is>
          <t>Stage 2</t>
        </is>
      </c>
      <c r="F21" t="inlineStr">
        <is>
          <t>N/A</t>
        </is>
      </c>
      <c r="G21" s="26">
        <v>532156473</v>
      </c>
      <c r="H21" s="26">
        <v>31929388</v>
      </c>
      <c r="I21" s="26">
        <v>0</v>
      </c>
      <c r="J21" s="26">
        <v>3</v>
      </c>
      <c r="K21" t="inlineStr">
        <is>
          <t>Non</t>
        </is>
      </c>
      <c r="L21">
        <f>SUBTOTAL(103,A21)</f>
        <v>1</v>
      </c>
    </row>
    <row r="22">
      <c r="A22" t="inlineStr">
        <is>
          <t>SOCIETE C1807</t>
        </is>
      </c>
      <c r="B22" t="inlineStr">
        <is>
          <t>C1807</t>
        </is>
      </c>
      <c r="C22" t="inlineStr">
        <is>
          <t>CORPORATE BANKING</t>
        </is>
      </c>
      <c r="D22" t="inlineStr">
        <is>
          <t>IA</t>
        </is>
      </c>
      <c r="E22" t="inlineStr">
        <is>
          <t>Stage 2</t>
        </is>
      </c>
      <c r="F22" t="inlineStr">
        <is>
          <t>N/A</t>
        </is>
      </c>
      <c r="G22" s="26">
        <v>26005957</v>
      </c>
      <c r="H22" s="26">
        <v>1560357</v>
      </c>
      <c r="I22" s="26">
        <v>0</v>
      </c>
      <c r="J22" s="26">
        <v>12</v>
      </c>
      <c r="K22" t="inlineStr">
        <is>
          <t>Non</t>
        </is>
      </c>
      <c r="L22">
        <f>SUBTOTAL(103,A22)</f>
        <v>1</v>
      </c>
    </row>
    <row r="23">
      <c r="A23" t="inlineStr">
        <is>
          <t>SOCIETE C2288</t>
        </is>
      </c>
      <c r="B23" t="inlineStr">
        <is>
          <t>C2288</t>
        </is>
      </c>
      <c r="C23" t="inlineStr">
        <is>
          <t>PUBLIC SECTOR</t>
        </is>
      </c>
      <c r="D23" t="inlineStr">
        <is>
          <t>III</t>
        </is>
      </c>
      <c r="E23" t="inlineStr">
        <is>
          <t>Stage 3</t>
        </is>
      </c>
      <c r="F23" t="inlineStr">
        <is>
          <t>N/A</t>
        </is>
      </c>
      <c r="G23" s="26">
        <v>1672510963</v>
      </c>
      <c r="H23" s="26">
        <v>919881029</v>
      </c>
      <c r="I23" s="26">
        <v>0</v>
      </c>
      <c r="J23" s="26">
        <v>7</v>
      </c>
      <c r="K23" t="inlineStr">
        <is>
          <t>Oui</t>
        </is>
      </c>
      <c r="L23">
        <f>SUBTOTAL(103,A23)</f>
        <v>1</v>
      </c>
    </row>
    <row r="24">
      <c r="A24" t="inlineStr">
        <is>
          <t>SOCIETE C2245</t>
        </is>
      </c>
      <c r="B24" t="inlineStr">
        <is>
          <t>C2245</t>
        </is>
      </c>
      <c r="C24" t="inlineStr">
        <is>
          <t>CORPORATE BANKING</t>
        </is>
      </c>
      <c r="D24" t="inlineStr">
        <is>
          <t>II</t>
        </is>
      </c>
      <c r="E24" t="inlineStr">
        <is>
          <t>Stage 2</t>
        </is>
      </c>
      <c r="F24" t="inlineStr">
        <is>
          <t>N/A</t>
        </is>
      </c>
      <c r="G24" s="26">
        <v>1139687173</v>
      </c>
      <c r="H24" s="26">
        <v>68381230</v>
      </c>
      <c r="I24" s="26">
        <v>24670526</v>
      </c>
      <c r="J24" s="26">
        <v>0</v>
      </c>
      <c r="K24" t="inlineStr">
        <is>
          <t>Non</t>
        </is>
      </c>
      <c r="L24">
        <f>SUBTOTAL(103,A24)</f>
        <v>1</v>
      </c>
    </row>
    <row r="25">
      <c r="A25" t="inlineStr">
        <is>
          <t>SOCIETE C480</t>
        </is>
      </c>
      <c r="B25" t="inlineStr">
        <is>
          <t>C480</t>
        </is>
      </c>
      <c r="C25" t="inlineStr">
        <is>
          <t>CORPORATE BANKING</t>
        </is>
      </c>
      <c r="D25" t="inlineStr">
        <is>
          <t>II</t>
        </is>
      </c>
      <c r="E25" t="inlineStr">
        <is>
          <t>Stage 2</t>
        </is>
      </c>
      <c r="F25" t="inlineStr">
        <is>
          <t>N/A</t>
        </is>
      </c>
      <c r="G25" s="26">
        <v>2538745054</v>
      </c>
      <c r="H25" s="26">
        <v>152324703</v>
      </c>
      <c r="I25" s="26">
        <v>0</v>
      </c>
      <c r="J25" s="26">
        <v>44</v>
      </c>
      <c r="K25" t="inlineStr">
        <is>
          <t>Non</t>
        </is>
      </c>
      <c r="L25">
        <f>SUBTOTAL(103,A25)</f>
        <v>1</v>
      </c>
    </row>
    <row r="26">
      <c r="A26" t="inlineStr">
        <is>
          <t>SOCIETE C1684</t>
        </is>
      </c>
      <c r="B26" t="inlineStr">
        <is>
          <t>C1684</t>
        </is>
      </c>
      <c r="C26" t="inlineStr">
        <is>
          <t>COMMERCIAL BANKING</t>
        </is>
      </c>
      <c r="D26" t="inlineStr">
        <is>
          <t>V</t>
        </is>
      </c>
      <c r="E26" t="inlineStr">
        <is>
          <t>Stage 3</t>
        </is>
      </c>
      <c r="F26" t="inlineStr">
        <is>
          <t>N/A</t>
        </is>
      </c>
      <c r="G26" s="26">
        <v>227420766</v>
      </c>
      <c r="H26" s="26">
        <v>125081421</v>
      </c>
      <c r="I26" s="26">
        <v>0</v>
      </c>
      <c r="J26" s="26">
        <v>5</v>
      </c>
      <c r="K26" t="inlineStr">
        <is>
          <t>Oui</t>
        </is>
      </c>
      <c r="L26">
        <f>SUBTOTAL(103,A26)</f>
        <v>1</v>
      </c>
    </row>
    <row r="27">
      <c r="A27" t="inlineStr">
        <is>
          <t>SOCIETE C381</t>
        </is>
      </c>
      <c r="B27" t="inlineStr">
        <is>
          <t>C381</t>
        </is>
      </c>
      <c r="C27" t="inlineStr">
        <is>
          <t>CONSUMER BANKING</t>
        </is>
      </c>
      <c r="D27" t="inlineStr">
        <is>
          <t>IV</t>
        </is>
      </c>
      <c r="E27" t="inlineStr">
        <is>
          <t>Stage 3</t>
        </is>
      </c>
      <c r="F27" t="inlineStr">
        <is>
          <t>N/A</t>
        </is>
      </c>
      <c r="G27" s="26">
        <v>2776148778</v>
      </c>
      <c r="H27" s="26">
        <v>1526881828</v>
      </c>
      <c r="I27" s="26">
        <v>116668701</v>
      </c>
      <c r="J27" s="26">
        <v>41</v>
      </c>
      <c r="K27" t="inlineStr">
        <is>
          <t>Oui</t>
        </is>
      </c>
      <c r="L27">
        <f>SUBTOTAL(103,A27)</f>
        <v>1</v>
      </c>
    </row>
    <row r="28">
      <c r="A28" t="inlineStr">
        <is>
          <t>SOCIETE C1616</t>
        </is>
      </c>
      <c r="B28" t="inlineStr">
        <is>
          <t>C1616</t>
        </is>
      </c>
      <c r="C28" t="inlineStr">
        <is>
          <t>COMMERCIAL BANKING</t>
        </is>
      </c>
      <c r="D28" t="inlineStr">
        <is>
          <t>I</t>
        </is>
      </c>
      <c r="E28" t="inlineStr">
        <is>
          <t>Stage 1</t>
        </is>
      </c>
      <c r="F28" t="inlineStr">
        <is>
          <t>N/A</t>
        </is>
      </c>
      <c r="G28" s="26">
        <v>61853284</v>
      </c>
      <c r="H28" s="26">
        <v>618533</v>
      </c>
      <c r="I28" s="26">
        <v>0</v>
      </c>
      <c r="J28" s="26">
        <v>12</v>
      </c>
      <c r="K28" t="inlineStr">
        <is>
          <t>Non</t>
        </is>
      </c>
      <c r="L28">
        <f>SUBTOTAL(103,A28)</f>
        <v>1</v>
      </c>
    </row>
    <row r="29">
      <c r="A29" t="inlineStr">
        <is>
          <t>SOCIETE C2406</t>
        </is>
      </c>
      <c r="B29" t="inlineStr">
        <is>
          <t>C2406</t>
        </is>
      </c>
      <c r="C29" t="inlineStr">
        <is>
          <t>PUBLIC SECTOR</t>
        </is>
      </c>
      <c r="D29" t="inlineStr">
        <is>
          <t>IA</t>
        </is>
      </c>
      <c r="E29" t="inlineStr">
        <is>
          <t>Stage 2</t>
        </is>
      </c>
      <c r="F29" t="inlineStr">
        <is>
          <t>N/A</t>
        </is>
      </c>
      <c r="G29" s="26">
        <v>1875678866</v>
      </c>
      <c r="H29" s="26">
        <v>112540732</v>
      </c>
      <c r="I29" s="26">
        <v>0</v>
      </c>
      <c r="J29" s="26">
        <v>56</v>
      </c>
      <c r="K29" t="inlineStr">
        <is>
          <t>Non</t>
        </is>
      </c>
      <c r="L29">
        <f>SUBTOTAL(103,A29)</f>
        <v>1</v>
      </c>
    </row>
    <row r="30">
      <c r="A30" t="inlineStr">
        <is>
          <t>SOCIETE C1418</t>
        </is>
      </c>
      <c r="B30" t="inlineStr">
        <is>
          <t>C1418</t>
        </is>
      </c>
      <c r="C30" t="inlineStr">
        <is>
          <t>CONSUMER BANKING</t>
        </is>
      </c>
      <c r="D30" t="inlineStr">
        <is>
          <t>IA</t>
        </is>
      </c>
      <c r="E30" t="inlineStr">
        <is>
          <t>Stage 2</t>
        </is>
      </c>
      <c r="F30" t="inlineStr">
        <is>
          <t>N/A</t>
        </is>
      </c>
      <c r="G30" s="26">
        <v>364482070</v>
      </c>
      <c r="H30" s="26">
        <v>21868924</v>
      </c>
      <c r="I30" s="26">
        <v>0</v>
      </c>
      <c r="J30" s="26">
        <v>257</v>
      </c>
      <c r="K30" t="inlineStr">
        <is>
          <t>Non</t>
        </is>
      </c>
      <c r="L30">
        <f>SUBTOTAL(103,A30)</f>
        <v>1</v>
      </c>
    </row>
    <row r="31">
      <c r="A31" t="inlineStr">
        <is>
          <t>SOCIETE C1095</t>
        </is>
      </c>
      <c r="B31" t="inlineStr">
        <is>
          <t>C1095</t>
        </is>
      </c>
      <c r="C31" t="inlineStr">
        <is>
          <t>CONSUMER BANKING</t>
        </is>
      </c>
      <c r="D31" t="inlineStr">
        <is>
          <t>IV</t>
        </is>
      </c>
      <c r="E31" t="inlineStr">
        <is>
          <t>Stage 3</t>
        </is>
      </c>
      <c r="F31" t="inlineStr">
        <is>
          <t>N/A</t>
        </is>
      </c>
      <c r="G31" s="26">
        <v>2896446020</v>
      </c>
      <c r="H31" s="26">
        <v>1593045311</v>
      </c>
      <c r="I31" s="26">
        <v>0</v>
      </c>
      <c r="J31" s="26">
        <v>11</v>
      </c>
      <c r="K31" t="inlineStr">
        <is>
          <t>Oui</t>
        </is>
      </c>
      <c r="L31">
        <f>SUBTOTAL(103,A31)</f>
        <v>1</v>
      </c>
    </row>
    <row r="32">
      <c r="A32" t="inlineStr">
        <is>
          <t>SOCIETE C1770</t>
        </is>
      </c>
      <c r="B32" t="inlineStr">
        <is>
          <t>C1770</t>
        </is>
      </c>
      <c r="C32" t="inlineStr">
        <is>
          <t>SME</t>
        </is>
      </c>
      <c r="D32" t="inlineStr">
        <is>
          <t>I</t>
        </is>
      </c>
      <c r="E32" t="inlineStr">
        <is>
          <t>Stage 1</t>
        </is>
      </c>
      <c r="F32" t="inlineStr">
        <is>
          <t>N/A</t>
        </is>
      </c>
      <c r="G32" s="26">
        <v>2063945215</v>
      </c>
      <c r="H32" s="26">
        <v>20639452</v>
      </c>
      <c r="I32" s="26">
        <v>0</v>
      </c>
      <c r="J32" s="26">
        <v>19</v>
      </c>
      <c r="K32" t="inlineStr">
        <is>
          <t>Non</t>
        </is>
      </c>
      <c r="L32">
        <f>SUBTOTAL(103,A32)</f>
        <v>1</v>
      </c>
    </row>
    <row r="33">
      <c r="A33" t="inlineStr">
        <is>
          <t>SOCIETE C2288</t>
        </is>
      </c>
      <c r="B33" t="inlineStr">
        <is>
          <t>C2288</t>
        </is>
      </c>
      <c r="C33" t="inlineStr">
        <is>
          <t>PUBLIC SECTOR</t>
        </is>
      </c>
      <c r="D33" t="inlineStr">
        <is>
          <t>III</t>
        </is>
      </c>
      <c r="E33" t="inlineStr">
        <is>
          <t>Stage 3</t>
        </is>
      </c>
      <c r="F33" t="inlineStr">
        <is>
          <t>N/A</t>
        </is>
      </c>
      <c r="G33" s="26">
        <v>4386117</v>
      </c>
      <c r="H33" s="26">
        <v>2412364</v>
      </c>
      <c r="I33" s="26">
        <v>0</v>
      </c>
      <c r="J33" s="26">
        <v>94</v>
      </c>
      <c r="K33" t="inlineStr">
        <is>
          <t>Oui</t>
        </is>
      </c>
      <c r="L33">
        <f>SUBTOTAL(103,A33)</f>
        <v>1</v>
      </c>
    </row>
    <row r="34">
      <c r="A34" t="inlineStr">
        <is>
          <t>SOCIETE C2184</t>
        </is>
      </c>
      <c r="B34" t="inlineStr">
        <is>
          <t>C2184</t>
        </is>
      </c>
      <c r="C34" t="inlineStr">
        <is>
          <t>COMMERCIAL BANKING</t>
        </is>
      </c>
      <c r="D34" t="inlineStr">
        <is>
          <t>IV</t>
        </is>
      </c>
      <c r="E34" t="inlineStr">
        <is>
          <t>Stage 3</t>
        </is>
      </c>
      <c r="F34" t="inlineStr">
        <is>
          <t>N/A</t>
        </is>
      </c>
      <c r="G34" s="26">
        <v>537470229</v>
      </c>
      <c r="H34" s="26">
        <v>295608626</v>
      </c>
      <c r="I34" s="26">
        <v>0</v>
      </c>
      <c r="J34" s="26">
        <v>29</v>
      </c>
      <c r="K34" t="inlineStr">
        <is>
          <t>Oui</t>
        </is>
      </c>
      <c r="L34">
        <f>SUBTOTAL(103,A34)</f>
        <v>1</v>
      </c>
    </row>
    <row r="35">
      <c r="A35" t="inlineStr">
        <is>
          <t>SOCIETE C2247</t>
        </is>
      </c>
      <c r="B35" t="inlineStr">
        <is>
          <t>C2247</t>
        </is>
      </c>
      <c r="C35" t="inlineStr">
        <is>
          <t>COMMERCIAL BANKING</t>
        </is>
      </c>
      <c r="D35" t="inlineStr">
        <is>
          <t>IA</t>
        </is>
      </c>
      <c r="E35" t="inlineStr">
        <is>
          <t>Stage 2</t>
        </is>
      </c>
      <c r="F35" t="inlineStr">
        <is>
          <t>N/A</t>
        </is>
      </c>
      <c r="G35" s="26">
        <v>38193374</v>
      </c>
      <c r="H35" s="26">
        <v>2291602</v>
      </c>
      <c r="I35" s="26">
        <v>0</v>
      </c>
      <c r="J35" s="26">
        <v>40</v>
      </c>
      <c r="K35" t="inlineStr">
        <is>
          <t>Non</t>
        </is>
      </c>
      <c r="L35">
        <f>SUBTOTAL(103,A35)</f>
        <v>1</v>
      </c>
    </row>
    <row r="36">
      <c r="A36" t="inlineStr">
        <is>
          <t>SOCIETE C3</t>
        </is>
      </c>
      <c r="B36" t="inlineStr">
        <is>
          <t>C3</t>
        </is>
      </c>
      <c r="C36" t="inlineStr">
        <is>
          <t>CORPORATE BANKING</t>
        </is>
      </c>
      <c r="D36" t="inlineStr">
        <is>
          <t>I</t>
        </is>
      </c>
      <c r="E36" t="inlineStr">
        <is>
          <t>Stage 1</t>
        </is>
      </c>
      <c r="F36" t="inlineStr">
        <is>
          <t>N/A</t>
        </is>
      </c>
      <c r="G36" s="26">
        <v>2344124107</v>
      </c>
      <c r="H36" s="26">
        <v>23441241</v>
      </c>
      <c r="I36" s="26">
        <v>324829961</v>
      </c>
      <c r="J36" s="26">
        <v>62</v>
      </c>
      <c r="K36" t="inlineStr">
        <is>
          <t>Non</t>
        </is>
      </c>
      <c r="L36">
        <f>SUBTOTAL(103,A36)</f>
        <v>1</v>
      </c>
    </row>
    <row r="37">
      <c r="A37" t="inlineStr">
        <is>
          <t>SOCIETE C1749</t>
        </is>
      </c>
      <c r="B37" t="inlineStr">
        <is>
          <t>C1749</t>
        </is>
      </c>
      <c r="C37" t="inlineStr">
        <is>
          <t>CORPORATE BANKING</t>
        </is>
      </c>
      <c r="D37" t="inlineStr">
        <is>
          <t>I</t>
        </is>
      </c>
      <c r="E37" t="inlineStr">
        <is>
          <t>Stage 1</t>
        </is>
      </c>
      <c r="F37" t="inlineStr">
        <is>
          <t>N/A</t>
        </is>
      </c>
      <c r="G37" s="26">
        <v>2551462551</v>
      </c>
      <c r="H37" s="26">
        <v>25514626</v>
      </c>
      <c r="I37" s="26">
        <v>0</v>
      </c>
      <c r="J37" s="26">
        <v>5</v>
      </c>
      <c r="K37" t="inlineStr">
        <is>
          <t>Non</t>
        </is>
      </c>
      <c r="L37">
        <f>SUBTOTAL(103,A37)</f>
        <v>1</v>
      </c>
    </row>
    <row r="38">
      <c r="A38" t="inlineStr">
        <is>
          <t>SOCIETE C1834</t>
        </is>
      </c>
      <c r="B38" t="inlineStr">
        <is>
          <t>C1834</t>
        </is>
      </c>
      <c r="C38" t="inlineStr">
        <is>
          <t>CORPORATE BANKING</t>
        </is>
      </c>
      <c r="D38" t="inlineStr">
        <is>
          <t>III</t>
        </is>
      </c>
      <c r="E38" t="inlineStr">
        <is>
          <t>Stage 3</t>
        </is>
      </c>
      <c r="F38" t="inlineStr">
        <is>
          <t>N/A</t>
        </is>
      </c>
      <c r="G38" s="26">
        <v>1041015839</v>
      </c>
      <c r="H38" s="26">
        <v>572558712</v>
      </c>
      <c r="I38" s="26">
        <v>127684707</v>
      </c>
      <c r="J38" s="26">
        <v>52</v>
      </c>
      <c r="K38" t="inlineStr">
        <is>
          <t>Oui</t>
        </is>
      </c>
      <c r="L38">
        <f>SUBTOTAL(103,A38)</f>
        <v>1</v>
      </c>
    </row>
    <row r="39">
      <c r="A39" t="inlineStr">
        <is>
          <t>SOCIETE C1550</t>
        </is>
      </c>
      <c r="B39" t="inlineStr">
        <is>
          <t>C1550</t>
        </is>
      </c>
      <c r="C39" t="inlineStr">
        <is>
          <t>PUBLIC SECTOR</t>
        </is>
      </c>
      <c r="D39" t="inlineStr">
        <is>
          <t>I</t>
        </is>
      </c>
      <c r="E39" t="inlineStr">
        <is>
          <t>Stage 1</t>
        </is>
      </c>
      <c r="F39" t="inlineStr">
        <is>
          <t>N/A</t>
        </is>
      </c>
      <c r="G39" s="26">
        <v>34286253</v>
      </c>
      <c r="H39" s="26">
        <v>342863</v>
      </c>
      <c r="I39" s="26">
        <v>6209369</v>
      </c>
      <c r="J39" s="26">
        <v>14</v>
      </c>
      <c r="K39" t="inlineStr">
        <is>
          <t>Non</t>
        </is>
      </c>
      <c r="L39">
        <f>SUBTOTAL(103,A39)</f>
        <v>1</v>
      </c>
    </row>
    <row r="40">
      <c r="A40" t="inlineStr">
        <is>
          <t>SOCIETE C1649</t>
        </is>
      </c>
      <c r="B40" t="inlineStr">
        <is>
          <t>C1649</t>
        </is>
      </c>
      <c r="C40" t="inlineStr">
        <is>
          <t>CORPORATE BANKING</t>
        </is>
      </c>
      <c r="D40" t="inlineStr">
        <is>
          <t>IA</t>
        </is>
      </c>
      <c r="E40" t="inlineStr">
        <is>
          <t>Stage 2</t>
        </is>
      </c>
      <c r="F40" t="inlineStr">
        <is>
          <t>N/A</t>
        </is>
      </c>
      <c r="G40" s="26">
        <v>1491216581</v>
      </c>
      <c r="H40" s="26">
        <v>89472995</v>
      </c>
      <c r="I40" s="26">
        <v>0</v>
      </c>
      <c r="J40" s="26">
        <v>164</v>
      </c>
      <c r="K40" t="inlineStr">
        <is>
          <t>Non</t>
        </is>
      </c>
      <c r="L40">
        <f>SUBTOTAL(103,A40)</f>
        <v>1</v>
      </c>
    </row>
    <row r="41">
      <c r="A41" t="inlineStr">
        <is>
          <t>SOCIETE C1976</t>
        </is>
      </c>
      <c r="B41" t="inlineStr">
        <is>
          <t>C1976</t>
        </is>
      </c>
      <c r="C41" t="inlineStr">
        <is>
          <t>PUBLIC SECTOR</t>
        </is>
      </c>
      <c r="D41" t="inlineStr">
        <is>
          <t>IA</t>
        </is>
      </c>
      <c r="E41" t="inlineStr">
        <is>
          <t>Stage 2</t>
        </is>
      </c>
      <c r="F41" t="inlineStr">
        <is>
          <t>N/A</t>
        </is>
      </c>
      <c r="G41" s="26">
        <v>1951365661</v>
      </c>
      <c r="H41" s="26">
        <v>117081940</v>
      </c>
      <c r="I41" s="26">
        <v>0</v>
      </c>
      <c r="J41" s="26">
        <v>54</v>
      </c>
      <c r="K41" t="inlineStr">
        <is>
          <t>Non</t>
        </is>
      </c>
      <c r="L41">
        <f>SUBTOTAL(103,A41)</f>
        <v>1</v>
      </c>
    </row>
    <row r="42">
      <c r="A42" t="inlineStr">
        <is>
          <t>SOCIETE C2371</t>
        </is>
      </c>
      <c r="B42" t="inlineStr">
        <is>
          <t>C2371</t>
        </is>
      </c>
      <c r="C42" t="inlineStr">
        <is>
          <t>CORPORATE BANKING</t>
        </is>
      </c>
      <c r="D42" t="inlineStr">
        <is>
          <t>I</t>
        </is>
      </c>
      <c r="E42" t="inlineStr">
        <is>
          <t>Stage 1</t>
        </is>
      </c>
      <c r="F42" t="inlineStr">
        <is>
          <t>N/A</t>
        </is>
      </c>
      <c r="G42" s="26">
        <v>6893526</v>
      </c>
      <c r="H42" s="26">
        <v>68935</v>
      </c>
      <c r="I42" s="26">
        <v>361180</v>
      </c>
      <c r="J42" s="26">
        <v>327</v>
      </c>
      <c r="K42" t="inlineStr">
        <is>
          <t>Non</t>
        </is>
      </c>
      <c r="L42">
        <f>SUBTOTAL(103,A42)</f>
        <v>1</v>
      </c>
    </row>
    <row r="43">
      <c r="A43" t="inlineStr">
        <is>
          <t>SOCIETE C495</t>
        </is>
      </c>
      <c r="B43" t="inlineStr">
        <is>
          <t>C495</t>
        </is>
      </c>
      <c r="C43" t="inlineStr">
        <is>
          <t>CORPORATE BANKING</t>
        </is>
      </c>
      <c r="D43" t="inlineStr">
        <is>
          <t>V</t>
        </is>
      </c>
      <c r="E43" t="inlineStr">
        <is>
          <t>Stage 3</t>
        </is>
      </c>
      <c r="F43" t="inlineStr">
        <is>
          <t>N/A</t>
        </is>
      </c>
      <c r="G43" s="26">
        <v>64788890</v>
      </c>
      <c r="H43" s="26">
        <v>35633890</v>
      </c>
      <c r="I43" s="26">
        <v>0</v>
      </c>
      <c r="J43" s="26">
        <v>18</v>
      </c>
      <c r="K43" t="inlineStr">
        <is>
          <t>Oui</t>
        </is>
      </c>
      <c r="L43">
        <f>SUBTOTAL(103,A43)</f>
        <v>1</v>
      </c>
    </row>
    <row r="44">
      <c r="A44" t="inlineStr">
        <is>
          <t>SOCIETE C137</t>
        </is>
      </c>
      <c r="B44" t="inlineStr">
        <is>
          <t>C137</t>
        </is>
      </c>
      <c r="C44" t="inlineStr">
        <is>
          <t>CORPORATE BANKING</t>
        </is>
      </c>
      <c r="D44" t="inlineStr">
        <is>
          <t>IA</t>
        </is>
      </c>
      <c r="E44" t="inlineStr">
        <is>
          <t>Stage 2</t>
        </is>
      </c>
      <c r="F44" t="inlineStr">
        <is>
          <t>N/A</t>
        </is>
      </c>
      <c r="G44" s="26">
        <v>35977301</v>
      </c>
      <c r="H44" s="26">
        <v>2158638</v>
      </c>
      <c r="I44" s="26">
        <v>0</v>
      </c>
      <c r="J44" s="26">
        <v>151</v>
      </c>
      <c r="K44" t="inlineStr">
        <is>
          <t>Non</t>
        </is>
      </c>
      <c r="L44">
        <f>SUBTOTAL(103,A44)</f>
        <v>1</v>
      </c>
    </row>
    <row r="45">
      <c r="A45" t="inlineStr">
        <is>
          <t>SOCIETE C1750</t>
        </is>
      </c>
      <c r="B45" t="inlineStr">
        <is>
          <t>C1750</t>
        </is>
      </c>
      <c r="C45" t="inlineStr">
        <is>
          <t>COMMERCIAL BANKING</t>
        </is>
      </c>
      <c r="D45" t="inlineStr">
        <is>
          <t>III</t>
        </is>
      </c>
      <c r="E45" t="inlineStr">
        <is>
          <t>Stage 3</t>
        </is>
      </c>
      <c r="F45" t="inlineStr">
        <is>
          <t>N/A</t>
        </is>
      </c>
      <c r="G45" s="26">
        <v>400784620</v>
      </c>
      <c r="H45" s="26">
        <v>220431541</v>
      </c>
      <c r="I45" s="26">
        <v>0</v>
      </c>
      <c r="J45" s="26">
        <v>296</v>
      </c>
      <c r="K45" t="inlineStr">
        <is>
          <t>Oui</t>
        </is>
      </c>
      <c r="L45">
        <f>SUBTOTAL(103,A45)</f>
        <v>1</v>
      </c>
    </row>
    <row r="46">
      <c r="A46" t="inlineStr">
        <is>
          <t>SOCIETE C2006</t>
        </is>
      </c>
      <c r="B46" t="inlineStr">
        <is>
          <t>C2006</t>
        </is>
      </c>
      <c r="C46" t="inlineStr">
        <is>
          <t>CORPORATE BANKING</t>
        </is>
      </c>
      <c r="D46" t="inlineStr">
        <is>
          <t>III</t>
        </is>
      </c>
      <c r="E46" t="inlineStr">
        <is>
          <t>Stage 3</t>
        </is>
      </c>
      <c r="F46" t="inlineStr">
        <is>
          <t>N/A</t>
        </is>
      </c>
      <c r="G46" s="26">
        <v>659973053</v>
      </c>
      <c r="H46" s="26">
        <v>362985179</v>
      </c>
      <c r="I46" s="26">
        <v>0</v>
      </c>
      <c r="J46" s="26">
        <v>111</v>
      </c>
      <c r="K46" t="inlineStr">
        <is>
          <t>Oui</t>
        </is>
      </c>
      <c r="L46">
        <f>SUBTOTAL(103,A46)</f>
        <v>1</v>
      </c>
    </row>
    <row r="47">
      <c r="A47" t="inlineStr">
        <is>
          <t>SOCIETE C130</t>
        </is>
      </c>
      <c r="B47" t="inlineStr">
        <is>
          <t>C130</t>
        </is>
      </c>
      <c r="C47" t="inlineStr">
        <is>
          <t>CORPORATE BANKING</t>
        </is>
      </c>
      <c r="D47" t="inlineStr">
        <is>
          <t>II</t>
        </is>
      </c>
      <c r="E47" t="inlineStr">
        <is>
          <t>Stage 2</t>
        </is>
      </c>
      <c r="F47" t="inlineStr">
        <is>
          <t>N/A</t>
        </is>
      </c>
      <c r="G47" s="26">
        <v>6919632</v>
      </c>
      <c r="H47" s="26">
        <v>415178</v>
      </c>
      <c r="I47" s="26">
        <v>0</v>
      </c>
      <c r="J47" s="26">
        <v>13</v>
      </c>
      <c r="K47" t="inlineStr">
        <is>
          <t>Non</t>
        </is>
      </c>
      <c r="L47">
        <f>SUBTOTAL(103,A47)</f>
        <v>1</v>
      </c>
    </row>
    <row r="48">
      <c r="A48" t="inlineStr">
        <is>
          <t>SOCIETE C2270</t>
        </is>
      </c>
      <c r="B48" t="inlineStr">
        <is>
          <t>C2270</t>
        </is>
      </c>
      <c r="C48" t="inlineStr">
        <is>
          <t>CORPORATE BANKING</t>
        </is>
      </c>
      <c r="D48" t="inlineStr">
        <is>
          <t>I</t>
        </is>
      </c>
      <c r="E48" t="inlineStr">
        <is>
          <t>Stage 1</t>
        </is>
      </c>
      <c r="F48" t="inlineStr">
        <is>
          <t>N/A</t>
        </is>
      </c>
      <c r="G48" s="26">
        <v>196370263</v>
      </c>
      <c r="H48" s="26">
        <v>1963703</v>
      </c>
      <c r="I48" s="26">
        <v>0</v>
      </c>
      <c r="J48" s="26">
        <v>52</v>
      </c>
      <c r="K48" t="inlineStr">
        <is>
          <t>Non</t>
        </is>
      </c>
      <c r="L48">
        <f>SUBTOTAL(103,A48)</f>
        <v>1</v>
      </c>
    </row>
    <row r="49">
      <c r="A49" t="inlineStr">
        <is>
          <t>SOCIETE C431</t>
        </is>
      </c>
      <c r="B49" t="inlineStr">
        <is>
          <t>C431</t>
        </is>
      </c>
      <c r="C49" t="inlineStr">
        <is>
          <t>PUBLIC SECTOR</t>
        </is>
      </c>
      <c r="D49" t="inlineStr">
        <is>
          <t>IA</t>
        </is>
      </c>
      <c r="E49" t="inlineStr">
        <is>
          <t>Stage 2</t>
        </is>
      </c>
      <c r="F49" t="inlineStr">
        <is>
          <t>N/A</t>
        </is>
      </c>
      <c r="G49" s="26">
        <v>1109890</v>
      </c>
      <c r="H49" s="26">
        <v>66593</v>
      </c>
      <c r="I49" s="26">
        <v>190357</v>
      </c>
      <c r="J49" s="26">
        <v>103</v>
      </c>
      <c r="K49" t="inlineStr">
        <is>
          <t>Non</t>
        </is>
      </c>
      <c r="L49">
        <f>SUBTOTAL(103,A49)</f>
        <v>1</v>
      </c>
    </row>
    <row r="50">
      <c r="A50" t="inlineStr">
        <is>
          <t>SOCIETE C633</t>
        </is>
      </c>
      <c r="B50" t="inlineStr">
        <is>
          <t>C633</t>
        </is>
      </c>
      <c r="C50" t="inlineStr">
        <is>
          <t>SME</t>
        </is>
      </c>
      <c r="D50" t="inlineStr">
        <is>
          <t>IA</t>
        </is>
      </c>
      <c r="E50" t="inlineStr">
        <is>
          <t>Stage 2</t>
        </is>
      </c>
      <c r="F50" t="inlineStr">
        <is>
          <t>N/A</t>
        </is>
      </c>
      <c r="G50" s="26">
        <v>81095088</v>
      </c>
      <c r="H50" s="26">
        <v>4865705</v>
      </c>
      <c r="I50" s="26">
        <v>0</v>
      </c>
      <c r="J50" s="26">
        <v>172</v>
      </c>
      <c r="K50" t="inlineStr">
        <is>
          <t>Non</t>
        </is>
      </c>
      <c r="L50">
        <f>SUBTOTAL(103,A50)</f>
        <v>1</v>
      </c>
    </row>
    <row r="51">
      <c r="A51" t="inlineStr">
        <is>
          <t>SOCIETE C1901</t>
        </is>
      </c>
      <c r="B51" t="inlineStr">
        <is>
          <t>C1901</t>
        </is>
      </c>
      <c r="C51" t="inlineStr">
        <is>
          <t>SME</t>
        </is>
      </c>
      <c r="D51" t="inlineStr">
        <is>
          <t>IV</t>
        </is>
      </c>
      <c r="E51" t="inlineStr">
        <is>
          <t>Stage 3</t>
        </is>
      </c>
      <c r="F51" t="inlineStr">
        <is>
          <t>N/A</t>
        </is>
      </c>
      <c r="G51" s="26">
        <v>1613694440</v>
      </c>
      <c r="H51" s="26">
        <v>887531942</v>
      </c>
      <c r="I51" s="26">
        <v>229823507</v>
      </c>
      <c r="J51" s="26">
        <v>112</v>
      </c>
      <c r="K51" t="inlineStr">
        <is>
          <t>Oui</t>
        </is>
      </c>
      <c r="L51">
        <f>SUBTOTAL(103,A51)</f>
        <v>1</v>
      </c>
    </row>
    <row r="52">
      <c r="A52" t="inlineStr">
        <is>
          <t>SOCIETE C1646</t>
        </is>
      </c>
      <c r="B52" t="inlineStr">
        <is>
          <t>C1646</t>
        </is>
      </c>
      <c r="C52" t="inlineStr">
        <is>
          <t>CONSUMER BANKING</t>
        </is>
      </c>
      <c r="D52" t="inlineStr">
        <is>
          <t>I</t>
        </is>
      </c>
      <c r="E52" t="inlineStr">
        <is>
          <t>Stage 1</t>
        </is>
      </c>
      <c r="F52" t="inlineStr">
        <is>
          <t>N/A</t>
        </is>
      </c>
      <c r="G52" s="26">
        <v>1813250323</v>
      </c>
      <c r="H52" s="26">
        <v>18132503</v>
      </c>
      <c r="I52" s="26">
        <v>0</v>
      </c>
      <c r="J52" s="26">
        <v>14</v>
      </c>
      <c r="K52" t="inlineStr">
        <is>
          <t>Non</t>
        </is>
      </c>
      <c r="L52">
        <f>SUBTOTAL(103,A52)</f>
        <v>1</v>
      </c>
    </row>
    <row r="53">
      <c r="A53" t="inlineStr">
        <is>
          <t>SOCIETE C58</t>
        </is>
      </c>
      <c r="B53" t="inlineStr">
        <is>
          <t>C58</t>
        </is>
      </c>
      <c r="C53" t="inlineStr">
        <is>
          <t>CONSUMER BANKING</t>
        </is>
      </c>
      <c r="D53" t="inlineStr">
        <is>
          <t>I</t>
        </is>
      </c>
      <c r="E53" t="inlineStr">
        <is>
          <t>Stage 1</t>
        </is>
      </c>
      <c r="F53" t="inlineStr">
        <is>
          <t>N/A</t>
        </is>
      </c>
      <c r="G53" s="26">
        <v>23421393</v>
      </c>
      <c r="H53" s="26">
        <v>234214</v>
      </c>
      <c r="I53" s="26">
        <v>0</v>
      </c>
      <c r="J53" s="26">
        <v>295</v>
      </c>
      <c r="K53" t="inlineStr">
        <is>
          <t>Non</t>
        </is>
      </c>
      <c r="L53">
        <f>SUBTOTAL(103,A53)</f>
        <v>1</v>
      </c>
    </row>
    <row r="54">
      <c r="A54" t="inlineStr">
        <is>
          <t>SOCIETE C1406</t>
        </is>
      </c>
      <c r="B54" t="inlineStr">
        <is>
          <t>C1406</t>
        </is>
      </c>
      <c r="C54" t="inlineStr">
        <is>
          <t>COMMERCIAL BANKING</t>
        </is>
      </c>
      <c r="D54" t="inlineStr">
        <is>
          <t>IV</t>
        </is>
      </c>
      <c r="E54" t="inlineStr">
        <is>
          <t>Stage 3</t>
        </is>
      </c>
      <c r="F54" t="inlineStr">
        <is>
          <t>N/A</t>
        </is>
      </c>
      <c r="G54" s="26">
        <v>27782000</v>
      </c>
      <c r="H54" s="26">
        <v>15280100</v>
      </c>
      <c r="I54" s="26">
        <v>0</v>
      </c>
      <c r="J54" s="26">
        <v>155</v>
      </c>
      <c r="K54" t="inlineStr">
        <is>
          <t>Oui</t>
        </is>
      </c>
      <c r="L54">
        <f>SUBTOTAL(103,A54)</f>
        <v>1</v>
      </c>
    </row>
    <row r="55">
      <c r="A55" t="inlineStr">
        <is>
          <t>SOCIETE C611</t>
        </is>
      </c>
      <c r="B55" t="inlineStr">
        <is>
          <t>C611</t>
        </is>
      </c>
      <c r="C55" t="inlineStr">
        <is>
          <t>PUBLIC SECTOR</t>
        </is>
      </c>
      <c r="D55" t="inlineStr">
        <is>
          <t>I</t>
        </is>
      </c>
      <c r="E55" t="inlineStr">
        <is>
          <t>Stage 1</t>
        </is>
      </c>
      <c r="F55" t="inlineStr">
        <is>
          <t>N/A</t>
        </is>
      </c>
      <c r="G55" s="26">
        <v>375296906</v>
      </c>
      <c r="H55" s="26">
        <v>3752969</v>
      </c>
      <c r="I55" s="26">
        <v>19108117</v>
      </c>
      <c r="J55" s="26">
        <v>135</v>
      </c>
      <c r="K55" t="inlineStr">
        <is>
          <t>Non</t>
        </is>
      </c>
      <c r="L55">
        <f>SUBTOTAL(103,A55)</f>
        <v>1</v>
      </c>
    </row>
    <row r="56">
      <c r="A56" t="inlineStr">
        <is>
          <t>SOCIETE C833</t>
        </is>
      </c>
      <c r="B56" t="inlineStr">
        <is>
          <t>C833</t>
        </is>
      </c>
      <c r="C56" t="inlineStr">
        <is>
          <t>PUBLIC SECTOR</t>
        </is>
      </c>
      <c r="D56" t="inlineStr">
        <is>
          <t>I</t>
        </is>
      </c>
      <c r="E56" t="inlineStr">
        <is>
          <t>Stage 1</t>
        </is>
      </c>
      <c r="F56" t="inlineStr">
        <is>
          <t>N/A</t>
        </is>
      </c>
      <c r="G56" s="26">
        <v>5967276</v>
      </c>
      <c r="H56" s="26">
        <v>59673</v>
      </c>
      <c r="I56" s="26">
        <v>0</v>
      </c>
      <c r="J56" s="26">
        <v>54</v>
      </c>
      <c r="K56" t="inlineStr">
        <is>
          <t>Non</t>
        </is>
      </c>
      <c r="L56">
        <f>SUBTOTAL(103,A56)</f>
        <v>1</v>
      </c>
    </row>
    <row r="57">
      <c r="A57" t="inlineStr">
        <is>
          <t>SOCIETE C387</t>
        </is>
      </c>
      <c r="B57" t="inlineStr">
        <is>
          <t>C387</t>
        </is>
      </c>
      <c r="C57" t="inlineStr">
        <is>
          <t>CORPORATE BANKING</t>
        </is>
      </c>
      <c r="D57" t="inlineStr">
        <is>
          <t>I</t>
        </is>
      </c>
      <c r="E57" t="inlineStr">
        <is>
          <t>Stage 1</t>
        </is>
      </c>
      <c r="F57" t="inlineStr">
        <is>
          <t>N/A</t>
        </is>
      </c>
      <c r="G57" s="26">
        <v>6945808</v>
      </c>
      <c r="H57" s="26">
        <v>69458</v>
      </c>
      <c r="I57" s="26">
        <v>0</v>
      </c>
      <c r="J57" s="26">
        <v>23</v>
      </c>
      <c r="K57" t="inlineStr">
        <is>
          <t>Non</t>
        </is>
      </c>
      <c r="L57">
        <f>SUBTOTAL(103,A57)</f>
        <v>1</v>
      </c>
    </row>
    <row r="58">
      <c r="A58" t="inlineStr">
        <is>
          <t>SOCIETE C248</t>
        </is>
      </c>
      <c r="B58" t="inlineStr">
        <is>
          <t>C248</t>
        </is>
      </c>
      <c r="C58" t="inlineStr">
        <is>
          <t>COMMERCIAL BANKING</t>
        </is>
      </c>
      <c r="D58" t="inlineStr">
        <is>
          <t>IA</t>
        </is>
      </c>
      <c r="E58" t="inlineStr">
        <is>
          <t>Stage 2</t>
        </is>
      </c>
      <c r="F58" t="inlineStr">
        <is>
          <t>N/A</t>
        </is>
      </c>
      <c r="G58" s="26">
        <v>288261287</v>
      </c>
      <c r="H58" s="26">
        <v>17295677</v>
      </c>
      <c r="I58" s="26">
        <v>0</v>
      </c>
      <c r="J58" s="26">
        <v>9</v>
      </c>
      <c r="K58" t="inlineStr">
        <is>
          <t>Non</t>
        </is>
      </c>
      <c r="L58">
        <f>SUBTOTAL(103,A58)</f>
        <v>1</v>
      </c>
    </row>
    <row r="59">
      <c r="A59" t="inlineStr">
        <is>
          <t>SOCIETE C1519</t>
        </is>
      </c>
      <c r="B59" t="inlineStr">
        <is>
          <t>C1519</t>
        </is>
      </c>
      <c r="C59" t="inlineStr">
        <is>
          <t>CONSUMER BANKING</t>
        </is>
      </c>
      <c r="D59" t="inlineStr">
        <is>
          <t>IA</t>
        </is>
      </c>
      <c r="E59" t="inlineStr">
        <is>
          <t>Stage 2</t>
        </is>
      </c>
      <c r="F59" t="inlineStr">
        <is>
          <t>N/A</t>
        </is>
      </c>
      <c r="G59" s="26">
        <v>24876143</v>
      </c>
      <c r="H59" s="26">
        <v>1492569</v>
      </c>
      <c r="I59" s="26">
        <v>0</v>
      </c>
      <c r="J59" s="26">
        <v>170</v>
      </c>
      <c r="K59" t="inlineStr">
        <is>
          <t>Non</t>
        </is>
      </c>
      <c r="L59">
        <f>SUBTOTAL(103,A59)</f>
        <v>1</v>
      </c>
    </row>
    <row r="60">
      <c r="A60" t="inlineStr">
        <is>
          <t>SOCIETE C1559</t>
        </is>
      </c>
      <c r="B60" t="inlineStr">
        <is>
          <t>C1559</t>
        </is>
      </c>
      <c r="C60" t="inlineStr">
        <is>
          <t>PUBLIC SECTOR</t>
        </is>
      </c>
      <c r="D60" t="inlineStr">
        <is>
          <t>II</t>
        </is>
      </c>
      <c r="E60" t="inlineStr">
        <is>
          <t>Stage 2</t>
        </is>
      </c>
      <c r="F60" t="inlineStr">
        <is>
          <t>N/A</t>
        </is>
      </c>
      <c r="G60" s="26">
        <v>6259811</v>
      </c>
      <c r="H60" s="26">
        <v>375589</v>
      </c>
      <c r="I60" s="26">
        <v>0</v>
      </c>
      <c r="J60" s="26">
        <v>112</v>
      </c>
      <c r="K60" t="inlineStr">
        <is>
          <t>Non</t>
        </is>
      </c>
      <c r="L60">
        <f>SUBTOTAL(103,A60)</f>
        <v>1</v>
      </c>
    </row>
    <row r="61">
      <c r="A61" t="inlineStr">
        <is>
          <t>SOCIETE C257</t>
        </is>
      </c>
      <c r="B61" t="inlineStr">
        <is>
          <t>C257</t>
        </is>
      </c>
      <c r="C61" t="inlineStr">
        <is>
          <t>COMMERCIAL BANKING</t>
        </is>
      </c>
      <c r="D61" t="inlineStr">
        <is>
          <t>V</t>
        </is>
      </c>
      <c r="E61" t="inlineStr">
        <is>
          <t>Stage 3</t>
        </is>
      </c>
      <c r="F61" t="inlineStr">
        <is>
          <t>N/A</t>
        </is>
      </c>
      <c r="G61" s="26">
        <v>1157332</v>
      </c>
      <c r="H61" s="26">
        <v>636532</v>
      </c>
      <c r="I61" s="26">
        <v>0</v>
      </c>
      <c r="J61" s="26">
        <v>158</v>
      </c>
      <c r="K61" t="inlineStr">
        <is>
          <t>Oui</t>
        </is>
      </c>
      <c r="L61">
        <f>SUBTOTAL(103,A61)</f>
        <v>1</v>
      </c>
    </row>
    <row r="62">
      <c r="A62" t="inlineStr">
        <is>
          <t>SOCIETE C1941</t>
        </is>
      </c>
      <c r="B62" t="inlineStr">
        <is>
          <t>C1941</t>
        </is>
      </c>
      <c r="C62" t="inlineStr">
        <is>
          <t>CORPORATE BANKING</t>
        </is>
      </c>
      <c r="D62" t="inlineStr">
        <is>
          <t>I</t>
        </is>
      </c>
      <c r="E62" t="inlineStr">
        <is>
          <t>Stage 1</t>
        </is>
      </c>
      <c r="F62" t="inlineStr">
        <is>
          <t>N/A</t>
        </is>
      </c>
      <c r="G62" s="26">
        <v>459323889</v>
      </c>
      <c r="H62" s="26">
        <v>4593239</v>
      </c>
      <c r="I62" s="26">
        <v>0</v>
      </c>
      <c r="J62" s="26">
        <v>221</v>
      </c>
      <c r="K62" t="inlineStr">
        <is>
          <t>Non</t>
        </is>
      </c>
      <c r="L62">
        <f>SUBTOTAL(103,A62)</f>
        <v>1</v>
      </c>
    </row>
    <row r="63">
      <c r="A63" t="inlineStr">
        <is>
          <t>SOCIETE C1836</t>
        </is>
      </c>
      <c r="B63" t="inlineStr">
        <is>
          <t>C1836</t>
        </is>
      </c>
      <c r="C63" t="inlineStr">
        <is>
          <t>COMMERCIAL BANKING</t>
        </is>
      </c>
      <c r="D63" t="inlineStr">
        <is>
          <t>I</t>
        </is>
      </c>
      <c r="E63" t="inlineStr">
        <is>
          <t>Stage 1</t>
        </is>
      </c>
      <c r="F63" t="inlineStr">
        <is>
          <t>N/A</t>
        </is>
      </c>
      <c r="G63" s="26">
        <v>1068467</v>
      </c>
      <c r="H63" s="26">
        <v>10685</v>
      </c>
      <c r="I63" s="26">
        <v>0</v>
      </c>
      <c r="J63" s="26">
        <v>12</v>
      </c>
      <c r="K63" t="inlineStr">
        <is>
          <t>Non</t>
        </is>
      </c>
      <c r="L63">
        <f>SUBTOTAL(103,A63)</f>
        <v>1</v>
      </c>
    </row>
    <row r="64">
      <c r="A64" t="inlineStr">
        <is>
          <t>SOCIETE C2114</t>
        </is>
      </c>
      <c r="B64" t="inlineStr">
        <is>
          <t>C2114</t>
        </is>
      </c>
      <c r="C64" t="inlineStr">
        <is>
          <t>CONSUMER BANKING</t>
        </is>
      </c>
      <c r="D64" t="inlineStr">
        <is>
          <t>III</t>
        </is>
      </c>
      <c r="E64" t="inlineStr">
        <is>
          <t>Stage 3</t>
        </is>
      </c>
      <c r="F64" t="inlineStr">
        <is>
          <t>N/A</t>
        </is>
      </c>
      <c r="G64" s="26">
        <v>2832805168</v>
      </c>
      <c r="H64" s="26">
        <v>1558042842</v>
      </c>
      <c r="I64" s="26">
        <v>356972469</v>
      </c>
      <c r="J64" s="26">
        <v>99</v>
      </c>
      <c r="K64" t="inlineStr">
        <is>
          <t>Oui</t>
        </is>
      </c>
      <c r="L64">
        <f>SUBTOTAL(103,A64)</f>
        <v>1</v>
      </c>
    </row>
    <row r="65">
      <c r="A65" t="inlineStr">
        <is>
          <t>SOCIETE C605</t>
        </is>
      </c>
      <c r="B65" t="inlineStr">
        <is>
          <t>C605</t>
        </is>
      </c>
      <c r="C65" t="inlineStr">
        <is>
          <t>COMMERCIAL BANKING</t>
        </is>
      </c>
      <c r="D65" t="inlineStr">
        <is>
          <t>II</t>
        </is>
      </c>
      <c r="E65" t="inlineStr">
        <is>
          <t>Stage 2</t>
        </is>
      </c>
      <c r="F65" t="inlineStr">
        <is>
          <t>N/A</t>
        </is>
      </c>
      <c r="G65" s="26">
        <v>24317756</v>
      </c>
      <c r="H65" s="26">
        <v>1459065</v>
      </c>
      <c r="I65" s="26">
        <v>2760589</v>
      </c>
      <c r="J65" s="26">
        <v>262</v>
      </c>
      <c r="K65" t="inlineStr">
        <is>
          <t>Non</t>
        </is>
      </c>
      <c r="L65">
        <f>SUBTOTAL(103,A65)</f>
        <v>1</v>
      </c>
    </row>
    <row r="66">
      <c r="A66" t="inlineStr">
        <is>
          <t>SOCIETE C1536</t>
        </is>
      </c>
      <c r="B66" t="inlineStr">
        <is>
          <t>C1536</t>
        </is>
      </c>
      <c r="C66" t="inlineStr">
        <is>
          <t>CORPORATE BANKING</t>
        </is>
      </c>
      <c r="D66" t="inlineStr">
        <is>
          <t>I</t>
        </is>
      </c>
      <c r="E66" t="inlineStr">
        <is>
          <t>Stage 1</t>
        </is>
      </c>
      <c r="F66" t="inlineStr">
        <is>
          <t>N/A</t>
        </is>
      </c>
      <c r="G66" s="26">
        <v>86991577</v>
      </c>
      <c r="H66" s="26">
        <v>869916</v>
      </c>
      <c r="I66" s="26">
        <v>1273657</v>
      </c>
      <c r="J66" s="26">
        <v>63</v>
      </c>
      <c r="K66" t="inlineStr">
        <is>
          <t>Non</t>
        </is>
      </c>
      <c r="L66">
        <f>SUBTOTAL(103,A66)</f>
        <v>1</v>
      </c>
    </row>
    <row r="67">
      <c r="A67" t="inlineStr">
        <is>
          <t>SOCIETE C1359</t>
        </is>
      </c>
      <c r="B67" t="inlineStr">
        <is>
          <t>C1359</t>
        </is>
      </c>
      <c r="C67" t="inlineStr">
        <is>
          <t>COMMERCIAL BANKING</t>
        </is>
      </c>
      <c r="D67" t="inlineStr">
        <is>
          <t>II</t>
        </is>
      </c>
      <c r="E67" t="inlineStr">
        <is>
          <t>Stage 2</t>
        </is>
      </c>
      <c r="F67" t="inlineStr">
        <is>
          <t>N/A</t>
        </is>
      </c>
      <c r="G67" s="26">
        <v>385183144</v>
      </c>
      <c r="H67" s="26">
        <v>23110989</v>
      </c>
      <c r="I67" s="26">
        <v>0</v>
      </c>
      <c r="J67" s="26">
        <v>174</v>
      </c>
      <c r="K67" t="inlineStr">
        <is>
          <t>Non</t>
        </is>
      </c>
      <c r="L67">
        <f>SUBTOTAL(103,A67)</f>
        <v>1</v>
      </c>
    </row>
    <row r="68">
      <c r="A68" t="inlineStr">
        <is>
          <t>SOCIETE C1621</t>
        </is>
      </c>
      <c r="B68" t="inlineStr">
        <is>
          <t>C1621</t>
        </is>
      </c>
      <c r="C68" t="inlineStr">
        <is>
          <t>COMMERCIAL BANKING</t>
        </is>
      </c>
      <c r="D68" t="inlineStr">
        <is>
          <t>IV</t>
        </is>
      </c>
      <c r="E68" t="inlineStr">
        <is>
          <t>Stage 3</t>
        </is>
      </c>
      <c r="F68" t="inlineStr">
        <is>
          <t>N/A</t>
        </is>
      </c>
      <c r="G68" s="26">
        <v>2833218922</v>
      </c>
      <c r="H68" s="26">
        <v>1558270407</v>
      </c>
      <c r="I68" s="26">
        <v>162337470</v>
      </c>
      <c r="J68" s="26">
        <v>9</v>
      </c>
      <c r="K68" t="inlineStr">
        <is>
          <t>Oui</t>
        </is>
      </c>
      <c r="L68">
        <f>SUBTOTAL(103,A68)</f>
        <v>1</v>
      </c>
    </row>
    <row r="69">
      <c r="A69" t="inlineStr">
        <is>
          <t>SOCIETE C1666</t>
        </is>
      </c>
      <c r="B69" t="inlineStr">
        <is>
          <t>C1666</t>
        </is>
      </c>
      <c r="C69" t="inlineStr">
        <is>
          <t>CORPORATE BANKING</t>
        </is>
      </c>
      <c r="D69" t="inlineStr">
        <is>
          <t>I</t>
        </is>
      </c>
      <c r="E69" t="inlineStr">
        <is>
          <t>Stage 1</t>
        </is>
      </c>
      <c r="F69" t="inlineStr">
        <is>
          <t>N/A</t>
        </is>
      </c>
      <c r="G69" s="26">
        <v>42317551</v>
      </c>
      <c r="H69" s="26">
        <v>423176</v>
      </c>
      <c r="I69" s="26">
        <v>6434276</v>
      </c>
      <c r="J69" s="26">
        <v>76</v>
      </c>
      <c r="K69" t="inlineStr">
        <is>
          <t>Non</t>
        </is>
      </c>
      <c r="L69">
        <f>SUBTOTAL(103,A69)</f>
        <v>1</v>
      </c>
    </row>
    <row r="70">
      <c r="A70" t="inlineStr">
        <is>
          <t>SOCIETE C2062</t>
        </is>
      </c>
      <c r="B70" t="inlineStr">
        <is>
          <t>C2062</t>
        </is>
      </c>
      <c r="C70" t="inlineStr">
        <is>
          <t>SME</t>
        </is>
      </c>
      <c r="D70" t="inlineStr">
        <is>
          <t>III</t>
        </is>
      </c>
      <c r="E70" t="inlineStr">
        <is>
          <t>Stage 3</t>
        </is>
      </c>
      <c r="F70" t="inlineStr">
        <is>
          <t>N/A</t>
        </is>
      </c>
      <c r="G70" s="26">
        <v>1008826</v>
      </c>
      <c r="H70" s="26">
        <v>554854</v>
      </c>
      <c r="I70" s="26">
        <v>0</v>
      </c>
      <c r="J70" s="26">
        <v>5</v>
      </c>
      <c r="K70" t="inlineStr">
        <is>
          <t>Oui</t>
        </is>
      </c>
      <c r="L70">
        <f>SUBTOTAL(103,A70)</f>
        <v>1</v>
      </c>
    </row>
    <row r="71">
      <c r="A71" t="inlineStr">
        <is>
          <t>SOCIETE C1191</t>
        </is>
      </c>
      <c r="B71" t="inlineStr">
        <is>
          <t>C1191</t>
        </is>
      </c>
      <c r="C71" t="inlineStr">
        <is>
          <t>CORPORATE BANKING</t>
        </is>
      </c>
      <c r="D71" t="inlineStr">
        <is>
          <t>I</t>
        </is>
      </c>
      <c r="E71" t="inlineStr">
        <is>
          <t>Stage 1</t>
        </is>
      </c>
      <c r="F71" t="inlineStr">
        <is>
          <t>N/A</t>
        </is>
      </c>
      <c r="G71" s="26">
        <v>2852240142</v>
      </c>
      <c r="H71" s="26">
        <v>28522401</v>
      </c>
      <c r="I71" s="26">
        <v>0</v>
      </c>
      <c r="J71" s="26">
        <v>223</v>
      </c>
      <c r="K71" t="inlineStr">
        <is>
          <t>Non</t>
        </is>
      </c>
      <c r="L71">
        <f>SUBTOTAL(103,A71)</f>
        <v>1</v>
      </c>
    </row>
    <row r="72">
      <c r="A72" t="inlineStr">
        <is>
          <t>SOCIETE C1541</t>
        </is>
      </c>
      <c r="B72" t="inlineStr">
        <is>
          <t>C1541</t>
        </is>
      </c>
      <c r="C72" t="inlineStr">
        <is>
          <t>CORPORATE BANKING</t>
        </is>
      </c>
      <c r="D72" t="inlineStr">
        <is>
          <t>I</t>
        </is>
      </c>
      <c r="E72" t="inlineStr">
        <is>
          <t>Stage 1</t>
        </is>
      </c>
      <c r="F72" t="inlineStr">
        <is>
          <t>N/A</t>
        </is>
      </c>
      <c r="G72" s="26">
        <v>5504882</v>
      </c>
      <c r="H72" s="26">
        <v>55049</v>
      </c>
      <c r="I72" s="26">
        <v>446219</v>
      </c>
      <c r="J72" s="26">
        <v>208</v>
      </c>
      <c r="K72" t="inlineStr">
        <is>
          <t>Non</t>
        </is>
      </c>
      <c r="L72">
        <f>SUBTOTAL(103,A72)</f>
        <v>1</v>
      </c>
    </row>
    <row r="73">
      <c r="A73" t="inlineStr">
        <is>
          <t>SOCIETE C2325</t>
        </is>
      </c>
      <c r="B73" t="inlineStr">
        <is>
          <t>C2325</t>
        </is>
      </c>
      <c r="C73" t="inlineStr">
        <is>
          <t>PUBLIC SECTOR</t>
        </is>
      </c>
      <c r="D73" t="inlineStr">
        <is>
          <t>II</t>
        </is>
      </c>
      <c r="E73" t="inlineStr">
        <is>
          <t>Stage 2</t>
        </is>
      </c>
      <c r="F73" t="inlineStr">
        <is>
          <t>N/A</t>
        </is>
      </c>
      <c r="G73" s="26">
        <v>12573174</v>
      </c>
      <c r="H73" s="26">
        <v>754390</v>
      </c>
      <c r="I73" s="26">
        <v>0</v>
      </c>
      <c r="J73" s="26">
        <v>56</v>
      </c>
      <c r="K73" t="inlineStr">
        <is>
          <t>Non</t>
        </is>
      </c>
      <c r="L73">
        <f>SUBTOTAL(103,A73)</f>
        <v>1</v>
      </c>
    </row>
    <row r="74">
      <c r="A74" t="inlineStr">
        <is>
          <t>SOCIETE C427</t>
        </is>
      </c>
      <c r="B74" t="inlineStr">
        <is>
          <t>C427</t>
        </is>
      </c>
      <c r="C74" t="inlineStr">
        <is>
          <t>CORPORATE BANKING</t>
        </is>
      </c>
      <c r="D74" t="inlineStr">
        <is>
          <t>II</t>
        </is>
      </c>
      <c r="E74" t="inlineStr">
        <is>
          <t>Stage 2</t>
        </is>
      </c>
      <c r="F74" t="inlineStr">
        <is>
          <t>N/A</t>
        </is>
      </c>
      <c r="G74" s="26">
        <v>4193982</v>
      </c>
      <c r="H74" s="26">
        <v>251639</v>
      </c>
      <c r="I74" s="26">
        <v>0</v>
      </c>
      <c r="J74" s="26">
        <v>215</v>
      </c>
      <c r="K74" t="inlineStr">
        <is>
          <t>Non</t>
        </is>
      </c>
      <c r="L74">
        <f>SUBTOTAL(103,A74)</f>
        <v>1</v>
      </c>
    </row>
    <row r="75">
      <c r="A75" t="inlineStr">
        <is>
          <t>SOCIETE C1269</t>
        </is>
      </c>
      <c r="B75" t="inlineStr">
        <is>
          <t>C1269</t>
        </is>
      </c>
      <c r="C75" t="inlineStr">
        <is>
          <t>CORPORATE BANKING</t>
        </is>
      </c>
      <c r="D75" t="inlineStr">
        <is>
          <t>I</t>
        </is>
      </c>
      <c r="E75" t="inlineStr">
        <is>
          <t>Stage 1</t>
        </is>
      </c>
      <c r="F75" t="inlineStr">
        <is>
          <t>N/A</t>
        </is>
      </c>
      <c r="G75" s="26">
        <v>329719252</v>
      </c>
      <c r="H75" s="26">
        <v>3297193</v>
      </c>
      <c r="I75" s="26">
        <v>0</v>
      </c>
      <c r="J75" s="26">
        <v>36</v>
      </c>
      <c r="K75" t="inlineStr">
        <is>
          <t>Non</t>
        </is>
      </c>
      <c r="L75">
        <f>SUBTOTAL(103,A75)</f>
        <v>1</v>
      </c>
    </row>
    <row r="76">
      <c r="A76" t="inlineStr">
        <is>
          <t>SOCIETE C1089</t>
        </is>
      </c>
      <c r="B76" t="inlineStr">
        <is>
          <t>C1089</t>
        </is>
      </c>
      <c r="C76" t="inlineStr">
        <is>
          <t>CORPORATE BANKING</t>
        </is>
      </c>
      <c r="D76" t="inlineStr">
        <is>
          <t>I</t>
        </is>
      </c>
      <c r="E76" t="inlineStr">
        <is>
          <t>Stage 1</t>
        </is>
      </c>
      <c r="F76" t="inlineStr">
        <is>
          <t>N/A</t>
        </is>
      </c>
      <c r="G76" s="26">
        <v>770437888</v>
      </c>
      <c r="H76" s="26">
        <v>7704379</v>
      </c>
      <c r="I76" s="26">
        <v>140644635</v>
      </c>
      <c r="J76" s="26">
        <v>256</v>
      </c>
      <c r="K76" t="inlineStr">
        <is>
          <t>Non</t>
        </is>
      </c>
      <c r="L76">
        <f>SUBTOTAL(103,A76)</f>
        <v>1</v>
      </c>
    </row>
    <row r="77">
      <c r="A77" t="inlineStr">
        <is>
          <t>SOCIETE C2102</t>
        </is>
      </c>
      <c r="B77" t="inlineStr">
        <is>
          <t>C2102</t>
        </is>
      </c>
      <c r="C77" t="inlineStr">
        <is>
          <t>COMMERCIAL BANKING</t>
        </is>
      </c>
      <c r="D77" t="inlineStr">
        <is>
          <t>II</t>
        </is>
      </c>
      <c r="E77" t="inlineStr">
        <is>
          <t>Stage 2</t>
        </is>
      </c>
      <c r="F77" t="inlineStr">
        <is>
          <t>N/A</t>
        </is>
      </c>
      <c r="G77" s="26">
        <v>952760063</v>
      </c>
      <c r="H77" s="26">
        <v>57165604</v>
      </c>
      <c r="I77" s="26">
        <v>0</v>
      </c>
      <c r="J77" s="26">
        <v>0</v>
      </c>
      <c r="K77" t="inlineStr">
        <is>
          <t>Non</t>
        </is>
      </c>
      <c r="L77">
        <f>SUBTOTAL(103,A77)</f>
        <v>1</v>
      </c>
    </row>
    <row r="78">
      <c r="A78" t="inlineStr">
        <is>
          <t>SOCIETE C1289</t>
        </is>
      </c>
      <c r="B78" t="inlineStr">
        <is>
          <t>C1289</t>
        </is>
      </c>
      <c r="C78" t="inlineStr">
        <is>
          <t>CORPORATE BANKING</t>
        </is>
      </c>
      <c r="D78" t="inlineStr">
        <is>
          <t>I</t>
        </is>
      </c>
      <c r="E78" t="inlineStr">
        <is>
          <t>Stage 1</t>
        </is>
      </c>
      <c r="F78" t="inlineStr">
        <is>
          <t>N/A</t>
        </is>
      </c>
      <c r="G78" s="26">
        <v>1601167</v>
      </c>
      <c r="H78" s="26">
        <v>16012</v>
      </c>
      <c r="I78" s="26">
        <v>0</v>
      </c>
      <c r="J78" s="26">
        <v>64</v>
      </c>
      <c r="K78" t="inlineStr">
        <is>
          <t>Non</t>
        </is>
      </c>
      <c r="L78">
        <f>SUBTOTAL(103,A78)</f>
        <v>1</v>
      </c>
    </row>
    <row r="79">
      <c r="A79" t="inlineStr">
        <is>
          <t>SOCIETE C1875</t>
        </is>
      </c>
      <c r="B79" t="inlineStr">
        <is>
          <t>C1875</t>
        </is>
      </c>
      <c r="C79" t="inlineStr">
        <is>
          <t>PUBLIC SECTOR</t>
        </is>
      </c>
      <c r="D79" t="inlineStr">
        <is>
          <t>I</t>
        </is>
      </c>
      <c r="E79" t="inlineStr">
        <is>
          <t>Stage 1</t>
        </is>
      </c>
      <c r="F79" t="inlineStr">
        <is>
          <t>N/A</t>
        </is>
      </c>
      <c r="G79" s="26">
        <v>1102168140</v>
      </c>
      <c r="H79" s="26">
        <v>11021681</v>
      </c>
      <c r="I79" s="26">
        <v>61230719</v>
      </c>
      <c r="J79" s="26">
        <v>88</v>
      </c>
      <c r="K79" t="inlineStr">
        <is>
          <t>Non</t>
        </is>
      </c>
      <c r="L79">
        <f>SUBTOTAL(103,A79)</f>
        <v>1</v>
      </c>
    </row>
    <row r="80">
      <c r="A80" t="inlineStr">
        <is>
          <t>SOCIETE C1377</t>
        </is>
      </c>
      <c r="B80" t="inlineStr">
        <is>
          <t>C1377</t>
        </is>
      </c>
      <c r="C80" t="inlineStr">
        <is>
          <t>SME</t>
        </is>
      </c>
      <c r="D80" t="inlineStr">
        <is>
          <t>IA</t>
        </is>
      </c>
      <c r="E80" t="inlineStr">
        <is>
          <t>Stage 2</t>
        </is>
      </c>
      <c r="F80" t="inlineStr">
        <is>
          <t>N/A</t>
        </is>
      </c>
      <c r="G80" s="26">
        <v>202911850</v>
      </c>
      <c r="H80" s="26">
        <v>12174711</v>
      </c>
      <c r="I80" s="26">
        <v>0</v>
      </c>
      <c r="J80" s="26">
        <v>139</v>
      </c>
      <c r="K80" t="inlineStr">
        <is>
          <t>Non</t>
        </is>
      </c>
      <c r="L80">
        <f>SUBTOTAL(103,A80)</f>
        <v>1</v>
      </c>
    </row>
    <row r="81">
      <c r="A81" t="inlineStr">
        <is>
          <t>SOCIETE C596</t>
        </is>
      </c>
      <c r="B81" t="inlineStr">
        <is>
          <t>C596</t>
        </is>
      </c>
      <c r="C81" t="inlineStr">
        <is>
          <t>INSTITUTIONAL</t>
        </is>
      </c>
      <c r="D81" t="inlineStr">
        <is>
          <t>III</t>
        </is>
      </c>
      <c r="E81" t="inlineStr">
        <is>
          <t>Stage 3</t>
        </is>
      </c>
      <c r="F81" t="inlineStr">
        <is>
          <t>N/A</t>
        </is>
      </c>
      <c r="G81" s="26">
        <v>2465249076</v>
      </c>
      <c r="H81" s="26">
        <v>1355886992</v>
      </c>
      <c r="I81" s="26">
        <v>0</v>
      </c>
      <c r="J81" s="26">
        <v>147</v>
      </c>
      <c r="K81" t="inlineStr">
        <is>
          <t>Oui</t>
        </is>
      </c>
      <c r="L81">
        <f>SUBTOTAL(103,A81)</f>
        <v>1</v>
      </c>
    </row>
    <row r="82">
      <c r="A82" t="inlineStr">
        <is>
          <t>SOCIETE C1202</t>
        </is>
      </c>
      <c r="B82" t="inlineStr">
        <is>
          <t>C1202</t>
        </is>
      </c>
      <c r="C82" t="inlineStr">
        <is>
          <t>CONSUMER BANKING</t>
        </is>
      </c>
      <c r="D82" t="inlineStr">
        <is>
          <t>IV</t>
        </is>
      </c>
      <c r="E82" t="inlineStr">
        <is>
          <t>Stage 3</t>
        </is>
      </c>
      <c r="F82" t="inlineStr">
        <is>
          <t>N/A</t>
        </is>
      </c>
      <c r="G82" s="26">
        <v>19185341</v>
      </c>
      <c r="H82" s="26">
        <v>10551938</v>
      </c>
      <c r="I82" s="26">
        <v>0</v>
      </c>
      <c r="J82" s="26">
        <v>169</v>
      </c>
      <c r="K82" t="inlineStr">
        <is>
          <t>Oui</t>
        </is>
      </c>
      <c r="L82">
        <f>SUBTOTAL(103,A82)</f>
        <v>1</v>
      </c>
    </row>
    <row r="83">
      <c r="A83" t="inlineStr">
        <is>
          <t>SOCIETE C1369</t>
        </is>
      </c>
      <c r="B83" t="inlineStr">
        <is>
          <t>C1369</t>
        </is>
      </c>
      <c r="C83" t="inlineStr">
        <is>
          <t>SME</t>
        </is>
      </c>
      <c r="D83" t="inlineStr">
        <is>
          <t>V</t>
        </is>
      </c>
      <c r="E83" t="inlineStr">
        <is>
          <t>Stage 3</t>
        </is>
      </c>
      <c r="F83" t="inlineStr">
        <is>
          <t>N/A</t>
        </is>
      </c>
      <c r="G83" s="26">
        <v>891289296</v>
      </c>
      <c r="H83" s="26">
        <v>490209113</v>
      </c>
      <c r="I83" s="26">
        <v>0</v>
      </c>
      <c r="J83" s="26">
        <v>16</v>
      </c>
      <c r="K83" t="inlineStr">
        <is>
          <t>Oui</t>
        </is>
      </c>
      <c r="L83">
        <f>SUBTOTAL(103,A83)</f>
        <v>1</v>
      </c>
    </row>
    <row r="84">
      <c r="A84" t="inlineStr">
        <is>
          <t>SOCIETE C222</t>
        </is>
      </c>
      <c r="B84" t="inlineStr">
        <is>
          <t>C222</t>
        </is>
      </c>
      <c r="C84" t="inlineStr">
        <is>
          <t>CORPORATE BANKING</t>
        </is>
      </c>
      <c r="D84" t="inlineStr">
        <is>
          <t>I</t>
        </is>
      </c>
      <c r="E84" t="inlineStr">
        <is>
          <t>Stage 1</t>
        </is>
      </c>
      <c r="F84" t="inlineStr">
        <is>
          <t>N/A</t>
        </is>
      </c>
      <c r="G84" s="26">
        <v>1025856877</v>
      </c>
      <c r="H84" s="26">
        <v>10258569</v>
      </c>
      <c r="I84" s="26">
        <v>0</v>
      </c>
      <c r="J84" s="26">
        <v>46</v>
      </c>
      <c r="K84" t="inlineStr">
        <is>
          <t>Non</t>
        </is>
      </c>
      <c r="L84">
        <f>SUBTOTAL(103,A84)</f>
        <v>1</v>
      </c>
    </row>
    <row r="85">
      <c r="A85" t="inlineStr">
        <is>
          <t>SOCIETE C992</t>
        </is>
      </c>
      <c r="B85" t="inlineStr">
        <is>
          <t>C992</t>
        </is>
      </c>
      <c r="C85" t="inlineStr">
        <is>
          <t>CONSUMER BANKING</t>
        </is>
      </c>
      <c r="D85" t="inlineStr">
        <is>
          <t>I</t>
        </is>
      </c>
      <c r="E85" t="inlineStr">
        <is>
          <t>Stage 1</t>
        </is>
      </c>
      <c r="F85" t="inlineStr">
        <is>
          <t>N/A</t>
        </is>
      </c>
      <c r="G85" s="26">
        <v>1005556</v>
      </c>
      <c r="H85" s="26">
        <v>10056</v>
      </c>
      <c r="I85" s="26">
        <v>0</v>
      </c>
      <c r="J85" s="26">
        <v>9</v>
      </c>
      <c r="K85" t="inlineStr">
        <is>
          <t>Non</t>
        </is>
      </c>
      <c r="L85">
        <f>SUBTOTAL(103,A85)</f>
        <v>1</v>
      </c>
    </row>
    <row r="86">
      <c r="A86" t="inlineStr">
        <is>
          <t>SOCIETE C338</t>
        </is>
      </c>
      <c r="B86" t="inlineStr">
        <is>
          <t>C338</t>
        </is>
      </c>
      <c r="C86" t="inlineStr">
        <is>
          <t>CORPORATE BANKING</t>
        </is>
      </c>
      <c r="D86" t="inlineStr">
        <is>
          <t>IA</t>
        </is>
      </c>
      <c r="E86" t="inlineStr">
        <is>
          <t>Stage 2</t>
        </is>
      </c>
      <c r="F86" t="inlineStr">
        <is>
          <t>N/A</t>
        </is>
      </c>
      <c r="G86" s="26">
        <v>766919696</v>
      </c>
      <c r="H86" s="26">
        <v>46015182</v>
      </c>
      <c r="I86" s="26">
        <v>42442863</v>
      </c>
      <c r="J86" s="26">
        <v>49</v>
      </c>
      <c r="K86" t="inlineStr">
        <is>
          <t>Non</t>
        </is>
      </c>
      <c r="L86">
        <f>SUBTOTAL(103,A86)</f>
        <v>1</v>
      </c>
    </row>
    <row r="87">
      <c r="A87" t="inlineStr">
        <is>
          <t>SOCIETE C1397</t>
        </is>
      </c>
      <c r="B87" t="inlineStr">
        <is>
          <t>C1397</t>
        </is>
      </c>
      <c r="C87" t="inlineStr">
        <is>
          <t>CORPORATE BANKING</t>
        </is>
      </c>
      <c r="D87" t="inlineStr">
        <is>
          <t>V</t>
        </is>
      </c>
      <c r="E87" t="inlineStr">
        <is>
          <t>Stage 3</t>
        </is>
      </c>
      <c r="F87" t="inlineStr">
        <is>
          <t>N/A</t>
        </is>
      </c>
      <c r="G87" s="26">
        <v>2085652299</v>
      </c>
      <c r="H87" s="26">
        <v>1147108764</v>
      </c>
      <c r="I87" s="26">
        <v>0</v>
      </c>
      <c r="J87" s="26">
        <v>49</v>
      </c>
      <c r="K87" t="inlineStr">
        <is>
          <t>Oui</t>
        </is>
      </c>
      <c r="L87">
        <f>SUBTOTAL(103,A87)</f>
        <v>1</v>
      </c>
    </row>
    <row r="88">
      <c r="A88" t="inlineStr">
        <is>
          <t>SOCIETE C488</t>
        </is>
      </c>
      <c r="B88" t="inlineStr">
        <is>
          <t>C488</t>
        </is>
      </c>
      <c r="C88" t="inlineStr">
        <is>
          <t>CORPORATE BANKING</t>
        </is>
      </c>
      <c r="D88" t="inlineStr">
        <is>
          <t>I</t>
        </is>
      </c>
      <c r="E88" t="inlineStr">
        <is>
          <t>Stage 1</t>
        </is>
      </c>
      <c r="F88" t="inlineStr">
        <is>
          <t>N/A</t>
        </is>
      </c>
      <c r="G88" s="26">
        <v>179402532</v>
      </c>
      <c r="H88" s="26">
        <v>1794025</v>
      </c>
      <c r="I88" s="26">
        <v>0</v>
      </c>
      <c r="J88" s="26">
        <v>8</v>
      </c>
      <c r="K88" t="inlineStr">
        <is>
          <t>Non</t>
        </is>
      </c>
      <c r="L88">
        <f>SUBTOTAL(103,A88)</f>
        <v>1</v>
      </c>
    </row>
    <row r="89">
      <c r="A89" t="inlineStr">
        <is>
          <t>SOCIETE C270</t>
        </is>
      </c>
      <c r="B89" t="inlineStr">
        <is>
          <t>C270</t>
        </is>
      </c>
      <c r="C89" t="inlineStr">
        <is>
          <t>CONSUMER BANKING</t>
        </is>
      </c>
      <c r="D89" t="inlineStr">
        <is>
          <t>V</t>
        </is>
      </c>
      <c r="E89" t="inlineStr">
        <is>
          <t>Stage 3</t>
        </is>
      </c>
      <c r="F89" t="inlineStr">
        <is>
          <t>N/A</t>
        </is>
      </c>
      <c r="G89" s="26">
        <v>2938851</v>
      </c>
      <c r="H89" s="26">
        <v>1616368</v>
      </c>
      <c r="I89" s="26">
        <v>0</v>
      </c>
      <c r="J89" s="26">
        <v>217</v>
      </c>
      <c r="K89" t="inlineStr">
        <is>
          <t>Oui</t>
        </is>
      </c>
      <c r="L89">
        <f>SUBTOTAL(103,A89)</f>
        <v>1</v>
      </c>
    </row>
    <row r="90">
      <c r="A90" t="inlineStr">
        <is>
          <t>SOCIETE C413</t>
        </is>
      </c>
      <c r="B90" t="inlineStr">
        <is>
          <t>C413</t>
        </is>
      </c>
      <c r="C90" t="inlineStr">
        <is>
          <t>CORPORATE BANKING</t>
        </is>
      </c>
      <c r="D90" t="inlineStr">
        <is>
          <t>I</t>
        </is>
      </c>
      <c r="E90" t="inlineStr">
        <is>
          <t>Stage 1</t>
        </is>
      </c>
      <c r="F90" t="inlineStr">
        <is>
          <t>N/A</t>
        </is>
      </c>
      <c r="G90" s="26">
        <v>44588562</v>
      </c>
      <c r="H90" s="26">
        <v>445886</v>
      </c>
      <c r="I90" s="26">
        <v>289256</v>
      </c>
      <c r="J90" s="26">
        <v>31</v>
      </c>
      <c r="K90" t="inlineStr">
        <is>
          <t>Non</t>
        </is>
      </c>
      <c r="L90">
        <f>SUBTOTAL(103,A90)</f>
        <v>1</v>
      </c>
    </row>
    <row r="91">
      <c r="A91" t="inlineStr">
        <is>
          <t>SOCIETE C1289</t>
        </is>
      </c>
      <c r="B91" t="inlineStr">
        <is>
          <t>C1289</t>
        </is>
      </c>
      <c r="C91" t="inlineStr">
        <is>
          <t>CORPORATE BANKING</t>
        </is>
      </c>
      <c r="D91" t="inlineStr">
        <is>
          <t>V</t>
        </is>
      </c>
      <c r="E91" t="inlineStr">
        <is>
          <t>Stage 3</t>
        </is>
      </c>
      <c r="F91" t="inlineStr">
        <is>
          <t>N/A</t>
        </is>
      </c>
      <c r="G91" s="26">
        <v>11833280</v>
      </c>
      <c r="H91" s="26">
        <v>6508304</v>
      </c>
      <c r="I91" s="26">
        <v>0</v>
      </c>
      <c r="J91" s="26">
        <v>195</v>
      </c>
      <c r="K91" t="inlineStr">
        <is>
          <t>Oui</t>
        </is>
      </c>
      <c r="L91">
        <f>SUBTOTAL(103,A91)</f>
        <v>1</v>
      </c>
    </row>
    <row r="92">
      <c r="A92" t="inlineStr">
        <is>
          <t>SOCIETE C2032</t>
        </is>
      </c>
      <c r="B92" t="inlineStr">
        <is>
          <t>C2032</t>
        </is>
      </c>
      <c r="C92" t="inlineStr">
        <is>
          <t>CONSUMER BANKING</t>
        </is>
      </c>
      <c r="D92" t="inlineStr">
        <is>
          <t>II</t>
        </is>
      </c>
      <c r="E92" t="inlineStr">
        <is>
          <t>Stage 2</t>
        </is>
      </c>
      <c r="F92" t="inlineStr">
        <is>
          <t>N/A</t>
        </is>
      </c>
      <c r="G92" s="26">
        <v>937392931</v>
      </c>
      <c r="H92" s="26">
        <v>56243576</v>
      </c>
      <c r="I92" s="26">
        <v>64396168</v>
      </c>
      <c r="J92" s="26">
        <v>255</v>
      </c>
      <c r="K92" t="inlineStr">
        <is>
          <t>Non</t>
        </is>
      </c>
      <c r="L92">
        <f>SUBTOTAL(103,A92)</f>
        <v>1</v>
      </c>
    </row>
    <row r="93">
      <c r="A93" t="inlineStr">
        <is>
          <t>SOCIETE C1003</t>
        </is>
      </c>
      <c r="B93" t="inlineStr">
        <is>
          <t>C1003</t>
        </is>
      </c>
      <c r="C93" t="inlineStr">
        <is>
          <t>COMMERCIAL BANKING</t>
        </is>
      </c>
      <c r="D93" t="inlineStr">
        <is>
          <t>III</t>
        </is>
      </c>
      <c r="E93" t="inlineStr">
        <is>
          <t>Stage 3</t>
        </is>
      </c>
      <c r="F93" t="inlineStr">
        <is>
          <t>N/A</t>
        </is>
      </c>
      <c r="G93" s="26">
        <v>1723598407</v>
      </c>
      <c r="H93" s="26">
        <v>947979124</v>
      </c>
      <c r="I93" s="26">
        <v>0</v>
      </c>
      <c r="J93" s="26">
        <v>3</v>
      </c>
      <c r="K93" t="inlineStr">
        <is>
          <t>Oui</t>
        </is>
      </c>
      <c r="L93">
        <f>SUBTOTAL(103,A93)</f>
        <v>1</v>
      </c>
    </row>
    <row r="94">
      <c r="A94" t="inlineStr">
        <is>
          <t>SOCIETE C1226</t>
        </is>
      </c>
      <c r="B94" t="inlineStr">
        <is>
          <t>C1226</t>
        </is>
      </c>
      <c r="C94" t="inlineStr">
        <is>
          <t>CORPORATE BANKING</t>
        </is>
      </c>
      <c r="D94" t="inlineStr">
        <is>
          <t>I</t>
        </is>
      </c>
      <c r="E94" t="inlineStr">
        <is>
          <t>Stage 1</t>
        </is>
      </c>
      <c r="F94" t="inlineStr">
        <is>
          <t>N/A</t>
        </is>
      </c>
      <c r="G94" s="26">
        <v>409763002</v>
      </c>
      <c r="H94" s="26">
        <v>4097630</v>
      </c>
      <c r="I94" s="26">
        <v>0</v>
      </c>
      <c r="J94" s="26">
        <v>39</v>
      </c>
      <c r="K94" t="inlineStr">
        <is>
          <t>Non</t>
        </is>
      </c>
      <c r="L94">
        <f>SUBTOTAL(103,A94)</f>
        <v>1</v>
      </c>
    </row>
    <row r="95">
      <c r="A95" t="inlineStr">
        <is>
          <t>SOCIETE C1925</t>
        </is>
      </c>
      <c r="B95" t="inlineStr">
        <is>
          <t>C1925</t>
        </is>
      </c>
      <c r="C95" t="inlineStr">
        <is>
          <t>CONSUMER BANKING</t>
        </is>
      </c>
      <c r="D95" t="inlineStr">
        <is>
          <t>I</t>
        </is>
      </c>
      <c r="E95" t="inlineStr">
        <is>
          <t>Stage 1</t>
        </is>
      </c>
      <c r="F95" t="inlineStr">
        <is>
          <t>N/A</t>
        </is>
      </c>
      <c r="G95" s="26">
        <v>1038288</v>
      </c>
      <c r="H95" s="26">
        <v>10383</v>
      </c>
      <c r="I95" s="26">
        <v>0</v>
      </c>
      <c r="J95" s="26">
        <v>198</v>
      </c>
      <c r="K95" t="inlineStr">
        <is>
          <t>Non</t>
        </is>
      </c>
      <c r="L95">
        <f>SUBTOTAL(103,A95)</f>
        <v>1</v>
      </c>
    </row>
    <row r="96">
      <c r="A96" t="inlineStr">
        <is>
          <t>SOCIETE C2265</t>
        </is>
      </c>
      <c r="B96" t="inlineStr">
        <is>
          <t>C2265</t>
        </is>
      </c>
      <c r="C96" t="inlineStr">
        <is>
          <t>CORPORATE BANKING</t>
        </is>
      </c>
      <c r="D96" t="inlineStr">
        <is>
          <t>IV</t>
        </is>
      </c>
      <c r="E96" t="inlineStr">
        <is>
          <t>Stage 3</t>
        </is>
      </c>
      <c r="F96" t="inlineStr">
        <is>
          <t>N/A</t>
        </is>
      </c>
      <c r="G96" s="26">
        <v>174288794</v>
      </c>
      <c r="H96" s="26">
        <v>95858837</v>
      </c>
      <c r="I96" s="26">
        <v>2854034</v>
      </c>
      <c r="J96" s="26">
        <v>1</v>
      </c>
      <c r="K96" t="inlineStr">
        <is>
          <t>Oui</t>
        </is>
      </c>
      <c r="L96">
        <f>SUBTOTAL(103,A96)</f>
        <v>1</v>
      </c>
    </row>
    <row r="97">
      <c r="A97" t="inlineStr">
        <is>
          <t>SOCIETE C502</t>
        </is>
      </c>
      <c r="B97" t="inlineStr">
        <is>
          <t>C502</t>
        </is>
      </c>
      <c r="C97" t="inlineStr">
        <is>
          <t>CORPORATE BANKING</t>
        </is>
      </c>
      <c r="D97" t="inlineStr">
        <is>
          <t>IA</t>
        </is>
      </c>
      <c r="E97" t="inlineStr">
        <is>
          <t>Stage 2</t>
        </is>
      </c>
      <c r="F97" t="inlineStr">
        <is>
          <t>N/A</t>
        </is>
      </c>
      <c r="G97" s="26">
        <v>928645429</v>
      </c>
      <c r="H97" s="26">
        <v>55718726</v>
      </c>
      <c r="I97" s="26">
        <v>0</v>
      </c>
      <c r="J97" s="26">
        <v>343</v>
      </c>
      <c r="K97" t="inlineStr">
        <is>
          <t>Non</t>
        </is>
      </c>
      <c r="L97">
        <f>SUBTOTAL(103,A97)</f>
        <v>1</v>
      </c>
    </row>
    <row r="98">
      <c r="A98" t="inlineStr">
        <is>
          <t>SOCIETE C1841</t>
        </is>
      </c>
      <c r="B98" t="inlineStr">
        <is>
          <t>C1841</t>
        </is>
      </c>
      <c r="C98" t="inlineStr">
        <is>
          <t>CONSUMER BANKING</t>
        </is>
      </c>
      <c r="D98" t="inlineStr">
        <is>
          <t>IV</t>
        </is>
      </c>
      <c r="E98" t="inlineStr">
        <is>
          <t>Stage 3</t>
        </is>
      </c>
      <c r="F98" t="inlineStr">
        <is>
          <t>N/A</t>
        </is>
      </c>
      <c r="G98" s="26">
        <v>2532305884</v>
      </c>
      <c r="H98" s="26">
        <v>1392768236</v>
      </c>
      <c r="I98" s="26">
        <v>181541137</v>
      </c>
      <c r="J98" s="26">
        <v>99</v>
      </c>
      <c r="K98" t="inlineStr">
        <is>
          <t>Oui</t>
        </is>
      </c>
      <c r="L98">
        <f>SUBTOTAL(103,A98)</f>
        <v>1</v>
      </c>
    </row>
    <row r="99">
      <c r="A99" t="inlineStr">
        <is>
          <t>SOCIETE C1603</t>
        </is>
      </c>
      <c r="B99" t="inlineStr">
        <is>
          <t>C1603</t>
        </is>
      </c>
      <c r="C99" t="inlineStr">
        <is>
          <t>CONSUMER BANKING</t>
        </is>
      </c>
      <c r="D99" t="inlineStr">
        <is>
          <t>IA</t>
        </is>
      </c>
      <c r="E99" t="inlineStr">
        <is>
          <t>Stage 2</t>
        </is>
      </c>
      <c r="F99" t="inlineStr">
        <is>
          <t>N/A</t>
        </is>
      </c>
      <c r="G99" s="26">
        <v>627354158</v>
      </c>
      <c r="H99" s="26">
        <v>37641249</v>
      </c>
      <c r="I99" s="26">
        <v>0</v>
      </c>
      <c r="J99" s="26">
        <v>4</v>
      </c>
      <c r="K99" t="inlineStr">
        <is>
          <t>Non</t>
        </is>
      </c>
      <c r="L99">
        <f>SUBTOTAL(103,A99)</f>
        <v>1</v>
      </c>
    </row>
    <row r="100">
      <c r="A100" t="inlineStr">
        <is>
          <t>SOCIETE C2451</t>
        </is>
      </c>
      <c r="B100" t="inlineStr">
        <is>
          <t>C2451</t>
        </is>
      </c>
      <c r="C100" t="inlineStr">
        <is>
          <t>CORPORATE BANKING</t>
        </is>
      </c>
      <c r="D100" t="inlineStr">
        <is>
          <t>I</t>
        </is>
      </c>
      <c r="E100" t="inlineStr">
        <is>
          <t>Stage 1</t>
        </is>
      </c>
      <c r="F100" t="inlineStr">
        <is>
          <t>N/A</t>
        </is>
      </c>
      <c r="G100" s="26">
        <v>895210090</v>
      </c>
      <c r="H100" s="26">
        <v>8952101</v>
      </c>
      <c r="I100" s="26">
        <v>7003655</v>
      </c>
      <c r="J100" s="26">
        <v>120</v>
      </c>
      <c r="K100" t="inlineStr">
        <is>
          <t>Non</t>
        </is>
      </c>
      <c r="L100">
        <f>SUBTOTAL(103,A100)</f>
        <v>1</v>
      </c>
    </row>
    <row r="101">
      <c r="A101" t="inlineStr">
        <is>
          <t>SOCIETE C227</t>
        </is>
      </c>
      <c r="B101" t="inlineStr">
        <is>
          <t>C227</t>
        </is>
      </c>
      <c r="C101" t="inlineStr">
        <is>
          <t>COMMERCIAL BANKING</t>
        </is>
      </c>
      <c r="D101" t="inlineStr">
        <is>
          <t>I</t>
        </is>
      </c>
      <c r="E101" t="inlineStr">
        <is>
          <t>Stage 1</t>
        </is>
      </c>
      <c r="F101" t="inlineStr">
        <is>
          <t>N/A</t>
        </is>
      </c>
      <c r="G101" s="26">
        <v>779041904</v>
      </c>
      <c r="H101" s="26">
        <v>7790419</v>
      </c>
      <c r="I101" s="26">
        <v>87901684</v>
      </c>
      <c r="J101" s="26">
        <v>7</v>
      </c>
      <c r="K101" t="inlineStr">
        <is>
          <t>Non</t>
        </is>
      </c>
      <c r="L101">
        <f>SUBTOTAL(103,A101)</f>
        <v>1</v>
      </c>
    </row>
    <row r="102">
      <c r="A102" t="inlineStr">
        <is>
          <t>SOCIETE C1505</t>
        </is>
      </c>
      <c r="B102" t="inlineStr">
        <is>
          <t>C1505</t>
        </is>
      </c>
      <c r="C102" t="inlineStr">
        <is>
          <t>CORPORATE BANKING</t>
        </is>
      </c>
      <c r="D102" t="inlineStr">
        <is>
          <t>V</t>
        </is>
      </c>
      <c r="E102" t="inlineStr">
        <is>
          <t>Stage 3</t>
        </is>
      </c>
      <c r="F102" t="inlineStr">
        <is>
          <t>N/A</t>
        </is>
      </c>
      <c r="G102" s="26">
        <v>44730177</v>
      </c>
      <c r="H102" s="26">
        <v>24601597</v>
      </c>
      <c r="I102" s="26">
        <v>0</v>
      </c>
      <c r="J102" s="26">
        <v>62</v>
      </c>
      <c r="K102" t="inlineStr">
        <is>
          <t>Oui</t>
        </is>
      </c>
      <c r="L102">
        <f>SUBTOTAL(103,A102)</f>
        <v>1</v>
      </c>
    </row>
    <row r="103">
      <c r="A103" t="inlineStr">
        <is>
          <t>SOCIETE C1042</t>
        </is>
      </c>
      <c r="B103" t="inlineStr">
        <is>
          <t>C1042</t>
        </is>
      </c>
      <c r="C103" t="inlineStr">
        <is>
          <t>SME</t>
        </is>
      </c>
      <c r="D103" t="inlineStr">
        <is>
          <t>I</t>
        </is>
      </c>
      <c r="E103" t="inlineStr">
        <is>
          <t>Stage 1</t>
        </is>
      </c>
      <c r="F103" t="inlineStr">
        <is>
          <t>N/A</t>
        </is>
      </c>
      <c r="G103" s="26">
        <v>415450479</v>
      </c>
      <c r="H103" s="26">
        <v>4154505</v>
      </c>
      <c r="I103" s="26">
        <v>0</v>
      </c>
      <c r="J103" s="26">
        <v>17</v>
      </c>
      <c r="K103" t="inlineStr">
        <is>
          <t>Non</t>
        </is>
      </c>
      <c r="L103">
        <f>SUBTOTAL(103,A103)</f>
        <v>1</v>
      </c>
    </row>
    <row r="104">
      <c r="A104" t="inlineStr">
        <is>
          <t>SOCIETE C1346</t>
        </is>
      </c>
      <c r="B104" t="inlineStr">
        <is>
          <t>C1346</t>
        </is>
      </c>
      <c r="C104" t="inlineStr">
        <is>
          <t>CORPORATE BANKING</t>
        </is>
      </c>
      <c r="D104" t="inlineStr">
        <is>
          <t>I</t>
        </is>
      </c>
      <c r="E104" t="inlineStr">
        <is>
          <t>Stage 1</t>
        </is>
      </c>
      <c r="F104" t="inlineStr">
        <is>
          <t>N/A</t>
        </is>
      </c>
      <c r="G104" s="26">
        <v>382061839</v>
      </c>
      <c r="H104" s="26">
        <v>3820618</v>
      </c>
      <c r="I104" s="26">
        <v>30168546</v>
      </c>
      <c r="J104" s="26">
        <v>205</v>
      </c>
      <c r="K104" t="inlineStr">
        <is>
          <t>Non</t>
        </is>
      </c>
      <c r="L104">
        <f>SUBTOTAL(103,A104)</f>
        <v>1</v>
      </c>
    </row>
    <row r="105">
      <c r="A105" t="inlineStr">
        <is>
          <t>SOCIETE C428</t>
        </is>
      </c>
      <c r="B105" t="inlineStr">
        <is>
          <t>C428</t>
        </is>
      </c>
      <c r="C105" t="inlineStr">
        <is>
          <t>CORPORATE BANKING</t>
        </is>
      </c>
      <c r="D105" t="inlineStr">
        <is>
          <t>I</t>
        </is>
      </c>
      <c r="E105" t="inlineStr">
        <is>
          <t>Stage 1</t>
        </is>
      </c>
      <c r="F105" t="inlineStr">
        <is>
          <t>N/A</t>
        </is>
      </c>
      <c r="G105" s="26">
        <v>5438883</v>
      </c>
      <c r="H105" s="26">
        <v>54389</v>
      </c>
      <c r="I105" s="26">
        <v>0</v>
      </c>
      <c r="J105" s="26">
        <v>192</v>
      </c>
      <c r="K105" t="inlineStr">
        <is>
          <t>Non</t>
        </is>
      </c>
      <c r="L105">
        <f>SUBTOTAL(103,A105)</f>
        <v>1</v>
      </c>
    </row>
    <row r="106">
      <c r="A106" t="inlineStr">
        <is>
          <t>SOCIETE C1525</t>
        </is>
      </c>
      <c r="B106" t="inlineStr">
        <is>
          <t>C1525</t>
        </is>
      </c>
      <c r="C106" t="inlineStr">
        <is>
          <t>CORPORATE BANKING</t>
        </is>
      </c>
      <c r="D106" t="inlineStr">
        <is>
          <t>IV</t>
        </is>
      </c>
      <c r="E106" t="inlineStr">
        <is>
          <t>Stage 3</t>
        </is>
      </c>
      <c r="F106" t="inlineStr">
        <is>
          <t>N/A</t>
        </is>
      </c>
      <c r="G106" s="26">
        <v>1985341</v>
      </c>
      <c r="H106" s="26">
        <v>1091938</v>
      </c>
      <c r="I106" s="26">
        <v>0</v>
      </c>
      <c r="J106" s="26">
        <v>112</v>
      </c>
      <c r="K106" t="inlineStr">
        <is>
          <t>Oui</t>
        </is>
      </c>
      <c r="L106">
        <f>SUBTOTAL(103,A106)</f>
        <v>1</v>
      </c>
    </row>
    <row r="107">
      <c r="A107" t="inlineStr">
        <is>
          <t>SOCIETE C96</t>
        </is>
      </c>
      <c r="B107" t="inlineStr">
        <is>
          <t>C96</t>
        </is>
      </c>
      <c r="C107" t="inlineStr">
        <is>
          <t>CORPORATE BANKING</t>
        </is>
      </c>
      <c r="D107" t="inlineStr">
        <is>
          <t>II</t>
        </is>
      </c>
      <c r="E107" t="inlineStr">
        <is>
          <t>Stage 2</t>
        </is>
      </c>
      <c r="F107" t="inlineStr">
        <is>
          <t>N/A</t>
        </is>
      </c>
      <c r="G107" s="26">
        <v>2585899174</v>
      </c>
      <c r="H107" s="26">
        <v>155153950</v>
      </c>
      <c r="I107" s="26">
        <v>0</v>
      </c>
      <c r="J107" s="26">
        <v>28</v>
      </c>
      <c r="K107" t="inlineStr">
        <is>
          <t>Non</t>
        </is>
      </c>
      <c r="L107">
        <f>SUBTOTAL(103,A107)</f>
        <v>1</v>
      </c>
    </row>
    <row r="108">
      <c r="A108" t="inlineStr">
        <is>
          <t>SOCIETE C1860</t>
        </is>
      </c>
      <c r="B108" t="inlineStr">
        <is>
          <t>C1860</t>
        </is>
      </c>
      <c r="C108" t="inlineStr">
        <is>
          <t>COMMERCIAL BANKING</t>
        </is>
      </c>
      <c r="D108" t="inlineStr">
        <is>
          <t>IA</t>
        </is>
      </c>
      <c r="E108" t="inlineStr">
        <is>
          <t>Stage 2</t>
        </is>
      </c>
      <c r="F108" t="inlineStr">
        <is>
          <t>N/A</t>
        </is>
      </c>
      <c r="G108" s="26">
        <v>268410862</v>
      </c>
      <c r="H108" s="26">
        <v>16104652</v>
      </c>
      <c r="I108" s="26">
        <v>5185281</v>
      </c>
      <c r="J108" s="26">
        <v>159</v>
      </c>
      <c r="K108" t="inlineStr">
        <is>
          <t>Non</t>
        </is>
      </c>
      <c r="L108">
        <f>SUBTOTAL(103,A108)</f>
        <v>1</v>
      </c>
    </row>
    <row r="109">
      <c r="A109" t="inlineStr">
        <is>
          <t>SOCIETE C2280</t>
        </is>
      </c>
      <c r="B109" t="inlineStr">
        <is>
          <t>C2280</t>
        </is>
      </c>
      <c r="C109" t="inlineStr">
        <is>
          <t>PUBLIC SECTOR</t>
        </is>
      </c>
      <c r="D109" t="inlineStr">
        <is>
          <t>II</t>
        </is>
      </c>
      <c r="E109" t="inlineStr">
        <is>
          <t>Stage 2</t>
        </is>
      </c>
      <c r="F109" t="inlineStr">
        <is>
          <t>N/A</t>
        </is>
      </c>
      <c r="G109" s="26">
        <v>1659129918</v>
      </c>
      <c r="H109" s="26">
        <v>99547795</v>
      </c>
      <c r="I109" s="26">
        <v>0</v>
      </c>
      <c r="J109" s="26">
        <v>205</v>
      </c>
      <c r="K109" t="inlineStr">
        <is>
          <t>Non</t>
        </is>
      </c>
      <c r="L109">
        <f>SUBTOTAL(103,A109)</f>
        <v>1</v>
      </c>
    </row>
    <row r="110">
      <c r="A110" t="inlineStr">
        <is>
          <t>SOCIETE C2129</t>
        </is>
      </c>
      <c r="B110" t="inlineStr">
        <is>
          <t>C2129</t>
        </is>
      </c>
      <c r="C110" t="inlineStr">
        <is>
          <t>CORPORATE BANKING</t>
        </is>
      </c>
      <c r="D110" t="inlineStr">
        <is>
          <t>I</t>
        </is>
      </c>
      <c r="E110" t="inlineStr">
        <is>
          <t>Stage 1</t>
        </is>
      </c>
      <c r="F110" t="inlineStr">
        <is>
          <t>N/A</t>
        </is>
      </c>
      <c r="G110" s="26">
        <v>9357234</v>
      </c>
      <c r="H110" s="26">
        <v>93572</v>
      </c>
      <c r="I110" s="26">
        <v>0</v>
      </c>
      <c r="J110" s="26">
        <v>207</v>
      </c>
      <c r="K110" t="inlineStr">
        <is>
          <t>Non</t>
        </is>
      </c>
      <c r="L110">
        <f>SUBTOTAL(103,A110)</f>
        <v>1</v>
      </c>
    </row>
    <row r="111">
      <c r="A111" t="inlineStr">
        <is>
          <t>SOCIETE C2023</t>
        </is>
      </c>
      <c r="B111" t="inlineStr">
        <is>
          <t>C2023</t>
        </is>
      </c>
      <c r="C111" t="inlineStr">
        <is>
          <t>CORPORATE BANKING</t>
        </is>
      </c>
      <c r="D111" t="inlineStr">
        <is>
          <t>I</t>
        </is>
      </c>
      <c r="E111" t="inlineStr">
        <is>
          <t>Stage 1</t>
        </is>
      </c>
      <c r="F111" t="inlineStr">
        <is>
          <t>N/A</t>
        </is>
      </c>
      <c r="G111" s="26">
        <v>909099259</v>
      </c>
      <c r="H111" s="26">
        <v>9090993</v>
      </c>
      <c r="I111" s="26">
        <v>0</v>
      </c>
      <c r="J111" s="26">
        <v>1</v>
      </c>
      <c r="K111" t="inlineStr">
        <is>
          <t>Non</t>
        </is>
      </c>
      <c r="L111">
        <f>SUBTOTAL(103,A111)</f>
        <v>1</v>
      </c>
    </row>
    <row r="112">
      <c r="A112" t="inlineStr">
        <is>
          <t>SOCIETE C2463</t>
        </is>
      </c>
      <c r="B112" t="inlineStr">
        <is>
          <t>C2463</t>
        </is>
      </c>
      <c r="C112" t="inlineStr">
        <is>
          <t>CONSUMER BANKING</t>
        </is>
      </c>
      <c r="D112" t="inlineStr">
        <is>
          <t>I</t>
        </is>
      </c>
      <c r="E112" t="inlineStr">
        <is>
          <t>Stage 1</t>
        </is>
      </c>
      <c r="F112" t="inlineStr">
        <is>
          <t>N/A</t>
        </is>
      </c>
      <c r="G112" s="26">
        <v>292528461</v>
      </c>
      <c r="H112" s="26">
        <v>2925285</v>
      </c>
      <c r="I112" s="26">
        <v>24555930</v>
      </c>
      <c r="J112" s="26">
        <v>80</v>
      </c>
      <c r="K112" t="inlineStr">
        <is>
          <t>Non</t>
        </is>
      </c>
      <c r="L112">
        <f>SUBTOTAL(103,A112)</f>
        <v>1</v>
      </c>
    </row>
    <row r="113">
      <c r="A113" t="inlineStr">
        <is>
          <t>SOCIETE C1606</t>
        </is>
      </c>
      <c r="B113" t="inlineStr">
        <is>
          <t>C1606</t>
        </is>
      </c>
      <c r="C113" t="inlineStr">
        <is>
          <t>COMMERCIAL BANKING</t>
        </is>
      </c>
      <c r="D113" t="inlineStr">
        <is>
          <t>I</t>
        </is>
      </c>
      <c r="E113" t="inlineStr">
        <is>
          <t>Stage 1</t>
        </is>
      </c>
      <c r="F113" t="inlineStr">
        <is>
          <t>N/A</t>
        </is>
      </c>
      <c r="G113" s="26">
        <v>39903989</v>
      </c>
      <c r="H113" s="26">
        <v>399040</v>
      </c>
      <c r="I113" s="26">
        <v>1843764</v>
      </c>
      <c r="J113" s="26">
        <v>137</v>
      </c>
      <c r="K113" t="inlineStr">
        <is>
          <t>Non</t>
        </is>
      </c>
      <c r="L113">
        <f>SUBTOTAL(103,A113)</f>
        <v>1</v>
      </c>
    </row>
    <row r="114">
      <c r="A114" t="inlineStr">
        <is>
          <t>SOCIETE C103</t>
        </is>
      </c>
      <c r="B114" t="inlineStr">
        <is>
          <t>C103</t>
        </is>
      </c>
      <c r="C114" t="inlineStr">
        <is>
          <t>CONSUMER BANKING</t>
        </is>
      </c>
      <c r="D114" t="inlineStr">
        <is>
          <t>V</t>
        </is>
      </c>
      <c r="E114" t="inlineStr">
        <is>
          <t>Stage 3</t>
        </is>
      </c>
      <c r="F114" t="inlineStr">
        <is>
          <t>N/A</t>
        </is>
      </c>
      <c r="G114" s="26">
        <v>60093964</v>
      </c>
      <c r="H114" s="26">
        <v>33051680</v>
      </c>
      <c r="I114" s="26">
        <v>0</v>
      </c>
      <c r="J114" s="26">
        <v>228</v>
      </c>
      <c r="K114" t="inlineStr">
        <is>
          <t>Oui</t>
        </is>
      </c>
      <c r="L114">
        <f>SUBTOTAL(103,A114)</f>
        <v>1</v>
      </c>
    </row>
    <row r="115">
      <c r="A115" t="inlineStr">
        <is>
          <t>SOCIETE C846</t>
        </is>
      </c>
      <c r="B115" t="inlineStr">
        <is>
          <t>C846</t>
        </is>
      </c>
      <c r="C115" t="inlineStr">
        <is>
          <t>PUBLIC SECTOR</t>
        </is>
      </c>
      <c r="D115" t="inlineStr">
        <is>
          <t>III</t>
        </is>
      </c>
      <c r="E115" t="inlineStr">
        <is>
          <t>Stage 3</t>
        </is>
      </c>
      <c r="F115" t="inlineStr">
        <is>
          <t>N/A</t>
        </is>
      </c>
      <c r="G115" s="26">
        <v>914791414</v>
      </c>
      <c r="H115" s="26">
        <v>503135278</v>
      </c>
      <c r="I115" s="26">
        <v>95480221</v>
      </c>
      <c r="J115" s="26">
        <v>9</v>
      </c>
      <c r="K115" t="inlineStr">
        <is>
          <t>Oui</t>
        </is>
      </c>
      <c r="L115">
        <f>SUBTOTAL(103,A115)</f>
        <v>1</v>
      </c>
    </row>
    <row r="116">
      <c r="A116" t="inlineStr">
        <is>
          <t>SOCIETE C1224</t>
        </is>
      </c>
      <c r="B116" t="inlineStr">
        <is>
          <t>C1224</t>
        </is>
      </c>
      <c r="C116" t="inlineStr">
        <is>
          <t>CORPORATE BANKING</t>
        </is>
      </c>
      <c r="D116" t="inlineStr">
        <is>
          <t>I</t>
        </is>
      </c>
      <c r="E116" t="inlineStr">
        <is>
          <t>Stage 1</t>
        </is>
      </c>
      <c r="F116" t="inlineStr">
        <is>
          <t>N/A</t>
        </is>
      </c>
      <c r="G116" s="26">
        <v>1122535360</v>
      </c>
      <c r="H116" s="26">
        <v>11225354</v>
      </c>
      <c r="I116" s="26">
        <v>0</v>
      </c>
      <c r="J116" s="26">
        <v>158</v>
      </c>
      <c r="K116" t="inlineStr">
        <is>
          <t>Non</t>
        </is>
      </c>
      <c r="L116">
        <f>SUBTOTAL(103,A116)</f>
        <v>1</v>
      </c>
    </row>
    <row r="117">
      <c r="A117" t="inlineStr">
        <is>
          <t>SOCIETE C1712</t>
        </is>
      </c>
      <c r="B117" t="inlineStr">
        <is>
          <t>C1712</t>
        </is>
      </c>
      <c r="C117" t="inlineStr">
        <is>
          <t>COMMERCIAL BANKING</t>
        </is>
      </c>
      <c r="D117" t="inlineStr">
        <is>
          <t>IA</t>
        </is>
      </c>
      <c r="E117" t="inlineStr">
        <is>
          <t>Stage 2</t>
        </is>
      </c>
      <c r="F117" t="inlineStr">
        <is>
          <t>N/A</t>
        </is>
      </c>
      <c r="G117" s="26">
        <v>461455674</v>
      </c>
      <c r="H117" s="26">
        <v>27687340</v>
      </c>
      <c r="I117" s="26">
        <v>0</v>
      </c>
      <c r="J117" s="26">
        <v>266</v>
      </c>
      <c r="K117" t="inlineStr">
        <is>
          <t>Non</t>
        </is>
      </c>
      <c r="L117">
        <f>SUBTOTAL(103,A117)</f>
        <v>1</v>
      </c>
    </row>
    <row r="118">
      <c r="A118" t="inlineStr">
        <is>
          <t>SOCIETE C1752</t>
        </is>
      </c>
      <c r="B118" t="inlineStr">
        <is>
          <t>C1752</t>
        </is>
      </c>
      <c r="C118" t="inlineStr">
        <is>
          <t>CORPORATE BANKING</t>
        </is>
      </c>
      <c r="D118" t="inlineStr">
        <is>
          <t>III</t>
        </is>
      </c>
      <c r="E118" t="inlineStr">
        <is>
          <t>Stage 3</t>
        </is>
      </c>
      <c r="F118" t="inlineStr">
        <is>
          <t>N/A</t>
        </is>
      </c>
      <c r="G118" s="26">
        <v>1641087235</v>
      </c>
      <c r="H118" s="26">
        <v>902597979</v>
      </c>
      <c r="I118" s="26">
        <v>0</v>
      </c>
      <c r="J118" s="26">
        <v>153</v>
      </c>
      <c r="K118" t="inlineStr">
        <is>
          <t>Oui</t>
        </is>
      </c>
      <c r="L118">
        <f>SUBTOTAL(103,A118)</f>
        <v>1</v>
      </c>
    </row>
    <row r="119">
      <c r="A119" t="inlineStr">
        <is>
          <t>SOCIETE C459</t>
        </is>
      </c>
      <c r="B119" t="inlineStr">
        <is>
          <t>C459</t>
        </is>
      </c>
      <c r="C119" t="inlineStr">
        <is>
          <t>CONSUMER BANKING</t>
        </is>
      </c>
      <c r="D119" t="inlineStr">
        <is>
          <t>I</t>
        </is>
      </c>
      <c r="E119" t="inlineStr">
        <is>
          <t>Stage 1</t>
        </is>
      </c>
      <c r="F119" t="inlineStr">
        <is>
          <t>N/A</t>
        </is>
      </c>
      <c r="G119" s="26">
        <v>1266780</v>
      </c>
      <c r="H119" s="26">
        <v>12668</v>
      </c>
      <c r="I119" s="26">
        <v>0</v>
      </c>
      <c r="J119" s="26">
        <v>4</v>
      </c>
      <c r="K119" t="inlineStr">
        <is>
          <t>Non</t>
        </is>
      </c>
      <c r="L119">
        <f>SUBTOTAL(103,A119)</f>
        <v>1</v>
      </c>
    </row>
    <row r="120">
      <c r="A120" t="inlineStr">
        <is>
          <t>SOCIETE C2243</t>
        </is>
      </c>
      <c r="B120" t="inlineStr">
        <is>
          <t>C2243</t>
        </is>
      </c>
      <c r="C120" t="inlineStr">
        <is>
          <t>CONSUMER BANKING</t>
        </is>
      </c>
      <c r="D120" t="inlineStr">
        <is>
          <t>I</t>
        </is>
      </c>
      <c r="E120" t="inlineStr">
        <is>
          <t>Stage 1</t>
        </is>
      </c>
      <c r="F120" t="inlineStr">
        <is>
          <t>N/A</t>
        </is>
      </c>
      <c r="G120" s="26">
        <v>1670379</v>
      </c>
      <c r="H120" s="26">
        <v>16704</v>
      </c>
      <c r="I120" s="26">
        <v>0</v>
      </c>
      <c r="J120" s="26">
        <v>332</v>
      </c>
      <c r="K120" t="inlineStr">
        <is>
          <t>Non</t>
        </is>
      </c>
      <c r="L120">
        <f>SUBTOTAL(103,A120)</f>
        <v>1</v>
      </c>
    </row>
    <row r="121">
      <c r="A121" t="inlineStr">
        <is>
          <t>SOCIETE C1280</t>
        </is>
      </c>
      <c r="B121" t="inlineStr">
        <is>
          <t>C1280</t>
        </is>
      </c>
      <c r="C121" t="inlineStr">
        <is>
          <t>COMMERCIAL BANKING</t>
        </is>
      </c>
      <c r="D121" t="inlineStr">
        <is>
          <t>I</t>
        </is>
      </c>
      <c r="E121" t="inlineStr">
        <is>
          <t>Stage 1</t>
        </is>
      </c>
      <c r="F121" t="inlineStr">
        <is>
          <t>N/A</t>
        </is>
      </c>
      <c r="G121" s="26">
        <v>1190856450</v>
      </c>
      <c r="H121" s="26">
        <v>11908564</v>
      </c>
      <c r="I121" s="26">
        <v>0</v>
      </c>
      <c r="J121" s="26">
        <v>59</v>
      </c>
      <c r="K121" t="inlineStr">
        <is>
          <t>Non</t>
        </is>
      </c>
      <c r="L121">
        <f>SUBTOTAL(103,A121)</f>
        <v>1</v>
      </c>
    </row>
    <row r="122">
      <c r="A122" t="inlineStr">
        <is>
          <t>SOCIETE C93</t>
        </is>
      </c>
      <c r="B122" t="inlineStr">
        <is>
          <t>C93</t>
        </is>
      </c>
      <c r="C122" t="inlineStr">
        <is>
          <t>CORPORATE BANKING</t>
        </is>
      </c>
      <c r="D122" t="inlineStr">
        <is>
          <t>IA</t>
        </is>
      </c>
      <c r="E122" t="inlineStr">
        <is>
          <t>Stage 2</t>
        </is>
      </c>
      <c r="F122" t="inlineStr">
        <is>
          <t>N/A</t>
        </is>
      </c>
      <c r="G122" s="26">
        <v>364806036</v>
      </c>
      <c r="H122" s="26">
        <v>21888362</v>
      </c>
      <c r="I122" s="26">
        <v>0</v>
      </c>
      <c r="J122" s="26">
        <v>129</v>
      </c>
      <c r="K122" t="inlineStr">
        <is>
          <t>Non</t>
        </is>
      </c>
      <c r="L122">
        <f>SUBTOTAL(103,A122)</f>
        <v>1</v>
      </c>
    </row>
    <row r="123">
      <c r="A123" t="inlineStr">
        <is>
          <t>SOCIETE C1243</t>
        </is>
      </c>
      <c r="B123" t="inlineStr">
        <is>
          <t>C1243</t>
        </is>
      </c>
      <c r="C123" t="inlineStr">
        <is>
          <t>PUBLIC SECTOR</t>
        </is>
      </c>
      <c r="D123" t="inlineStr">
        <is>
          <t>IA</t>
        </is>
      </c>
      <c r="E123" t="inlineStr">
        <is>
          <t>Stage 2</t>
        </is>
      </c>
      <c r="F123" t="inlineStr">
        <is>
          <t>N/A</t>
        </is>
      </c>
      <c r="G123" s="26">
        <v>1552438424</v>
      </c>
      <c r="H123" s="26">
        <v>93146305</v>
      </c>
      <c r="I123" s="26">
        <v>0</v>
      </c>
      <c r="J123" s="26">
        <v>69</v>
      </c>
      <c r="K123" t="inlineStr">
        <is>
          <t>Non</t>
        </is>
      </c>
      <c r="L123">
        <f>SUBTOTAL(103,A123)</f>
        <v>1</v>
      </c>
    </row>
    <row r="124">
      <c r="A124" t="inlineStr">
        <is>
          <t>SOCIETE C1235</t>
        </is>
      </c>
      <c r="B124" t="inlineStr">
        <is>
          <t>C1235</t>
        </is>
      </c>
      <c r="C124" t="inlineStr">
        <is>
          <t>CORPORATE BANKING</t>
        </is>
      </c>
      <c r="D124" t="inlineStr">
        <is>
          <t>I</t>
        </is>
      </c>
      <c r="E124" t="inlineStr">
        <is>
          <t>Stage 1</t>
        </is>
      </c>
      <c r="F124" t="inlineStr">
        <is>
          <t>N/A</t>
        </is>
      </c>
      <c r="G124" s="26">
        <v>1089104</v>
      </c>
      <c r="H124" s="26">
        <v>10891</v>
      </c>
      <c r="I124" s="26">
        <v>0</v>
      </c>
      <c r="J124" s="26">
        <v>190</v>
      </c>
      <c r="K124" t="inlineStr">
        <is>
          <t>Non</t>
        </is>
      </c>
      <c r="L124">
        <f>SUBTOTAL(103,A124)</f>
        <v>1</v>
      </c>
    </row>
    <row r="125">
      <c r="A125" t="inlineStr">
        <is>
          <t>SOCIETE C2004</t>
        </is>
      </c>
      <c r="B125" t="inlineStr">
        <is>
          <t>C2004</t>
        </is>
      </c>
      <c r="C125" t="inlineStr">
        <is>
          <t>CORPORATE BANKING</t>
        </is>
      </c>
      <c r="D125" t="inlineStr">
        <is>
          <t>I</t>
        </is>
      </c>
      <c r="E125" t="inlineStr">
        <is>
          <t>Stage 1</t>
        </is>
      </c>
      <c r="F125" t="inlineStr">
        <is>
          <t>N/A</t>
        </is>
      </c>
      <c r="G125" s="26">
        <v>40323999</v>
      </c>
      <c r="H125" s="26">
        <v>403240</v>
      </c>
      <c r="I125" s="26">
        <v>0</v>
      </c>
      <c r="J125" s="26">
        <v>136</v>
      </c>
      <c r="K125" t="inlineStr">
        <is>
          <t>Non</t>
        </is>
      </c>
      <c r="L125">
        <f>SUBTOTAL(103,A125)</f>
        <v>1</v>
      </c>
    </row>
    <row r="126">
      <c r="A126" t="inlineStr">
        <is>
          <t>SOCIETE C1001</t>
        </is>
      </c>
      <c r="B126" t="inlineStr">
        <is>
          <t>C1001</t>
        </is>
      </c>
      <c r="C126" t="inlineStr">
        <is>
          <t>CONSUMER BANKING</t>
        </is>
      </c>
      <c r="D126" t="inlineStr">
        <is>
          <t>I</t>
        </is>
      </c>
      <c r="E126" t="inlineStr">
        <is>
          <t>Stage 1</t>
        </is>
      </c>
      <c r="F126" t="inlineStr">
        <is>
          <t>N/A</t>
        </is>
      </c>
      <c r="G126" s="26">
        <v>6788755</v>
      </c>
      <c r="H126" s="26">
        <v>67888</v>
      </c>
      <c r="I126" s="26">
        <v>1114519</v>
      </c>
      <c r="J126" s="26">
        <v>52</v>
      </c>
      <c r="K126" t="inlineStr">
        <is>
          <t>Non</t>
        </is>
      </c>
      <c r="L126">
        <f>SUBTOTAL(103,A126)</f>
        <v>1</v>
      </c>
    </row>
    <row r="127">
      <c r="A127" t="inlineStr">
        <is>
          <t>SOCIETE C1338</t>
        </is>
      </c>
      <c r="B127" t="inlineStr">
        <is>
          <t>C1338</t>
        </is>
      </c>
      <c r="C127" t="inlineStr">
        <is>
          <t>COMMERCIAL BANKING</t>
        </is>
      </c>
      <c r="D127" t="inlineStr">
        <is>
          <t>IA</t>
        </is>
      </c>
      <c r="E127" t="inlineStr">
        <is>
          <t>Stage 2</t>
        </is>
      </c>
      <c r="F127" t="inlineStr">
        <is>
          <t>N/A</t>
        </is>
      </c>
      <c r="G127" s="26">
        <v>631300049</v>
      </c>
      <c r="H127" s="26">
        <v>37878003</v>
      </c>
      <c r="I127" s="26">
        <v>54892036</v>
      </c>
      <c r="J127" s="26">
        <v>164</v>
      </c>
      <c r="K127" t="inlineStr">
        <is>
          <t>Non</t>
        </is>
      </c>
      <c r="L127">
        <f>SUBTOTAL(103,A127)</f>
        <v>1</v>
      </c>
    </row>
    <row r="128">
      <c r="A128" t="inlineStr">
        <is>
          <t>SOCIETE C1087</t>
        </is>
      </c>
      <c r="B128" t="inlineStr">
        <is>
          <t>C1087</t>
        </is>
      </c>
      <c r="C128" t="inlineStr">
        <is>
          <t>COMMERCIAL BANKING</t>
        </is>
      </c>
      <c r="D128" t="inlineStr">
        <is>
          <t>I</t>
        </is>
      </c>
      <c r="E128" t="inlineStr">
        <is>
          <t>Stage 1</t>
        </is>
      </c>
      <c r="F128" t="inlineStr">
        <is>
          <t>N/A</t>
        </is>
      </c>
      <c r="G128" s="26">
        <v>4257285</v>
      </c>
      <c r="H128" s="26">
        <v>42573</v>
      </c>
      <c r="I128" s="26">
        <v>0</v>
      </c>
      <c r="J128" s="26">
        <v>20</v>
      </c>
      <c r="K128" t="inlineStr">
        <is>
          <t>Non</t>
        </is>
      </c>
      <c r="L128">
        <f>SUBTOTAL(103,A128)</f>
        <v>1</v>
      </c>
    </row>
    <row r="129">
      <c r="A129" t="inlineStr">
        <is>
          <t>SOCIETE C2332</t>
        </is>
      </c>
      <c r="B129" t="inlineStr">
        <is>
          <t>C2332</t>
        </is>
      </c>
      <c r="C129" t="inlineStr">
        <is>
          <t>SME</t>
        </is>
      </c>
      <c r="D129" t="inlineStr">
        <is>
          <t>IV</t>
        </is>
      </c>
      <c r="E129" t="inlineStr">
        <is>
          <t>Stage 3</t>
        </is>
      </c>
      <c r="F129" t="inlineStr">
        <is>
          <t>N/A</t>
        </is>
      </c>
      <c r="G129" s="26">
        <v>700979904</v>
      </c>
      <c r="H129" s="26">
        <v>385538947</v>
      </c>
      <c r="I129" s="26">
        <v>0</v>
      </c>
      <c r="J129" s="26">
        <v>50</v>
      </c>
      <c r="K129" t="inlineStr">
        <is>
          <t>Oui</t>
        </is>
      </c>
      <c r="L129">
        <f>SUBTOTAL(103,A129)</f>
        <v>1</v>
      </c>
    </row>
    <row r="130">
      <c r="A130" t="inlineStr">
        <is>
          <t>SOCIETE C1606</t>
        </is>
      </c>
      <c r="B130" t="inlineStr">
        <is>
          <t>C1606</t>
        </is>
      </c>
      <c r="C130" t="inlineStr">
        <is>
          <t>COMMERCIAL BANKING</t>
        </is>
      </c>
      <c r="D130" t="inlineStr">
        <is>
          <t>I</t>
        </is>
      </c>
      <c r="E130" t="inlineStr">
        <is>
          <t>Stage 1</t>
        </is>
      </c>
      <c r="F130" t="inlineStr">
        <is>
          <t>N/A</t>
        </is>
      </c>
      <c r="G130" s="26">
        <v>1230052053</v>
      </c>
      <c r="H130" s="26">
        <v>12300521</v>
      </c>
      <c r="I130" s="26">
        <v>0</v>
      </c>
      <c r="J130" s="26">
        <v>26</v>
      </c>
      <c r="K130" t="inlineStr">
        <is>
          <t>Non</t>
        </is>
      </c>
      <c r="L130">
        <f>SUBTOTAL(103,A130)</f>
        <v>1</v>
      </c>
    </row>
    <row r="131">
      <c r="A131" t="inlineStr">
        <is>
          <t>SOCIETE C1523</t>
        </is>
      </c>
      <c r="B131" t="inlineStr">
        <is>
          <t>C1523</t>
        </is>
      </c>
      <c r="C131" t="inlineStr">
        <is>
          <t>CORPORATE BANKING</t>
        </is>
      </c>
      <c r="D131" t="inlineStr">
        <is>
          <t>IV</t>
        </is>
      </c>
      <c r="E131" t="inlineStr">
        <is>
          <t>Stage 3</t>
        </is>
      </c>
      <c r="F131" t="inlineStr">
        <is>
          <t>N/A</t>
        </is>
      </c>
      <c r="G131" s="26">
        <v>878736402</v>
      </c>
      <c r="H131" s="26">
        <v>483305021</v>
      </c>
      <c r="I131" s="26">
        <v>0</v>
      </c>
      <c r="J131" s="26">
        <v>240</v>
      </c>
      <c r="K131" t="inlineStr">
        <is>
          <t>Oui</t>
        </is>
      </c>
      <c r="L131">
        <f>SUBTOTAL(103,A131)</f>
        <v>1</v>
      </c>
    </row>
    <row r="132">
      <c r="A132" t="inlineStr">
        <is>
          <t>SOCIETE C485</t>
        </is>
      </c>
      <c r="B132" t="inlineStr">
        <is>
          <t>C485</t>
        </is>
      </c>
      <c r="C132" t="inlineStr">
        <is>
          <t>COMMERCIAL BANKING</t>
        </is>
      </c>
      <c r="D132" t="inlineStr">
        <is>
          <t>IA</t>
        </is>
      </c>
      <c r="E132" t="inlineStr">
        <is>
          <t>Stage 2</t>
        </is>
      </c>
      <c r="F132" t="inlineStr">
        <is>
          <t>N/A</t>
        </is>
      </c>
      <c r="G132" s="26">
        <v>1505548408</v>
      </c>
      <c r="H132" s="26">
        <v>90332904</v>
      </c>
      <c r="I132" s="26">
        <v>0</v>
      </c>
      <c r="J132" s="26">
        <v>245</v>
      </c>
      <c r="K132" t="inlineStr">
        <is>
          <t>Non</t>
        </is>
      </c>
      <c r="L132">
        <f>SUBTOTAL(103,A132)</f>
        <v>1</v>
      </c>
    </row>
    <row r="133">
      <c r="A133" t="inlineStr">
        <is>
          <t>SOCIETE C2053</t>
        </is>
      </c>
      <c r="B133" t="inlineStr">
        <is>
          <t>C2053</t>
        </is>
      </c>
      <c r="C133" t="inlineStr">
        <is>
          <t>CORPORATE BANKING</t>
        </is>
      </c>
      <c r="D133" t="inlineStr">
        <is>
          <t>I</t>
        </is>
      </c>
      <c r="E133" t="inlineStr">
        <is>
          <t>Stage 1</t>
        </is>
      </c>
      <c r="F133" t="inlineStr">
        <is>
          <t>N/A</t>
        </is>
      </c>
      <c r="G133" s="26">
        <v>1298997896</v>
      </c>
      <c r="H133" s="26">
        <v>12989979</v>
      </c>
      <c r="I133" s="26">
        <v>0</v>
      </c>
      <c r="J133" s="26">
        <v>4</v>
      </c>
      <c r="K133" t="inlineStr">
        <is>
          <t>Non</t>
        </is>
      </c>
      <c r="L133">
        <f>SUBTOTAL(103,A133)</f>
        <v>1</v>
      </c>
    </row>
    <row r="134">
      <c r="A134" t="inlineStr">
        <is>
          <t>SOCIETE C1485</t>
        </is>
      </c>
      <c r="B134" t="inlineStr">
        <is>
          <t>C1485</t>
        </is>
      </c>
      <c r="C134" t="inlineStr">
        <is>
          <t>CORPORATE BANKING</t>
        </is>
      </c>
      <c r="D134" t="inlineStr">
        <is>
          <t>I</t>
        </is>
      </c>
      <c r="E134" t="inlineStr">
        <is>
          <t>Stage 1</t>
        </is>
      </c>
      <c r="F134" t="inlineStr">
        <is>
          <t>N/A</t>
        </is>
      </c>
      <c r="G134" s="26">
        <v>521604725</v>
      </c>
      <c r="H134" s="26">
        <v>5216047</v>
      </c>
      <c r="I134" s="26">
        <v>0</v>
      </c>
      <c r="J134" s="26">
        <v>33</v>
      </c>
      <c r="K134" t="inlineStr">
        <is>
          <t>Non</t>
        </is>
      </c>
      <c r="L134">
        <f>SUBTOTAL(103,A134)</f>
        <v>1</v>
      </c>
    </row>
    <row r="135">
      <c r="A135" t="inlineStr">
        <is>
          <t>SOCIETE C41</t>
        </is>
      </c>
      <c r="B135" t="inlineStr">
        <is>
          <t>C41</t>
        </is>
      </c>
      <c r="C135" t="inlineStr">
        <is>
          <t>CORPORATE BANKING</t>
        </is>
      </c>
      <c r="D135" t="inlineStr">
        <is>
          <t>IA</t>
        </is>
      </c>
      <c r="E135" t="inlineStr">
        <is>
          <t>Stage 2</t>
        </is>
      </c>
      <c r="F135" t="inlineStr">
        <is>
          <t>N/A</t>
        </is>
      </c>
      <c r="G135" s="26">
        <v>770995915</v>
      </c>
      <c r="H135" s="26">
        <v>46259755</v>
      </c>
      <c r="I135" s="26">
        <v>0</v>
      </c>
      <c r="J135" s="26">
        <v>84</v>
      </c>
      <c r="K135" t="inlineStr">
        <is>
          <t>Non</t>
        </is>
      </c>
      <c r="L135">
        <f>SUBTOTAL(103,A135)</f>
        <v>1</v>
      </c>
    </row>
    <row r="136">
      <c r="A136" t="inlineStr">
        <is>
          <t>SOCIETE C455</t>
        </is>
      </c>
      <c r="B136" t="inlineStr">
        <is>
          <t>C455</t>
        </is>
      </c>
      <c r="C136" t="inlineStr">
        <is>
          <t>CONSUMER BANKING</t>
        </is>
      </c>
      <c r="D136" t="inlineStr">
        <is>
          <t>IA</t>
        </is>
      </c>
      <c r="E136" t="inlineStr">
        <is>
          <t>Stage 2</t>
        </is>
      </c>
      <c r="F136" t="inlineStr">
        <is>
          <t>N/A</t>
        </is>
      </c>
      <c r="G136" s="26">
        <v>1618095948</v>
      </c>
      <c r="H136" s="26">
        <v>97085757</v>
      </c>
      <c r="I136" s="26">
        <v>0</v>
      </c>
      <c r="J136" s="26">
        <v>235</v>
      </c>
      <c r="K136" t="inlineStr">
        <is>
          <t>Non</t>
        </is>
      </c>
      <c r="L136">
        <f>SUBTOTAL(103,A136)</f>
        <v>1</v>
      </c>
    </row>
    <row r="137">
      <c r="A137" t="inlineStr">
        <is>
          <t>SOCIETE C236</t>
        </is>
      </c>
      <c r="B137" t="inlineStr">
        <is>
          <t>C236</t>
        </is>
      </c>
      <c r="C137" t="inlineStr">
        <is>
          <t>CONSUMER BANKING</t>
        </is>
      </c>
      <c r="D137" t="inlineStr">
        <is>
          <t>IA</t>
        </is>
      </c>
      <c r="E137" t="inlineStr">
        <is>
          <t>Stage 2</t>
        </is>
      </c>
      <c r="F137" t="inlineStr">
        <is>
          <t>N/A</t>
        </is>
      </c>
      <c r="G137" s="26">
        <v>1055180796</v>
      </c>
      <c r="H137" s="26">
        <v>63310848</v>
      </c>
      <c r="I137" s="26">
        <v>0</v>
      </c>
      <c r="J137" s="26">
        <v>219</v>
      </c>
      <c r="K137" t="inlineStr">
        <is>
          <t>Non</t>
        </is>
      </c>
      <c r="L137">
        <f>SUBTOTAL(103,A137)</f>
        <v>1</v>
      </c>
    </row>
    <row r="138">
      <c r="A138" t="inlineStr">
        <is>
          <t>SOCIETE C352</t>
        </is>
      </c>
      <c r="B138" t="inlineStr">
        <is>
          <t>C352</t>
        </is>
      </c>
      <c r="C138" t="inlineStr">
        <is>
          <t>CONSUMER BANKING</t>
        </is>
      </c>
      <c r="D138" t="inlineStr">
        <is>
          <t>IA</t>
        </is>
      </c>
      <c r="E138" t="inlineStr">
        <is>
          <t>Stage 2</t>
        </is>
      </c>
      <c r="F138" t="inlineStr">
        <is>
          <t>N/A</t>
        </is>
      </c>
      <c r="G138" s="26">
        <v>2035471880</v>
      </c>
      <c r="H138" s="26">
        <v>122128313</v>
      </c>
      <c r="I138" s="26">
        <v>0</v>
      </c>
      <c r="J138" s="26">
        <v>39</v>
      </c>
      <c r="K138" t="inlineStr">
        <is>
          <t>Non</t>
        </is>
      </c>
      <c r="L138">
        <f>SUBTOTAL(103,A138)</f>
        <v>1</v>
      </c>
    </row>
    <row r="139">
      <c r="A139" t="inlineStr">
        <is>
          <t>SOCIETE C676</t>
        </is>
      </c>
      <c r="B139" t="inlineStr">
        <is>
          <t>C676</t>
        </is>
      </c>
      <c r="C139" t="inlineStr">
        <is>
          <t>CONSUMER BANKING</t>
        </is>
      </c>
      <c r="D139" t="inlineStr">
        <is>
          <t>IV</t>
        </is>
      </c>
      <c r="E139" t="inlineStr">
        <is>
          <t>Stage 3</t>
        </is>
      </c>
      <c r="F139" t="inlineStr">
        <is>
          <t>N/A</t>
        </is>
      </c>
      <c r="G139" s="26">
        <v>409731815</v>
      </c>
      <c r="H139" s="26">
        <v>225352498</v>
      </c>
      <c r="I139" s="26">
        <v>0</v>
      </c>
      <c r="J139" s="26">
        <v>106</v>
      </c>
      <c r="K139" t="inlineStr">
        <is>
          <t>Oui</t>
        </is>
      </c>
      <c r="L139">
        <f>SUBTOTAL(103,A139)</f>
        <v>1</v>
      </c>
    </row>
    <row r="140">
      <c r="A140" t="inlineStr">
        <is>
          <t>SOCIETE C2059</t>
        </is>
      </c>
      <c r="B140" t="inlineStr">
        <is>
          <t>C2059</t>
        </is>
      </c>
      <c r="C140" t="inlineStr">
        <is>
          <t>SME</t>
        </is>
      </c>
      <c r="D140" t="inlineStr">
        <is>
          <t>V</t>
        </is>
      </c>
      <c r="E140" t="inlineStr">
        <is>
          <t>Stage 3</t>
        </is>
      </c>
      <c r="F140" t="inlineStr">
        <is>
          <t>N/A</t>
        </is>
      </c>
      <c r="G140" s="26">
        <v>28532349</v>
      </c>
      <c r="H140" s="26">
        <v>15692792</v>
      </c>
      <c r="I140" s="26">
        <v>1248493</v>
      </c>
      <c r="J140" s="26">
        <v>17</v>
      </c>
      <c r="K140" t="inlineStr">
        <is>
          <t>Oui</t>
        </is>
      </c>
      <c r="L140">
        <f>SUBTOTAL(103,A140)</f>
        <v>1</v>
      </c>
    </row>
    <row r="141">
      <c r="A141" t="inlineStr">
        <is>
          <t>SOCIETE C60</t>
        </is>
      </c>
      <c r="B141" t="inlineStr">
        <is>
          <t>C60</t>
        </is>
      </c>
      <c r="C141" t="inlineStr">
        <is>
          <t>CONSUMER BANKING</t>
        </is>
      </c>
      <c r="D141" t="inlineStr">
        <is>
          <t>II</t>
        </is>
      </c>
      <c r="E141" t="inlineStr">
        <is>
          <t>Stage 2</t>
        </is>
      </c>
      <c r="F141" t="inlineStr">
        <is>
          <t>N/A</t>
        </is>
      </c>
      <c r="G141" s="26">
        <v>2368287225</v>
      </c>
      <c r="H141" s="26">
        <v>142097233</v>
      </c>
      <c r="I141" s="26">
        <v>18668720</v>
      </c>
      <c r="J141" s="26">
        <v>101</v>
      </c>
      <c r="K141" t="inlineStr">
        <is>
          <t>Non</t>
        </is>
      </c>
      <c r="L141">
        <f>SUBTOTAL(103,A141)</f>
        <v>1</v>
      </c>
    </row>
    <row r="142">
      <c r="A142" t="inlineStr">
        <is>
          <t>SOCIETE C1062</t>
        </is>
      </c>
      <c r="B142" t="inlineStr">
        <is>
          <t>C1062</t>
        </is>
      </c>
      <c r="C142" t="inlineStr">
        <is>
          <t>CORPORATE BANKING</t>
        </is>
      </c>
      <c r="D142" t="inlineStr">
        <is>
          <t>I</t>
        </is>
      </c>
      <c r="E142" t="inlineStr">
        <is>
          <t>Stage 1</t>
        </is>
      </c>
      <c r="F142" t="inlineStr">
        <is>
          <t>N/A</t>
        </is>
      </c>
      <c r="G142" s="26">
        <v>185277047</v>
      </c>
      <c r="H142" s="26">
        <v>1852770</v>
      </c>
      <c r="I142" s="26">
        <v>0</v>
      </c>
      <c r="J142" s="26">
        <v>0</v>
      </c>
      <c r="K142" t="inlineStr">
        <is>
          <t>Non</t>
        </is>
      </c>
      <c r="L142">
        <f>SUBTOTAL(103,A142)</f>
        <v>1</v>
      </c>
    </row>
    <row r="143">
      <c r="A143" t="inlineStr">
        <is>
          <t>SOCIETE C1770</t>
        </is>
      </c>
      <c r="B143" t="inlineStr">
        <is>
          <t>C1770</t>
        </is>
      </c>
      <c r="C143" t="inlineStr">
        <is>
          <t>CONSUMER BANKING</t>
        </is>
      </c>
      <c r="D143" t="inlineStr">
        <is>
          <t>V</t>
        </is>
      </c>
      <c r="E143" t="inlineStr">
        <is>
          <t>Stage 3</t>
        </is>
      </c>
      <c r="F143" t="inlineStr">
        <is>
          <t>N/A</t>
        </is>
      </c>
      <c r="G143" s="26">
        <v>1502681804</v>
      </c>
      <c r="H143" s="26">
        <v>826474992</v>
      </c>
      <c r="I143" s="26">
        <v>107809126</v>
      </c>
      <c r="J143" s="26">
        <v>13</v>
      </c>
      <c r="K143" t="inlineStr">
        <is>
          <t>Oui</t>
        </is>
      </c>
      <c r="L143">
        <f>SUBTOTAL(103,A143)</f>
        <v>1</v>
      </c>
    </row>
    <row r="144">
      <c r="A144" t="inlineStr">
        <is>
          <t>SOCIETE C478</t>
        </is>
      </c>
      <c r="B144" t="inlineStr">
        <is>
          <t>C478</t>
        </is>
      </c>
      <c r="C144" t="inlineStr">
        <is>
          <t>COMMERCIAL BANKING</t>
        </is>
      </c>
      <c r="D144" t="inlineStr">
        <is>
          <t>V</t>
        </is>
      </c>
      <c r="E144" t="inlineStr">
        <is>
          <t>Stage 3</t>
        </is>
      </c>
      <c r="F144" t="inlineStr">
        <is>
          <t>N/A</t>
        </is>
      </c>
      <c r="G144" s="26">
        <v>2944167599</v>
      </c>
      <c r="H144" s="26">
        <v>1619292179</v>
      </c>
      <c r="I144" s="26">
        <v>0</v>
      </c>
      <c r="J144" s="26">
        <v>65</v>
      </c>
      <c r="K144" t="inlineStr">
        <is>
          <t>Oui</t>
        </is>
      </c>
      <c r="L144">
        <f>SUBTOTAL(103,A144)</f>
        <v>1</v>
      </c>
    </row>
    <row r="145">
      <c r="A145" t="inlineStr">
        <is>
          <t>SOCIETE C73</t>
        </is>
      </c>
      <c r="B145" t="inlineStr">
        <is>
          <t>C73</t>
        </is>
      </c>
      <c r="C145" t="inlineStr">
        <is>
          <t>CORPORATE BANKING</t>
        </is>
      </c>
      <c r="D145" t="inlineStr">
        <is>
          <t>III</t>
        </is>
      </c>
      <c r="E145" t="inlineStr">
        <is>
          <t>Stage 3</t>
        </is>
      </c>
      <c r="F145" t="inlineStr">
        <is>
          <t>N/A</t>
        </is>
      </c>
      <c r="G145" s="26">
        <v>209764120</v>
      </c>
      <c r="H145" s="26">
        <v>115370266</v>
      </c>
      <c r="I145" s="26">
        <v>38908989</v>
      </c>
      <c r="J145" s="26">
        <v>208</v>
      </c>
      <c r="K145" t="inlineStr">
        <is>
          <t>Oui</t>
        </is>
      </c>
      <c r="L145">
        <f>SUBTOTAL(103,A145)</f>
        <v>1</v>
      </c>
    </row>
    <row r="146">
      <c r="A146" t="inlineStr">
        <is>
          <t>SOCIETE C811</t>
        </is>
      </c>
      <c r="B146" t="inlineStr">
        <is>
          <t>C811</t>
        </is>
      </c>
      <c r="C146" t="inlineStr">
        <is>
          <t>CORPORATE BANKING</t>
        </is>
      </c>
      <c r="D146" t="inlineStr">
        <is>
          <t>V</t>
        </is>
      </c>
      <c r="E146" t="inlineStr">
        <is>
          <t>Stage 3</t>
        </is>
      </c>
      <c r="F146" t="inlineStr">
        <is>
          <t>N/A</t>
        </is>
      </c>
      <c r="G146" s="26">
        <v>8191293</v>
      </c>
      <c r="H146" s="26">
        <v>4505211</v>
      </c>
      <c r="I146" s="26">
        <v>0</v>
      </c>
      <c r="J146" s="26">
        <v>31</v>
      </c>
      <c r="K146" t="inlineStr">
        <is>
          <t>Oui</t>
        </is>
      </c>
      <c r="L146">
        <f>SUBTOTAL(103,A146)</f>
        <v>1</v>
      </c>
    </row>
    <row r="147">
      <c r="A147" t="inlineStr">
        <is>
          <t>SOCIETE C753</t>
        </is>
      </c>
      <c r="B147" t="inlineStr">
        <is>
          <t>C753</t>
        </is>
      </c>
      <c r="C147" t="inlineStr">
        <is>
          <t>CORPORATE BANKING</t>
        </is>
      </c>
      <c r="D147" t="inlineStr">
        <is>
          <t>IV</t>
        </is>
      </c>
      <c r="E147" t="inlineStr">
        <is>
          <t>Stage 3</t>
        </is>
      </c>
      <c r="F147" t="inlineStr">
        <is>
          <t>N/A</t>
        </is>
      </c>
      <c r="G147" s="26">
        <v>290756847</v>
      </c>
      <c r="H147" s="26">
        <v>159916266</v>
      </c>
      <c r="I147" s="26">
        <v>0</v>
      </c>
      <c r="J147" s="26">
        <v>38</v>
      </c>
      <c r="K147" t="inlineStr">
        <is>
          <t>Oui</t>
        </is>
      </c>
      <c r="L147">
        <f>SUBTOTAL(103,A147)</f>
        <v>1</v>
      </c>
    </row>
    <row r="148">
      <c r="A148" t="inlineStr">
        <is>
          <t>SOCIETE C499</t>
        </is>
      </c>
      <c r="B148" t="inlineStr">
        <is>
          <t>C499</t>
        </is>
      </c>
      <c r="C148" t="inlineStr">
        <is>
          <t>COMMERCIAL BANKING</t>
        </is>
      </c>
      <c r="D148" t="inlineStr">
        <is>
          <t>IA</t>
        </is>
      </c>
      <c r="E148" t="inlineStr">
        <is>
          <t>Stage 2</t>
        </is>
      </c>
      <c r="F148" t="inlineStr">
        <is>
          <t>N/A</t>
        </is>
      </c>
      <c r="G148" s="26">
        <v>15523550</v>
      </c>
      <c r="H148" s="26">
        <v>931413</v>
      </c>
      <c r="I148" s="26">
        <v>0</v>
      </c>
      <c r="J148" s="26">
        <v>27</v>
      </c>
      <c r="K148" t="inlineStr">
        <is>
          <t>Non</t>
        </is>
      </c>
      <c r="L148">
        <f>SUBTOTAL(103,A148)</f>
        <v>1</v>
      </c>
    </row>
    <row r="149">
      <c r="A149" t="inlineStr">
        <is>
          <t>SOCIETE C1515</t>
        </is>
      </c>
      <c r="B149" t="inlineStr">
        <is>
          <t>C1515</t>
        </is>
      </c>
      <c r="C149" t="inlineStr">
        <is>
          <t>CORPORATE BANKING</t>
        </is>
      </c>
      <c r="D149" t="inlineStr">
        <is>
          <t>IA</t>
        </is>
      </c>
      <c r="E149" t="inlineStr">
        <is>
          <t>Stage 2</t>
        </is>
      </c>
      <c r="F149" t="inlineStr">
        <is>
          <t>N/A</t>
        </is>
      </c>
      <c r="G149" s="26">
        <v>765298254</v>
      </c>
      <c r="H149" s="26">
        <v>45917895</v>
      </c>
      <c r="I149" s="26">
        <v>0</v>
      </c>
      <c r="J149" s="26">
        <v>88</v>
      </c>
      <c r="K149" t="inlineStr">
        <is>
          <t>Non</t>
        </is>
      </c>
      <c r="L149">
        <f>SUBTOTAL(103,A149)</f>
        <v>1</v>
      </c>
    </row>
    <row r="150">
      <c r="A150" t="inlineStr">
        <is>
          <t>SOCIETE C1807</t>
        </is>
      </c>
      <c r="B150" t="inlineStr">
        <is>
          <t>C1807</t>
        </is>
      </c>
      <c r="C150" t="inlineStr">
        <is>
          <t>CONSUMER BANKING</t>
        </is>
      </c>
      <c r="D150" t="inlineStr">
        <is>
          <t>V</t>
        </is>
      </c>
      <c r="E150" t="inlineStr">
        <is>
          <t>Stage 3</t>
        </is>
      </c>
      <c r="F150" t="inlineStr">
        <is>
          <t>N/A</t>
        </is>
      </c>
      <c r="G150" s="26">
        <v>4287291</v>
      </c>
      <c r="H150" s="26">
        <v>2358010</v>
      </c>
      <c r="I150" s="26">
        <v>0</v>
      </c>
      <c r="J150" s="26">
        <v>291</v>
      </c>
      <c r="K150" t="inlineStr">
        <is>
          <t>Oui</t>
        </is>
      </c>
      <c r="L150">
        <f>SUBTOTAL(103,A150)</f>
        <v>1</v>
      </c>
    </row>
    <row r="151">
      <c r="A151" t="inlineStr">
        <is>
          <t>SOCIETE C2226</t>
        </is>
      </c>
      <c r="B151" t="inlineStr">
        <is>
          <t>C2226</t>
        </is>
      </c>
      <c r="C151" t="inlineStr">
        <is>
          <t>CORPORATE BANKING</t>
        </is>
      </c>
      <c r="D151" t="inlineStr">
        <is>
          <t>IV</t>
        </is>
      </c>
      <c r="E151" t="inlineStr">
        <is>
          <t>Stage 3</t>
        </is>
      </c>
      <c r="F151" t="inlineStr">
        <is>
          <t>N/A</t>
        </is>
      </c>
      <c r="G151" s="26">
        <v>2122556623</v>
      </c>
      <c r="H151" s="26">
        <v>1167406142</v>
      </c>
      <c r="I151" s="26">
        <v>180773491</v>
      </c>
      <c r="J151" s="26">
        <v>0</v>
      </c>
      <c r="K151" t="inlineStr">
        <is>
          <t>Oui</t>
        </is>
      </c>
      <c r="L151">
        <f>SUBTOTAL(103,A151)</f>
        <v>1</v>
      </c>
    </row>
    <row r="152">
      <c r="A152" t="inlineStr">
        <is>
          <t>SOCIETE C2174</t>
        </is>
      </c>
      <c r="B152" t="inlineStr">
        <is>
          <t>C2174</t>
        </is>
      </c>
      <c r="C152" t="inlineStr">
        <is>
          <t>COMMERCIAL BANKING</t>
        </is>
      </c>
      <c r="D152" t="inlineStr">
        <is>
          <t>V</t>
        </is>
      </c>
      <c r="E152" t="inlineStr">
        <is>
          <t>Stage 3</t>
        </is>
      </c>
      <c r="F152" t="inlineStr">
        <is>
          <t>N/A</t>
        </is>
      </c>
      <c r="G152" s="26">
        <v>1811800976</v>
      </c>
      <c r="H152" s="26">
        <v>996490537</v>
      </c>
      <c r="I152" s="26">
        <v>0</v>
      </c>
      <c r="J152" s="26">
        <v>192</v>
      </c>
      <c r="K152" t="inlineStr">
        <is>
          <t>Oui</t>
        </is>
      </c>
      <c r="L152">
        <f>SUBTOTAL(103,A152)</f>
        <v>1</v>
      </c>
    </row>
    <row r="153">
      <c r="A153" t="inlineStr">
        <is>
          <t>SOCIETE C2435</t>
        </is>
      </c>
      <c r="B153" t="inlineStr">
        <is>
          <t>C2435</t>
        </is>
      </c>
      <c r="C153" t="inlineStr">
        <is>
          <t>SME</t>
        </is>
      </c>
      <c r="D153" t="inlineStr">
        <is>
          <t>I</t>
        </is>
      </c>
      <c r="E153" t="inlineStr">
        <is>
          <t>Stage 1</t>
        </is>
      </c>
      <c r="F153" t="inlineStr">
        <is>
          <t>N/A</t>
        </is>
      </c>
      <c r="G153" s="26">
        <v>5613586</v>
      </c>
      <c r="H153" s="26">
        <v>56136</v>
      </c>
      <c r="I153" s="26">
        <v>1083935</v>
      </c>
      <c r="J153" s="26">
        <v>84</v>
      </c>
      <c r="K153" t="inlineStr">
        <is>
          <t>Non</t>
        </is>
      </c>
      <c r="L153">
        <f>SUBTOTAL(103,A153)</f>
        <v>1</v>
      </c>
    </row>
    <row r="154">
      <c r="A154" t="inlineStr">
        <is>
          <t>SOCIETE C2439</t>
        </is>
      </c>
      <c r="B154" t="inlineStr">
        <is>
          <t>C2439</t>
        </is>
      </c>
      <c r="C154" t="inlineStr">
        <is>
          <t>CORPORATE BANKING</t>
        </is>
      </c>
      <c r="D154" t="inlineStr">
        <is>
          <t>II</t>
        </is>
      </c>
      <c r="E154" t="inlineStr">
        <is>
          <t>Stage 2</t>
        </is>
      </c>
      <c r="F154" t="inlineStr">
        <is>
          <t>N/A</t>
        </is>
      </c>
      <c r="G154" s="26">
        <v>57893038</v>
      </c>
      <c r="H154" s="26">
        <v>3473582</v>
      </c>
      <c r="I154" s="26">
        <v>4520454</v>
      </c>
      <c r="J154" s="26">
        <v>87</v>
      </c>
      <c r="K154" t="inlineStr">
        <is>
          <t>Non</t>
        </is>
      </c>
      <c r="L154">
        <f>SUBTOTAL(103,A154)</f>
        <v>1</v>
      </c>
    </row>
    <row r="155">
      <c r="A155" t="inlineStr">
        <is>
          <t>SOCIETE C617</t>
        </is>
      </c>
      <c r="B155" t="inlineStr">
        <is>
          <t>C617</t>
        </is>
      </c>
      <c r="C155" t="inlineStr">
        <is>
          <t>COMMERCIAL BANKING</t>
        </is>
      </c>
      <c r="D155" t="inlineStr">
        <is>
          <t>I</t>
        </is>
      </c>
      <c r="E155" t="inlineStr">
        <is>
          <t>Stage 1</t>
        </is>
      </c>
      <c r="F155" t="inlineStr">
        <is>
          <t>N/A</t>
        </is>
      </c>
      <c r="G155" s="26">
        <v>39509392</v>
      </c>
      <c r="H155" s="26">
        <v>395094</v>
      </c>
      <c r="I155" s="26">
        <v>0</v>
      </c>
      <c r="J155" s="26">
        <v>65</v>
      </c>
      <c r="K155" t="inlineStr">
        <is>
          <t>Non</t>
        </is>
      </c>
      <c r="L155">
        <f>SUBTOTAL(103,A155)</f>
        <v>1</v>
      </c>
    </row>
    <row r="156">
      <c r="A156" t="inlineStr">
        <is>
          <t>SOCIETE C1638</t>
        </is>
      </c>
      <c r="B156" t="inlineStr">
        <is>
          <t>C1638</t>
        </is>
      </c>
      <c r="C156" t="inlineStr">
        <is>
          <t>CORPORATE BANKING</t>
        </is>
      </c>
      <c r="D156" t="inlineStr">
        <is>
          <t>I</t>
        </is>
      </c>
      <c r="E156" t="inlineStr">
        <is>
          <t>Stage 1</t>
        </is>
      </c>
      <c r="F156" t="inlineStr">
        <is>
          <t>N/A</t>
        </is>
      </c>
      <c r="G156" s="26">
        <v>45535628</v>
      </c>
      <c r="H156" s="26">
        <v>455356</v>
      </c>
      <c r="I156" s="26">
        <v>5139370</v>
      </c>
      <c r="J156" s="26">
        <v>41</v>
      </c>
      <c r="K156" t="inlineStr">
        <is>
          <t>Non</t>
        </is>
      </c>
      <c r="L156">
        <f>SUBTOTAL(103,A156)</f>
        <v>1</v>
      </c>
    </row>
    <row r="157">
      <c r="A157" t="inlineStr">
        <is>
          <t>SOCIETE C481</t>
        </is>
      </c>
      <c r="B157" t="inlineStr">
        <is>
          <t>C481</t>
        </is>
      </c>
      <c r="C157" t="inlineStr">
        <is>
          <t>CORPORATE BANKING</t>
        </is>
      </c>
      <c r="D157" t="inlineStr">
        <is>
          <t>II</t>
        </is>
      </c>
      <c r="E157" t="inlineStr">
        <is>
          <t>Stage 2</t>
        </is>
      </c>
      <c r="F157" t="inlineStr">
        <is>
          <t>N/A</t>
        </is>
      </c>
      <c r="G157" s="26">
        <v>235208772</v>
      </c>
      <c r="H157" s="26">
        <v>14112526</v>
      </c>
      <c r="I157" s="26">
        <v>0</v>
      </c>
      <c r="J157" s="26">
        <v>196</v>
      </c>
      <c r="K157" t="inlineStr">
        <is>
          <t>Non</t>
        </is>
      </c>
      <c r="L157">
        <f>SUBTOTAL(103,A157)</f>
        <v>1</v>
      </c>
    </row>
    <row r="158">
      <c r="A158" t="inlineStr">
        <is>
          <t>SOCIETE C417</t>
        </is>
      </c>
      <c r="B158" t="inlineStr">
        <is>
          <t>C417</t>
        </is>
      </c>
      <c r="C158" t="inlineStr">
        <is>
          <t>CORPORATE BANKING</t>
        </is>
      </c>
      <c r="D158" t="inlineStr">
        <is>
          <t>III</t>
        </is>
      </c>
      <c r="E158" t="inlineStr">
        <is>
          <t>Stage 3</t>
        </is>
      </c>
      <c r="F158" t="inlineStr">
        <is>
          <t>N/A</t>
        </is>
      </c>
      <c r="G158" s="26">
        <v>1113577044</v>
      </c>
      <c r="H158" s="26">
        <v>612467374</v>
      </c>
      <c r="I158" s="26">
        <v>87430166</v>
      </c>
      <c r="J158" s="26">
        <v>69</v>
      </c>
      <c r="K158" t="inlineStr">
        <is>
          <t>Oui</t>
        </is>
      </c>
      <c r="L158">
        <f>SUBTOTAL(103,A158)</f>
        <v>1</v>
      </c>
    </row>
    <row r="159">
      <c r="A159" t="inlineStr">
        <is>
          <t>SOCIETE C1390</t>
        </is>
      </c>
      <c r="B159" t="inlineStr">
        <is>
          <t>C1390</t>
        </is>
      </c>
      <c r="C159" t="inlineStr">
        <is>
          <t>CORPORATE BANKING</t>
        </is>
      </c>
      <c r="D159" t="inlineStr">
        <is>
          <t>IA</t>
        </is>
      </c>
      <c r="E159" t="inlineStr">
        <is>
          <t>Stage 2</t>
        </is>
      </c>
      <c r="F159" t="inlineStr">
        <is>
          <t>N/A</t>
        </is>
      </c>
      <c r="G159" s="26">
        <v>1034113526</v>
      </c>
      <c r="H159" s="26">
        <v>62046812</v>
      </c>
      <c r="I159" s="26">
        <v>0</v>
      </c>
      <c r="J159" s="26">
        <v>35</v>
      </c>
      <c r="K159" t="inlineStr">
        <is>
          <t>Non</t>
        </is>
      </c>
      <c r="L159">
        <f>SUBTOTAL(103,A159)</f>
        <v>1</v>
      </c>
    </row>
    <row r="160">
      <c r="A160" t="inlineStr">
        <is>
          <t>SOCIETE C1657</t>
        </is>
      </c>
      <c r="B160" t="inlineStr">
        <is>
          <t>C1657</t>
        </is>
      </c>
      <c r="C160" t="inlineStr">
        <is>
          <t>PUBLIC SECTOR</t>
        </is>
      </c>
      <c r="D160" t="inlineStr">
        <is>
          <t>I</t>
        </is>
      </c>
      <c r="E160" t="inlineStr">
        <is>
          <t>Stage 1</t>
        </is>
      </c>
      <c r="F160" t="inlineStr">
        <is>
          <t>N/A</t>
        </is>
      </c>
      <c r="G160" s="26">
        <v>619476159</v>
      </c>
      <c r="H160" s="26">
        <v>6194762</v>
      </c>
      <c r="I160" s="26">
        <v>13594654</v>
      </c>
      <c r="J160" s="26">
        <v>16</v>
      </c>
      <c r="K160" t="inlineStr">
        <is>
          <t>Non</t>
        </is>
      </c>
      <c r="L160">
        <f>SUBTOTAL(103,A160)</f>
        <v>1</v>
      </c>
    </row>
    <row r="161">
      <c r="A161" t="inlineStr">
        <is>
          <t>SOCIETE C343</t>
        </is>
      </c>
      <c r="B161" t="inlineStr">
        <is>
          <t>C343</t>
        </is>
      </c>
      <c r="C161" t="inlineStr">
        <is>
          <t>INSTITUTIONAL</t>
        </is>
      </c>
      <c r="D161" t="inlineStr">
        <is>
          <t>V</t>
        </is>
      </c>
      <c r="E161" t="inlineStr">
        <is>
          <t>Stage 3</t>
        </is>
      </c>
      <c r="F161" t="inlineStr">
        <is>
          <t>N/A</t>
        </is>
      </c>
      <c r="G161" s="26">
        <v>1279284028</v>
      </c>
      <c r="H161" s="26">
        <v>703606215</v>
      </c>
      <c r="I161" s="26">
        <v>0</v>
      </c>
      <c r="J161" s="26">
        <v>230</v>
      </c>
      <c r="K161" t="inlineStr">
        <is>
          <t>Oui</t>
        </is>
      </c>
      <c r="L161">
        <f>SUBTOTAL(103,A161)</f>
        <v>1</v>
      </c>
    </row>
    <row r="162">
      <c r="A162" t="inlineStr">
        <is>
          <t>SOCIETE C2064</t>
        </is>
      </c>
      <c r="B162" t="inlineStr">
        <is>
          <t>C2064</t>
        </is>
      </c>
      <c r="C162" t="inlineStr">
        <is>
          <t>CONSUMER BANKING</t>
        </is>
      </c>
      <c r="D162" t="inlineStr">
        <is>
          <t>II</t>
        </is>
      </c>
      <c r="E162" t="inlineStr">
        <is>
          <t>Stage 2</t>
        </is>
      </c>
      <c r="F162" t="inlineStr">
        <is>
          <t>N/A</t>
        </is>
      </c>
      <c r="G162" s="26">
        <v>790143005</v>
      </c>
      <c r="H162" s="26">
        <v>47408580</v>
      </c>
      <c r="I162" s="26">
        <v>46583003</v>
      </c>
      <c r="J162" s="26">
        <v>40</v>
      </c>
      <c r="K162" t="inlineStr">
        <is>
          <t>Non</t>
        </is>
      </c>
      <c r="L162">
        <f>SUBTOTAL(103,A162)</f>
        <v>1</v>
      </c>
    </row>
    <row r="163">
      <c r="A163" t="inlineStr">
        <is>
          <t>SOCIETE C199</t>
        </is>
      </c>
      <c r="B163" t="inlineStr">
        <is>
          <t>C199</t>
        </is>
      </c>
      <c r="C163" t="inlineStr">
        <is>
          <t>CORPORATE BANKING</t>
        </is>
      </c>
      <c r="D163" t="inlineStr">
        <is>
          <t>IA</t>
        </is>
      </c>
      <c r="E163" t="inlineStr">
        <is>
          <t>Stage 2</t>
        </is>
      </c>
      <c r="F163" t="inlineStr">
        <is>
          <t>N/A</t>
        </is>
      </c>
      <c r="G163" s="26">
        <v>75073650</v>
      </c>
      <c r="H163" s="26">
        <v>4504419</v>
      </c>
      <c r="I163" s="26">
        <v>0</v>
      </c>
      <c r="J163" s="26">
        <v>26</v>
      </c>
      <c r="K163" t="inlineStr">
        <is>
          <t>Non</t>
        </is>
      </c>
      <c r="L163">
        <f>SUBTOTAL(103,A163)</f>
        <v>1</v>
      </c>
    </row>
    <row r="164">
      <c r="A164" t="inlineStr">
        <is>
          <t>SOCIETE C637</t>
        </is>
      </c>
      <c r="B164" t="inlineStr">
        <is>
          <t>C637</t>
        </is>
      </c>
      <c r="C164" t="inlineStr">
        <is>
          <t>COMMERCIAL BANKING</t>
        </is>
      </c>
      <c r="D164" t="inlineStr">
        <is>
          <t>IA</t>
        </is>
      </c>
      <c r="E164" t="inlineStr">
        <is>
          <t>Stage 2</t>
        </is>
      </c>
      <c r="F164" t="inlineStr">
        <is>
          <t>N/A</t>
        </is>
      </c>
      <c r="G164" s="26">
        <v>9245390</v>
      </c>
      <c r="H164" s="26">
        <v>554723</v>
      </c>
      <c r="I164" s="26">
        <v>487749</v>
      </c>
      <c r="J164" s="26">
        <v>75</v>
      </c>
      <c r="K164" t="inlineStr">
        <is>
          <t>Non</t>
        </is>
      </c>
      <c r="L164">
        <f>SUBTOTAL(103,A164)</f>
        <v>1</v>
      </c>
    </row>
    <row r="165">
      <c r="A165" t="inlineStr">
        <is>
          <t>SOCIETE C37</t>
        </is>
      </c>
      <c r="B165" t="inlineStr">
        <is>
          <t>C37</t>
        </is>
      </c>
      <c r="C165" t="inlineStr">
        <is>
          <t>CORPORATE BANKING</t>
        </is>
      </c>
      <c r="D165" t="inlineStr">
        <is>
          <t>IV</t>
        </is>
      </c>
      <c r="E165" t="inlineStr">
        <is>
          <t>Stage 3</t>
        </is>
      </c>
      <c r="F165" t="inlineStr">
        <is>
          <t>N/A</t>
        </is>
      </c>
      <c r="G165" s="26">
        <v>252831317</v>
      </c>
      <c r="H165" s="26">
        <v>139057224</v>
      </c>
      <c r="I165" s="26">
        <v>0</v>
      </c>
      <c r="J165" s="26">
        <v>1</v>
      </c>
      <c r="K165" t="inlineStr">
        <is>
          <t>Oui</t>
        </is>
      </c>
      <c r="L165">
        <f>SUBTOTAL(103,A165)</f>
        <v>1</v>
      </c>
    </row>
    <row r="166">
      <c r="A166" t="inlineStr">
        <is>
          <t>SOCIETE C571</t>
        </is>
      </c>
      <c r="B166" t="inlineStr">
        <is>
          <t>C571</t>
        </is>
      </c>
      <c r="C166" t="inlineStr">
        <is>
          <t>COMMERCIAL BANKING</t>
        </is>
      </c>
      <c r="D166" t="inlineStr">
        <is>
          <t>IV</t>
        </is>
      </c>
      <c r="E166" t="inlineStr">
        <is>
          <t>Stage 3</t>
        </is>
      </c>
      <c r="F166" t="inlineStr">
        <is>
          <t>N/A</t>
        </is>
      </c>
      <c r="G166" s="26">
        <v>1057084293</v>
      </c>
      <c r="H166" s="26">
        <v>581396361</v>
      </c>
      <c r="I166" s="26">
        <v>189942017</v>
      </c>
      <c r="J166" s="26">
        <v>95</v>
      </c>
      <c r="K166" t="inlineStr">
        <is>
          <t>Oui</t>
        </is>
      </c>
      <c r="L166">
        <f>SUBTOTAL(103,A166)</f>
        <v>1</v>
      </c>
    </row>
    <row r="167">
      <c r="A167" t="inlineStr">
        <is>
          <t>SOCIETE C1356</t>
        </is>
      </c>
      <c r="B167" t="inlineStr">
        <is>
          <t>C1356</t>
        </is>
      </c>
      <c r="C167" t="inlineStr">
        <is>
          <t>PUBLIC SECTOR</t>
        </is>
      </c>
      <c r="D167" t="inlineStr">
        <is>
          <t>III</t>
        </is>
      </c>
      <c r="E167" t="inlineStr">
        <is>
          <t>Stage 3</t>
        </is>
      </c>
      <c r="F167" t="inlineStr">
        <is>
          <t>N/A</t>
        </is>
      </c>
      <c r="G167" s="26">
        <v>369219491</v>
      </c>
      <c r="H167" s="26">
        <v>203070720</v>
      </c>
      <c r="I167" s="26">
        <v>51770158</v>
      </c>
      <c r="J167" s="26">
        <v>330</v>
      </c>
      <c r="K167" t="inlineStr">
        <is>
          <t>Oui</t>
        </is>
      </c>
      <c r="L167">
        <f>SUBTOTAL(103,A167)</f>
        <v>1</v>
      </c>
    </row>
    <row r="168">
      <c r="A168" t="inlineStr">
        <is>
          <t>SOCIETE C1733</t>
        </is>
      </c>
      <c r="B168" t="inlineStr">
        <is>
          <t>C1733</t>
        </is>
      </c>
      <c r="C168" t="inlineStr">
        <is>
          <t>COMMERCIAL BANKING</t>
        </is>
      </c>
      <c r="D168" t="inlineStr">
        <is>
          <t>I</t>
        </is>
      </c>
      <c r="E168" t="inlineStr">
        <is>
          <t>Stage 1</t>
        </is>
      </c>
      <c r="F168" t="inlineStr">
        <is>
          <t>N/A</t>
        </is>
      </c>
      <c r="G168" s="26">
        <v>2668046682</v>
      </c>
      <c r="H168" s="26">
        <v>26680467</v>
      </c>
      <c r="I168" s="26">
        <v>0</v>
      </c>
      <c r="J168" s="26">
        <v>123</v>
      </c>
      <c r="K168" t="inlineStr">
        <is>
          <t>Non</t>
        </is>
      </c>
      <c r="L168">
        <f>SUBTOTAL(103,A168)</f>
        <v>1</v>
      </c>
    </row>
    <row r="169">
      <c r="A169" t="inlineStr">
        <is>
          <t>SOCIETE C2072</t>
        </is>
      </c>
      <c r="B169" t="inlineStr">
        <is>
          <t>C2072</t>
        </is>
      </c>
      <c r="C169" t="inlineStr">
        <is>
          <t>CORPORATE BANKING</t>
        </is>
      </c>
      <c r="D169" t="inlineStr">
        <is>
          <t>II</t>
        </is>
      </c>
      <c r="E169" t="inlineStr">
        <is>
          <t>Stage 2</t>
        </is>
      </c>
      <c r="F169" t="inlineStr">
        <is>
          <t>N/A</t>
        </is>
      </c>
      <c r="G169" s="26">
        <v>2894558966</v>
      </c>
      <c r="H169" s="26">
        <v>173673538</v>
      </c>
      <c r="I169" s="26">
        <v>545822997</v>
      </c>
      <c r="J169" s="26">
        <v>0</v>
      </c>
      <c r="K169" t="inlineStr">
        <is>
          <t>Non</t>
        </is>
      </c>
      <c r="L169">
        <f>SUBTOTAL(103,A169)</f>
        <v>1</v>
      </c>
    </row>
    <row r="170">
      <c r="A170" t="inlineStr">
        <is>
          <t>SOCIETE C1793</t>
        </is>
      </c>
      <c r="B170" t="inlineStr">
        <is>
          <t>C1793</t>
        </is>
      </c>
      <c r="C170" t="inlineStr">
        <is>
          <t>CORPORATE BANKING</t>
        </is>
      </c>
      <c r="D170" t="inlineStr">
        <is>
          <t>IA</t>
        </is>
      </c>
      <c r="E170" t="inlineStr">
        <is>
          <t>Stage 2</t>
        </is>
      </c>
      <c r="F170" t="inlineStr">
        <is>
          <t>N/A</t>
        </is>
      </c>
      <c r="G170" s="26">
        <v>45992009</v>
      </c>
      <c r="H170" s="26">
        <v>2759521</v>
      </c>
      <c r="I170" s="26">
        <v>0</v>
      </c>
      <c r="J170" s="26">
        <v>59</v>
      </c>
      <c r="K170" t="inlineStr">
        <is>
          <t>Non</t>
        </is>
      </c>
      <c r="L170">
        <f>SUBTOTAL(103,A170)</f>
        <v>1</v>
      </c>
    </row>
    <row r="171">
      <c r="A171" t="inlineStr">
        <is>
          <t>SOCIETE C2069</t>
        </is>
      </c>
      <c r="B171" t="inlineStr">
        <is>
          <t>C2069</t>
        </is>
      </c>
      <c r="C171" t="inlineStr">
        <is>
          <t>PUBLIC SECTOR</t>
        </is>
      </c>
      <c r="D171" t="inlineStr">
        <is>
          <t>I</t>
        </is>
      </c>
      <c r="E171" t="inlineStr">
        <is>
          <t>Stage 1</t>
        </is>
      </c>
      <c r="F171" t="inlineStr">
        <is>
          <t>N/A</t>
        </is>
      </c>
      <c r="G171" s="26">
        <v>198800295</v>
      </c>
      <c r="H171" s="26">
        <v>1988003</v>
      </c>
      <c r="I171" s="26">
        <v>0</v>
      </c>
      <c r="J171" s="26">
        <v>108</v>
      </c>
      <c r="K171" t="inlineStr">
        <is>
          <t>Non</t>
        </is>
      </c>
      <c r="L171">
        <f>SUBTOTAL(103,A171)</f>
        <v>1</v>
      </c>
    </row>
    <row r="172">
      <c r="A172" t="inlineStr">
        <is>
          <t>SOCIETE C565</t>
        </is>
      </c>
      <c r="B172" t="inlineStr">
        <is>
          <t>C565</t>
        </is>
      </c>
      <c r="C172" t="inlineStr">
        <is>
          <t>CONSUMER BANKING</t>
        </is>
      </c>
      <c r="D172" t="inlineStr">
        <is>
          <t>I</t>
        </is>
      </c>
      <c r="E172" t="inlineStr">
        <is>
          <t>Stage 1</t>
        </is>
      </c>
      <c r="F172" t="inlineStr">
        <is>
          <t>N/A</t>
        </is>
      </c>
      <c r="G172" s="26">
        <v>3125118</v>
      </c>
      <c r="H172" s="26">
        <v>31251</v>
      </c>
      <c r="I172" s="26">
        <v>0</v>
      </c>
      <c r="J172" s="26">
        <v>84</v>
      </c>
      <c r="K172" t="inlineStr">
        <is>
          <t>Non</t>
        </is>
      </c>
      <c r="L172">
        <f>SUBTOTAL(103,A172)</f>
        <v>1</v>
      </c>
    </row>
    <row r="173">
      <c r="A173" t="inlineStr">
        <is>
          <t>SOCIETE C2406</t>
        </is>
      </c>
      <c r="B173" t="inlineStr">
        <is>
          <t>C2406</t>
        </is>
      </c>
      <c r="C173" t="inlineStr">
        <is>
          <t>CONSUMER BANKING</t>
        </is>
      </c>
      <c r="D173" t="inlineStr">
        <is>
          <t>I</t>
        </is>
      </c>
      <c r="E173" t="inlineStr">
        <is>
          <t>Stage 1</t>
        </is>
      </c>
      <c r="F173" t="inlineStr">
        <is>
          <t>N/A</t>
        </is>
      </c>
      <c r="G173" s="26">
        <v>379284423</v>
      </c>
      <c r="H173" s="26">
        <v>3792844</v>
      </c>
      <c r="I173" s="26">
        <v>0</v>
      </c>
      <c r="J173" s="26">
        <v>58</v>
      </c>
      <c r="K173" t="inlineStr">
        <is>
          <t>Non</t>
        </is>
      </c>
      <c r="L173">
        <f>SUBTOTAL(103,A173)</f>
        <v>1</v>
      </c>
    </row>
    <row r="174">
      <c r="A174" t="inlineStr">
        <is>
          <t>SOCIETE C496</t>
        </is>
      </c>
      <c r="B174" t="inlineStr">
        <is>
          <t>C496</t>
        </is>
      </c>
      <c r="C174" t="inlineStr">
        <is>
          <t>SME</t>
        </is>
      </c>
      <c r="D174" t="inlineStr">
        <is>
          <t>IV</t>
        </is>
      </c>
      <c r="E174" t="inlineStr">
        <is>
          <t>Stage 3</t>
        </is>
      </c>
      <c r="F174" t="inlineStr">
        <is>
          <t>N/A</t>
        </is>
      </c>
      <c r="G174" s="26">
        <v>168770582</v>
      </c>
      <c r="H174" s="26">
        <v>92823820</v>
      </c>
      <c r="I174" s="26">
        <v>0</v>
      </c>
      <c r="J174" s="26">
        <v>138</v>
      </c>
      <c r="K174" t="inlineStr">
        <is>
          <t>Oui</t>
        </is>
      </c>
      <c r="L174">
        <f>SUBTOTAL(103,A174)</f>
        <v>1</v>
      </c>
    </row>
    <row r="175">
      <c r="A175" t="inlineStr">
        <is>
          <t>SOCIETE C793</t>
        </is>
      </c>
      <c r="B175" t="inlineStr">
        <is>
          <t>C793</t>
        </is>
      </c>
      <c r="C175" t="inlineStr">
        <is>
          <t>CONSUMER BANKING</t>
        </is>
      </c>
      <c r="D175" t="inlineStr">
        <is>
          <t>III</t>
        </is>
      </c>
      <c r="E175" t="inlineStr">
        <is>
          <t>Stage 3</t>
        </is>
      </c>
      <c r="F175" t="inlineStr">
        <is>
          <t>N/A</t>
        </is>
      </c>
      <c r="G175" s="26">
        <v>18220853</v>
      </c>
      <c r="H175" s="26">
        <v>10021469</v>
      </c>
      <c r="I175" s="26">
        <v>0</v>
      </c>
      <c r="J175" s="26">
        <v>217</v>
      </c>
      <c r="K175" t="inlineStr">
        <is>
          <t>Oui</t>
        </is>
      </c>
      <c r="L175">
        <f>SUBTOTAL(103,A175)</f>
        <v>1</v>
      </c>
    </row>
    <row r="176">
      <c r="A176" t="inlineStr">
        <is>
          <t>SOCIETE C873</t>
        </is>
      </c>
      <c r="B176" t="inlineStr">
        <is>
          <t>C873</t>
        </is>
      </c>
      <c r="C176" t="inlineStr">
        <is>
          <t>CORPORATE BANKING</t>
        </is>
      </c>
      <c r="D176" t="inlineStr">
        <is>
          <t>II</t>
        </is>
      </c>
      <c r="E176" t="inlineStr">
        <is>
          <t>Stage 2</t>
        </is>
      </c>
      <c r="F176" t="inlineStr">
        <is>
          <t>N/A</t>
        </is>
      </c>
      <c r="G176" s="26">
        <v>689960300</v>
      </c>
      <c r="H176" s="26">
        <v>41397618</v>
      </c>
      <c r="I176" s="26">
        <v>92417424</v>
      </c>
      <c r="J176" s="26">
        <v>44</v>
      </c>
      <c r="K176" t="inlineStr">
        <is>
          <t>Non</t>
        </is>
      </c>
      <c r="L176">
        <f>SUBTOTAL(103,A176)</f>
        <v>1</v>
      </c>
    </row>
    <row r="177">
      <c r="A177" t="inlineStr">
        <is>
          <t>SOCIETE C1969</t>
        </is>
      </c>
      <c r="B177" t="inlineStr">
        <is>
          <t>C1969</t>
        </is>
      </c>
      <c r="C177" t="inlineStr">
        <is>
          <t>CORPORATE BANKING</t>
        </is>
      </c>
      <c r="D177" t="inlineStr">
        <is>
          <t>II</t>
        </is>
      </c>
      <c r="E177" t="inlineStr">
        <is>
          <t>Stage 2</t>
        </is>
      </c>
      <c r="F177" t="inlineStr">
        <is>
          <t>N/A</t>
        </is>
      </c>
      <c r="G177" s="26">
        <v>1494620943</v>
      </c>
      <c r="H177" s="26">
        <v>89677257</v>
      </c>
      <c r="I177" s="26">
        <v>0</v>
      </c>
      <c r="J177" s="26">
        <v>58</v>
      </c>
      <c r="K177" t="inlineStr">
        <is>
          <t>Non</t>
        </is>
      </c>
      <c r="L177">
        <f>SUBTOTAL(103,A177)</f>
        <v>1</v>
      </c>
    </row>
    <row r="178">
      <c r="A178" t="inlineStr">
        <is>
          <t>SOCIETE C1241</t>
        </is>
      </c>
      <c r="B178" t="inlineStr">
        <is>
          <t>C1241</t>
        </is>
      </c>
      <c r="C178" t="inlineStr">
        <is>
          <t>PUBLIC SECTOR</t>
        </is>
      </c>
      <c r="D178" t="inlineStr">
        <is>
          <t>III</t>
        </is>
      </c>
      <c r="E178" t="inlineStr">
        <is>
          <t>Stage 3</t>
        </is>
      </c>
      <c r="F178" t="inlineStr">
        <is>
          <t>N/A</t>
        </is>
      </c>
      <c r="G178" s="26">
        <v>2306404529</v>
      </c>
      <c r="H178" s="26">
        <v>1268522491</v>
      </c>
      <c r="I178" s="26">
        <v>0</v>
      </c>
      <c r="J178" s="26">
        <v>17</v>
      </c>
      <c r="K178" t="inlineStr">
        <is>
          <t>Oui</t>
        </is>
      </c>
      <c r="L178">
        <f>SUBTOTAL(103,A178)</f>
        <v>1</v>
      </c>
    </row>
    <row r="179">
      <c r="A179" t="inlineStr">
        <is>
          <t>SOCIETE C1118</t>
        </is>
      </c>
      <c r="B179" t="inlineStr">
        <is>
          <t>C1118</t>
        </is>
      </c>
      <c r="C179" t="inlineStr">
        <is>
          <t>CORPORATE BANKING</t>
        </is>
      </c>
      <c r="D179" t="inlineStr">
        <is>
          <t>IV</t>
        </is>
      </c>
      <c r="E179" t="inlineStr">
        <is>
          <t>Stage 3</t>
        </is>
      </c>
      <c r="F179" t="inlineStr">
        <is>
          <t>N/A</t>
        </is>
      </c>
      <c r="G179" s="26">
        <v>944466187</v>
      </c>
      <c r="H179" s="26">
        <v>519456403</v>
      </c>
      <c r="I179" s="26">
        <v>0</v>
      </c>
      <c r="J179" s="26">
        <v>130</v>
      </c>
      <c r="K179" t="inlineStr">
        <is>
          <t>Oui</t>
        </is>
      </c>
      <c r="L179">
        <f>SUBTOTAL(103,A179)</f>
        <v>1</v>
      </c>
    </row>
    <row r="180">
      <c r="A180" t="inlineStr">
        <is>
          <t>SOCIETE C202</t>
        </is>
      </c>
      <c r="B180" t="inlineStr">
        <is>
          <t>C202</t>
        </is>
      </c>
      <c r="C180" t="inlineStr">
        <is>
          <t>CORPORATE BANKING</t>
        </is>
      </c>
      <c r="D180" t="inlineStr">
        <is>
          <t>I</t>
        </is>
      </c>
      <c r="E180" t="inlineStr">
        <is>
          <t>Stage 1</t>
        </is>
      </c>
      <c r="F180" t="inlineStr">
        <is>
          <t>N/A</t>
        </is>
      </c>
      <c r="G180" s="26">
        <v>563232507</v>
      </c>
      <c r="H180" s="26">
        <v>5632325</v>
      </c>
      <c r="I180" s="26">
        <v>0</v>
      </c>
      <c r="J180" s="26">
        <v>166</v>
      </c>
      <c r="K180" t="inlineStr">
        <is>
          <t>Non</t>
        </is>
      </c>
      <c r="L180">
        <f>SUBTOTAL(103,A180)</f>
        <v>1</v>
      </c>
    </row>
    <row r="181">
      <c r="A181" t="inlineStr">
        <is>
          <t>SOCIETE C925</t>
        </is>
      </c>
      <c r="B181" t="inlineStr">
        <is>
          <t>C925</t>
        </is>
      </c>
      <c r="C181" t="inlineStr">
        <is>
          <t>PUBLIC SECTOR</t>
        </is>
      </c>
      <c r="D181" t="inlineStr">
        <is>
          <t>IV</t>
        </is>
      </c>
      <c r="E181" t="inlineStr">
        <is>
          <t>Stage 3</t>
        </is>
      </c>
      <c r="F181" t="inlineStr">
        <is>
          <t>N/A</t>
        </is>
      </c>
      <c r="G181" s="26">
        <v>959633709</v>
      </c>
      <c r="H181" s="26">
        <v>527798540</v>
      </c>
      <c r="I181" s="26">
        <v>0</v>
      </c>
      <c r="J181" s="26">
        <v>209</v>
      </c>
      <c r="K181" t="inlineStr">
        <is>
          <t>Oui</t>
        </is>
      </c>
      <c r="L181">
        <f>SUBTOTAL(103,A181)</f>
        <v>1</v>
      </c>
    </row>
    <row r="182">
      <c r="A182" t="inlineStr">
        <is>
          <t>SOCIETE C1200</t>
        </is>
      </c>
      <c r="B182" t="inlineStr">
        <is>
          <t>C1200</t>
        </is>
      </c>
      <c r="C182" t="inlineStr">
        <is>
          <t>PUBLIC SECTOR</t>
        </is>
      </c>
      <c r="D182" t="inlineStr">
        <is>
          <t>IV</t>
        </is>
      </c>
      <c r="E182" t="inlineStr">
        <is>
          <t>Stage 3</t>
        </is>
      </c>
      <c r="F182" t="inlineStr">
        <is>
          <t>N/A</t>
        </is>
      </c>
      <c r="G182" s="26">
        <v>7797372</v>
      </c>
      <c r="H182" s="26">
        <v>4288555</v>
      </c>
      <c r="I182" s="26">
        <v>0</v>
      </c>
      <c r="J182" s="26">
        <v>193</v>
      </c>
      <c r="K182" t="inlineStr">
        <is>
          <t>Oui</t>
        </is>
      </c>
      <c r="L182">
        <f>SUBTOTAL(103,A182)</f>
        <v>1</v>
      </c>
    </row>
    <row r="183">
      <c r="A183" t="inlineStr">
        <is>
          <t>SOCIETE C724</t>
        </is>
      </c>
      <c r="B183" t="inlineStr">
        <is>
          <t>C724</t>
        </is>
      </c>
      <c r="C183" t="inlineStr">
        <is>
          <t>CONSUMER BANKING</t>
        </is>
      </c>
      <c r="D183" t="inlineStr">
        <is>
          <t>III</t>
        </is>
      </c>
      <c r="E183" t="inlineStr">
        <is>
          <t>Stage 3</t>
        </is>
      </c>
      <c r="F183" t="inlineStr">
        <is>
          <t>N/A</t>
        </is>
      </c>
      <c r="G183" s="26">
        <v>398913950</v>
      </c>
      <c r="H183" s="26">
        <v>219402672</v>
      </c>
      <c r="I183" s="26">
        <v>0</v>
      </c>
      <c r="J183" s="26">
        <v>191</v>
      </c>
      <c r="K183" t="inlineStr">
        <is>
          <t>Oui</t>
        </is>
      </c>
      <c r="L183">
        <f>SUBTOTAL(103,A183)</f>
        <v>1</v>
      </c>
    </row>
    <row r="184">
      <c r="A184" t="inlineStr">
        <is>
          <t>SOCIETE C2391</t>
        </is>
      </c>
      <c r="B184" t="inlineStr">
        <is>
          <t>C2391</t>
        </is>
      </c>
      <c r="C184" t="inlineStr">
        <is>
          <t>CORPORATE BANKING</t>
        </is>
      </c>
      <c r="D184" t="inlineStr">
        <is>
          <t>I</t>
        </is>
      </c>
      <c r="E184" t="inlineStr">
        <is>
          <t>Stage 1</t>
        </is>
      </c>
      <c r="F184" t="inlineStr">
        <is>
          <t>N/A</t>
        </is>
      </c>
      <c r="G184" s="26">
        <v>316229883</v>
      </c>
      <c r="H184" s="26">
        <v>3162299</v>
      </c>
      <c r="I184" s="26">
        <v>38668874</v>
      </c>
      <c r="J184" s="26">
        <v>37</v>
      </c>
      <c r="K184" t="inlineStr">
        <is>
          <t>Non</t>
        </is>
      </c>
      <c r="L184">
        <f>SUBTOTAL(103,A184)</f>
        <v>1</v>
      </c>
    </row>
    <row r="185">
      <c r="A185" t="inlineStr">
        <is>
          <t>SOCIETE C6</t>
        </is>
      </c>
      <c r="B185" t="inlineStr">
        <is>
          <t>C6</t>
        </is>
      </c>
      <c r="C185" t="inlineStr">
        <is>
          <t>COMMERCIAL BANKING</t>
        </is>
      </c>
      <c r="D185" t="inlineStr">
        <is>
          <t>I</t>
        </is>
      </c>
      <c r="E185" t="inlineStr">
        <is>
          <t>Stage 1</t>
        </is>
      </c>
      <c r="F185" t="inlineStr">
        <is>
          <t>N/A</t>
        </is>
      </c>
      <c r="G185" s="26">
        <v>1932224254</v>
      </c>
      <c r="H185" s="26">
        <v>19322243</v>
      </c>
      <c r="I185" s="26">
        <v>223435792</v>
      </c>
      <c r="J185" s="26">
        <v>43</v>
      </c>
      <c r="K185" t="inlineStr">
        <is>
          <t>Non</t>
        </is>
      </c>
      <c r="L185">
        <f>SUBTOTAL(103,A185)</f>
        <v>1</v>
      </c>
    </row>
    <row r="186">
      <c r="A186" t="inlineStr">
        <is>
          <t>SOCIETE C2126</t>
        </is>
      </c>
      <c r="B186" t="inlineStr">
        <is>
          <t>C2126</t>
        </is>
      </c>
      <c r="C186" t="inlineStr">
        <is>
          <t>CORPORATE BANKING</t>
        </is>
      </c>
      <c r="D186" t="inlineStr">
        <is>
          <t>II</t>
        </is>
      </c>
      <c r="E186" t="inlineStr">
        <is>
          <t>Stage 2</t>
        </is>
      </c>
      <c r="F186" t="inlineStr">
        <is>
          <t>N/A</t>
        </is>
      </c>
      <c r="G186" s="26">
        <v>724147838</v>
      </c>
      <c r="H186" s="26">
        <v>43448870</v>
      </c>
      <c r="I186" s="26">
        <v>0</v>
      </c>
      <c r="J186" s="26">
        <v>54</v>
      </c>
      <c r="K186" t="inlineStr">
        <is>
          <t>Non</t>
        </is>
      </c>
      <c r="L186">
        <f>SUBTOTAL(103,A186)</f>
        <v>1</v>
      </c>
    </row>
    <row r="187">
      <c r="A187" t="inlineStr">
        <is>
          <t>SOCIETE C2471</t>
        </is>
      </c>
      <c r="B187" t="inlineStr">
        <is>
          <t>C2471</t>
        </is>
      </c>
      <c r="C187" t="inlineStr">
        <is>
          <t>CORPORATE BANKING</t>
        </is>
      </c>
      <c r="D187" t="inlineStr">
        <is>
          <t>III</t>
        </is>
      </c>
      <c r="E187" t="inlineStr">
        <is>
          <t>Stage 3</t>
        </is>
      </c>
      <c r="F187" t="inlineStr">
        <is>
          <t>N/A</t>
        </is>
      </c>
      <c r="G187" s="26">
        <v>1293237444</v>
      </c>
      <c r="H187" s="26">
        <v>711280594</v>
      </c>
      <c r="I187" s="26">
        <v>0</v>
      </c>
      <c r="J187" s="26">
        <v>75</v>
      </c>
      <c r="K187" t="inlineStr">
        <is>
          <t>Oui</t>
        </is>
      </c>
      <c r="L187">
        <f>SUBTOTAL(103,A187)</f>
        <v>1</v>
      </c>
    </row>
    <row r="188">
      <c r="A188" t="inlineStr">
        <is>
          <t>SOCIETE C357</t>
        </is>
      </c>
      <c r="B188" t="inlineStr">
        <is>
          <t>C357</t>
        </is>
      </c>
      <c r="C188" t="inlineStr">
        <is>
          <t>COMMERCIAL BANKING</t>
        </is>
      </c>
      <c r="D188" t="inlineStr">
        <is>
          <t>I</t>
        </is>
      </c>
      <c r="E188" t="inlineStr">
        <is>
          <t>Stage 1</t>
        </is>
      </c>
      <c r="F188" t="inlineStr">
        <is>
          <t>N/A</t>
        </is>
      </c>
      <c r="G188" s="26">
        <v>2083797553</v>
      </c>
      <c r="H188" s="26">
        <v>20837976</v>
      </c>
      <c r="I188" s="26">
        <v>0</v>
      </c>
      <c r="J188" s="26">
        <v>316</v>
      </c>
      <c r="K188" t="inlineStr">
        <is>
          <t>Non</t>
        </is>
      </c>
      <c r="L188">
        <f>SUBTOTAL(103,A188)</f>
        <v>1</v>
      </c>
    </row>
    <row r="189">
      <c r="A189" t="inlineStr">
        <is>
          <t>SOCIETE C2143</t>
        </is>
      </c>
      <c r="B189" t="inlineStr">
        <is>
          <t>C2143</t>
        </is>
      </c>
      <c r="C189" t="inlineStr">
        <is>
          <t>COMMERCIAL BANKING</t>
        </is>
      </c>
      <c r="D189" t="inlineStr">
        <is>
          <t>I</t>
        </is>
      </c>
      <c r="E189" t="inlineStr">
        <is>
          <t>Stage 1</t>
        </is>
      </c>
      <c r="F189" t="inlineStr">
        <is>
          <t>N/A</t>
        </is>
      </c>
      <c r="G189" s="26">
        <v>804081234</v>
      </c>
      <c r="H189" s="26">
        <v>8040812</v>
      </c>
      <c r="I189" s="26">
        <v>0</v>
      </c>
      <c r="J189" s="26">
        <v>7</v>
      </c>
      <c r="K189" t="inlineStr">
        <is>
          <t>Non</t>
        </is>
      </c>
      <c r="L189">
        <f>SUBTOTAL(103,A189)</f>
        <v>1</v>
      </c>
    </row>
    <row r="190">
      <c r="A190" t="inlineStr">
        <is>
          <t>SOCIETE C2367</t>
        </is>
      </c>
      <c r="B190" t="inlineStr">
        <is>
          <t>C2367</t>
        </is>
      </c>
      <c r="C190" t="inlineStr">
        <is>
          <t>CORPORATE BANKING</t>
        </is>
      </c>
      <c r="D190" t="inlineStr">
        <is>
          <t>III</t>
        </is>
      </c>
      <c r="E190" t="inlineStr">
        <is>
          <t>Stage 3</t>
        </is>
      </c>
      <c r="F190" t="inlineStr">
        <is>
          <t>N/A</t>
        </is>
      </c>
      <c r="G190" s="26">
        <v>275221359</v>
      </c>
      <c r="H190" s="26">
        <v>151371747</v>
      </c>
      <c r="I190" s="26">
        <v>46561469</v>
      </c>
      <c r="J190" s="26">
        <v>30</v>
      </c>
      <c r="K190" t="inlineStr">
        <is>
          <t>Oui</t>
        </is>
      </c>
      <c r="L190">
        <f>SUBTOTAL(103,A190)</f>
        <v>1</v>
      </c>
    </row>
    <row r="191">
      <c r="A191" t="inlineStr">
        <is>
          <t>SOCIETE C1378</t>
        </is>
      </c>
      <c r="B191" t="inlineStr">
        <is>
          <t>C1378</t>
        </is>
      </c>
      <c r="C191" t="inlineStr">
        <is>
          <t>CORPORATE BANKING</t>
        </is>
      </c>
      <c r="D191" t="inlineStr">
        <is>
          <t>V</t>
        </is>
      </c>
      <c r="E191" t="inlineStr">
        <is>
          <t>Stage 3</t>
        </is>
      </c>
      <c r="F191" t="inlineStr">
        <is>
          <t>N/A</t>
        </is>
      </c>
      <c r="G191" s="26">
        <v>168563366</v>
      </c>
      <c r="H191" s="26">
        <v>92709851</v>
      </c>
      <c r="I191" s="26">
        <v>0</v>
      </c>
      <c r="J191" s="26">
        <v>35</v>
      </c>
      <c r="K191" t="inlineStr">
        <is>
          <t>Oui</t>
        </is>
      </c>
      <c r="L191">
        <f>SUBTOTAL(103,A191)</f>
        <v>1</v>
      </c>
    </row>
    <row r="192">
      <c r="A192" t="inlineStr">
        <is>
          <t>SOCIETE C1856</t>
        </is>
      </c>
      <c r="B192" t="inlineStr">
        <is>
          <t>C1856</t>
        </is>
      </c>
      <c r="C192" t="inlineStr">
        <is>
          <t>CORPORATE BANKING</t>
        </is>
      </c>
      <c r="D192" t="inlineStr">
        <is>
          <t>I</t>
        </is>
      </c>
      <c r="E192" t="inlineStr">
        <is>
          <t>Stage 1</t>
        </is>
      </c>
      <c r="F192" t="inlineStr">
        <is>
          <t>N/A</t>
        </is>
      </c>
      <c r="G192" s="26">
        <v>714215737</v>
      </c>
      <c r="H192" s="26">
        <v>7142157</v>
      </c>
      <c r="I192" s="26">
        <v>65917664</v>
      </c>
      <c r="J192" s="26">
        <v>246</v>
      </c>
      <c r="K192" t="inlineStr">
        <is>
          <t>Non</t>
        </is>
      </c>
      <c r="L192">
        <f>SUBTOTAL(103,A192)</f>
        <v>1</v>
      </c>
    </row>
    <row r="193">
      <c r="A193" t="inlineStr">
        <is>
          <t>SOCIETE C2012</t>
        </is>
      </c>
      <c r="B193" t="inlineStr">
        <is>
          <t>C2012</t>
        </is>
      </c>
      <c r="C193" t="inlineStr">
        <is>
          <t>CONSUMER BANKING</t>
        </is>
      </c>
      <c r="D193" t="inlineStr">
        <is>
          <t>III</t>
        </is>
      </c>
      <c r="E193" t="inlineStr">
        <is>
          <t>Stage 3</t>
        </is>
      </c>
      <c r="F193" t="inlineStr">
        <is>
          <t>N/A</t>
        </is>
      </c>
      <c r="G193" s="26">
        <v>255281550</v>
      </c>
      <c r="H193" s="26">
        <v>140404853</v>
      </c>
      <c r="I193" s="26">
        <v>0</v>
      </c>
      <c r="J193" s="26">
        <v>30</v>
      </c>
      <c r="K193" t="inlineStr">
        <is>
          <t>Oui</t>
        </is>
      </c>
      <c r="L193">
        <f>SUBTOTAL(103,A193)</f>
        <v>1</v>
      </c>
    </row>
    <row r="194">
      <c r="A194" t="inlineStr">
        <is>
          <t>SOCIETE C860</t>
        </is>
      </c>
      <c r="B194" t="inlineStr">
        <is>
          <t>C860</t>
        </is>
      </c>
      <c r="C194" t="inlineStr">
        <is>
          <t>PUBLIC SECTOR</t>
        </is>
      </c>
      <c r="D194" t="inlineStr">
        <is>
          <t>V</t>
        </is>
      </c>
      <c r="E194" t="inlineStr">
        <is>
          <t>Stage 3</t>
        </is>
      </c>
      <c r="F194" t="inlineStr">
        <is>
          <t>N/A</t>
        </is>
      </c>
      <c r="G194" s="26">
        <v>685950769</v>
      </c>
      <c r="H194" s="26">
        <v>377272923</v>
      </c>
      <c r="I194" s="26">
        <v>0</v>
      </c>
      <c r="J194" s="26">
        <v>2</v>
      </c>
      <c r="K194" t="inlineStr">
        <is>
          <t>Oui</t>
        </is>
      </c>
      <c r="L194">
        <f>SUBTOTAL(103,A194)</f>
        <v>1</v>
      </c>
    </row>
    <row r="195">
      <c r="A195" t="inlineStr">
        <is>
          <t>SOCIETE C11</t>
        </is>
      </c>
      <c r="B195" t="inlineStr">
        <is>
          <t>C11</t>
        </is>
      </c>
      <c r="C195" t="inlineStr">
        <is>
          <t>COMMERCIAL BANKING</t>
        </is>
      </c>
      <c r="D195" t="inlineStr">
        <is>
          <t>I</t>
        </is>
      </c>
      <c r="E195" t="inlineStr">
        <is>
          <t>Stage 1</t>
        </is>
      </c>
      <c r="F195" t="inlineStr">
        <is>
          <t>N/A</t>
        </is>
      </c>
      <c r="G195" s="26">
        <v>74526727</v>
      </c>
      <c r="H195" s="26">
        <v>745267</v>
      </c>
      <c r="I195" s="26">
        <v>9039380</v>
      </c>
      <c r="J195" s="26">
        <v>240</v>
      </c>
      <c r="K195" t="inlineStr">
        <is>
          <t>Non</t>
        </is>
      </c>
      <c r="L195">
        <f>SUBTOTAL(103,A195)</f>
        <v>1</v>
      </c>
    </row>
    <row r="196">
      <c r="A196" t="inlineStr">
        <is>
          <t>SOCIETE C542</t>
        </is>
      </c>
      <c r="B196" t="inlineStr">
        <is>
          <t>C542</t>
        </is>
      </c>
      <c r="C196" t="inlineStr">
        <is>
          <t>CONSUMER BANKING</t>
        </is>
      </c>
      <c r="D196" t="inlineStr">
        <is>
          <t>III</t>
        </is>
      </c>
      <c r="E196" t="inlineStr">
        <is>
          <t>Stage 3</t>
        </is>
      </c>
      <c r="F196" t="inlineStr">
        <is>
          <t>N/A</t>
        </is>
      </c>
      <c r="G196" s="26">
        <v>916945360</v>
      </c>
      <c r="H196" s="26">
        <v>504319948</v>
      </c>
      <c r="I196" s="26">
        <v>0</v>
      </c>
      <c r="J196" s="26">
        <v>6</v>
      </c>
      <c r="K196" t="inlineStr">
        <is>
          <t>Oui</t>
        </is>
      </c>
      <c r="L196">
        <f>SUBTOTAL(103,A196)</f>
        <v>1</v>
      </c>
    </row>
    <row r="197">
      <c r="A197" t="inlineStr">
        <is>
          <t>SOCIETE C1218</t>
        </is>
      </c>
      <c r="B197" t="inlineStr">
        <is>
          <t>C1218</t>
        </is>
      </c>
      <c r="C197" t="inlineStr">
        <is>
          <t>COMMERCIAL BANKING</t>
        </is>
      </c>
      <c r="D197" t="inlineStr">
        <is>
          <t>II</t>
        </is>
      </c>
      <c r="E197" t="inlineStr">
        <is>
          <t>Stage 2</t>
        </is>
      </c>
      <c r="F197" t="inlineStr">
        <is>
          <t>N/A</t>
        </is>
      </c>
      <c r="G197" s="26">
        <v>214460795</v>
      </c>
      <c r="H197" s="26">
        <v>12867648</v>
      </c>
      <c r="I197" s="26">
        <v>0</v>
      </c>
      <c r="J197" s="26">
        <v>0</v>
      </c>
      <c r="K197" t="inlineStr">
        <is>
          <t>Non</t>
        </is>
      </c>
      <c r="L197">
        <f>SUBTOTAL(103,A197)</f>
        <v>1</v>
      </c>
    </row>
    <row r="198">
      <c r="A198" t="inlineStr">
        <is>
          <t>SOCIETE C924</t>
        </is>
      </c>
      <c r="B198" t="inlineStr">
        <is>
          <t>C924</t>
        </is>
      </c>
      <c r="C198" t="inlineStr">
        <is>
          <t>CORPORATE BANKING</t>
        </is>
      </c>
      <c r="D198" t="inlineStr">
        <is>
          <t>I</t>
        </is>
      </c>
      <c r="E198" t="inlineStr">
        <is>
          <t>Stage 1</t>
        </is>
      </c>
      <c r="F198" t="inlineStr">
        <is>
          <t>N/A</t>
        </is>
      </c>
      <c r="G198" s="26">
        <v>92405465</v>
      </c>
      <c r="H198" s="26">
        <v>924055</v>
      </c>
      <c r="I198" s="26">
        <v>0</v>
      </c>
      <c r="J198" s="26">
        <v>84</v>
      </c>
      <c r="K198" t="inlineStr">
        <is>
          <t>Non</t>
        </is>
      </c>
      <c r="L198">
        <f>SUBTOTAL(103,A198)</f>
        <v>1</v>
      </c>
    </row>
    <row r="199">
      <c r="A199" t="inlineStr">
        <is>
          <t>SOCIETE C1153</t>
        </is>
      </c>
      <c r="B199" t="inlineStr">
        <is>
          <t>C1153</t>
        </is>
      </c>
      <c r="C199" t="inlineStr">
        <is>
          <t>CORPORATE BANKING</t>
        </is>
      </c>
      <c r="D199" t="inlineStr">
        <is>
          <t>I</t>
        </is>
      </c>
      <c r="E199" t="inlineStr">
        <is>
          <t>Stage 1</t>
        </is>
      </c>
      <c r="F199" t="inlineStr">
        <is>
          <t>N/A</t>
        </is>
      </c>
      <c r="G199" s="26">
        <v>96976867</v>
      </c>
      <c r="H199" s="26">
        <v>969769</v>
      </c>
      <c r="I199" s="26">
        <v>0</v>
      </c>
      <c r="J199" s="26">
        <v>230</v>
      </c>
      <c r="K199" t="inlineStr">
        <is>
          <t>Non</t>
        </is>
      </c>
      <c r="L199">
        <f>SUBTOTAL(103,A199)</f>
        <v>1</v>
      </c>
    </row>
    <row r="200">
      <c r="A200" t="inlineStr">
        <is>
          <t>SOCIETE C1324</t>
        </is>
      </c>
      <c r="B200" t="inlineStr">
        <is>
          <t>C1324</t>
        </is>
      </c>
      <c r="C200" t="inlineStr">
        <is>
          <t>CORPORATE BANKING</t>
        </is>
      </c>
      <c r="D200" t="inlineStr">
        <is>
          <t>V</t>
        </is>
      </c>
      <c r="E200" t="inlineStr">
        <is>
          <t>Stage 3</t>
        </is>
      </c>
      <c r="F200" t="inlineStr">
        <is>
          <t>N/A</t>
        </is>
      </c>
      <c r="G200" s="26">
        <v>282188475</v>
      </c>
      <c r="H200" s="26">
        <v>155203661</v>
      </c>
      <c r="I200" s="26">
        <v>0</v>
      </c>
      <c r="J200" s="26">
        <v>48</v>
      </c>
      <c r="K200" t="inlineStr">
        <is>
          <t>Oui</t>
        </is>
      </c>
      <c r="L200">
        <f>SUBTOTAL(103,A200)</f>
        <v>1</v>
      </c>
    </row>
    <row r="201">
      <c r="A201" t="inlineStr">
        <is>
          <t>SOCIETE C2357</t>
        </is>
      </c>
      <c r="B201" t="inlineStr">
        <is>
          <t>C2357</t>
        </is>
      </c>
      <c r="C201" t="inlineStr">
        <is>
          <t>PUBLIC SECTOR</t>
        </is>
      </c>
      <c r="D201" t="inlineStr">
        <is>
          <t>IV</t>
        </is>
      </c>
      <c r="E201" t="inlineStr">
        <is>
          <t>Stage 3</t>
        </is>
      </c>
      <c r="F201" t="inlineStr">
        <is>
          <t>N/A</t>
        </is>
      </c>
      <c r="G201" s="26">
        <v>408269279</v>
      </c>
      <c r="H201" s="26">
        <v>224548104</v>
      </c>
      <c r="I201" s="26">
        <v>0</v>
      </c>
      <c r="J201" s="26">
        <v>106</v>
      </c>
      <c r="K201" t="inlineStr">
        <is>
          <t>Oui</t>
        </is>
      </c>
      <c r="L201">
        <f>SUBTOTAL(103,A201)</f>
        <v>1</v>
      </c>
    </row>
    <row r="202">
      <c r="A202" t="inlineStr">
        <is>
          <t>SOCIETE C1474</t>
        </is>
      </c>
      <c r="B202" t="inlineStr">
        <is>
          <t>C1474</t>
        </is>
      </c>
      <c r="C202" t="inlineStr">
        <is>
          <t>CONSUMER BANKING</t>
        </is>
      </c>
      <c r="D202" t="inlineStr">
        <is>
          <t>I</t>
        </is>
      </c>
      <c r="E202" t="inlineStr">
        <is>
          <t>Stage 1</t>
        </is>
      </c>
      <c r="F202" t="inlineStr">
        <is>
          <t>N/A</t>
        </is>
      </c>
      <c r="G202" s="26">
        <v>722021800</v>
      </c>
      <c r="H202" s="26">
        <v>7220218</v>
      </c>
      <c r="I202" s="26">
        <v>0</v>
      </c>
      <c r="J202" s="26">
        <v>69</v>
      </c>
      <c r="K202" t="inlineStr">
        <is>
          <t>Non</t>
        </is>
      </c>
      <c r="L202">
        <f>SUBTOTAL(103,A202)</f>
        <v>1</v>
      </c>
    </row>
    <row r="203">
      <c r="A203" t="inlineStr">
        <is>
          <t>SOCIETE C761</t>
        </is>
      </c>
      <c r="B203" t="inlineStr">
        <is>
          <t>C761</t>
        </is>
      </c>
      <c r="C203" t="inlineStr">
        <is>
          <t>PUBLIC SECTOR</t>
        </is>
      </c>
      <c r="D203" t="inlineStr">
        <is>
          <t>II</t>
        </is>
      </c>
      <c r="E203" t="inlineStr">
        <is>
          <t>Stage 2</t>
        </is>
      </c>
      <c r="F203" t="inlineStr">
        <is>
          <t>N/A</t>
        </is>
      </c>
      <c r="G203" s="26">
        <v>1081046</v>
      </c>
      <c r="H203" s="26">
        <v>64863</v>
      </c>
      <c r="I203" s="26">
        <v>126227</v>
      </c>
      <c r="J203" s="26">
        <v>99</v>
      </c>
      <c r="K203" t="inlineStr">
        <is>
          <t>Non</t>
        </is>
      </c>
      <c r="L203">
        <f>SUBTOTAL(103,A203)</f>
        <v>1</v>
      </c>
    </row>
    <row r="204">
      <c r="A204" t="inlineStr">
        <is>
          <t>SOCIETE C2064</t>
        </is>
      </c>
      <c r="B204" t="inlineStr">
        <is>
          <t>C2064</t>
        </is>
      </c>
      <c r="C204" t="inlineStr">
        <is>
          <t>CONSUMER BANKING</t>
        </is>
      </c>
      <c r="D204" t="inlineStr">
        <is>
          <t>V</t>
        </is>
      </c>
      <c r="E204" t="inlineStr">
        <is>
          <t>Stage 3</t>
        </is>
      </c>
      <c r="F204" t="inlineStr">
        <is>
          <t>N/A</t>
        </is>
      </c>
      <c r="G204" s="26">
        <v>335307442</v>
      </c>
      <c r="H204" s="26">
        <v>184419093</v>
      </c>
      <c r="I204" s="26">
        <v>0</v>
      </c>
      <c r="J204" s="26">
        <v>121</v>
      </c>
      <c r="K204" t="inlineStr">
        <is>
          <t>Oui</t>
        </is>
      </c>
      <c r="L204">
        <f>SUBTOTAL(103,A204)</f>
        <v>1</v>
      </c>
    </row>
    <row r="205">
      <c r="A205" t="inlineStr">
        <is>
          <t>SOCIETE C1902</t>
        </is>
      </c>
      <c r="B205" t="inlineStr">
        <is>
          <t>C1902</t>
        </is>
      </c>
      <c r="C205" t="inlineStr">
        <is>
          <t>PUBLIC SECTOR</t>
        </is>
      </c>
      <c r="D205" t="inlineStr">
        <is>
          <t>III</t>
        </is>
      </c>
      <c r="E205" t="inlineStr">
        <is>
          <t>Stage 3</t>
        </is>
      </c>
      <c r="F205" t="inlineStr">
        <is>
          <t>N/A</t>
        </is>
      </c>
      <c r="G205" s="26">
        <v>77584355</v>
      </c>
      <c r="H205" s="26">
        <v>42671395</v>
      </c>
      <c r="I205" s="26">
        <v>0</v>
      </c>
      <c r="J205" s="26">
        <v>6</v>
      </c>
      <c r="K205" t="inlineStr">
        <is>
          <t>Oui</t>
        </is>
      </c>
      <c r="L205">
        <f>SUBTOTAL(103,A205)</f>
        <v>1</v>
      </c>
    </row>
    <row r="206">
      <c r="A206" t="inlineStr">
        <is>
          <t>SOCIETE C558</t>
        </is>
      </c>
      <c r="B206" t="inlineStr">
        <is>
          <t>C558</t>
        </is>
      </c>
      <c r="C206" t="inlineStr">
        <is>
          <t>PUBLIC SECTOR</t>
        </is>
      </c>
      <c r="D206" t="inlineStr">
        <is>
          <t>V</t>
        </is>
      </c>
      <c r="E206" t="inlineStr">
        <is>
          <t>Stage 3</t>
        </is>
      </c>
      <c r="F206" t="inlineStr">
        <is>
          <t>N/A</t>
        </is>
      </c>
      <c r="G206" s="26">
        <v>10911732</v>
      </c>
      <c r="H206" s="26">
        <v>6001453</v>
      </c>
      <c r="I206" s="26">
        <v>64194</v>
      </c>
      <c r="J206" s="26">
        <v>137</v>
      </c>
      <c r="K206" t="inlineStr">
        <is>
          <t>Oui</t>
        </is>
      </c>
      <c r="L206">
        <f>SUBTOTAL(103,A206)</f>
        <v>1</v>
      </c>
    </row>
    <row r="207">
      <c r="A207" t="inlineStr">
        <is>
          <t>SOCIETE C745</t>
        </is>
      </c>
      <c r="B207" t="inlineStr">
        <is>
          <t>C745</t>
        </is>
      </c>
      <c r="C207" t="inlineStr">
        <is>
          <t>CORPORATE BANKING</t>
        </is>
      </c>
      <c r="D207" t="inlineStr">
        <is>
          <t>I</t>
        </is>
      </c>
      <c r="E207" t="inlineStr">
        <is>
          <t>Stage 1</t>
        </is>
      </c>
      <c r="F207" t="inlineStr">
        <is>
          <t>N/A</t>
        </is>
      </c>
      <c r="G207" s="26">
        <v>1240614204</v>
      </c>
      <c r="H207" s="26">
        <v>12406142</v>
      </c>
      <c r="I207" s="26">
        <v>0</v>
      </c>
      <c r="J207" s="26">
        <v>7</v>
      </c>
      <c r="K207" t="inlineStr">
        <is>
          <t>Non</t>
        </is>
      </c>
      <c r="L207">
        <f>SUBTOTAL(103,A207)</f>
        <v>1</v>
      </c>
    </row>
    <row r="208">
      <c r="A208" t="inlineStr">
        <is>
          <t>SOCIETE C2091</t>
        </is>
      </c>
      <c r="B208" t="inlineStr">
        <is>
          <t>C2091</t>
        </is>
      </c>
      <c r="C208" t="inlineStr">
        <is>
          <t>CORPORATE BANKING</t>
        </is>
      </c>
      <c r="D208" t="inlineStr">
        <is>
          <t>V</t>
        </is>
      </c>
      <c r="E208" t="inlineStr">
        <is>
          <t>Stage 3</t>
        </is>
      </c>
      <c r="F208" t="inlineStr">
        <is>
          <t>N/A</t>
        </is>
      </c>
      <c r="G208" s="26">
        <v>22054391</v>
      </c>
      <c r="H208" s="26">
        <v>12129915</v>
      </c>
      <c r="I208" s="26">
        <v>0</v>
      </c>
      <c r="J208" s="26">
        <v>26</v>
      </c>
      <c r="K208" t="inlineStr">
        <is>
          <t>Oui</t>
        </is>
      </c>
      <c r="L208">
        <f>SUBTOTAL(103,A208)</f>
        <v>1</v>
      </c>
    </row>
    <row r="209">
      <c r="A209" t="inlineStr">
        <is>
          <t>SOCIETE C2353</t>
        </is>
      </c>
      <c r="B209" t="inlineStr">
        <is>
          <t>C2353</t>
        </is>
      </c>
      <c r="C209" t="inlineStr">
        <is>
          <t>PUBLIC SECTOR</t>
        </is>
      </c>
      <c r="D209" t="inlineStr">
        <is>
          <t>I</t>
        </is>
      </c>
      <c r="E209" t="inlineStr">
        <is>
          <t>Stage 1</t>
        </is>
      </c>
      <c r="F209" t="inlineStr">
        <is>
          <t>N/A</t>
        </is>
      </c>
      <c r="G209" s="26">
        <v>448568978</v>
      </c>
      <c r="H209" s="26">
        <v>4485690</v>
      </c>
      <c r="I209" s="26">
        <v>0</v>
      </c>
      <c r="J209" s="26">
        <v>50</v>
      </c>
      <c r="K209" t="inlineStr">
        <is>
          <t>Non</t>
        </is>
      </c>
      <c r="L209">
        <f>SUBTOTAL(103,A209)</f>
        <v>1</v>
      </c>
    </row>
    <row r="210">
      <c r="A210" t="inlineStr">
        <is>
          <t>SOCIETE C1916</t>
        </is>
      </c>
      <c r="B210" t="inlineStr">
        <is>
          <t>C1916</t>
        </is>
      </c>
      <c r="C210" t="inlineStr">
        <is>
          <t>CORPORATE BANKING</t>
        </is>
      </c>
      <c r="D210" t="inlineStr">
        <is>
          <t>IA</t>
        </is>
      </c>
      <c r="E210" t="inlineStr">
        <is>
          <t>Stage 2</t>
        </is>
      </c>
      <c r="F210" t="inlineStr">
        <is>
          <t>N/A</t>
        </is>
      </c>
      <c r="G210" s="26">
        <v>26516682</v>
      </c>
      <c r="H210" s="26">
        <v>1591001</v>
      </c>
      <c r="I210" s="26">
        <v>0</v>
      </c>
      <c r="J210" s="26">
        <v>219</v>
      </c>
      <c r="K210" t="inlineStr">
        <is>
          <t>Non</t>
        </is>
      </c>
      <c r="L210">
        <f>SUBTOTAL(103,A210)</f>
        <v>1</v>
      </c>
    </row>
    <row r="211">
      <c r="A211" t="inlineStr">
        <is>
          <t>SOCIETE C486</t>
        </is>
      </c>
      <c r="B211" t="inlineStr">
        <is>
          <t>C486</t>
        </is>
      </c>
      <c r="C211" t="inlineStr">
        <is>
          <t>COMMERCIAL BANKING</t>
        </is>
      </c>
      <c r="D211" t="inlineStr">
        <is>
          <t>IA</t>
        </is>
      </c>
      <c r="E211" t="inlineStr">
        <is>
          <t>Stage 2</t>
        </is>
      </c>
      <c r="F211" t="inlineStr">
        <is>
          <t>N/A</t>
        </is>
      </c>
      <c r="G211" s="26">
        <v>1384238</v>
      </c>
      <c r="H211" s="26">
        <v>83054</v>
      </c>
      <c r="I211" s="26">
        <v>0</v>
      </c>
      <c r="J211" s="26">
        <v>204</v>
      </c>
      <c r="K211" t="inlineStr">
        <is>
          <t>Non</t>
        </is>
      </c>
      <c r="L211">
        <f>SUBTOTAL(103,A211)</f>
        <v>1</v>
      </c>
    </row>
    <row r="212">
      <c r="A212" t="inlineStr">
        <is>
          <t>SOCIETE C847</t>
        </is>
      </c>
      <c r="B212" t="inlineStr">
        <is>
          <t>C847</t>
        </is>
      </c>
      <c r="C212" t="inlineStr">
        <is>
          <t>CORPORATE BANKING</t>
        </is>
      </c>
      <c r="D212" t="inlineStr">
        <is>
          <t>I</t>
        </is>
      </c>
      <c r="E212" t="inlineStr">
        <is>
          <t>Stage 1</t>
        </is>
      </c>
      <c r="F212" t="inlineStr">
        <is>
          <t>N/A</t>
        </is>
      </c>
      <c r="G212" s="26">
        <v>507202814</v>
      </c>
      <c r="H212" s="26">
        <v>5072028</v>
      </c>
      <c r="I212" s="26">
        <v>88188583</v>
      </c>
      <c r="J212" s="26">
        <v>85</v>
      </c>
      <c r="K212" t="inlineStr">
        <is>
          <t>Non</t>
        </is>
      </c>
      <c r="L212">
        <f>SUBTOTAL(103,A212)</f>
        <v>1</v>
      </c>
    </row>
    <row r="213">
      <c r="A213" t="inlineStr">
        <is>
          <t>SOCIETE C2374</t>
        </is>
      </c>
      <c r="B213" t="inlineStr">
        <is>
          <t>C2374</t>
        </is>
      </c>
      <c r="C213" t="inlineStr">
        <is>
          <t>PUBLIC SECTOR</t>
        </is>
      </c>
      <c r="D213" t="inlineStr">
        <is>
          <t>V</t>
        </is>
      </c>
      <c r="E213" t="inlineStr">
        <is>
          <t>Stage 3</t>
        </is>
      </c>
      <c r="F213" t="inlineStr">
        <is>
          <t>N/A</t>
        </is>
      </c>
      <c r="G213" s="26">
        <v>391944130</v>
      </c>
      <c r="H213" s="26">
        <v>215569272</v>
      </c>
      <c r="I213" s="26">
        <v>7261424</v>
      </c>
      <c r="J213" s="26">
        <v>97</v>
      </c>
      <c r="K213" t="inlineStr">
        <is>
          <t>Oui</t>
        </is>
      </c>
      <c r="L213">
        <f>SUBTOTAL(103,A213)</f>
        <v>1</v>
      </c>
    </row>
    <row r="214">
      <c r="A214" t="inlineStr">
        <is>
          <t>SOCIETE C1141</t>
        </is>
      </c>
      <c r="B214" t="inlineStr">
        <is>
          <t>C1141</t>
        </is>
      </c>
      <c r="C214" t="inlineStr">
        <is>
          <t>CORPORATE BANKING</t>
        </is>
      </c>
      <c r="D214" t="inlineStr">
        <is>
          <t>IV</t>
        </is>
      </c>
      <c r="E214" t="inlineStr">
        <is>
          <t>Stage 3</t>
        </is>
      </c>
      <c r="F214" t="inlineStr">
        <is>
          <t>N/A</t>
        </is>
      </c>
      <c r="G214" s="26">
        <v>1104559982</v>
      </c>
      <c r="H214" s="26">
        <v>607507990</v>
      </c>
      <c r="I214" s="26">
        <v>0</v>
      </c>
      <c r="J214" s="26">
        <v>261</v>
      </c>
      <c r="K214" t="inlineStr">
        <is>
          <t>Oui</t>
        </is>
      </c>
      <c r="L214">
        <f>SUBTOTAL(103,A214)</f>
        <v>1</v>
      </c>
    </row>
    <row r="215">
      <c r="A215" t="inlineStr">
        <is>
          <t>SOCIETE C2017</t>
        </is>
      </c>
      <c r="B215" t="inlineStr">
        <is>
          <t>C2017</t>
        </is>
      </c>
      <c r="C215" t="inlineStr">
        <is>
          <t>CORPORATE BANKING</t>
        </is>
      </c>
      <c r="D215" t="inlineStr">
        <is>
          <t>II</t>
        </is>
      </c>
      <c r="E215" t="inlineStr">
        <is>
          <t>Stage 2</t>
        </is>
      </c>
      <c r="F215" t="inlineStr">
        <is>
          <t>N/A</t>
        </is>
      </c>
      <c r="G215" s="26">
        <v>1297768632</v>
      </c>
      <c r="H215" s="26">
        <v>77866118</v>
      </c>
      <c r="I215" s="26">
        <v>74210930</v>
      </c>
      <c r="J215" s="26">
        <v>140</v>
      </c>
      <c r="K215" t="inlineStr">
        <is>
          <t>Non</t>
        </is>
      </c>
      <c r="L215">
        <f>SUBTOTAL(103,A215)</f>
        <v>1</v>
      </c>
    </row>
    <row r="216">
      <c r="A216" t="inlineStr">
        <is>
          <t>SOCIETE C388</t>
        </is>
      </c>
      <c r="B216" t="inlineStr">
        <is>
          <t>C388</t>
        </is>
      </c>
      <c r="C216" t="inlineStr">
        <is>
          <t>CORPORATE BANKING</t>
        </is>
      </c>
      <c r="D216" t="inlineStr">
        <is>
          <t>IA</t>
        </is>
      </c>
      <c r="E216" t="inlineStr">
        <is>
          <t>Stage 2</t>
        </is>
      </c>
      <c r="F216" t="inlineStr">
        <is>
          <t>N/A</t>
        </is>
      </c>
      <c r="G216" s="26">
        <v>4905432</v>
      </c>
      <c r="H216" s="26">
        <v>294326</v>
      </c>
      <c r="I216" s="26">
        <v>0</v>
      </c>
      <c r="J216" s="26">
        <v>0</v>
      </c>
      <c r="K216" t="inlineStr">
        <is>
          <t>Non</t>
        </is>
      </c>
      <c r="L216">
        <f>SUBTOTAL(103,A216)</f>
        <v>1</v>
      </c>
    </row>
    <row r="217">
      <c r="A217" t="inlineStr">
        <is>
          <t>SOCIETE C355</t>
        </is>
      </c>
      <c r="B217" t="inlineStr">
        <is>
          <t>C355</t>
        </is>
      </c>
      <c r="C217" t="inlineStr">
        <is>
          <t>CONSUMER BANKING</t>
        </is>
      </c>
      <c r="D217" t="inlineStr">
        <is>
          <t>I</t>
        </is>
      </c>
      <c r="E217" t="inlineStr">
        <is>
          <t>Stage 1</t>
        </is>
      </c>
      <c r="F217" t="inlineStr">
        <is>
          <t>N/A</t>
        </is>
      </c>
      <c r="G217" s="26">
        <v>12211000</v>
      </c>
      <c r="H217" s="26">
        <v>122110</v>
      </c>
      <c r="I217" s="26">
        <v>0</v>
      </c>
      <c r="J217" s="26">
        <v>40</v>
      </c>
      <c r="K217" t="inlineStr">
        <is>
          <t>Non</t>
        </is>
      </c>
      <c r="L217">
        <f>SUBTOTAL(103,A217)</f>
        <v>1</v>
      </c>
    </row>
    <row r="218">
      <c r="A218" t="inlineStr">
        <is>
          <t>SOCIETE C2318</t>
        </is>
      </c>
      <c r="B218" t="inlineStr">
        <is>
          <t>C2318</t>
        </is>
      </c>
      <c r="C218" t="inlineStr">
        <is>
          <t>COMMERCIAL BANKING</t>
        </is>
      </c>
      <c r="D218" t="inlineStr">
        <is>
          <t>I</t>
        </is>
      </c>
      <c r="E218" t="inlineStr">
        <is>
          <t>Stage 1</t>
        </is>
      </c>
      <c r="F218" t="inlineStr">
        <is>
          <t>N/A</t>
        </is>
      </c>
      <c r="G218" s="26">
        <v>286564172</v>
      </c>
      <c r="H218" s="26">
        <v>2865642</v>
      </c>
      <c r="I218" s="26">
        <v>27569532</v>
      </c>
      <c r="J218" s="26">
        <v>109</v>
      </c>
      <c r="K218" t="inlineStr">
        <is>
          <t>Non</t>
        </is>
      </c>
      <c r="L218">
        <f>SUBTOTAL(103,A218)</f>
        <v>1</v>
      </c>
    </row>
    <row r="219">
      <c r="A219" t="inlineStr">
        <is>
          <t>SOCIETE C202</t>
        </is>
      </c>
      <c r="B219" t="inlineStr">
        <is>
          <t>C202</t>
        </is>
      </c>
      <c r="C219" t="inlineStr">
        <is>
          <t>PUBLIC SECTOR</t>
        </is>
      </c>
      <c r="D219" t="inlineStr">
        <is>
          <t>IV</t>
        </is>
      </c>
      <c r="E219" t="inlineStr">
        <is>
          <t>Stage 3</t>
        </is>
      </c>
      <c r="F219" t="inlineStr">
        <is>
          <t>N/A</t>
        </is>
      </c>
      <c r="G219" s="26">
        <v>233149815</v>
      </c>
      <c r="H219" s="26">
        <v>128232398</v>
      </c>
      <c r="I219" s="26">
        <v>0</v>
      </c>
      <c r="J219" s="26">
        <v>215</v>
      </c>
      <c r="K219" t="inlineStr">
        <is>
          <t>Oui</t>
        </is>
      </c>
      <c r="L219">
        <f>SUBTOTAL(103,A219)</f>
        <v>1</v>
      </c>
    </row>
    <row r="220">
      <c r="A220" t="inlineStr">
        <is>
          <t>SOCIETE C331</t>
        </is>
      </c>
      <c r="B220" t="inlineStr">
        <is>
          <t>C331</t>
        </is>
      </c>
      <c r="C220" t="inlineStr">
        <is>
          <t>CORPORATE BANKING</t>
        </is>
      </c>
      <c r="D220" t="inlineStr">
        <is>
          <t>I</t>
        </is>
      </c>
      <c r="E220" t="inlineStr">
        <is>
          <t>Stage 1</t>
        </is>
      </c>
      <c r="F220" t="inlineStr">
        <is>
          <t>N/A</t>
        </is>
      </c>
      <c r="G220" s="26">
        <v>11727962</v>
      </c>
      <c r="H220" s="26">
        <v>117280</v>
      </c>
      <c r="I220" s="26">
        <v>1497558</v>
      </c>
      <c r="J220" s="26">
        <v>200</v>
      </c>
      <c r="K220" t="inlineStr">
        <is>
          <t>Non</t>
        </is>
      </c>
      <c r="L220">
        <f>SUBTOTAL(103,A220)</f>
        <v>1</v>
      </c>
    </row>
    <row r="221">
      <c r="A221" t="inlineStr">
        <is>
          <t>SOCIETE C2286</t>
        </is>
      </c>
      <c r="B221" t="inlineStr">
        <is>
          <t>C2286</t>
        </is>
      </c>
      <c r="C221" t="inlineStr">
        <is>
          <t>CORPORATE BANKING</t>
        </is>
      </c>
      <c r="D221" t="inlineStr">
        <is>
          <t>V</t>
        </is>
      </c>
      <c r="E221" t="inlineStr">
        <is>
          <t>Stage 3</t>
        </is>
      </c>
      <c r="F221" t="inlineStr">
        <is>
          <t>N/A</t>
        </is>
      </c>
      <c r="G221" s="26">
        <v>1077535</v>
      </c>
      <c r="H221" s="26">
        <v>592644</v>
      </c>
      <c r="I221" s="26">
        <v>0</v>
      </c>
      <c r="J221" s="26">
        <v>14</v>
      </c>
      <c r="K221" t="inlineStr">
        <is>
          <t>Oui</t>
        </is>
      </c>
      <c r="L221">
        <f>SUBTOTAL(103,A221)</f>
        <v>1</v>
      </c>
    </row>
    <row r="222">
      <c r="A222" t="inlineStr">
        <is>
          <t>SOCIETE C98</t>
        </is>
      </c>
      <c r="B222" t="inlineStr">
        <is>
          <t>C98</t>
        </is>
      </c>
      <c r="C222" t="inlineStr">
        <is>
          <t>CORPORATE BANKING</t>
        </is>
      </c>
      <c r="D222" t="inlineStr">
        <is>
          <t>IV</t>
        </is>
      </c>
      <c r="E222" t="inlineStr">
        <is>
          <t>Stage 3</t>
        </is>
      </c>
      <c r="F222" t="inlineStr">
        <is>
          <t>N/A</t>
        </is>
      </c>
      <c r="G222" s="26">
        <v>3676813</v>
      </c>
      <c r="H222" s="26">
        <v>2022247</v>
      </c>
      <c r="I222" s="26">
        <v>0</v>
      </c>
      <c r="J222" s="26">
        <v>10</v>
      </c>
      <c r="K222" t="inlineStr">
        <is>
          <t>Oui</t>
        </is>
      </c>
      <c r="L222">
        <f>SUBTOTAL(103,A222)</f>
        <v>1</v>
      </c>
    </row>
    <row r="223">
      <c r="A223" t="inlineStr">
        <is>
          <t>SOCIETE C1389</t>
        </is>
      </c>
      <c r="B223" t="inlineStr">
        <is>
          <t>C1389</t>
        </is>
      </c>
      <c r="C223" t="inlineStr">
        <is>
          <t>COMMERCIAL BANKING</t>
        </is>
      </c>
      <c r="D223" t="inlineStr">
        <is>
          <t>I</t>
        </is>
      </c>
      <c r="E223" t="inlineStr">
        <is>
          <t>Stage 1</t>
        </is>
      </c>
      <c r="F223" t="inlineStr">
        <is>
          <t>N/A</t>
        </is>
      </c>
      <c r="G223" s="26">
        <v>84456091</v>
      </c>
      <c r="H223" s="26">
        <v>844561</v>
      </c>
      <c r="I223" s="26">
        <v>14408080</v>
      </c>
      <c r="J223" s="26">
        <v>82</v>
      </c>
      <c r="K223" t="inlineStr">
        <is>
          <t>Non</t>
        </is>
      </c>
      <c r="L223">
        <f>SUBTOTAL(103,A223)</f>
        <v>1</v>
      </c>
    </row>
    <row r="224">
      <c r="A224" t="inlineStr">
        <is>
          <t>SOCIETE C1573</t>
        </is>
      </c>
      <c r="B224" t="inlineStr">
        <is>
          <t>C1573</t>
        </is>
      </c>
      <c r="C224" t="inlineStr">
        <is>
          <t>CORPORATE BANKING</t>
        </is>
      </c>
      <c r="D224" t="inlineStr">
        <is>
          <t>I</t>
        </is>
      </c>
      <c r="E224" t="inlineStr">
        <is>
          <t>Stage 1</t>
        </is>
      </c>
      <c r="F224" t="inlineStr">
        <is>
          <t>N/A</t>
        </is>
      </c>
      <c r="G224" s="26">
        <v>1292516981</v>
      </c>
      <c r="H224" s="26">
        <v>12925170</v>
      </c>
      <c r="I224" s="26">
        <v>84910512</v>
      </c>
      <c r="J224" s="26">
        <v>199</v>
      </c>
      <c r="K224" t="inlineStr">
        <is>
          <t>Non</t>
        </is>
      </c>
      <c r="L224">
        <f>SUBTOTAL(103,A224)</f>
        <v>1</v>
      </c>
    </row>
    <row r="225">
      <c r="A225" t="inlineStr">
        <is>
          <t>SOCIETE C50</t>
        </is>
      </c>
      <c r="B225" t="inlineStr">
        <is>
          <t>C50</t>
        </is>
      </c>
      <c r="C225" t="inlineStr">
        <is>
          <t>COMMERCIAL BANKING</t>
        </is>
      </c>
      <c r="D225" t="inlineStr">
        <is>
          <t>V</t>
        </is>
      </c>
      <c r="E225" t="inlineStr">
        <is>
          <t>Stage 3</t>
        </is>
      </c>
      <c r="F225" t="inlineStr">
        <is>
          <t>N/A</t>
        </is>
      </c>
      <c r="G225" s="26">
        <v>3167065</v>
      </c>
      <c r="H225" s="26">
        <v>1741886</v>
      </c>
      <c r="I225" s="26">
        <v>0</v>
      </c>
      <c r="J225" s="26">
        <v>115</v>
      </c>
      <c r="K225" t="inlineStr">
        <is>
          <t>Oui</t>
        </is>
      </c>
      <c r="L225">
        <f>SUBTOTAL(103,A225)</f>
        <v>1</v>
      </c>
    </row>
    <row r="226">
      <c r="A226" t="inlineStr">
        <is>
          <t>SOCIETE C1483</t>
        </is>
      </c>
      <c r="B226" t="inlineStr">
        <is>
          <t>C1483</t>
        </is>
      </c>
      <c r="C226" t="inlineStr">
        <is>
          <t>COMMERCIAL BANKING</t>
        </is>
      </c>
      <c r="D226" t="inlineStr">
        <is>
          <t>I</t>
        </is>
      </c>
      <c r="E226" t="inlineStr">
        <is>
          <t>Stage 1</t>
        </is>
      </c>
      <c r="F226" t="inlineStr">
        <is>
          <t>N/A</t>
        </is>
      </c>
      <c r="G226" s="26">
        <v>1666961499</v>
      </c>
      <c r="H226" s="26">
        <v>16669615</v>
      </c>
      <c r="I226" s="26">
        <v>0</v>
      </c>
      <c r="J226" s="26">
        <v>251</v>
      </c>
      <c r="K226" t="inlineStr">
        <is>
          <t>Non</t>
        </is>
      </c>
      <c r="L226">
        <f>SUBTOTAL(103,A226)</f>
        <v>1</v>
      </c>
    </row>
    <row r="227">
      <c r="A227" t="inlineStr">
        <is>
          <t>SOCIETE C2073</t>
        </is>
      </c>
      <c r="B227" t="inlineStr">
        <is>
          <t>C2073</t>
        </is>
      </c>
      <c r="C227" t="inlineStr">
        <is>
          <t>PUBLIC SECTOR</t>
        </is>
      </c>
      <c r="D227" t="inlineStr">
        <is>
          <t>IA</t>
        </is>
      </c>
      <c r="E227" t="inlineStr">
        <is>
          <t>Stage 2</t>
        </is>
      </c>
      <c r="F227" t="inlineStr">
        <is>
          <t>N/A</t>
        </is>
      </c>
      <c r="G227" s="26">
        <v>1304310</v>
      </c>
      <c r="H227" s="26">
        <v>78259</v>
      </c>
      <c r="I227" s="26">
        <v>0</v>
      </c>
      <c r="J227" s="26">
        <v>47</v>
      </c>
      <c r="K227" t="inlineStr">
        <is>
          <t>Non</t>
        </is>
      </c>
      <c r="L227">
        <f>SUBTOTAL(103,A227)</f>
        <v>1</v>
      </c>
    </row>
    <row r="228">
      <c r="A228" t="inlineStr">
        <is>
          <t>SOCIETE C2019</t>
        </is>
      </c>
      <c r="B228" t="inlineStr">
        <is>
          <t>C2019</t>
        </is>
      </c>
      <c r="C228" t="inlineStr">
        <is>
          <t>INSTITUTIONAL</t>
        </is>
      </c>
      <c r="D228" t="inlineStr">
        <is>
          <t>IA</t>
        </is>
      </c>
      <c r="E228" t="inlineStr">
        <is>
          <t>Stage 2</t>
        </is>
      </c>
      <c r="F228" t="inlineStr">
        <is>
          <t>N/A</t>
        </is>
      </c>
      <c r="G228" s="26">
        <v>7437437</v>
      </c>
      <c r="H228" s="26">
        <v>446246</v>
      </c>
      <c r="I228" s="26">
        <v>0</v>
      </c>
      <c r="J228" s="26">
        <v>61</v>
      </c>
      <c r="K228" t="inlineStr">
        <is>
          <t>Non</t>
        </is>
      </c>
      <c r="L228">
        <f>SUBTOTAL(103,A228)</f>
        <v>1</v>
      </c>
    </row>
    <row r="229">
      <c r="A229" t="inlineStr">
        <is>
          <t>SOCIETE C410</t>
        </is>
      </c>
      <c r="B229" t="inlineStr">
        <is>
          <t>C410</t>
        </is>
      </c>
      <c r="C229" t="inlineStr">
        <is>
          <t>CORPORATE BANKING</t>
        </is>
      </c>
      <c r="D229" t="inlineStr">
        <is>
          <t>I</t>
        </is>
      </c>
      <c r="E229" t="inlineStr">
        <is>
          <t>Stage 1</t>
        </is>
      </c>
      <c r="F229" t="inlineStr">
        <is>
          <t>N/A</t>
        </is>
      </c>
      <c r="G229" s="26">
        <v>780365243</v>
      </c>
      <c r="H229" s="26">
        <v>7803652</v>
      </c>
      <c r="I229" s="26">
        <v>0</v>
      </c>
      <c r="J229" s="26">
        <v>60</v>
      </c>
      <c r="K229" t="inlineStr">
        <is>
          <t>Non</t>
        </is>
      </c>
      <c r="L229">
        <f>SUBTOTAL(103,A229)</f>
        <v>1</v>
      </c>
    </row>
    <row r="230">
      <c r="A230" t="inlineStr">
        <is>
          <t>SOCIETE C1250</t>
        </is>
      </c>
      <c r="B230" t="inlineStr">
        <is>
          <t>C1250</t>
        </is>
      </c>
      <c r="C230" t="inlineStr">
        <is>
          <t>SME</t>
        </is>
      </c>
      <c r="D230" t="inlineStr">
        <is>
          <t>I</t>
        </is>
      </c>
      <c r="E230" t="inlineStr">
        <is>
          <t>Stage 1</t>
        </is>
      </c>
      <c r="F230" t="inlineStr">
        <is>
          <t>N/A</t>
        </is>
      </c>
      <c r="G230" s="26">
        <v>17680383</v>
      </c>
      <c r="H230" s="26">
        <v>176804</v>
      </c>
      <c r="I230" s="26">
        <v>0</v>
      </c>
      <c r="J230" s="26">
        <v>355</v>
      </c>
      <c r="K230" t="inlineStr">
        <is>
          <t>Non</t>
        </is>
      </c>
      <c r="L230">
        <f>SUBTOTAL(103,A230)</f>
        <v>1</v>
      </c>
    </row>
    <row r="231">
      <c r="A231" t="inlineStr">
        <is>
          <t>SOCIETE C1852</t>
        </is>
      </c>
      <c r="B231" t="inlineStr">
        <is>
          <t>C1852</t>
        </is>
      </c>
      <c r="C231" t="inlineStr">
        <is>
          <t>CORPORATE BANKING</t>
        </is>
      </c>
      <c r="D231" t="inlineStr">
        <is>
          <t>IA</t>
        </is>
      </c>
      <c r="E231" t="inlineStr">
        <is>
          <t>Stage 2</t>
        </is>
      </c>
      <c r="F231" t="inlineStr">
        <is>
          <t>N/A</t>
        </is>
      </c>
      <c r="G231" s="26">
        <v>2933368589</v>
      </c>
      <c r="H231" s="26">
        <v>176002115</v>
      </c>
      <c r="I231" s="26">
        <v>0</v>
      </c>
      <c r="J231" s="26">
        <v>42</v>
      </c>
      <c r="K231" t="inlineStr">
        <is>
          <t>Non</t>
        </is>
      </c>
      <c r="L231">
        <f>SUBTOTAL(103,A231)</f>
        <v>1</v>
      </c>
    </row>
    <row r="232">
      <c r="A232" t="inlineStr">
        <is>
          <t>SOCIETE C216</t>
        </is>
      </c>
      <c r="B232" t="inlineStr">
        <is>
          <t>C216</t>
        </is>
      </c>
      <c r="C232" t="inlineStr">
        <is>
          <t>CORPORATE BANKING</t>
        </is>
      </c>
      <c r="D232" t="inlineStr">
        <is>
          <t>IV</t>
        </is>
      </c>
      <c r="E232" t="inlineStr">
        <is>
          <t>Stage 3</t>
        </is>
      </c>
      <c r="F232" t="inlineStr">
        <is>
          <t>N/A</t>
        </is>
      </c>
      <c r="G232" s="26">
        <v>322970310</v>
      </c>
      <c r="H232" s="26">
        <v>177633670</v>
      </c>
      <c r="I232" s="26">
        <v>53634508</v>
      </c>
      <c r="J232" s="26">
        <v>31</v>
      </c>
      <c r="K232" t="inlineStr">
        <is>
          <t>Oui</t>
        </is>
      </c>
      <c r="L232">
        <f>SUBTOTAL(103,A232)</f>
        <v>1</v>
      </c>
    </row>
    <row r="233">
      <c r="A233" t="inlineStr">
        <is>
          <t>SOCIETE C610</t>
        </is>
      </c>
      <c r="B233" t="inlineStr">
        <is>
          <t>C610</t>
        </is>
      </c>
      <c r="C233" t="inlineStr">
        <is>
          <t>CONSUMER BANKING</t>
        </is>
      </c>
      <c r="D233" t="inlineStr">
        <is>
          <t>I</t>
        </is>
      </c>
      <c r="E233" t="inlineStr">
        <is>
          <t>Stage 1</t>
        </is>
      </c>
      <c r="F233" t="inlineStr">
        <is>
          <t>N/A</t>
        </is>
      </c>
      <c r="G233" s="26">
        <v>1181872</v>
      </c>
      <c r="H233" s="26">
        <v>11819</v>
      </c>
      <c r="I233" s="26">
        <v>37675</v>
      </c>
      <c r="J233" s="26">
        <v>292</v>
      </c>
      <c r="K233" t="inlineStr">
        <is>
          <t>Non</t>
        </is>
      </c>
      <c r="L233">
        <f>SUBTOTAL(103,A233)</f>
        <v>1</v>
      </c>
    </row>
    <row r="234">
      <c r="A234" t="inlineStr">
        <is>
          <t>SOCIETE C56</t>
        </is>
      </c>
      <c r="B234" t="inlineStr">
        <is>
          <t>C56</t>
        </is>
      </c>
      <c r="C234" t="inlineStr">
        <is>
          <t>SME</t>
        </is>
      </c>
      <c r="D234" t="inlineStr">
        <is>
          <t>I</t>
        </is>
      </c>
      <c r="E234" t="inlineStr">
        <is>
          <t>Stage 1</t>
        </is>
      </c>
      <c r="F234" t="inlineStr">
        <is>
          <t>N/A</t>
        </is>
      </c>
      <c r="G234" s="26">
        <v>30091281</v>
      </c>
      <c r="H234" s="26">
        <v>300913</v>
      </c>
      <c r="I234" s="26">
        <v>2904144</v>
      </c>
      <c r="J234" s="26">
        <v>85</v>
      </c>
      <c r="K234" t="inlineStr">
        <is>
          <t>Non</t>
        </is>
      </c>
      <c r="L234">
        <f>SUBTOTAL(103,A234)</f>
        <v>1</v>
      </c>
    </row>
    <row r="235">
      <c r="A235" t="inlineStr">
        <is>
          <t>SOCIETE C1596</t>
        </is>
      </c>
      <c r="B235" t="inlineStr">
        <is>
          <t>C1596</t>
        </is>
      </c>
      <c r="C235" t="inlineStr">
        <is>
          <t>CORPORATE BANKING</t>
        </is>
      </c>
      <c r="D235" t="inlineStr">
        <is>
          <t>I</t>
        </is>
      </c>
      <c r="E235" t="inlineStr">
        <is>
          <t>Stage 1</t>
        </is>
      </c>
      <c r="F235" t="inlineStr">
        <is>
          <t>N/A</t>
        </is>
      </c>
      <c r="G235" s="26">
        <v>718518594</v>
      </c>
      <c r="H235" s="26">
        <v>7185186</v>
      </c>
      <c r="I235" s="26">
        <v>0</v>
      </c>
      <c r="J235" s="26">
        <v>125</v>
      </c>
      <c r="K235" t="inlineStr">
        <is>
          <t>Non</t>
        </is>
      </c>
      <c r="L235">
        <f>SUBTOTAL(103,A235)</f>
        <v>1</v>
      </c>
    </row>
    <row r="236">
      <c r="A236" t="inlineStr">
        <is>
          <t>SOCIETE C695</t>
        </is>
      </c>
      <c r="B236" t="inlineStr">
        <is>
          <t>C695</t>
        </is>
      </c>
      <c r="C236" t="inlineStr">
        <is>
          <t>COMMERCIAL BANKING</t>
        </is>
      </c>
      <c r="D236" t="inlineStr">
        <is>
          <t>I</t>
        </is>
      </c>
      <c r="E236" t="inlineStr">
        <is>
          <t>Stage 1</t>
        </is>
      </c>
      <c r="F236" t="inlineStr">
        <is>
          <t>N/A</t>
        </is>
      </c>
      <c r="G236" s="26">
        <v>1000113</v>
      </c>
      <c r="H236" s="26">
        <v>10001</v>
      </c>
      <c r="I236" s="26">
        <v>0</v>
      </c>
      <c r="J236" s="26">
        <v>76</v>
      </c>
      <c r="K236" t="inlineStr">
        <is>
          <t>Non</t>
        </is>
      </c>
      <c r="L236">
        <f>SUBTOTAL(103,A236)</f>
        <v>1</v>
      </c>
    </row>
    <row r="237">
      <c r="A237" t="inlineStr">
        <is>
          <t>SOCIETE C1399</t>
        </is>
      </c>
      <c r="B237" t="inlineStr">
        <is>
          <t>C1399</t>
        </is>
      </c>
      <c r="C237" t="inlineStr">
        <is>
          <t>CONSUMER BANKING</t>
        </is>
      </c>
      <c r="D237" t="inlineStr">
        <is>
          <t>III</t>
        </is>
      </c>
      <c r="E237" t="inlineStr">
        <is>
          <t>Stage 3</t>
        </is>
      </c>
      <c r="F237" t="inlineStr">
        <is>
          <t>N/A</t>
        </is>
      </c>
      <c r="G237" s="26">
        <v>128846613</v>
      </c>
      <c r="H237" s="26">
        <v>70865637</v>
      </c>
      <c r="I237" s="26">
        <v>4099696</v>
      </c>
      <c r="J237" s="26">
        <v>206</v>
      </c>
      <c r="K237" t="inlineStr">
        <is>
          <t>Oui</t>
        </is>
      </c>
      <c r="L237">
        <f>SUBTOTAL(103,A237)</f>
        <v>1</v>
      </c>
    </row>
    <row r="238">
      <c r="A238" t="inlineStr">
        <is>
          <t>SOCIETE C1255</t>
        </is>
      </c>
      <c r="B238" t="inlineStr">
        <is>
          <t>C1255</t>
        </is>
      </c>
      <c r="C238" t="inlineStr">
        <is>
          <t>COMMERCIAL BANKING</t>
        </is>
      </c>
      <c r="D238" t="inlineStr">
        <is>
          <t>II</t>
        </is>
      </c>
      <c r="E238" t="inlineStr">
        <is>
          <t>Stage 2</t>
        </is>
      </c>
      <c r="F238" t="inlineStr">
        <is>
          <t>N/A</t>
        </is>
      </c>
      <c r="G238" s="26">
        <v>496030277</v>
      </c>
      <c r="H238" s="26">
        <v>29761817</v>
      </c>
      <c r="I238" s="26">
        <v>55424188</v>
      </c>
      <c r="J238" s="26">
        <v>74</v>
      </c>
      <c r="K238" t="inlineStr">
        <is>
          <t>Non</t>
        </is>
      </c>
      <c r="L238">
        <f>SUBTOTAL(103,A238)</f>
        <v>1</v>
      </c>
    </row>
    <row r="239">
      <c r="A239" t="inlineStr">
        <is>
          <t>SOCIETE C1836</t>
        </is>
      </c>
      <c r="B239" t="inlineStr">
        <is>
          <t>C1836</t>
        </is>
      </c>
      <c r="C239" t="inlineStr">
        <is>
          <t>CORPORATE BANKING</t>
        </is>
      </c>
      <c r="D239" t="inlineStr">
        <is>
          <t>I</t>
        </is>
      </c>
      <c r="E239" t="inlineStr">
        <is>
          <t>Stage 1</t>
        </is>
      </c>
      <c r="F239" t="inlineStr">
        <is>
          <t>N/A</t>
        </is>
      </c>
      <c r="G239" s="26">
        <v>1538760409</v>
      </c>
      <c r="H239" s="26">
        <v>15387604</v>
      </c>
      <c r="I239" s="26">
        <v>0</v>
      </c>
      <c r="J239" s="26">
        <v>168</v>
      </c>
      <c r="K239" t="inlineStr">
        <is>
          <t>Non</t>
        </is>
      </c>
      <c r="L239">
        <f>SUBTOTAL(103,A239)</f>
        <v>1</v>
      </c>
    </row>
    <row r="240">
      <c r="A240" t="inlineStr">
        <is>
          <t>SOCIETE C1049</t>
        </is>
      </c>
      <c r="B240" t="inlineStr">
        <is>
          <t>C1049</t>
        </is>
      </c>
      <c r="C240" t="inlineStr">
        <is>
          <t>CORPORATE BANKING</t>
        </is>
      </c>
      <c r="D240" t="inlineStr">
        <is>
          <t>I</t>
        </is>
      </c>
      <c r="E240" t="inlineStr">
        <is>
          <t>Stage 1</t>
        </is>
      </c>
      <c r="F240" t="inlineStr">
        <is>
          <t>N/A</t>
        </is>
      </c>
      <c r="G240" s="26">
        <v>24426719</v>
      </c>
      <c r="H240" s="26">
        <v>244267</v>
      </c>
      <c r="I240" s="26">
        <v>0</v>
      </c>
      <c r="J240" s="26">
        <v>42</v>
      </c>
      <c r="K240" t="inlineStr">
        <is>
          <t>Non</t>
        </is>
      </c>
      <c r="L240">
        <f>SUBTOTAL(103,A240)</f>
        <v>1</v>
      </c>
    </row>
    <row r="241">
      <c r="A241" t="inlineStr">
        <is>
          <t>SOCIETE C1357</t>
        </is>
      </c>
      <c r="B241" t="inlineStr">
        <is>
          <t>C1357</t>
        </is>
      </c>
      <c r="C241" t="inlineStr">
        <is>
          <t>COMMERCIAL BANKING</t>
        </is>
      </c>
      <c r="D241" t="inlineStr">
        <is>
          <t>IA</t>
        </is>
      </c>
      <c r="E241" t="inlineStr">
        <is>
          <t>Stage 2</t>
        </is>
      </c>
      <c r="F241" t="inlineStr">
        <is>
          <t>N/A</t>
        </is>
      </c>
      <c r="G241" s="26">
        <v>1147183286</v>
      </c>
      <c r="H241" s="26">
        <v>68830997</v>
      </c>
      <c r="I241" s="26">
        <v>117622709</v>
      </c>
      <c r="J241" s="26">
        <v>47</v>
      </c>
      <c r="K241" t="inlineStr">
        <is>
          <t>Non</t>
        </is>
      </c>
      <c r="L241">
        <f>SUBTOTAL(103,A241)</f>
        <v>1</v>
      </c>
    </row>
    <row r="242">
      <c r="A242" t="inlineStr">
        <is>
          <t>SOCIETE C1155</t>
        </is>
      </c>
      <c r="B242" t="inlineStr">
        <is>
          <t>C1155</t>
        </is>
      </c>
      <c r="C242" t="inlineStr">
        <is>
          <t>COMMERCIAL BANKING</t>
        </is>
      </c>
      <c r="D242" t="inlineStr">
        <is>
          <t>V</t>
        </is>
      </c>
      <c r="E242" t="inlineStr">
        <is>
          <t>Stage 3</t>
        </is>
      </c>
      <c r="F242" t="inlineStr">
        <is>
          <t>N/A</t>
        </is>
      </c>
      <c r="G242" s="26">
        <v>2768687225</v>
      </c>
      <c r="H242" s="26">
        <v>1522777974</v>
      </c>
      <c r="I242" s="26">
        <v>0</v>
      </c>
      <c r="J242" s="26">
        <v>63</v>
      </c>
      <c r="K242" t="inlineStr">
        <is>
          <t>Oui</t>
        </is>
      </c>
      <c r="L242">
        <f>SUBTOTAL(103,A242)</f>
        <v>1</v>
      </c>
    </row>
    <row r="243">
      <c r="A243" t="inlineStr">
        <is>
          <t>SOCIETE C2486</t>
        </is>
      </c>
      <c r="B243" t="inlineStr">
        <is>
          <t>C2486</t>
        </is>
      </c>
      <c r="C243" t="inlineStr">
        <is>
          <t>COMMERCIAL BANKING</t>
        </is>
      </c>
      <c r="D243" t="inlineStr">
        <is>
          <t>III</t>
        </is>
      </c>
      <c r="E243" t="inlineStr">
        <is>
          <t>Stage 3</t>
        </is>
      </c>
      <c r="F243" t="inlineStr">
        <is>
          <t>N/A</t>
        </is>
      </c>
      <c r="G243" s="26">
        <v>2407586</v>
      </c>
      <c r="H243" s="26">
        <v>1324172</v>
      </c>
      <c r="I243" s="26">
        <v>12017</v>
      </c>
      <c r="J243" s="26">
        <v>42</v>
      </c>
      <c r="K243" t="inlineStr">
        <is>
          <t>Oui</t>
        </is>
      </c>
      <c r="L243">
        <f>SUBTOTAL(103,A243)</f>
        <v>1</v>
      </c>
    </row>
    <row r="244">
      <c r="A244" t="inlineStr">
        <is>
          <t>SOCIETE C1392</t>
        </is>
      </c>
      <c r="B244" t="inlineStr">
        <is>
          <t>C1392</t>
        </is>
      </c>
      <c r="C244" t="inlineStr">
        <is>
          <t>COMMERCIAL BANKING</t>
        </is>
      </c>
      <c r="D244" t="inlineStr">
        <is>
          <t>I</t>
        </is>
      </c>
      <c r="E244" t="inlineStr">
        <is>
          <t>Stage 1</t>
        </is>
      </c>
      <c r="F244" t="inlineStr">
        <is>
          <t>N/A</t>
        </is>
      </c>
      <c r="G244" s="26">
        <v>776967427</v>
      </c>
      <c r="H244" s="26">
        <v>7769674</v>
      </c>
      <c r="I244" s="26">
        <v>0</v>
      </c>
      <c r="J244" s="26">
        <v>40</v>
      </c>
      <c r="K244" t="inlineStr">
        <is>
          <t>Non</t>
        </is>
      </c>
      <c r="L244">
        <f>SUBTOTAL(103,A244)</f>
        <v>1</v>
      </c>
    </row>
    <row r="245">
      <c r="A245" t="inlineStr">
        <is>
          <t>SOCIETE C2218</t>
        </is>
      </c>
      <c r="B245" t="inlineStr">
        <is>
          <t>C2218</t>
        </is>
      </c>
      <c r="C245" t="inlineStr">
        <is>
          <t>CORPORATE BANKING</t>
        </is>
      </c>
      <c r="D245" t="inlineStr">
        <is>
          <t>I</t>
        </is>
      </c>
      <c r="E245" t="inlineStr">
        <is>
          <t>Stage 1</t>
        </is>
      </c>
      <c r="F245" t="inlineStr">
        <is>
          <t>N/A</t>
        </is>
      </c>
      <c r="G245" s="26">
        <v>1551883020</v>
      </c>
      <c r="H245" s="26">
        <v>15518830</v>
      </c>
      <c r="I245" s="26">
        <v>0</v>
      </c>
      <c r="J245" s="26">
        <v>138</v>
      </c>
      <c r="K245" t="inlineStr">
        <is>
          <t>Non</t>
        </is>
      </c>
      <c r="L245">
        <f>SUBTOTAL(103,A245)</f>
        <v>1</v>
      </c>
    </row>
    <row r="246">
      <c r="A246" t="inlineStr">
        <is>
          <t>SOCIETE C2490</t>
        </is>
      </c>
      <c r="B246" t="inlineStr">
        <is>
          <t>C2490</t>
        </is>
      </c>
      <c r="C246" t="inlineStr">
        <is>
          <t>CORPORATE BANKING</t>
        </is>
      </c>
      <c r="D246" t="inlineStr">
        <is>
          <t>I</t>
        </is>
      </c>
      <c r="E246" t="inlineStr">
        <is>
          <t>Stage 1</t>
        </is>
      </c>
      <c r="F246" t="inlineStr">
        <is>
          <t>N/A</t>
        </is>
      </c>
      <c r="G246" s="26">
        <v>118023850</v>
      </c>
      <c r="H246" s="26">
        <v>1180238</v>
      </c>
      <c r="I246" s="26">
        <v>0</v>
      </c>
      <c r="J246" s="26">
        <v>2</v>
      </c>
      <c r="K246" t="inlineStr">
        <is>
          <t>Non</t>
        </is>
      </c>
      <c r="L246">
        <f>SUBTOTAL(103,A246)</f>
        <v>1</v>
      </c>
    </row>
    <row r="247">
      <c r="A247" t="inlineStr">
        <is>
          <t>SOCIETE C731</t>
        </is>
      </c>
      <c r="B247" t="inlineStr">
        <is>
          <t>C731</t>
        </is>
      </c>
      <c r="C247" t="inlineStr">
        <is>
          <t>CORPORATE BANKING</t>
        </is>
      </c>
      <c r="D247" t="inlineStr">
        <is>
          <t>I</t>
        </is>
      </c>
      <c r="E247" t="inlineStr">
        <is>
          <t>Stage 1</t>
        </is>
      </c>
      <c r="F247" t="inlineStr">
        <is>
          <t>N/A</t>
        </is>
      </c>
      <c r="G247" s="26">
        <v>154703247</v>
      </c>
      <c r="H247" s="26">
        <v>1547032</v>
      </c>
      <c r="I247" s="26">
        <v>0</v>
      </c>
      <c r="J247" s="26">
        <v>118</v>
      </c>
      <c r="K247" t="inlineStr">
        <is>
          <t>Non</t>
        </is>
      </c>
      <c r="L247">
        <f>SUBTOTAL(103,A247)</f>
        <v>1</v>
      </c>
    </row>
    <row r="248">
      <c r="A248" t="inlineStr">
        <is>
          <t>SOCIETE C1600</t>
        </is>
      </c>
      <c r="B248" t="inlineStr">
        <is>
          <t>C1600</t>
        </is>
      </c>
      <c r="C248" t="inlineStr">
        <is>
          <t>SME</t>
        </is>
      </c>
      <c r="D248" t="inlineStr">
        <is>
          <t>I</t>
        </is>
      </c>
      <c r="E248" t="inlineStr">
        <is>
          <t>Stage 1</t>
        </is>
      </c>
      <c r="F248" t="inlineStr">
        <is>
          <t>N/A</t>
        </is>
      </c>
      <c r="G248" s="26">
        <v>616114242</v>
      </c>
      <c r="H248" s="26">
        <v>6161142</v>
      </c>
      <c r="I248" s="26">
        <v>32674311</v>
      </c>
      <c r="J248" s="26">
        <v>130</v>
      </c>
      <c r="K248" t="inlineStr">
        <is>
          <t>Non</t>
        </is>
      </c>
      <c r="L248">
        <f>SUBTOTAL(103,A248)</f>
        <v>1</v>
      </c>
    </row>
    <row r="249">
      <c r="A249" t="inlineStr">
        <is>
          <t>SOCIETE C576</t>
        </is>
      </c>
      <c r="B249" t="inlineStr">
        <is>
          <t>C576</t>
        </is>
      </c>
      <c r="C249" t="inlineStr">
        <is>
          <t>CORPORATE BANKING</t>
        </is>
      </c>
      <c r="D249" t="inlineStr">
        <is>
          <t>IA</t>
        </is>
      </c>
      <c r="E249" t="inlineStr">
        <is>
          <t>Stage 2</t>
        </is>
      </c>
      <c r="F249" t="inlineStr">
        <is>
          <t>N/A</t>
        </is>
      </c>
      <c r="G249" s="26">
        <v>73816313</v>
      </c>
      <c r="H249" s="26">
        <v>4428979</v>
      </c>
      <c r="I249" s="26">
        <v>0</v>
      </c>
      <c r="J249" s="26">
        <v>49</v>
      </c>
      <c r="K249" t="inlineStr">
        <is>
          <t>Non</t>
        </is>
      </c>
      <c r="L249">
        <f>SUBTOTAL(103,A249)</f>
        <v>1</v>
      </c>
    </row>
    <row r="250">
      <c r="A250" t="inlineStr">
        <is>
          <t>SOCIETE C548</t>
        </is>
      </c>
      <c r="B250" t="inlineStr">
        <is>
          <t>C548</t>
        </is>
      </c>
      <c r="C250" t="inlineStr">
        <is>
          <t>CONSUMER BANKING</t>
        </is>
      </c>
      <c r="D250" t="inlineStr">
        <is>
          <t>III</t>
        </is>
      </c>
      <c r="E250" t="inlineStr">
        <is>
          <t>Stage 3</t>
        </is>
      </c>
      <c r="F250" t="inlineStr">
        <is>
          <t>N/A</t>
        </is>
      </c>
      <c r="G250" s="26">
        <v>160153420</v>
      </c>
      <c r="H250" s="26">
        <v>88084381</v>
      </c>
      <c r="I250" s="26">
        <v>0</v>
      </c>
      <c r="J250" s="26">
        <v>56</v>
      </c>
      <c r="K250" t="inlineStr">
        <is>
          <t>Oui</t>
        </is>
      </c>
      <c r="L250">
        <f>SUBTOTAL(103,A250)</f>
        <v>1</v>
      </c>
    </row>
    <row r="251">
      <c r="A251" t="inlineStr">
        <is>
          <t>SOCIETE C1053</t>
        </is>
      </c>
      <c r="B251" t="inlineStr">
        <is>
          <t>C1053</t>
        </is>
      </c>
      <c r="C251" t="inlineStr">
        <is>
          <t>CONSUMER BANKING</t>
        </is>
      </c>
      <c r="D251" t="inlineStr">
        <is>
          <t>I</t>
        </is>
      </c>
      <c r="E251" t="inlineStr">
        <is>
          <t>Stage 1</t>
        </is>
      </c>
      <c r="F251" t="inlineStr">
        <is>
          <t>N/A</t>
        </is>
      </c>
      <c r="G251" s="26">
        <v>1929996800</v>
      </c>
      <c r="H251" s="26">
        <v>19299968</v>
      </c>
      <c r="I251" s="26">
        <v>0</v>
      </c>
      <c r="J251" s="26">
        <v>259</v>
      </c>
      <c r="K251" t="inlineStr">
        <is>
          <t>Non</t>
        </is>
      </c>
      <c r="L251">
        <f>SUBTOTAL(103,A251)</f>
        <v>1</v>
      </c>
    </row>
    <row r="252">
      <c r="A252" t="inlineStr">
        <is>
          <t>SOCIETE C1399</t>
        </is>
      </c>
      <c r="B252" t="inlineStr">
        <is>
          <t>C1399</t>
        </is>
      </c>
      <c r="C252" t="inlineStr">
        <is>
          <t>COMMERCIAL BANKING</t>
        </is>
      </c>
      <c r="D252" t="inlineStr">
        <is>
          <t>III</t>
        </is>
      </c>
      <c r="E252" t="inlineStr">
        <is>
          <t>Stage 3</t>
        </is>
      </c>
      <c r="F252" t="inlineStr">
        <is>
          <t>N/A</t>
        </is>
      </c>
      <c r="G252" s="26">
        <v>372538005</v>
      </c>
      <c r="H252" s="26">
        <v>204895903</v>
      </c>
      <c r="I252" s="26">
        <v>0</v>
      </c>
      <c r="J252" s="26">
        <v>275</v>
      </c>
      <c r="K252" t="inlineStr">
        <is>
          <t>Oui</t>
        </is>
      </c>
      <c r="L252">
        <f>SUBTOTAL(103,A252)</f>
        <v>1</v>
      </c>
    </row>
    <row r="253">
      <c r="A253" t="inlineStr">
        <is>
          <t>SOCIETE C2117</t>
        </is>
      </c>
      <c r="B253" t="inlineStr">
        <is>
          <t>C2117</t>
        </is>
      </c>
      <c r="C253" t="inlineStr">
        <is>
          <t>INSTITUTIONAL</t>
        </is>
      </c>
      <c r="D253" t="inlineStr">
        <is>
          <t>II</t>
        </is>
      </c>
      <c r="E253" t="inlineStr">
        <is>
          <t>Stage 2</t>
        </is>
      </c>
      <c r="F253" t="inlineStr">
        <is>
          <t>N/A</t>
        </is>
      </c>
      <c r="G253" s="26">
        <v>15842262</v>
      </c>
      <c r="H253" s="26">
        <v>950536</v>
      </c>
      <c r="I253" s="26">
        <v>0</v>
      </c>
      <c r="J253" s="26">
        <v>11</v>
      </c>
      <c r="K253" t="inlineStr">
        <is>
          <t>Non</t>
        </is>
      </c>
      <c r="L253">
        <f>SUBTOTAL(103,A253)</f>
        <v>1</v>
      </c>
    </row>
    <row r="254">
      <c r="A254" t="inlineStr">
        <is>
          <t>SOCIETE C2200</t>
        </is>
      </c>
      <c r="B254" t="inlineStr">
        <is>
          <t>C2200</t>
        </is>
      </c>
      <c r="C254" t="inlineStr">
        <is>
          <t>INSTITUTIONAL</t>
        </is>
      </c>
      <c r="D254" t="inlineStr">
        <is>
          <t>II</t>
        </is>
      </c>
      <c r="E254" t="inlineStr">
        <is>
          <t>Stage 2</t>
        </is>
      </c>
      <c r="F254" t="inlineStr">
        <is>
          <t>N/A</t>
        </is>
      </c>
      <c r="G254" s="26">
        <v>915650216</v>
      </c>
      <c r="H254" s="26">
        <v>54939013</v>
      </c>
      <c r="I254" s="26">
        <v>0</v>
      </c>
      <c r="J254" s="26">
        <v>10</v>
      </c>
      <c r="K254" t="inlineStr">
        <is>
          <t>Non</t>
        </is>
      </c>
      <c r="L254">
        <f>SUBTOTAL(103,A254)</f>
        <v>1</v>
      </c>
    </row>
    <row r="255">
      <c r="A255" t="inlineStr">
        <is>
          <t>SOCIETE C1144</t>
        </is>
      </c>
      <c r="B255" t="inlineStr">
        <is>
          <t>C1144</t>
        </is>
      </c>
      <c r="C255" t="inlineStr">
        <is>
          <t>CORPORATE BANKING</t>
        </is>
      </c>
      <c r="D255" t="inlineStr">
        <is>
          <t>IA</t>
        </is>
      </c>
      <c r="E255" t="inlineStr">
        <is>
          <t>Stage 2</t>
        </is>
      </c>
      <c r="F255" t="inlineStr">
        <is>
          <t>N/A</t>
        </is>
      </c>
      <c r="G255" s="26">
        <v>1251088455</v>
      </c>
      <c r="H255" s="26">
        <v>75065307</v>
      </c>
      <c r="I255" s="26">
        <v>0</v>
      </c>
      <c r="J255" s="26">
        <v>77</v>
      </c>
      <c r="K255" t="inlineStr">
        <is>
          <t>Non</t>
        </is>
      </c>
      <c r="L255">
        <f>SUBTOTAL(103,A255)</f>
        <v>1</v>
      </c>
    </row>
    <row r="256">
      <c r="A256" t="inlineStr">
        <is>
          <t>SOCIETE C1680</t>
        </is>
      </c>
      <c r="B256" t="inlineStr">
        <is>
          <t>C1680</t>
        </is>
      </c>
      <c r="C256" t="inlineStr">
        <is>
          <t>CORPORATE BANKING</t>
        </is>
      </c>
      <c r="D256" t="inlineStr">
        <is>
          <t>I</t>
        </is>
      </c>
      <c r="E256" t="inlineStr">
        <is>
          <t>Stage 1</t>
        </is>
      </c>
      <c r="F256" t="inlineStr">
        <is>
          <t>N/A</t>
        </is>
      </c>
      <c r="G256" s="26">
        <v>1012460622</v>
      </c>
      <c r="H256" s="26">
        <v>10124606</v>
      </c>
      <c r="I256" s="26">
        <v>170730685</v>
      </c>
      <c r="J256" s="26">
        <v>291</v>
      </c>
      <c r="K256" t="inlineStr">
        <is>
          <t>Non</t>
        </is>
      </c>
      <c r="L256">
        <f>SUBTOTAL(103,A256)</f>
        <v>1</v>
      </c>
    </row>
    <row r="257">
      <c r="A257" t="inlineStr">
        <is>
          <t>SOCIETE C1788</t>
        </is>
      </c>
      <c r="B257" t="inlineStr">
        <is>
          <t>C1788</t>
        </is>
      </c>
      <c r="C257" t="inlineStr">
        <is>
          <t>COMMERCIAL BANKING</t>
        </is>
      </c>
      <c r="D257" t="inlineStr">
        <is>
          <t>II</t>
        </is>
      </c>
      <c r="E257" t="inlineStr">
        <is>
          <t>Stage 2</t>
        </is>
      </c>
      <c r="F257" t="inlineStr">
        <is>
          <t>N/A</t>
        </is>
      </c>
      <c r="G257" s="26">
        <v>2582349864</v>
      </c>
      <c r="H257" s="26">
        <v>154940992</v>
      </c>
      <c r="I257" s="26">
        <v>0</v>
      </c>
      <c r="J257" s="26">
        <v>57</v>
      </c>
      <c r="K257" t="inlineStr">
        <is>
          <t>Non</t>
        </is>
      </c>
      <c r="L257">
        <f>SUBTOTAL(103,A257)</f>
        <v>1</v>
      </c>
    </row>
    <row r="258">
      <c r="A258" t="inlineStr">
        <is>
          <t>SOCIETE C1088</t>
        </is>
      </c>
      <c r="B258" t="inlineStr">
        <is>
          <t>C1088</t>
        </is>
      </c>
      <c r="C258" t="inlineStr">
        <is>
          <t>CORPORATE BANKING</t>
        </is>
      </c>
      <c r="D258" t="inlineStr">
        <is>
          <t>II</t>
        </is>
      </c>
      <c r="E258" t="inlineStr">
        <is>
          <t>Stage 2</t>
        </is>
      </c>
      <c r="F258" t="inlineStr">
        <is>
          <t>N/A</t>
        </is>
      </c>
      <c r="G258" s="26">
        <v>2573574</v>
      </c>
      <c r="H258" s="26">
        <v>154414</v>
      </c>
      <c r="I258" s="26">
        <v>0</v>
      </c>
      <c r="J258" s="26">
        <v>35</v>
      </c>
      <c r="K258" t="inlineStr">
        <is>
          <t>Non</t>
        </is>
      </c>
      <c r="L258">
        <f>SUBTOTAL(103,A258)</f>
        <v>1</v>
      </c>
    </row>
    <row r="259">
      <c r="A259" t="inlineStr">
        <is>
          <t>SOCIETE C2230</t>
        </is>
      </c>
      <c r="B259" t="inlineStr">
        <is>
          <t>C2230</t>
        </is>
      </c>
      <c r="C259" t="inlineStr">
        <is>
          <t>CONSUMER BANKING</t>
        </is>
      </c>
      <c r="D259" t="inlineStr">
        <is>
          <t>IA</t>
        </is>
      </c>
      <c r="E259" t="inlineStr">
        <is>
          <t>Stage 2</t>
        </is>
      </c>
      <c r="F259" t="inlineStr">
        <is>
          <t>N/A</t>
        </is>
      </c>
      <c r="G259" s="26">
        <v>221939665</v>
      </c>
      <c r="H259" s="26">
        <v>13316380</v>
      </c>
      <c r="I259" s="26">
        <v>0</v>
      </c>
      <c r="J259" s="26">
        <v>203</v>
      </c>
      <c r="K259" t="inlineStr">
        <is>
          <t>Non</t>
        </is>
      </c>
      <c r="L259">
        <f>SUBTOTAL(103,A259)</f>
        <v>1</v>
      </c>
    </row>
    <row r="260">
      <c r="A260" t="inlineStr">
        <is>
          <t>SOCIETE C373</t>
        </is>
      </c>
      <c r="B260" t="inlineStr">
        <is>
          <t>C373</t>
        </is>
      </c>
      <c r="C260" t="inlineStr">
        <is>
          <t>PUBLIC SECTOR</t>
        </is>
      </c>
      <c r="D260" t="inlineStr">
        <is>
          <t>V</t>
        </is>
      </c>
      <c r="E260" t="inlineStr">
        <is>
          <t>Stage 3</t>
        </is>
      </c>
      <c r="F260" t="inlineStr">
        <is>
          <t>N/A</t>
        </is>
      </c>
      <c r="G260" s="26">
        <v>4704638</v>
      </c>
      <c r="H260" s="26">
        <v>2587551</v>
      </c>
      <c r="I260" s="26">
        <v>0</v>
      </c>
      <c r="J260" s="26">
        <v>186</v>
      </c>
      <c r="K260" t="inlineStr">
        <is>
          <t>Oui</t>
        </is>
      </c>
      <c r="L260">
        <f>SUBTOTAL(103,A260)</f>
        <v>1</v>
      </c>
    </row>
    <row r="261">
      <c r="A261" t="inlineStr">
        <is>
          <t>SOCIETE C708</t>
        </is>
      </c>
      <c r="B261" t="inlineStr">
        <is>
          <t>C708</t>
        </is>
      </c>
      <c r="C261" t="inlineStr">
        <is>
          <t>COMMERCIAL BANKING</t>
        </is>
      </c>
      <c r="D261" t="inlineStr">
        <is>
          <t>IV</t>
        </is>
      </c>
      <c r="E261" t="inlineStr">
        <is>
          <t>Stage 3</t>
        </is>
      </c>
      <c r="F261" t="inlineStr">
        <is>
          <t>N/A</t>
        </is>
      </c>
      <c r="G261" s="26">
        <v>961866328</v>
      </c>
      <c r="H261" s="26">
        <v>529026481</v>
      </c>
      <c r="I261" s="26">
        <v>0</v>
      </c>
      <c r="J261" s="26">
        <v>2</v>
      </c>
      <c r="K261" t="inlineStr">
        <is>
          <t>Oui</t>
        </is>
      </c>
      <c r="L261">
        <f>SUBTOTAL(103,A261)</f>
        <v>1</v>
      </c>
    </row>
    <row r="262">
      <c r="A262" t="inlineStr">
        <is>
          <t>SOCIETE C976</t>
        </is>
      </c>
      <c r="B262" t="inlineStr">
        <is>
          <t>C976</t>
        </is>
      </c>
      <c r="C262" t="inlineStr">
        <is>
          <t>PUBLIC SECTOR</t>
        </is>
      </c>
      <c r="D262" t="inlineStr">
        <is>
          <t>I</t>
        </is>
      </c>
      <c r="E262" t="inlineStr">
        <is>
          <t>Stage 1</t>
        </is>
      </c>
      <c r="F262" t="inlineStr">
        <is>
          <t>N/A</t>
        </is>
      </c>
      <c r="G262" s="26">
        <v>1829651602</v>
      </c>
      <c r="H262" s="26">
        <v>18296516</v>
      </c>
      <c r="I262" s="26">
        <v>0</v>
      </c>
      <c r="J262" s="26">
        <v>114</v>
      </c>
      <c r="K262" t="inlineStr">
        <is>
          <t>Non</t>
        </is>
      </c>
      <c r="L262">
        <f>SUBTOTAL(103,A262)</f>
        <v>1</v>
      </c>
    </row>
    <row r="263">
      <c r="A263" t="inlineStr">
        <is>
          <t>SOCIETE C2479</t>
        </is>
      </c>
      <c r="B263" t="inlineStr">
        <is>
          <t>C2479</t>
        </is>
      </c>
      <c r="C263" t="inlineStr">
        <is>
          <t>CONSUMER BANKING</t>
        </is>
      </c>
      <c r="D263" t="inlineStr">
        <is>
          <t>IV</t>
        </is>
      </c>
      <c r="E263" t="inlineStr">
        <is>
          <t>Stage 3</t>
        </is>
      </c>
      <c r="F263" t="inlineStr">
        <is>
          <t>N/A</t>
        </is>
      </c>
      <c r="G263" s="26">
        <v>3544804</v>
      </c>
      <c r="H263" s="26">
        <v>1949642</v>
      </c>
      <c r="I263" s="26">
        <v>610581</v>
      </c>
      <c r="J263" s="26">
        <v>104</v>
      </c>
      <c r="K263" t="inlineStr">
        <is>
          <t>Oui</t>
        </is>
      </c>
      <c r="L263">
        <f>SUBTOTAL(103,A263)</f>
        <v>1</v>
      </c>
    </row>
    <row r="264">
      <c r="A264" t="inlineStr">
        <is>
          <t>SOCIETE C1457</t>
        </is>
      </c>
      <c r="B264" t="inlineStr">
        <is>
          <t>C1457</t>
        </is>
      </c>
      <c r="C264" t="inlineStr">
        <is>
          <t>CORPORATE BANKING</t>
        </is>
      </c>
      <c r="D264" t="inlineStr">
        <is>
          <t>IV</t>
        </is>
      </c>
      <c r="E264" t="inlineStr">
        <is>
          <t>Stage 3</t>
        </is>
      </c>
      <c r="F264" t="inlineStr">
        <is>
          <t>N/A</t>
        </is>
      </c>
      <c r="G264" s="26">
        <v>13198604</v>
      </c>
      <c r="H264" s="26">
        <v>7259232</v>
      </c>
      <c r="I264" s="26">
        <v>0</v>
      </c>
      <c r="J264" s="26">
        <v>276</v>
      </c>
      <c r="K264" t="inlineStr">
        <is>
          <t>Oui</t>
        </is>
      </c>
      <c r="L264">
        <f>SUBTOTAL(103,A264)</f>
        <v>1</v>
      </c>
    </row>
    <row r="265">
      <c r="A265" t="inlineStr">
        <is>
          <t>SOCIETE C2225</t>
        </is>
      </c>
      <c r="B265" t="inlineStr">
        <is>
          <t>C2225</t>
        </is>
      </c>
      <c r="C265" t="inlineStr">
        <is>
          <t>COMMERCIAL BANKING</t>
        </is>
      </c>
      <c r="D265" t="inlineStr">
        <is>
          <t>IA</t>
        </is>
      </c>
      <c r="E265" t="inlineStr">
        <is>
          <t>Stage 2</t>
        </is>
      </c>
      <c r="F265" t="inlineStr">
        <is>
          <t>N/A</t>
        </is>
      </c>
      <c r="G265" s="26">
        <v>55228722</v>
      </c>
      <c r="H265" s="26">
        <v>3313723</v>
      </c>
      <c r="I265" s="26">
        <v>0</v>
      </c>
      <c r="J265" s="26">
        <v>0</v>
      </c>
      <c r="K265" t="inlineStr">
        <is>
          <t>Non</t>
        </is>
      </c>
      <c r="L265">
        <f>SUBTOTAL(103,A265)</f>
        <v>1</v>
      </c>
    </row>
    <row r="266">
      <c r="A266" t="inlineStr">
        <is>
          <t>SOCIETE C1019</t>
        </is>
      </c>
      <c r="B266" t="inlineStr">
        <is>
          <t>C1019</t>
        </is>
      </c>
      <c r="C266" t="inlineStr">
        <is>
          <t>PUBLIC SECTOR</t>
        </is>
      </c>
      <c r="D266" t="inlineStr">
        <is>
          <t>IA</t>
        </is>
      </c>
      <c r="E266" t="inlineStr">
        <is>
          <t>Stage 2</t>
        </is>
      </c>
      <c r="F266" t="inlineStr">
        <is>
          <t>N/A</t>
        </is>
      </c>
      <c r="G266" s="26">
        <v>130476863</v>
      </c>
      <c r="H266" s="26">
        <v>7828612</v>
      </c>
      <c r="I266" s="26">
        <v>0</v>
      </c>
      <c r="J266" s="26">
        <v>82</v>
      </c>
      <c r="K266" t="inlineStr">
        <is>
          <t>Non</t>
        </is>
      </c>
      <c r="L266">
        <f>SUBTOTAL(103,A266)</f>
        <v>1</v>
      </c>
    </row>
    <row r="267">
      <c r="A267" t="inlineStr">
        <is>
          <t>SOCIETE C1622</t>
        </is>
      </c>
      <c r="B267" t="inlineStr">
        <is>
          <t>C1622</t>
        </is>
      </c>
      <c r="C267" t="inlineStr">
        <is>
          <t>CORPORATE BANKING</t>
        </is>
      </c>
      <c r="D267" t="inlineStr">
        <is>
          <t>I</t>
        </is>
      </c>
      <c r="E267" t="inlineStr">
        <is>
          <t>Stage 1</t>
        </is>
      </c>
      <c r="F267" t="inlineStr">
        <is>
          <t>N/A</t>
        </is>
      </c>
      <c r="G267" s="26">
        <v>18502753</v>
      </c>
      <c r="H267" s="26">
        <v>185028</v>
      </c>
      <c r="I267" s="26">
        <v>0</v>
      </c>
      <c r="J267" s="26">
        <v>26</v>
      </c>
      <c r="K267" t="inlineStr">
        <is>
          <t>Non</t>
        </is>
      </c>
      <c r="L267">
        <f>SUBTOTAL(103,A267)</f>
        <v>1</v>
      </c>
    </row>
    <row r="268">
      <c r="A268" t="inlineStr">
        <is>
          <t>SOCIETE C1396</t>
        </is>
      </c>
      <c r="B268" t="inlineStr">
        <is>
          <t>C1396</t>
        </is>
      </c>
      <c r="C268" t="inlineStr">
        <is>
          <t>CORPORATE BANKING</t>
        </is>
      </c>
      <c r="D268" t="inlineStr">
        <is>
          <t>I</t>
        </is>
      </c>
      <c r="E268" t="inlineStr">
        <is>
          <t>Stage 1</t>
        </is>
      </c>
      <c r="F268" t="inlineStr">
        <is>
          <t>N/A</t>
        </is>
      </c>
      <c r="G268" s="26">
        <v>2922736979</v>
      </c>
      <c r="H268" s="26">
        <v>29227370</v>
      </c>
      <c r="I268" s="26">
        <v>0</v>
      </c>
      <c r="J268" s="26">
        <v>79</v>
      </c>
      <c r="K268" t="inlineStr">
        <is>
          <t>Non</t>
        </is>
      </c>
      <c r="L268">
        <f>SUBTOTAL(103,A268)</f>
        <v>1</v>
      </c>
    </row>
    <row r="269">
      <c r="A269" t="inlineStr">
        <is>
          <t>SOCIETE C347</t>
        </is>
      </c>
      <c r="B269" t="inlineStr">
        <is>
          <t>C347</t>
        </is>
      </c>
      <c r="C269" t="inlineStr">
        <is>
          <t>CORPORATE BANKING</t>
        </is>
      </c>
      <c r="D269" t="inlineStr">
        <is>
          <t>I</t>
        </is>
      </c>
      <c r="E269" t="inlineStr">
        <is>
          <t>Stage 1</t>
        </is>
      </c>
      <c r="F269" t="inlineStr">
        <is>
          <t>N/A</t>
        </is>
      </c>
      <c r="G269" s="26">
        <v>1303695808</v>
      </c>
      <c r="H269" s="26">
        <v>13036958</v>
      </c>
      <c r="I269" s="26">
        <v>132450348</v>
      </c>
      <c r="J269" s="26">
        <v>141</v>
      </c>
      <c r="K269" t="inlineStr">
        <is>
          <t>Non</t>
        </is>
      </c>
      <c r="L269">
        <f>SUBTOTAL(103,A269)</f>
        <v>1</v>
      </c>
    </row>
    <row r="270">
      <c r="A270" t="inlineStr">
        <is>
          <t>SOCIETE C846</t>
        </is>
      </c>
      <c r="B270" t="inlineStr">
        <is>
          <t>C846</t>
        </is>
      </c>
      <c r="C270" t="inlineStr">
        <is>
          <t>CORPORATE BANKING</t>
        </is>
      </c>
      <c r="D270" t="inlineStr">
        <is>
          <t>IA</t>
        </is>
      </c>
      <c r="E270" t="inlineStr">
        <is>
          <t>Stage 2</t>
        </is>
      </c>
      <c r="F270" t="inlineStr">
        <is>
          <t>N/A</t>
        </is>
      </c>
      <c r="G270" s="26">
        <v>263693982</v>
      </c>
      <c r="H270" s="26">
        <v>15821639</v>
      </c>
      <c r="I270" s="26">
        <v>0</v>
      </c>
      <c r="J270" s="26">
        <v>74</v>
      </c>
      <c r="K270" t="inlineStr">
        <is>
          <t>Non</t>
        </is>
      </c>
      <c r="L270">
        <f>SUBTOTAL(103,A270)</f>
        <v>1</v>
      </c>
    </row>
    <row r="271">
      <c r="A271" t="inlineStr">
        <is>
          <t>SOCIETE C1002</t>
        </is>
      </c>
      <c r="B271" t="inlineStr">
        <is>
          <t>C1002</t>
        </is>
      </c>
      <c r="C271" t="inlineStr">
        <is>
          <t>CORPORATE BANKING</t>
        </is>
      </c>
      <c r="D271" t="inlineStr">
        <is>
          <t>II</t>
        </is>
      </c>
      <c r="E271" t="inlineStr">
        <is>
          <t>Stage 2</t>
        </is>
      </c>
      <c r="F271" t="inlineStr">
        <is>
          <t>N/A</t>
        </is>
      </c>
      <c r="G271" s="26">
        <v>539772725</v>
      </c>
      <c r="H271" s="26">
        <v>32386364</v>
      </c>
      <c r="I271" s="26">
        <v>0</v>
      </c>
      <c r="J271" s="26">
        <v>0</v>
      </c>
      <c r="K271" t="inlineStr">
        <is>
          <t>Non</t>
        </is>
      </c>
      <c r="L271">
        <f>SUBTOTAL(103,A271)</f>
        <v>1</v>
      </c>
    </row>
    <row r="272">
      <c r="A272" t="inlineStr">
        <is>
          <t>SOCIETE C905</t>
        </is>
      </c>
      <c r="B272" t="inlineStr">
        <is>
          <t>C905</t>
        </is>
      </c>
      <c r="C272" t="inlineStr">
        <is>
          <t>CONSUMER BANKING</t>
        </is>
      </c>
      <c r="D272" t="inlineStr">
        <is>
          <t>IA</t>
        </is>
      </c>
      <c r="E272" t="inlineStr">
        <is>
          <t>Stage 2</t>
        </is>
      </c>
      <c r="F272" t="inlineStr">
        <is>
          <t>N/A</t>
        </is>
      </c>
      <c r="G272" s="26">
        <v>176898812</v>
      </c>
      <c r="H272" s="26">
        <v>10613929</v>
      </c>
      <c r="I272" s="26">
        <v>0</v>
      </c>
      <c r="J272" s="26">
        <v>244</v>
      </c>
      <c r="K272" t="inlineStr">
        <is>
          <t>Non</t>
        </is>
      </c>
      <c r="L272">
        <f>SUBTOTAL(103,A272)</f>
        <v>1</v>
      </c>
    </row>
    <row r="273">
      <c r="A273" t="inlineStr">
        <is>
          <t>SOCIETE C1041</t>
        </is>
      </c>
      <c r="B273" t="inlineStr">
        <is>
          <t>C1041</t>
        </is>
      </c>
      <c r="C273" t="inlineStr">
        <is>
          <t>COMMERCIAL BANKING</t>
        </is>
      </c>
      <c r="D273" t="inlineStr">
        <is>
          <t>I</t>
        </is>
      </c>
      <c r="E273" t="inlineStr">
        <is>
          <t>Stage 1</t>
        </is>
      </c>
      <c r="F273" t="inlineStr">
        <is>
          <t>N/A</t>
        </is>
      </c>
      <c r="G273" s="26">
        <v>6073573</v>
      </c>
      <c r="H273" s="26">
        <v>60736</v>
      </c>
      <c r="I273" s="26">
        <v>81328</v>
      </c>
      <c r="J273" s="26">
        <v>38</v>
      </c>
      <c r="K273" t="inlineStr">
        <is>
          <t>Non</t>
        </is>
      </c>
      <c r="L273">
        <f>SUBTOTAL(103,A273)</f>
        <v>1</v>
      </c>
    </row>
    <row r="274">
      <c r="A274" t="inlineStr">
        <is>
          <t>SOCIETE C2094</t>
        </is>
      </c>
      <c r="B274" t="inlineStr">
        <is>
          <t>C2094</t>
        </is>
      </c>
      <c r="C274" t="inlineStr">
        <is>
          <t>CONSUMER BANKING</t>
        </is>
      </c>
      <c r="D274" t="inlineStr">
        <is>
          <t>IA</t>
        </is>
      </c>
      <c r="E274" t="inlineStr">
        <is>
          <t>Stage 2</t>
        </is>
      </c>
      <c r="F274" t="inlineStr">
        <is>
          <t>N/A</t>
        </is>
      </c>
      <c r="G274" s="26">
        <v>66390164</v>
      </c>
      <c r="H274" s="26">
        <v>3983410</v>
      </c>
      <c r="I274" s="26">
        <v>0</v>
      </c>
      <c r="J274" s="26">
        <v>11</v>
      </c>
      <c r="K274" t="inlineStr">
        <is>
          <t>Non</t>
        </is>
      </c>
      <c r="L274">
        <f>SUBTOTAL(103,A274)</f>
        <v>1</v>
      </c>
    </row>
    <row r="275">
      <c r="A275" t="inlineStr">
        <is>
          <t>SOCIETE C661</t>
        </is>
      </c>
      <c r="B275" t="inlineStr">
        <is>
          <t>C661</t>
        </is>
      </c>
      <c r="C275" t="inlineStr">
        <is>
          <t>PUBLIC SECTOR</t>
        </is>
      </c>
      <c r="D275" t="inlineStr">
        <is>
          <t>I</t>
        </is>
      </c>
      <c r="E275" t="inlineStr">
        <is>
          <t>Stage 1</t>
        </is>
      </c>
      <c r="F275" t="inlineStr">
        <is>
          <t>N/A</t>
        </is>
      </c>
      <c r="G275" s="26">
        <v>10571698</v>
      </c>
      <c r="H275" s="26">
        <v>105717</v>
      </c>
      <c r="I275" s="26">
        <v>1041202</v>
      </c>
      <c r="J275" s="26">
        <v>192</v>
      </c>
      <c r="K275" t="inlineStr">
        <is>
          <t>Non</t>
        </is>
      </c>
      <c r="L275">
        <f>SUBTOTAL(103,A275)</f>
        <v>1</v>
      </c>
    </row>
    <row r="276">
      <c r="A276" t="inlineStr">
        <is>
          <t>SOCIETE C142</t>
        </is>
      </c>
      <c r="B276" t="inlineStr">
        <is>
          <t>C142</t>
        </is>
      </c>
      <c r="C276" t="inlineStr">
        <is>
          <t>COMMERCIAL BANKING</t>
        </is>
      </c>
      <c r="D276" t="inlineStr">
        <is>
          <t>I</t>
        </is>
      </c>
      <c r="E276" t="inlineStr">
        <is>
          <t>Stage 1</t>
        </is>
      </c>
      <c r="F276" t="inlineStr">
        <is>
          <t>N/A</t>
        </is>
      </c>
      <c r="G276" s="26">
        <v>80085444</v>
      </c>
      <c r="H276" s="26">
        <v>800854</v>
      </c>
      <c r="I276" s="26">
        <v>6400127</v>
      </c>
      <c r="J276" s="26">
        <v>11</v>
      </c>
      <c r="K276" t="inlineStr">
        <is>
          <t>Non</t>
        </is>
      </c>
      <c r="L276">
        <f>SUBTOTAL(103,A276)</f>
        <v>1</v>
      </c>
    </row>
    <row r="277">
      <c r="A277" t="inlineStr">
        <is>
          <t>SOCIETE C939</t>
        </is>
      </c>
      <c r="B277" t="inlineStr">
        <is>
          <t>C939</t>
        </is>
      </c>
      <c r="C277" t="inlineStr">
        <is>
          <t>CORPORATE BANKING</t>
        </is>
      </c>
      <c r="D277" t="inlineStr">
        <is>
          <t>I</t>
        </is>
      </c>
      <c r="E277" t="inlineStr">
        <is>
          <t>Stage 1</t>
        </is>
      </c>
      <c r="F277" t="inlineStr">
        <is>
          <t>N/A</t>
        </is>
      </c>
      <c r="G277" s="26">
        <v>2392704</v>
      </c>
      <c r="H277" s="26">
        <v>23927</v>
      </c>
      <c r="I277" s="26">
        <v>0</v>
      </c>
      <c r="J277" s="26">
        <v>16</v>
      </c>
      <c r="K277" t="inlineStr">
        <is>
          <t>Non</t>
        </is>
      </c>
      <c r="L277">
        <f>SUBTOTAL(103,A277)</f>
        <v>1</v>
      </c>
    </row>
    <row r="278">
      <c r="A278" t="inlineStr">
        <is>
          <t>SOCIETE C1305</t>
        </is>
      </c>
      <c r="B278" t="inlineStr">
        <is>
          <t>C1305</t>
        </is>
      </c>
      <c r="C278" t="inlineStr">
        <is>
          <t>CORPORATE BANKING</t>
        </is>
      </c>
      <c r="D278" t="inlineStr">
        <is>
          <t>IA</t>
        </is>
      </c>
      <c r="E278" t="inlineStr">
        <is>
          <t>Stage 2</t>
        </is>
      </c>
      <c r="F278" t="inlineStr">
        <is>
          <t>N/A</t>
        </is>
      </c>
      <c r="G278" s="26">
        <v>2099953066</v>
      </c>
      <c r="H278" s="26">
        <v>125997184</v>
      </c>
      <c r="I278" s="26">
        <v>390603493</v>
      </c>
      <c r="J278" s="26">
        <v>130</v>
      </c>
      <c r="K278" t="inlineStr">
        <is>
          <t>Non</t>
        </is>
      </c>
      <c r="L278">
        <f>SUBTOTAL(103,A278)</f>
        <v>1</v>
      </c>
    </row>
    <row r="279">
      <c r="A279" t="inlineStr">
        <is>
          <t>SOCIETE C1021</t>
        </is>
      </c>
      <c r="B279" t="inlineStr">
        <is>
          <t>C1021</t>
        </is>
      </c>
      <c r="C279" t="inlineStr">
        <is>
          <t>CORPORATE BANKING</t>
        </is>
      </c>
      <c r="D279" t="inlineStr">
        <is>
          <t>I</t>
        </is>
      </c>
      <c r="E279" t="inlineStr">
        <is>
          <t>Stage 1</t>
        </is>
      </c>
      <c r="F279" t="inlineStr">
        <is>
          <t>N/A</t>
        </is>
      </c>
      <c r="G279" s="26">
        <v>109108595</v>
      </c>
      <c r="H279" s="26">
        <v>1091086</v>
      </c>
      <c r="I279" s="26">
        <v>0</v>
      </c>
      <c r="J279" s="26">
        <v>32</v>
      </c>
      <c r="K279" t="inlineStr">
        <is>
          <t>Non</t>
        </is>
      </c>
      <c r="L279">
        <f>SUBTOTAL(103,A279)</f>
        <v>1</v>
      </c>
    </row>
    <row r="280">
      <c r="A280" t="inlineStr">
        <is>
          <t>SOCIETE C1605</t>
        </is>
      </c>
      <c r="B280" t="inlineStr">
        <is>
          <t>C1605</t>
        </is>
      </c>
      <c r="C280" t="inlineStr">
        <is>
          <t>CORPORATE BANKING</t>
        </is>
      </c>
      <c r="D280" t="inlineStr">
        <is>
          <t>I</t>
        </is>
      </c>
      <c r="E280" t="inlineStr">
        <is>
          <t>Stage 1</t>
        </is>
      </c>
      <c r="F280" t="inlineStr">
        <is>
          <t>N/A</t>
        </is>
      </c>
      <c r="G280" s="26">
        <v>543915328</v>
      </c>
      <c r="H280" s="26">
        <v>5439153</v>
      </c>
      <c r="I280" s="26">
        <v>0</v>
      </c>
      <c r="J280" s="26">
        <v>4</v>
      </c>
      <c r="K280" t="inlineStr">
        <is>
          <t>Non</t>
        </is>
      </c>
      <c r="L280">
        <f>SUBTOTAL(103,A280)</f>
        <v>1</v>
      </c>
    </row>
    <row r="281">
      <c r="A281" t="inlineStr">
        <is>
          <t>SOCIETE C1781</t>
        </is>
      </c>
      <c r="B281" t="inlineStr">
        <is>
          <t>C1781</t>
        </is>
      </c>
      <c r="C281" t="inlineStr">
        <is>
          <t>CORPORATE BANKING</t>
        </is>
      </c>
      <c r="D281" t="inlineStr">
        <is>
          <t>II</t>
        </is>
      </c>
      <c r="E281" t="inlineStr">
        <is>
          <t>Stage 2</t>
        </is>
      </c>
      <c r="F281" t="inlineStr">
        <is>
          <t>N/A</t>
        </is>
      </c>
      <c r="G281" s="26">
        <v>1043390378</v>
      </c>
      <c r="H281" s="26">
        <v>62603423</v>
      </c>
      <c r="I281" s="26">
        <v>0</v>
      </c>
      <c r="J281" s="26">
        <v>217</v>
      </c>
      <c r="K281" t="inlineStr">
        <is>
          <t>Non</t>
        </is>
      </c>
      <c r="L281">
        <f>SUBTOTAL(103,A281)</f>
        <v>1</v>
      </c>
    </row>
    <row r="282">
      <c r="A282" t="inlineStr">
        <is>
          <t>SOCIETE C1665</t>
        </is>
      </c>
      <c r="B282" t="inlineStr">
        <is>
          <t>C1665</t>
        </is>
      </c>
      <c r="C282" t="inlineStr">
        <is>
          <t>CORPORATE BANKING</t>
        </is>
      </c>
      <c r="D282" t="inlineStr">
        <is>
          <t>IA</t>
        </is>
      </c>
      <c r="E282" t="inlineStr">
        <is>
          <t>Stage 2</t>
        </is>
      </c>
      <c r="F282" t="inlineStr">
        <is>
          <t>N/A</t>
        </is>
      </c>
      <c r="G282" s="26">
        <v>255887635</v>
      </c>
      <c r="H282" s="26">
        <v>15353258</v>
      </c>
      <c r="I282" s="26">
        <v>29215953</v>
      </c>
      <c r="J282" s="26">
        <v>222</v>
      </c>
      <c r="K282" t="inlineStr">
        <is>
          <t>Non</t>
        </is>
      </c>
      <c r="L282">
        <f>SUBTOTAL(103,A282)</f>
        <v>1</v>
      </c>
    </row>
    <row r="283">
      <c r="A283" t="inlineStr">
        <is>
          <t>SOCIETE C1301</t>
        </is>
      </c>
      <c r="B283" t="inlineStr">
        <is>
          <t>C1301</t>
        </is>
      </c>
      <c r="C283" t="inlineStr">
        <is>
          <t>COMMERCIAL BANKING</t>
        </is>
      </c>
      <c r="D283" t="inlineStr">
        <is>
          <t>I</t>
        </is>
      </c>
      <c r="E283" t="inlineStr">
        <is>
          <t>Stage 1</t>
        </is>
      </c>
      <c r="F283" t="inlineStr">
        <is>
          <t>N/A</t>
        </is>
      </c>
      <c r="G283" s="26">
        <v>23349771</v>
      </c>
      <c r="H283" s="26">
        <v>233498</v>
      </c>
      <c r="I283" s="26">
        <v>2522608</v>
      </c>
      <c r="J283" s="26">
        <v>71</v>
      </c>
      <c r="K283" t="inlineStr">
        <is>
          <t>Non</t>
        </is>
      </c>
      <c r="L283">
        <f>SUBTOTAL(103,A283)</f>
        <v>1</v>
      </c>
    </row>
    <row r="284">
      <c r="A284" t="inlineStr">
        <is>
          <t>SOCIETE C818</t>
        </is>
      </c>
      <c r="B284" t="inlineStr">
        <is>
          <t>C818</t>
        </is>
      </c>
      <c r="C284" t="inlineStr">
        <is>
          <t>COMMERCIAL BANKING</t>
        </is>
      </c>
      <c r="D284" t="inlineStr">
        <is>
          <t>II</t>
        </is>
      </c>
      <c r="E284" t="inlineStr">
        <is>
          <t>Stage 2</t>
        </is>
      </c>
      <c r="F284" t="inlineStr">
        <is>
          <t>N/A</t>
        </is>
      </c>
      <c r="G284" s="26">
        <v>1859819253</v>
      </c>
      <c r="H284" s="26">
        <v>111589155</v>
      </c>
      <c r="I284" s="26">
        <v>0</v>
      </c>
      <c r="J284" s="26">
        <v>337</v>
      </c>
      <c r="K284" t="inlineStr">
        <is>
          <t>Non</t>
        </is>
      </c>
      <c r="L284">
        <f>SUBTOTAL(103,A284)</f>
        <v>1</v>
      </c>
    </row>
    <row r="285">
      <c r="A285" t="inlineStr">
        <is>
          <t>SOCIETE C1046</t>
        </is>
      </c>
      <c r="B285" t="inlineStr">
        <is>
          <t>C1046</t>
        </is>
      </c>
      <c r="C285" t="inlineStr">
        <is>
          <t>CORPORATE BANKING</t>
        </is>
      </c>
      <c r="D285" t="inlineStr">
        <is>
          <t>IV</t>
        </is>
      </c>
      <c r="E285" t="inlineStr">
        <is>
          <t>Stage 3</t>
        </is>
      </c>
      <c r="F285" t="inlineStr">
        <is>
          <t>N/A</t>
        </is>
      </c>
      <c r="G285" s="26">
        <v>1002312381</v>
      </c>
      <c r="H285" s="26">
        <v>551271810</v>
      </c>
      <c r="I285" s="26">
        <v>0</v>
      </c>
      <c r="J285" s="26">
        <v>0</v>
      </c>
      <c r="K285" t="inlineStr">
        <is>
          <t>Oui</t>
        </is>
      </c>
      <c r="L285">
        <f>SUBTOTAL(103,A285)</f>
        <v>1</v>
      </c>
    </row>
    <row r="286">
      <c r="A286" t="inlineStr">
        <is>
          <t>SOCIETE C2441</t>
        </is>
      </c>
      <c r="B286" t="inlineStr">
        <is>
          <t>C2441</t>
        </is>
      </c>
      <c r="C286" t="inlineStr">
        <is>
          <t>CORPORATE BANKING</t>
        </is>
      </c>
      <c r="D286" t="inlineStr">
        <is>
          <t>III</t>
        </is>
      </c>
      <c r="E286" t="inlineStr">
        <is>
          <t>Stage 3</t>
        </is>
      </c>
      <c r="F286" t="inlineStr">
        <is>
          <t>N/A</t>
        </is>
      </c>
      <c r="G286" s="26">
        <v>1579672073</v>
      </c>
      <c r="H286" s="26">
        <v>868819640</v>
      </c>
      <c r="I286" s="26">
        <v>71556136</v>
      </c>
      <c r="J286" s="26">
        <v>71</v>
      </c>
      <c r="K286" t="inlineStr">
        <is>
          <t>Oui</t>
        </is>
      </c>
      <c r="L286">
        <f>SUBTOTAL(103,A286)</f>
        <v>1</v>
      </c>
    </row>
    <row r="287">
      <c r="A287" t="inlineStr">
        <is>
          <t>SOCIETE C2167</t>
        </is>
      </c>
      <c r="B287" t="inlineStr">
        <is>
          <t>C2167</t>
        </is>
      </c>
      <c r="C287" t="inlineStr">
        <is>
          <t>CORPORATE BANKING</t>
        </is>
      </c>
      <c r="D287" t="inlineStr">
        <is>
          <t>IA</t>
        </is>
      </c>
      <c r="E287" t="inlineStr">
        <is>
          <t>Stage 2</t>
        </is>
      </c>
      <c r="F287" t="inlineStr">
        <is>
          <t>N/A</t>
        </is>
      </c>
      <c r="G287" s="26">
        <v>1702034970</v>
      </c>
      <c r="H287" s="26">
        <v>102122098</v>
      </c>
      <c r="I287" s="26">
        <v>0</v>
      </c>
      <c r="J287" s="26">
        <v>187</v>
      </c>
      <c r="K287" t="inlineStr">
        <is>
          <t>Non</t>
        </is>
      </c>
      <c r="L287">
        <f>SUBTOTAL(103,A287)</f>
        <v>1</v>
      </c>
    </row>
    <row r="288">
      <c r="A288" t="inlineStr">
        <is>
          <t>SOCIETE C10</t>
        </is>
      </c>
      <c r="B288" t="inlineStr">
        <is>
          <t>C10</t>
        </is>
      </c>
      <c r="C288" t="inlineStr">
        <is>
          <t>CONSUMER BANKING</t>
        </is>
      </c>
      <c r="D288" t="inlineStr">
        <is>
          <t>I</t>
        </is>
      </c>
      <c r="E288" t="inlineStr">
        <is>
          <t>Stage 1</t>
        </is>
      </c>
      <c r="F288" t="inlineStr">
        <is>
          <t>N/A</t>
        </is>
      </c>
      <c r="G288" s="26">
        <v>973625764</v>
      </c>
      <c r="H288" s="26">
        <v>9736258</v>
      </c>
      <c r="I288" s="26">
        <v>0</v>
      </c>
      <c r="J288" s="26">
        <v>40</v>
      </c>
      <c r="K288" t="inlineStr">
        <is>
          <t>Non</t>
        </is>
      </c>
      <c r="L288">
        <f>SUBTOTAL(103,A288)</f>
        <v>1</v>
      </c>
    </row>
    <row r="289">
      <c r="A289" t="inlineStr">
        <is>
          <t>SOCIETE C2337</t>
        </is>
      </c>
      <c r="B289" t="inlineStr">
        <is>
          <t>C2337</t>
        </is>
      </c>
      <c r="C289" t="inlineStr">
        <is>
          <t>CONSUMER BANKING</t>
        </is>
      </c>
      <c r="D289" t="inlineStr">
        <is>
          <t>IA</t>
        </is>
      </c>
      <c r="E289" t="inlineStr">
        <is>
          <t>Stage 2</t>
        </is>
      </c>
      <c r="F289" t="inlineStr">
        <is>
          <t>N/A</t>
        </is>
      </c>
      <c r="G289" s="26">
        <v>137486680</v>
      </c>
      <c r="H289" s="26">
        <v>8249201</v>
      </c>
      <c r="I289" s="26">
        <v>0</v>
      </c>
      <c r="J289" s="26">
        <v>372</v>
      </c>
      <c r="K289" t="inlineStr">
        <is>
          <t>Non</t>
        </is>
      </c>
      <c r="L289">
        <f>SUBTOTAL(103,A289)</f>
        <v>1</v>
      </c>
    </row>
    <row r="290">
      <c r="A290" t="inlineStr">
        <is>
          <t>SOCIETE C232</t>
        </is>
      </c>
      <c r="B290" t="inlineStr">
        <is>
          <t>C232</t>
        </is>
      </c>
      <c r="C290" t="inlineStr">
        <is>
          <t>CONSUMER BANKING</t>
        </is>
      </c>
      <c r="D290" t="inlineStr">
        <is>
          <t>I</t>
        </is>
      </c>
      <c r="E290" t="inlineStr">
        <is>
          <t>Stage 1</t>
        </is>
      </c>
      <c r="F290" t="inlineStr">
        <is>
          <t>N/A</t>
        </is>
      </c>
      <c r="G290" s="26">
        <v>1706891411</v>
      </c>
      <c r="H290" s="26">
        <v>17068914</v>
      </c>
      <c r="I290" s="26">
        <v>0</v>
      </c>
      <c r="J290" s="26">
        <v>12</v>
      </c>
      <c r="K290" t="inlineStr">
        <is>
          <t>Non</t>
        </is>
      </c>
      <c r="L290">
        <f>SUBTOTAL(103,A290)</f>
        <v>1</v>
      </c>
    </row>
    <row r="291">
      <c r="A291" t="inlineStr">
        <is>
          <t>SOCIETE C1276</t>
        </is>
      </c>
      <c r="B291" t="inlineStr">
        <is>
          <t>C1276</t>
        </is>
      </c>
      <c r="C291" t="inlineStr">
        <is>
          <t>CORPORATE BANKING</t>
        </is>
      </c>
      <c r="D291" t="inlineStr">
        <is>
          <t>IA</t>
        </is>
      </c>
      <c r="E291" t="inlineStr">
        <is>
          <t>Stage 2</t>
        </is>
      </c>
      <c r="F291" t="inlineStr">
        <is>
          <t>N/A</t>
        </is>
      </c>
      <c r="G291" s="26">
        <v>928231542</v>
      </c>
      <c r="H291" s="26">
        <v>55693893</v>
      </c>
      <c r="I291" s="26">
        <v>0</v>
      </c>
      <c r="J291" s="26">
        <v>11</v>
      </c>
      <c r="K291" t="inlineStr">
        <is>
          <t>Non</t>
        </is>
      </c>
      <c r="L291">
        <f>SUBTOTAL(103,A291)</f>
        <v>1</v>
      </c>
    </row>
    <row r="292">
      <c r="A292" t="inlineStr">
        <is>
          <t>SOCIETE C1687</t>
        </is>
      </c>
      <c r="B292" t="inlineStr">
        <is>
          <t>C1687</t>
        </is>
      </c>
      <c r="C292" t="inlineStr">
        <is>
          <t>CORPORATE BANKING</t>
        </is>
      </c>
      <c r="D292" t="inlineStr">
        <is>
          <t>I</t>
        </is>
      </c>
      <c r="E292" t="inlineStr">
        <is>
          <t>Stage 1</t>
        </is>
      </c>
      <c r="F292" t="inlineStr">
        <is>
          <t>N/A</t>
        </is>
      </c>
      <c r="G292" s="26">
        <v>7516757</v>
      </c>
      <c r="H292" s="26">
        <v>75168</v>
      </c>
      <c r="I292" s="26">
        <v>0</v>
      </c>
      <c r="J292" s="26">
        <v>111</v>
      </c>
      <c r="K292" t="inlineStr">
        <is>
          <t>Non</t>
        </is>
      </c>
      <c r="L292">
        <f>SUBTOTAL(103,A292)</f>
        <v>1</v>
      </c>
    </row>
    <row r="293">
      <c r="A293" t="inlineStr">
        <is>
          <t>SOCIETE C782</t>
        </is>
      </c>
      <c r="B293" t="inlineStr">
        <is>
          <t>C782</t>
        </is>
      </c>
      <c r="C293" t="inlineStr">
        <is>
          <t>CONSUMER BANKING</t>
        </is>
      </c>
      <c r="D293" t="inlineStr">
        <is>
          <t>II</t>
        </is>
      </c>
      <c r="E293" t="inlineStr">
        <is>
          <t>Stage 2</t>
        </is>
      </c>
      <c r="F293" t="inlineStr">
        <is>
          <t>N/A</t>
        </is>
      </c>
      <c r="G293" s="26">
        <v>958618606</v>
      </c>
      <c r="H293" s="26">
        <v>57517116</v>
      </c>
      <c r="I293" s="26">
        <v>0</v>
      </c>
      <c r="J293" s="26">
        <v>41</v>
      </c>
      <c r="K293" t="inlineStr">
        <is>
          <t>Non</t>
        </is>
      </c>
      <c r="L293">
        <f>SUBTOTAL(103,A293)</f>
        <v>1</v>
      </c>
    </row>
    <row r="294">
      <c r="A294" t="inlineStr">
        <is>
          <t>SOCIETE C202</t>
        </is>
      </c>
      <c r="B294" t="inlineStr">
        <is>
          <t>C202</t>
        </is>
      </c>
      <c r="C294" t="inlineStr">
        <is>
          <t>CONSUMER BANKING</t>
        </is>
      </c>
      <c r="D294" t="inlineStr">
        <is>
          <t>I</t>
        </is>
      </c>
      <c r="E294" t="inlineStr">
        <is>
          <t>Stage 1</t>
        </is>
      </c>
      <c r="F294" t="inlineStr">
        <is>
          <t>N/A</t>
        </is>
      </c>
      <c r="G294" s="26">
        <v>2709545311</v>
      </c>
      <c r="H294" s="26">
        <v>27095453</v>
      </c>
      <c r="I294" s="26">
        <v>0</v>
      </c>
      <c r="J294" s="26">
        <v>32</v>
      </c>
      <c r="K294" t="inlineStr">
        <is>
          <t>Non</t>
        </is>
      </c>
      <c r="L294">
        <f>SUBTOTAL(103,A294)</f>
        <v>1</v>
      </c>
    </row>
    <row r="295">
      <c r="A295" t="inlineStr">
        <is>
          <t>SOCIETE C2454</t>
        </is>
      </c>
      <c r="B295" t="inlineStr">
        <is>
          <t>C2454</t>
        </is>
      </c>
      <c r="C295" t="inlineStr">
        <is>
          <t>INSTITUTIONAL</t>
        </is>
      </c>
      <c r="D295" t="inlineStr">
        <is>
          <t>IA</t>
        </is>
      </c>
      <c r="E295" t="inlineStr">
        <is>
          <t>Stage 2</t>
        </is>
      </c>
      <c r="F295" t="inlineStr">
        <is>
          <t>N/A</t>
        </is>
      </c>
      <c r="G295" s="26">
        <v>683680342</v>
      </c>
      <c r="H295" s="26">
        <v>41020821</v>
      </c>
      <c r="I295" s="26">
        <v>0</v>
      </c>
      <c r="J295" s="26">
        <v>2</v>
      </c>
      <c r="K295" t="inlineStr">
        <is>
          <t>Non</t>
        </is>
      </c>
      <c r="L295">
        <f>SUBTOTAL(103,A295)</f>
        <v>1</v>
      </c>
    </row>
    <row r="296">
      <c r="A296" t="inlineStr">
        <is>
          <t>SOCIETE C164</t>
        </is>
      </c>
      <c r="B296" t="inlineStr">
        <is>
          <t>C164</t>
        </is>
      </c>
      <c r="C296" t="inlineStr">
        <is>
          <t>COMMERCIAL BANKING</t>
        </is>
      </c>
      <c r="D296" t="inlineStr">
        <is>
          <t>I</t>
        </is>
      </c>
      <c r="E296" t="inlineStr">
        <is>
          <t>Stage 1</t>
        </is>
      </c>
      <c r="F296" t="inlineStr">
        <is>
          <t>N/A</t>
        </is>
      </c>
      <c r="G296" s="26">
        <v>3335257</v>
      </c>
      <c r="H296" s="26">
        <v>33353</v>
      </c>
      <c r="I296" s="26">
        <v>463674</v>
      </c>
      <c r="J296" s="26">
        <v>162</v>
      </c>
      <c r="K296" t="inlineStr">
        <is>
          <t>Non</t>
        </is>
      </c>
      <c r="L296">
        <f>SUBTOTAL(103,A296)</f>
        <v>1</v>
      </c>
    </row>
    <row r="297">
      <c r="A297" t="inlineStr">
        <is>
          <t>SOCIETE C1840</t>
        </is>
      </c>
      <c r="B297" t="inlineStr">
        <is>
          <t>C1840</t>
        </is>
      </c>
      <c r="C297" t="inlineStr">
        <is>
          <t>CORPORATE BANKING</t>
        </is>
      </c>
      <c r="D297" t="inlineStr">
        <is>
          <t>IA</t>
        </is>
      </c>
      <c r="E297" t="inlineStr">
        <is>
          <t>Stage 2</t>
        </is>
      </c>
      <c r="F297" t="inlineStr">
        <is>
          <t>N/A</t>
        </is>
      </c>
      <c r="G297" s="26">
        <v>1840971922</v>
      </c>
      <c r="H297" s="26">
        <v>110458315</v>
      </c>
      <c r="I297" s="26">
        <v>70723246</v>
      </c>
      <c r="J297" s="26">
        <v>24</v>
      </c>
      <c r="K297" t="inlineStr">
        <is>
          <t>Non</t>
        </is>
      </c>
      <c r="L297">
        <f>SUBTOTAL(103,A297)</f>
        <v>1</v>
      </c>
    </row>
    <row r="298">
      <c r="A298" t="inlineStr">
        <is>
          <t>SOCIETE C2098</t>
        </is>
      </c>
      <c r="B298" t="inlineStr">
        <is>
          <t>C2098</t>
        </is>
      </c>
      <c r="C298" t="inlineStr">
        <is>
          <t>CORPORATE BANKING</t>
        </is>
      </c>
      <c r="D298" t="inlineStr">
        <is>
          <t>I</t>
        </is>
      </c>
      <c r="E298" t="inlineStr">
        <is>
          <t>Stage 1</t>
        </is>
      </c>
      <c r="F298" t="inlineStr">
        <is>
          <t>N/A</t>
        </is>
      </c>
      <c r="G298" s="26">
        <v>2183899039</v>
      </c>
      <c r="H298" s="26">
        <v>21838990</v>
      </c>
      <c r="I298" s="26">
        <v>0</v>
      </c>
      <c r="J298" s="26">
        <v>110</v>
      </c>
      <c r="K298" t="inlineStr">
        <is>
          <t>Non</t>
        </is>
      </c>
      <c r="L298">
        <f>SUBTOTAL(103,A298)</f>
        <v>1</v>
      </c>
    </row>
    <row r="299">
      <c r="A299" t="inlineStr">
        <is>
          <t>SOCIETE C817</t>
        </is>
      </c>
      <c r="B299" t="inlineStr">
        <is>
          <t>C817</t>
        </is>
      </c>
      <c r="C299" t="inlineStr">
        <is>
          <t>COMMERCIAL BANKING</t>
        </is>
      </c>
      <c r="D299" t="inlineStr">
        <is>
          <t>I</t>
        </is>
      </c>
      <c r="E299" t="inlineStr">
        <is>
          <t>Stage 1</t>
        </is>
      </c>
      <c r="F299" t="inlineStr">
        <is>
          <t>N/A</t>
        </is>
      </c>
      <c r="G299" s="26">
        <v>451646704</v>
      </c>
      <c r="H299" s="26">
        <v>4516467</v>
      </c>
      <c r="I299" s="26">
        <v>0</v>
      </c>
      <c r="J299" s="26">
        <v>116</v>
      </c>
      <c r="K299" t="inlineStr">
        <is>
          <t>Non</t>
        </is>
      </c>
      <c r="L299">
        <f>SUBTOTAL(103,A299)</f>
        <v>1</v>
      </c>
    </row>
    <row r="300">
      <c r="A300" t="inlineStr">
        <is>
          <t>SOCIETE C906</t>
        </is>
      </c>
      <c r="B300" t="inlineStr">
        <is>
          <t>C906</t>
        </is>
      </c>
      <c r="C300" t="inlineStr">
        <is>
          <t>CONSUMER BANKING</t>
        </is>
      </c>
      <c r="D300" t="inlineStr">
        <is>
          <t>III</t>
        </is>
      </c>
      <c r="E300" t="inlineStr">
        <is>
          <t>Stage 3</t>
        </is>
      </c>
      <c r="F300" t="inlineStr">
        <is>
          <t>N/A</t>
        </is>
      </c>
      <c r="G300" s="26">
        <v>140887690</v>
      </c>
      <c r="H300" s="26">
        <v>77488229</v>
      </c>
      <c r="I300" s="26">
        <v>0</v>
      </c>
      <c r="J300" s="26">
        <v>48</v>
      </c>
      <c r="K300" t="inlineStr">
        <is>
          <t>Oui</t>
        </is>
      </c>
      <c r="L300">
        <f>SUBTOTAL(103,A300)</f>
        <v>1</v>
      </c>
    </row>
    <row r="301">
      <c r="A301" t="inlineStr">
        <is>
          <t>SOCIETE C2170</t>
        </is>
      </c>
      <c r="B301" t="inlineStr">
        <is>
          <t>C2170</t>
        </is>
      </c>
      <c r="C301" t="inlineStr">
        <is>
          <t>CONSUMER BANKING</t>
        </is>
      </c>
      <c r="D301" t="inlineStr">
        <is>
          <t>IA</t>
        </is>
      </c>
      <c r="E301" t="inlineStr">
        <is>
          <t>Stage 2</t>
        </is>
      </c>
      <c r="F301" t="inlineStr">
        <is>
          <t>N/A</t>
        </is>
      </c>
      <c r="G301" s="26">
        <v>399412552</v>
      </c>
      <c r="H301" s="26">
        <v>23964753</v>
      </c>
      <c r="I301" s="26">
        <v>0</v>
      </c>
      <c r="J301" s="26">
        <v>63</v>
      </c>
      <c r="K301" t="inlineStr">
        <is>
          <t>Non</t>
        </is>
      </c>
      <c r="L301">
        <f>SUBTOTAL(103,A301)</f>
        <v>1</v>
      </c>
    </row>
    <row r="302">
      <c r="A302" t="inlineStr">
        <is>
          <t>SOCIETE C406</t>
        </is>
      </c>
      <c r="B302" t="inlineStr">
        <is>
          <t>C406</t>
        </is>
      </c>
      <c r="C302" t="inlineStr">
        <is>
          <t>CONSUMER BANKING</t>
        </is>
      </c>
      <c r="D302" t="inlineStr">
        <is>
          <t>V</t>
        </is>
      </c>
      <c r="E302" t="inlineStr">
        <is>
          <t>Stage 3</t>
        </is>
      </c>
      <c r="F302" t="inlineStr">
        <is>
          <t>N/A</t>
        </is>
      </c>
      <c r="G302" s="26">
        <v>74533854</v>
      </c>
      <c r="H302" s="26">
        <v>40993620</v>
      </c>
      <c r="I302" s="26">
        <v>7902411</v>
      </c>
      <c r="J302" s="26">
        <v>36</v>
      </c>
      <c r="K302" t="inlineStr">
        <is>
          <t>Oui</t>
        </is>
      </c>
      <c r="L302">
        <f>SUBTOTAL(103,A302)</f>
        <v>1</v>
      </c>
    </row>
    <row r="303">
      <c r="A303" t="inlineStr">
        <is>
          <t>SOCIETE C2380</t>
        </is>
      </c>
      <c r="B303" t="inlineStr">
        <is>
          <t>C2380</t>
        </is>
      </c>
      <c r="C303" t="inlineStr">
        <is>
          <t>CORPORATE BANKING</t>
        </is>
      </c>
      <c r="D303" t="inlineStr">
        <is>
          <t>I</t>
        </is>
      </c>
      <c r="E303" t="inlineStr">
        <is>
          <t>Stage 1</t>
        </is>
      </c>
      <c r="F303" t="inlineStr">
        <is>
          <t>N/A</t>
        </is>
      </c>
      <c r="G303" s="26">
        <v>2133226884</v>
      </c>
      <c r="H303" s="26">
        <v>21332269</v>
      </c>
      <c r="I303" s="26">
        <v>119577363</v>
      </c>
      <c r="J303" s="26">
        <v>158</v>
      </c>
      <c r="K303" t="inlineStr">
        <is>
          <t>Non</t>
        </is>
      </c>
      <c r="L303">
        <f>SUBTOTAL(103,A303)</f>
        <v>1</v>
      </c>
    </row>
    <row r="304">
      <c r="A304" t="inlineStr">
        <is>
          <t>SOCIETE C612</t>
        </is>
      </c>
      <c r="B304" t="inlineStr">
        <is>
          <t>C612</t>
        </is>
      </c>
      <c r="C304" t="inlineStr">
        <is>
          <t>CORPORATE BANKING</t>
        </is>
      </c>
      <c r="D304" t="inlineStr">
        <is>
          <t>IA</t>
        </is>
      </c>
      <c r="E304" t="inlineStr">
        <is>
          <t>Stage 2</t>
        </is>
      </c>
      <c r="F304" t="inlineStr">
        <is>
          <t>N/A</t>
        </is>
      </c>
      <c r="G304" s="26">
        <v>803500292</v>
      </c>
      <c r="H304" s="26">
        <v>48210018</v>
      </c>
      <c r="I304" s="26">
        <v>0</v>
      </c>
      <c r="J304" s="26">
        <v>7</v>
      </c>
      <c r="K304" t="inlineStr">
        <is>
          <t>Non</t>
        </is>
      </c>
      <c r="L304">
        <f>SUBTOTAL(103,A304)</f>
        <v>1</v>
      </c>
    </row>
    <row r="305">
      <c r="A305" t="inlineStr">
        <is>
          <t>SOCIETE C34</t>
        </is>
      </c>
      <c r="B305" t="inlineStr">
        <is>
          <t>C34</t>
        </is>
      </c>
      <c r="C305" t="inlineStr">
        <is>
          <t>COMMERCIAL BANKING</t>
        </is>
      </c>
      <c r="D305" t="inlineStr">
        <is>
          <t>IV</t>
        </is>
      </c>
      <c r="E305" t="inlineStr">
        <is>
          <t>Stage 3</t>
        </is>
      </c>
      <c r="F305" t="inlineStr">
        <is>
          <t>N/A</t>
        </is>
      </c>
      <c r="G305" s="26">
        <v>713655117</v>
      </c>
      <c r="H305" s="26">
        <v>392510314</v>
      </c>
      <c r="I305" s="26">
        <v>0</v>
      </c>
      <c r="J305" s="26">
        <v>45</v>
      </c>
      <c r="K305" t="inlineStr">
        <is>
          <t>Oui</t>
        </is>
      </c>
      <c r="L305">
        <f>SUBTOTAL(103,A305)</f>
        <v>1</v>
      </c>
    </row>
    <row r="306">
      <c r="A306" t="inlineStr">
        <is>
          <t>SOCIETE C687</t>
        </is>
      </c>
      <c r="B306" t="inlineStr">
        <is>
          <t>C687</t>
        </is>
      </c>
      <c r="C306" t="inlineStr">
        <is>
          <t>PUBLIC SECTOR</t>
        </is>
      </c>
      <c r="D306" t="inlineStr">
        <is>
          <t>I</t>
        </is>
      </c>
      <c r="E306" t="inlineStr">
        <is>
          <t>Stage 1</t>
        </is>
      </c>
      <c r="F306" t="inlineStr">
        <is>
          <t>N/A</t>
        </is>
      </c>
      <c r="G306" s="26">
        <v>4836380</v>
      </c>
      <c r="H306" s="26">
        <v>48364</v>
      </c>
      <c r="I306" s="26">
        <v>164646</v>
      </c>
      <c r="J306" s="26">
        <v>36</v>
      </c>
      <c r="K306" t="inlineStr">
        <is>
          <t>Non</t>
        </is>
      </c>
      <c r="L306">
        <f>SUBTOTAL(103,A306)</f>
        <v>1</v>
      </c>
    </row>
    <row r="307">
      <c r="A307" t="inlineStr">
        <is>
          <t>SOCIETE C717</t>
        </is>
      </c>
      <c r="B307" t="inlineStr">
        <is>
          <t>C717</t>
        </is>
      </c>
      <c r="C307" t="inlineStr">
        <is>
          <t>COMMERCIAL BANKING</t>
        </is>
      </c>
      <c r="D307" t="inlineStr">
        <is>
          <t>I</t>
        </is>
      </c>
      <c r="E307" t="inlineStr">
        <is>
          <t>Stage 1</t>
        </is>
      </c>
      <c r="F307" t="inlineStr">
        <is>
          <t>N/A</t>
        </is>
      </c>
      <c r="G307" s="26">
        <v>2963292911</v>
      </c>
      <c r="H307" s="26">
        <v>29632929</v>
      </c>
      <c r="I307" s="26">
        <v>0</v>
      </c>
      <c r="J307" s="26">
        <v>74</v>
      </c>
      <c r="K307" t="inlineStr">
        <is>
          <t>Non</t>
        </is>
      </c>
      <c r="L307">
        <f>SUBTOTAL(103,A307)</f>
        <v>1</v>
      </c>
    </row>
    <row r="308">
      <c r="A308" t="inlineStr">
        <is>
          <t>SOCIETE C427</t>
        </is>
      </c>
      <c r="B308" t="inlineStr">
        <is>
          <t>C427</t>
        </is>
      </c>
      <c r="C308" t="inlineStr">
        <is>
          <t>CORPORATE BANKING</t>
        </is>
      </c>
      <c r="D308" t="inlineStr">
        <is>
          <t>II</t>
        </is>
      </c>
      <c r="E308" t="inlineStr">
        <is>
          <t>Stage 2</t>
        </is>
      </c>
      <c r="F308" t="inlineStr">
        <is>
          <t>N/A</t>
        </is>
      </c>
      <c r="G308" s="26">
        <v>819371647</v>
      </c>
      <c r="H308" s="26">
        <v>49162299</v>
      </c>
      <c r="I308" s="26">
        <v>64485870</v>
      </c>
      <c r="J308" s="26">
        <v>216</v>
      </c>
      <c r="K308" t="inlineStr">
        <is>
          <t>Non</t>
        </is>
      </c>
      <c r="L308">
        <f>SUBTOTAL(103,A308)</f>
        <v>1</v>
      </c>
    </row>
    <row r="309">
      <c r="A309" t="inlineStr">
        <is>
          <t>SOCIETE C1759</t>
        </is>
      </c>
      <c r="B309" t="inlineStr">
        <is>
          <t>C1759</t>
        </is>
      </c>
      <c r="C309" t="inlineStr">
        <is>
          <t>CORPORATE BANKING</t>
        </is>
      </c>
      <c r="D309" t="inlineStr">
        <is>
          <t>IA</t>
        </is>
      </c>
      <c r="E309" t="inlineStr">
        <is>
          <t>Stage 2</t>
        </is>
      </c>
      <c r="F309" t="inlineStr">
        <is>
          <t>N/A</t>
        </is>
      </c>
      <c r="G309" s="26">
        <v>2906533250</v>
      </c>
      <c r="H309" s="26">
        <v>174391995</v>
      </c>
      <c r="I309" s="26">
        <v>0</v>
      </c>
      <c r="J309" s="26">
        <v>87</v>
      </c>
      <c r="K309" t="inlineStr">
        <is>
          <t>Non</t>
        </is>
      </c>
      <c r="L309">
        <f>SUBTOTAL(103,A309)</f>
        <v>1</v>
      </c>
    </row>
    <row r="310">
      <c r="A310" t="inlineStr">
        <is>
          <t>SOCIETE C66</t>
        </is>
      </c>
      <c r="B310" t="inlineStr">
        <is>
          <t>C66</t>
        </is>
      </c>
      <c r="C310" t="inlineStr">
        <is>
          <t>COMMERCIAL BANKING</t>
        </is>
      </c>
      <c r="D310" t="inlineStr">
        <is>
          <t>II</t>
        </is>
      </c>
      <c r="E310" t="inlineStr">
        <is>
          <t>Stage 2</t>
        </is>
      </c>
      <c r="F310" t="inlineStr">
        <is>
          <t>N/A</t>
        </is>
      </c>
      <c r="G310" s="26">
        <v>457986146</v>
      </c>
      <c r="H310" s="26">
        <v>27479169</v>
      </c>
      <c r="I310" s="26">
        <v>0</v>
      </c>
      <c r="J310" s="26">
        <v>56</v>
      </c>
      <c r="K310" t="inlineStr">
        <is>
          <t>Non</t>
        </is>
      </c>
      <c r="L310">
        <f>SUBTOTAL(103,A310)</f>
        <v>1</v>
      </c>
    </row>
    <row r="311">
      <c r="A311" t="inlineStr">
        <is>
          <t>SOCIETE C314</t>
        </is>
      </c>
      <c r="B311" t="inlineStr">
        <is>
          <t>C314</t>
        </is>
      </c>
      <c r="C311" t="inlineStr">
        <is>
          <t>CORPORATE BANKING</t>
        </is>
      </c>
      <c r="D311" t="inlineStr">
        <is>
          <t>IA</t>
        </is>
      </c>
      <c r="E311" t="inlineStr">
        <is>
          <t>Stage 2</t>
        </is>
      </c>
      <c r="F311" t="inlineStr">
        <is>
          <t>N/A</t>
        </is>
      </c>
      <c r="G311" s="26">
        <v>1508482</v>
      </c>
      <c r="H311" s="26">
        <v>90509</v>
      </c>
      <c r="I311" s="26">
        <v>0</v>
      </c>
      <c r="J311" s="26">
        <v>150</v>
      </c>
      <c r="K311" t="inlineStr">
        <is>
          <t>Non</t>
        </is>
      </c>
      <c r="L311">
        <f>SUBTOTAL(103,A311)</f>
        <v>1</v>
      </c>
    </row>
    <row r="312">
      <c r="A312" t="inlineStr">
        <is>
          <t>SOCIETE C1883</t>
        </is>
      </c>
      <c r="B312" t="inlineStr">
        <is>
          <t>C1883</t>
        </is>
      </c>
      <c r="C312" t="inlineStr">
        <is>
          <t>INSTITUTIONAL</t>
        </is>
      </c>
      <c r="D312" t="inlineStr">
        <is>
          <t>II</t>
        </is>
      </c>
      <c r="E312" t="inlineStr">
        <is>
          <t>Stage 2</t>
        </is>
      </c>
      <c r="F312" t="inlineStr">
        <is>
          <t>N/A</t>
        </is>
      </c>
      <c r="G312" s="26">
        <v>751851851</v>
      </c>
      <c r="H312" s="26">
        <v>45111111</v>
      </c>
      <c r="I312" s="26">
        <v>0</v>
      </c>
      <c r="J312" s="26">
        <v>99</v>
      </c>
      <c r="K312" t="inlineStr">
        <is>
          <t>Non</t>
        </is>
      </c>
      <c r="L312">
        <f>SUBTOTAL(103,A312)</f>
        <v>1</v>
      </c>
    </row>
    <row r="313">
      <c r="A313" t="inlineStr">
        <is>
          <t>SOCIETE C120</t>
        </is>
      </c>
      <c r="B313" t="inlineStr">
        <is>
          <t>C120</t>
        </is>
      </c>
      <c r="C313" t="inlineStr">
        <is>
          <t>CONSUMER BANKING</t>
        </is>
      </c>
      <c r="D313" t="inlineStr">
        <is>
          <t>V</t>
        </is>
      </c>
      <c r="E313" t="inlineStr">
        <is>
          <t>Stage 3</t>
        </is>
      </c>
      <c r="F313" t="inlineStr">
        <is>
          <t>N/A</t>
        </is>
      </c>
      <c r="G313" s="26">
        <v>62468774</v>
      </c>
      <c r="H313" s="26">
        <v>34357826</v>
      </c>
      <c r="I313" s="26">
        <v>12186174</v>
      </c>
      <c r="J313" s="26">
        <v>46</v>
      </c>
      <c r="K313" t="inlineStr">
        <is>
          <t>Oui</t>
        </is>
      </c>
      <c r="L313">
        <f>SUBTOTAL(103,A313)</f>
        <v>1</v>
      </c>
    </row>
    <row r="314">
      <c r="A314" t="inlineStr">
        <is>
          <t>SOCIETE C153</t>
        </is>
      </c>
      <c r="B314" t="inlineStr">
        <is>
          <t>C153</t>
        </is>
      </c>
      <c r="C314" t="inlineStr">
        <is>
          <t>CONSUMER BANKING</t>
        </is>
      </c>
      <c r="D314" t="inlineStr">
        <is>
          <t>IA</t>
        </is>
      </c>
      <c r="E314" t="inlineStr">
        <is>
          <t>Stage 2</t>
        </is>
      </c>
      <c r="F314" t="inlineStr">
        <is>
          <t>N/A</t>
        </is>
      </c>
      <c r="G314" s="26">
        <v>1059155</v>
      </c>
      <c r="H314" s="26">
        <v>63549</v>
      </c>
      <c r="I314" s="26">
        <v>0</v>
      </c>
      <c r="J314" s="26">
        <v>1</v>
      </c>
      <c r="K314" t="inlineStr">
        <is>
          <t>Non</t>
        </is>
      </c>
      <c r="L314">
        <f>SUBTOTAL(103,A314)</f>
        <v>1</v>
      </c>
    </row>
    <row r="315">
      <c r="A315" t="inlineStr">
        <is>
          <t>SOCIETE C1000</t>
        </is>
      </c>
      <c r="B315" t="inlineStr">
        <is>
          <t>C1000</t>
        </is>
      </c>
      <c r="C315" t="inlineStr">
        <is>
          <t>CORPORATE BANKING</t>
        </is>
      </c>
      <c r="D315" t="inlineStr">
        <is>
          <t>II</t>
        </is>
      </c>
      <c r="E315" t="inlineStr">
        <is>
          <t>Stage 2</t>
        </is>
      </c>
      <c r="F315" t="inlineStr">
        <is>
          <t>N/A</t>
        </is>
      </c>
      <c r="G315" s="26">
        <v>14305729</v>
      </c>
      <c r="H315" s="26">
        <v>858344</v>
      </c>
      <c r="I315" s="26">
        <v>0</v>
      </c>
      <c r="J315" s="26">
        <v>5</v>
      </c>
      <c r="K315" t="inlineStr">
        <is>
          <t>Non</t>
        </is>
      </c>
      <c r="L315">
        <f>SUBTOTAL(103,A315)</f>
        <v>1</v>
      </c>
    </row>
    <row r="316">
      <c r="A316" t="inlineStr">
        <is>
          <t>SOCIETE C2070</t>
        </is>
      </c>
      <c r="B316" t="inlineStr">
        <is>
          <t>C2070</t>
        </is>
      </c>
      <c r="C316" t="inlineStr">
        <is>
          <t>CONSUMER BANKING</t>
        </is>
      </c>
      <c r="D316" t="inlineStr">
        <is>
          <t>IV</t>
        </is>
      </c>
      <c r="E316" t="inlineStr">
        <is>
          <t>Stage 3</t>
        </is>
      </c>
      <c r="F316" t="inlineStr">
        <is>
          <t>N/A</t>
        </is>
      </c>
      <c r="G316" s="26">
        <v>1427384040</v>
      </c>
      <c r="H316" s="26">
        <v>785061222</v>
      </c>
      <c r="I316" s="26">
        <v>0</v>
      </c>
      <c r="J316" s="26">
        <v>60</v>
      </c>
      <c r="K316" t="inlineStr">
        <is>
          <t>Oui</t>
        </is>
      </c>
      <c r="L316">
        <f>SUBTOTAL(103,A316)</f>
        <v>1</v>
      </c>
    </row>
    <row r="317">
      <c r="A317" t="inlineStr">
        <is>
          <t>SOCIETE C38</t>
        </is>
      </c>
      <c r="B317" t="inlineStr">
        <is>
          <t>C38</t>
        </is>
      </c>
      <c r="C317" t="inlineStr">
        <is>
          <t>COMMERCIAL BANKING</t>
        </is>
      </c>
      <c r="D317" t="inlineStr">
        <is>
          <t>III</t>
        </is>
      </c>
      <c r="E317" t="inlineStr">
        <is>
          <t>Stage 3</t>
        </is>
      </c>
      <c r="F317" t="inlineStr">
        <is>
          <t>N/A</t>
        </is>
      </c>
      <c r="G317" s="26">
        <v>175580987</v>
      </c>
      <c r="H317" s="26">
        <v>96569543</v>
      </c>
      <c r="I317" s="26">
        <v>15026246</v>
      </c>
      <c r="J317" s="26">
        <v>88</v>
      </c>
      <c r="K317" t="inlineStr">
        <is>
          <t>Oui</t>
        </is>
      </c>
      <c r="L317">
        <f>SUBTOTAL(103,A317)</f>
        <v>1</v>
      </c>
    </row>
    <row r="318">
      <c r="A318" t="inlineStr">
        <is>
          <t>SOCIETE C1257</t>
        </is>
      </c>
      <c r="B318" t="inlineStr">
        <is>
          <t>C1257</t>
        </is>
      </c>
      <c r="C318" t="inlineStr">
        <is>
          <t>CONSUMER BANKING</t>
        </is>
      </c>
      <c r="D318" t="inlineStr">
        <is>
          <t>I</t>
        </is>
      </c>
      <c r="E318" t="inlineStr">
        <is>
          <t>Stage 1</t>
        </is>
      </c>
      <c r="F318" t="inlineStr">
        <is>
          <t>N/A</t>
        </is>
      </c>
      <c r="G318" s="26">
        <v>2640323531</v>
      </c>
      <c r="H318" s="26">
        <v>26403235</v>
      </c>
      <c r="I318" s="26">
        <v>136712468</v>
      </c>
      <c r="J318" s="26">
        <v>27</v>
      </c>
      <c r="K318" t="inlineStr">
        <is>
          <t>Non</t>
        </is>
      </c>
      <c r="L318">
        <f>SUBTOTAL(103,A318)</f>
        <v>1</v>
      </c>
    </row>
    <row r="319">
      <c r="A319" t="inlineStr">
        <is>
          <t>SOCIETE C1549</t>
        </is>
      </c>
      <c r="B319" t="inlineStr">
        <is>
          <t>C1549</t>
        </is>
      </c>
      <c r="C319" t="inlineStr">
        <is>
          <t>CORPORATE BANKING</t>
        </is>
      </c>
      <c r="D319" t="inlineStr">
        <is>
          <t>I</t>
        </is>
      </c>
      <c r="E319" t="inlineStr">
        <is>
          <t>Stage 1</t>
        </is>
      </c>
      <c r="F319" t="inlineStr">
        <is>
          <t>N/A</t>
        </is>
      </c>
      <c r="G319" s="26">
        <v>1569447776</v>
      </c>
      <c r="H319" s="26">
        <v>15694478</v>
      </c>
      <c r="I319" s="26">
        <v>267347476</v>
      </c>
      <c r="J319" s="26">
        <v>366</v>
      </c>
      <c r="K319" t="inlineStr">
        <is>
          <t>Non</t>
        </is>
      </c>
      <c r="L319">
        <f>SUBTOTAL(103,A319)</f>
        <v>1</v>
      </c>
    </row>
    <row r="320">
      <c r="A320" t="inlineStr">
        <is>
          <t>SOCIETE C1872</t>
        </is>
      </c>
      <c r="B320" t="inlineStr">
        <is>
          <t>C1872</t>
        </is>
      </c>
      <c r="C320" t="inlineStr">
        <is>
          <t>CORPORATE BANKING</t>
        </is>
      </c>
      <c r="D320" t="inlineStr">
        <is>
          <t>III</t>
        </is>
      </c>
      <c r="E320" t="inlineStr">
        <is>
          <t>Stage 3</t>
        </is>
      </c>
      <c r="F320" t="inlineStr">
        <is>
          <t>N/A</t>
        </is>
      </c>
      <c r="G320" s="26">
        <v>980908204</v>
      </c>
      <c r="H320" s="26">
        <v>539499512</v>
      </c>
      <c r="I320" s="26">
        <v>0</v>
      </c>
      <c r="J320" s="26">
        <v>82</v>
      </c>
      <c r="K320" t="inlineStr">
        <is>
          <t>Oui</t>
        </is>
      </c>
      <c r="L320">
        <f>SUBTOTAL(103,A320)</f>
        <v>1</v>
      </c>
    </row>
    <row r="321">
      <c r="A321" t="inlineStr">
        <is>
          <t>SOCIETE C288</t>
        </is>
      </c>
      <c r="B321" t="inlineStr">
        <is>
          <t>C288</t>
        </is>
      </c>
      <c r="C321" t="inlineStr">
        <is>
          <t>CORPORATE BANKING</t>
        </is>
      </c>
      <c r="D321" t="inlineStr">
        <is>
          <t>I</t>
        </is>
      </c>
      <c r="E321" t="inlineStr">
        <is>
          <t>Stage 1</t>
        </is>
      </c>
      <c r="F321" t="inlineStr">
        <is>
          <t>N/A</t>
        </is>
      </c>
      <c r="G321" s="26">
        <v>1018846</v>
      </c>
      <c r="H321" s="26">
        <v>10188</v>
      </c>
      <c r="I321" s="26">
        <v>0</v>
      </c>
      <c r="J321" s="26">
        <v>129</v>
      </c>
      <c r="K321" t="inlineStr">
        <is>
          <t>Non</t>
        </is>
      </c>
      <c r="L321">
        <f>SUBTOTAL(103,A321)</f>
        <v>1</v>
      </c>
    </row>
    <row r="322">
      <c r="A322" t="inlineStr">
        <is>
          <t>SOCIETE C1542</t>
        </is>
      </c>
      <c r="B322" t="inlineStr">
        <is>
          <t>C1542</t>
        </is>
      </c>
      <c r="C322" t="inlineStr">
        <is>
          <t>CORPORATE BANKING</t>
        </is>
      </c>
      <c r="D322" t="inlineStr">
        <is>
          <t>I</t>
        </is>
      </c>
      <c r="E322" t="inlineStr">
        <is>
          <t>Stage 1</t>
        </is>
      </c>
      <c r="F322" t="inlineStr">
        <is>
          <t>N/A</t>
        </is>
      </c>
      <c r="G322" s="26">
        <v>23887069</v>
      </c>
      <c r="H322" s="26">
        <v>238871</v>
      </c>
      <c r="I322" s="26">
        <v>0</v>
      </c>
      <c r="J322" s="26">
        <v>132</v>
      </c>
      <c r="K322" t="inlineStr">
        <is>
          <t>Non</t>
        </is>
      </c>
      <c r="L322">
        <f>SUBTOTAL(103,A322)</f>
        <v>1</v>
      </c>
    </row>
    <row r="323">
      <c r="A323" t="inlineStr">
        <is>
          <t>SOCIETE C1736</t>
        </is>
      </c>
      <c r="B323" t="inlineStr">
        <is>
          <t>C1736</t>
        </is>
      </c>
      <c r="C323" t="inlineStr">
        <is>
          <t>CORPORATE BANKING</t>
        </is>
      </c>
      <c r="D323" t="inlineStr">
        <is>
          <t>II</t>
        </is>
      </c>
      <c r="E323" t="inlineStr">
        <is>
          <t>Stage 2</t>
        </is>
      </c>
      <c r="F323" t="inlineStr">
        <is>
          <t>N/A</t>
        </is>
      </c>
      <c r="G323" s="26">
        <v>4788755</v>
      </c>
      <c r="H323" s="26">
        <v>287325</v>
      </c>
      <c r="I323" s="26">
        <v>3524</v>
      </c>
      <c r="J323" s="26">
        <v>131</v>
      </c>
      <c r="K323" t="inlineStr">
        <is>
          <t>Non</t>
        </is>
      </c>
      <c r="L323">
        <f>SUBTOTAL(103,A323)</f>
        <v>1</v>
      </c>
    </row>
    <row r="324">
      <c r="A324" t="inlineStr">
        <is>
          <t>SOCIETE C992</t>
        </is>
      </c>
      <c r="B324" t="inlineStr">
        <is>
          <t>C992</t>
        </is>
      </c>
      <c r="C324" t="inlineStr">
        <is>
          <t>COMMERCIAL BANKING</t>
        </is>
      </c>
      <c r="D324" t="inlineStr">
        <is>
          <t>I</t>
        </is>
      </c>
      <c r="E324" t="inlineStr">
        <is>
          <t>Stage 1</t>
        </is>
      </c>
      <c r="F324" t="inlineStr">
        <is>
          <t>N/A</t>
        </is>
      </c>
      <c r="G324" s="26">
        <v>2587527927</v>
      </c>
      <c r="H324" s="26">
        <v>25875279</v>
      </c>
      <c r="I324" s="26">
        <v>0</v>
      </c>
      <c r="J324" s="26">
        <v>327</v>
      </c>
      <c r="K324" t="inlineStr">
        <is>
          <t>Non</t>
        </is>
      </c>
      <c r="L324">
        <f>SUBTOTAL(103,A324)</f>
        <v>1</v>
      </c>
    </row>
    <row r="325">
      <c r="A325" t="inlineStr">
        <is>
          <t>SOCIETE C760</t>
        </is>
      </c>
      <c r="B325" t="inlineStr">
        <is>
          <t>C760</t>
        </is>
      </c>
      <c r="C325" t="inlineStr">
        <is>
          <t>CORPORATE BANKING</t>
        </is>
      </c>
      <c r="D325" t="inlineStr">
        <is>
          <t>IV</t>
        </is>
      </c>
      <c r="E325" t="inlineStr">
        <is>
          <t>Stage 3</t>
        </is>
      </c>
      <c r="F325" t="inlineStr">
        <is>
          <t>N/A</t>
        </is>
      </c>
      <c r="G325" s="26">
        <v>1340005609</v>
      </c>
      <c r="H325" s="26">
        <v>737003085</v>
      </c>
      <c r="I325" s="26">
        <v>0</v>
      </c>
      <c r="J325" s="26">
        <v>130</v>
      </c>
      <c r="K325" t="inlineStr">
        <is>
          <t>Oui</t>
        </is>
      </c>
      <c r="L325">
        <f>SUBTOTAL(103,A325)</f>
        <v>1</v>
      </c>
    </row>
    <row r="326">
      <c r="A326" t="inlineStr">
        <is>
          <t>SOCIETE C74</t>
        </is>
      </c>
      <c r="B326" t="inlineStr">
        <is>
          <t>C74</t>
        </is>
      </c>
      <c r="C326" t="inlineStr">
        <is>
          <t>CONSUMER BANKING</t>
        </is>
      </c>
      <c r="D326" t="inlineStr">
        <is>
          <t>I</t>
        </is>
      </c>
      <c r="E326" t="inlineStr">
        <is>
          <t>Stage 1</t>
        </is>
      </c>
      <c r="F326" t="inlineStr">
        <is>
          <t>N/A</t>
        </is>
      </c>
      <c r="G326" s="26">
        <v>54609239</v>
      </c>
      <c r="H326" s="26">
        <v>546092</v>
      </c>
      <c r="I326" s="26">
        <v>0</v>
      </c>
      <c r="J326" s="26">
        <v>14</v>
      </c>
      <c r="K326" t="inlineStr">
        <is>
          <t>Non</t>
        </is>
      </c>
      <c r="L326">
        <f>SUBTOTAL(103,A326)</f>
        <v>1</v>
      </c>
    </row>
    <row r="327">
      <c r="A327" t="inlineStr">
        <is>
          <t>SOCIETE C2099</t>
        </is>
      </c>
      <c r="B327" t="inlineStr">
        <is>
          <t>C2099</t>
        </is>
      </c>
      <c r="C327" t="inlineStr">
        <is>
          <t>CONSUMER BANKING</t>
        </is>
      </c>
      <c r="D327" t="inlineStr">
        <is>
          <t>IA</t>
        </is>
      </c>
      <c r="E327" t="inlineStr">
        <is>
          <t>Stage 2</t>
        </is>
      </c>
      <c r="F327" t="inlineStr">
        <is>
          <t>N/A</t>
        </is>
      </c>
      <c r="G327" s="26">
        <v>1371059356</v>
      </c>
      <c r="H327" s="26">
        <v>82263561</v>
      </c>
      <c r="I327" s="26">
        <v>145662201</v>
      </c>
      <c r="J327" s="26">
        <v>277</v>
      </c>
      <c r="K327" t="inlineStr">
        <is>
          <t>Non</t>
        </is>
      </c>
      <c r="L327">
        <f>SUBTOTAL(103,A327)</f>
        <v>1</v>
      </c>
    </row>
    <row r="328">
      <c r="A328" t="inlineStr">
        <is>
          <t>SOCIETE C2018</t>
        </is>
      </c>
      <c r="B328" t="inlineStr">
        <is>
          <t>C2018</t>
        </is>
      </c>
      <c r="C328" t="inlineStr">
        <is>
          <t>CORPORATE BANKING</t>
        </is>
      </c>
      <c r="D328" t="inlineStr">
        <is>
          <t>IA</t>
        </is>
      </c>
      <c r="E328" t="inlineStr">
        <is>
          <t>Stage 2</t>
        </is>
      </c>
      <c r="F328" t="inlineStr">
        <is>
          <t>N/A</t>
        </is>
      </c>
      <c r="G328" s="26">
        <v>25810201</v>
      </c>
      <c r="H328" s="26">
        <v>1548612</v>
      </c>
      <c r="I328" s="26">
        <v>0</v>
      </c>
      <c r="J328" s="26">
        <v>167</v>
      </c>
      <c r="K328" t="inlineStr">
        <is>
          <t>Non</t>
        </is>
      </c>
      <c r="L328">
        <f>SUBTOTAL(103,A328)</f>
        <v>1</v>
      </c>
    </row>
    <row r="329">
      <c r="A329" t="inlineStr">
        <is>
          <t>SOCIETE C986</t>
        </is>
      </c>
      <c r="B329" t="inlineStr">
        <is>
          <t>C986</t>
        </is>
      </c>
      <c r="C329" t="inlineStr">
        <is>
          <t>COMMERCIAL BANKING</t>
        </is>
      </c>
      <c r="D329" t="inlineStr">
        <is>
          <t>IA</t>
        </is>
      </c>
      <c r="E329" t="inlineStr">
        <is>
          <t>Stage 2</t>
        </is>
      </c>
      <c r="F329" t="inlineStr">
        <is>
          <t>N/A</t>
        </is>
      </c>
      <c r="G329" s="26">
        <v>2140104</v>
      </c>
      <c r="H329" s="26">
        <v>128406</v>
      </c>
      <c r="I329" s="26">
        <v>250033</v>
      </c>
      <c r="J329" s="26">
        <v>110</v>
      </c>
      <c r="K329" t="inlineStr">
        <is>
          <t>Non</t>
        </is>
      </c>
      <c r="L329">
        <f>SUBTOTAL(103,A329)</f>
        <v>1</v>
      </c>
    </row>
    <row r="330">
      <c r="A330" t="inlineStr">
        <is>
          <t>SOCIETE C1081</t>
        </is>
      </c>
      <c r="B330" t="inlineStr">
        <is>
          <t>C1081</t>
        </is>
      </c>
      <c r="C330" t="inlineStr">
        <is>
          <t>CONSUMER BANKING</t>
        </is>
      </c>
      <c r="D330" t="inlineStr">
        <is>
          <t>V</t>
        </is>
      </c>
      <c r="E330" t="inlineStr">
        <is>
          <t>Stage 3</t>
        </is>
      </c>
      <c r="F330" t="inlineStr">
        <is>
          <t>N/A</t>
        </is>
      </c>
      <c r="G330" s="26">
        <v>70553455</v>
      </c>
      <c r="H330" s="26">
        <v>38804400</v>
      </c>
      <c r="I330" s="26">
        <v>10158636</v>
      </c>
      <c r="J330" s="26">
        <v>254</v>
      </c>
      <c r="K330" t="inlineStr">
        <is>
          <t>Oui</t>
        </is>
      </c>
      <c r="L330">
        <f>SUBTOTAL(103,A330)</f>
        <v>1</v>
      </c>
    </row>
    <row r="331">
      <c r="A331" t="inlineStr">
        <is>
          <t>SOCIETE C1883</t>
        </is>
      </c>
      <c r="B331" t="inlineStr">
        <is>
          <t>C1883</t>
        </is>
      </c>
      <c r="C331" t="inlineStr">
        <is>
          <t>CORPORATE BANKING</t>
        </is>
      </c>
      <c r="D331" t="inlineStr">
        <is>
          <t>I</t>
        </is>
      </c>
      <c r="E331" t="inlineStr">
        <is>
          <t>Stage 1</t>
        </is>
      </c>
      <c r="F331" t="inlineStr">
        <is>
          <t>N/A</t>
        </is>
      </c>
      <c r="G331" s="26">
        <v>425306810</v>
      </c>
      <c r="H331" s="26">
        <v>4253068</v>
      </c>
      <c r="I331" s="26">
        <v>0</v>
      </c>
      <c r="J331" s="26">
        <v>300</v>
      </c>
      <c r="K331" t="inlineStr">
        <is>
          <t>Non</t>
        </is>
      </c>
      <c r="L331">
        <f>SUBTOTAL(103,A331)</f>
        <v>1</v>
      </c>
    </row>
    <row r="332">
      <c r="A332" t="inlineStr">
        <is>
          <t>SOCIETE C1213</t>
        </is>
      </c>
      <c r="B332" t="inlineStr">
        <is>
          <t>C1213</t>
        </is>
      </c>
      <c r="C332" t="inlineStr">
        <is>
          <t>CORPORATE BANKING</t>
        </is>
      </c>
      <c r="D332" t="inlineStr">
        <is>
          <t>III</t>
        </is>
      </c>
      <c r="E332" t="inlineStr">
        <is>
          <t>Stage 3</t>
        </is>
      </c>
      <c r="F332" t="inlineStr">
        <is>
          <t>N/A</t>
        </is>
      </c>
      <c r="G332" s="26">
        <v>9949929</v>
      </c>
      <c r="H332" s="26">
        <v>5472461</v>
      </c>
      <c r="I332" s="26">
        <v>0</v>
      </c>
      <c r="J332" s="26">
        <v>3</v>
      </c>
      <c r="K332" t="inlineStr">
        <is>
          <t>Oui</t>
        </is>
      </c>
      <c r="L332">
        <f>SUBTOTAL(103,A332)</f>
        <v>1</v>
      </c>
    </row>
    <row r="333">
      <c r="A333" t="inlineStr">
        <is>
          <t>SOCIETE C238</t>
        </is>
      </c>
      <c r="B333" t="inlineStr">
        <is>
          <t>C238</t>
        </is>
      </c>
      <c r="C333" t="inlineStr">
        <is>
          <t>CORPORATE BANKING</t>
        </is>
      </c>
      <c r="D333" t="inlineStr">
        <is>
          <t>III</t>
        </is>
      </c>
      <c r="E333" t="inlineStr">
        <is>
          <t>Stage 3</t>
        </is>
      </c>
      <c r="F333" t="inlineStr">
        <is>
          <t>N/A</t>
        </is>
      </c>
      <c r="G333" s="26">
        <v>337951893</v>
      </c>
      <c r="H333" s="26">
        <v>185873541</v>
      </c>
      <c r="I333" s="26">
        <v>15391613</v>
      </c>
      <c r="J333" s="26">
        <v>96</v>
      </c>
      <c r="K333" t="inlineStr">
        <is>
          <t>Oui</t>
        </is>
      </c>
      <c r="L333">
        <f>SUBTOTAL(103,A333)</f>
        <v>1</v>
      </c>
    </row>
    <row r="334">
      <c r="A334" t="inlineStr">
        <is>
          <t>SOCIETE C98</t>
        </is>
      </c>
      <c r="B334" t="inlineStr">
        <is>
          <t>C98</t>
        </is>
      </c>
      <c r="C334" t="inlineStr">
        <is>
          <t>CORPORATE BANKING</t>
        </is>
      </c>
      <c r="D334" t="inlineStr">
        <is>
          <t>I</t>
        </is>
      </c>
      <c r="E334" t="inlineStr">
        <is>
          <t>Stage 1</t>
        </is>
      </c>
      <c r="F334" t="inlineStr">
        <is>
          <t>N/A</t>
        </is>
      </c>
      <c r="G334" s="26">
        <v>857534846</v>
      </c>
      <c r="H334" s="26">
        <v>8575348</v>
      </c>
      <c r="I334" s="26">
        <v>0</v>
      </c>
      <c r="J334" s="26">
        <v>12</v>
      </c>
      <c r="K334" t="inlineStr">
        <is>
          <t>Non</t>
        </is>
      </c>
      <c r="L334">
        <f>SUBTOTAL(103,A334)</f>
        <v>1</v>
      </c>
    </row>
    <row r="335">
      <c r="A335" t="inlineStr">
        <is>
          <t>SOCIETE C111</t>
        </is>
      </c>
      <c r="B335" t="inlineStr">
        <is>
          <t>C111</t>
        </is>
      </c>
      <c r="C335" t="inlineStr">
        <is>
          <t>COMMERCIAL BANKING</t>
        </is>
      </c>
      <c r="D335" t="inlineStr">
        <is>
          <t>I</t>
        </is>
      </c>
      <c r="E335" t="inlineStr">
        <is>
          <t>Stage 1</t>
        </is>
      </c>
      <c r="F335" t="inlineStr">
        <is>
          <t>N/A</t>
        </is>
      </c>
      <c r="G335" s="26">
        <v>2098064000</v>
      </c>
      <c r="H335" s="26">
        <v>20980640</v>
      </c>
      <c r="I335" s="26">
        <v>26911841</v>
      </c>
      <c r="J335" s="26">
        <v>282</v>
      </c>
      <c r="K335" t="inlineStr">
        <is>
          <t>Non</t>
        </is>
      </c>
      <c r="L335">
        <f>SUBTOTAL(103,A335)</f>
        <v>1</v>
      </c>
    </row>
    <row r="336">
      <c r="A336" t="inlineStr">
        <is>
          <t>SOCIETE C149</t>
        </is>
      </c>
      <c r="B336" t="inlineStr">
        <is>
          <t>C149</t>
        </is>
      </c>
      <c r="C336" t="inlineStr">
        <is>
          <t>CORPORATE BANKING</t>
        </is>
      </c>
      <c r="D336" t="inlineStr">
        <is>
          <t>V</t>
        </is>
      </c>
      <c r="E336" t="inlineStr">
        <is>
          <t>Stage 3</t>
        </is>
      </c>
      <c r="F336" t="inlineStr">
        <is>
          <t>N/A</t>
        </is>
      </c>
      <c r="G336" s="26">
        <v>4132345</v>
      </c>
      <c r="H336" s="26">
        <v>2272790</v>
      </c>
      <c r="I336" s="26">
        <v>0</v>
      </c>
      <c r="J336" s="26">
        <v>92</v>
      </c>
      <c r="K336" t="inlineStr">
        <is>
          <t>Oui</t>
        </is>
      </c>
      <c r="L336">
        <f>SUBTOTAL(103,A336)</f>
        <v>1</v>
      </c>
    </row>
    <row r="337">
      <c r="A337" t="inlineStr">
        <is>
          <t>SOCIETE C1139</t>
        </is>
      </c>
      <c r="B337" t="inlineStr">
        <is>
          <t>C1139</t>
        </is>
      </c>
      <c r="C337" t="inlineStr">
        <is>
          <t>COMMERCIAL BANKING</t>
        </is>
      </c>
      <c r="D337" t="inlineStr">
        <is>
          <t>IV</t>
        </is>
      </c>
      <c r="E337" t="inlineStr">
        <is>
          <t>Stage 3</t>
        </is>
      </c>
      <c r="F337" t="inlineStr">
        <is>
          <t>N/A</t>
        </is>
      </c>
      <c r="G337" s="26">
        <v>86084056</v>
      </c>
      <c r="H337" s="26">
        <v>47346231</v>
      </c>
      <c r="I337" s="26">
        <v>0</v>
      </c>
      <c r="J337" s="26">
        <v>110</v>
      </c>
      <c r="K337" t="inlineStr">
        <is>
          <t>Oui</t>
        </is>
      </c>
      <c r="L337">
        <f>SUBTOTAL(103,A337)</f>
        <v>1</v>
      </c>
    </row>
    <row r="338">
      <c r="A338" t="inlineStr">
        <is>
          <t>SOCIETE C2224</t>
        </is>
      </c>
      <c r="B338" t="inlineStr">
        <is>
          <t>C2224</t>
        </is>
      </c>
      <c r="C338" t="inlineStr">
        <is>
          <t>COMMERCIAL BANKING</t>
        </is>
      </c>
      <c r="D338" t="inlineStr">
        <is>
          <t>IA</t>
        </is>
      </c>
      <c r="E338" t="inlineStr">
        <is>
          <t>Stage 2</t>
        </is>
      </c>
      <c r="F338" t="inlineStr">
        <is>
          <t>N/A</t>
        </is>
      </c>
      <c r="G338" s="26">
        <v>707281492</v>
      </c>
      <c r="H338" s="26">
        <v>42436890</v>
      </c>
      <c r="I338" s="26">
        <v>0</v>
      </c>
      <c r="J338" s="26">
        <v>139</v>
      </c>
      <c r="K338" t="inlineStr">
        <is>
          <t>Non</t>
        </is>
      </c>
      <c r="L338">
        <f>SUBTOTAL(103,A338)</f>
        <v>1</v>
      </c>
    </row>
    <row r="339">
      <c r="A339" t="inlineStr">
        <is>
          <t>SOCIETE C2329</t>
        </is>
      </c>
      <c r="B339" t="inlineStr">
        <is>
          <t>C2329</t>
        </is>
      </c>
      <c r="C339" t="inlineStr">
        <is>
          <t>COMMERCIAL BANKING</t>
        </is>
      </c>
      <c r="D339" t="inlineStr">
        <is>
          <t>III</t>
        </is>
      </c>
      <c r="E339" t="inlineStr">
        <is>
          <t>Stage 3</t>
        </is>
      </c>
      <c r="F339" t="inlineStr">
        <is>
          <t>N/A</t>
        </is>
      </c>
      <c r="G339" s="26">
        <v>394700922</v>
      </c>
      <c r="H339" s="26">
        <v>217085507</v>
      </c>
      <c r="I339" s="26">
        <v>0</v>
      </c>
      <c r="J339" s="26">
        <v>3</v>
      </c>
      <c r="K339" t="inlineStr">
        <is>
          <t>Oui</t>
        </is>
      </c>
      <c r="L339">
        <f>SUBTOTAL(103,A339)</f>
        <v>1</v>
      </c>
    </row>
    <row r="340">
      <c r="A340" t="inlineStr">
        <is>
          <t>SOCIETE C1923</t>
        </is>
      </c>
      <c r="B340" t="inlineStr">
        <is>
          <t>C1923</t>
        </is>
      </c>
      <c r="C340" t="inlineStr">
        <is>
          <t>CORPORATE BANKING</t>
        </is>
      </c>
      <c r="D340" t="inlineStr">
        <is>
          <t>II</t>
        </is>
      </c>
      <c r="E340" t="inlineStr">
        <is>
          <t>Stage 2</t>
        </is>
      </c>
      <c r="F340" t="inlineStr">
        <is>
          <t>N/A</t>
        </is>
      </c>
      <c r="G340" s="26">
        <v>1338275397</v>
      </c>
      <c r="H340" s="26">
        <v>80296524</v>
      </c>
      <c r="I340" s="26">
        <v>0</v>
      </c>
      <c r="J340" s="26">
        <v>8</v>
      </c>
      <c r="K340" t="inlineStr">
        <is>
          <t>Non</t>
        </is>
      </c>
      <c r="L340">
        <f>SUBTOTAL(103,A340)</f>
        <v>1</v>
      </c>
    </row>
    <row r="341">
      <c r="A341" t="inlineStr">
        <is>
          <t>SOCIETE C438</t>
        </is>
      </c>
      <c r="B341" t="inlineStr">
        <is>
          <t>C438</t>
        </is>
      </c>
      <c r="C341" t="inlineStr">
        <is>
          <t>CONSUMER BANKING</t>
        </is>
      </c>
      <c r="D341" t="inlineStr">
        <is>
          <t>II</t>
        </is>
      </c>
      <c r="E341" t="inlineStr">
        <is>
          <t>Stage 2</t>
        </is>
      </c>
      <c r="F341" t="inlineStr">
        <is>
          <t>N/A</t>
        </is>
      </c>
      <c r="G341" s="26">
        <v>2167192336</v>
      </c>
      <c r="H341" s="26">
        <v>130031540</v>
      </c>
      <c r="I341" s="26">
        <v>401447801</v>
      </c>
      <c r="J341" s="26">
        <v>178</v>
      </c>
      <c r="K341" t="inlineStr">
        <is>
          <t>Non</t>
        </is>
      </c>
      <c r="L341">
        <f>SUBTOTAL(103,A341)</f>
        <v>1</v>
      </c>
    </row>
    <row r="342">
      <c r="A342" t="inlineStr">
        <is>
          <t>SOCIETE C1332</t>
        </is>
      </c>
      <c r="B342" t="inlineStr">
        <is>
          <t>C1332</t>
        </is>
      </c>
      <c r="C342" t="inlineStr">
        <is>
          <t>CORPORATE BANKING</t>
        </is>
      </c>
      <c r="D342" t="inlineStr">
        <is>
          <t>I</t>
        </is>
      </c>
      <c r="E342" t="inlineStr">
        <is>
          <t>Stage 1</t>
        </is>
      </c>
      <c r="F342" t="inlineStr">
        <is>
          <t>N/A</t>
        </is>
      </c>
      <c r="G342" s="26">
        <v>49355664</v>
      </c>
      <c r="H342" s="26">
        <v>493557</v>
      </c>
      <c r="I342" s="26">
        <v>1172862</v>
      </c>
      <c r="J342" s="26">
        <v>14</v>
      </c>
      <c r="K342" t="inlineStr">
        <is>
          <t>Non</t>
        </is>
      </c>
      <c r="L342">
        <f>SUBTOTAL(103,A342)</f>
        <v>1</v>
      </c>
    </row>
    <row r="343">
      <c r="A343" t="inlineStr">
        <is>
          <t>SOCIETE C1235</t>
        </is>
      </c>
      <c r="B343" t="inlineStr">
        <is>
          <t>C1235</t>
        </is>
      </c>
      <c r="C343" t="inlineStr">
        <is>
          <t>CORPORATE BANKING</t>
        </is>
      </c>
      <c r="D343" t="inlineStr">
        <is>
          <t>I</t>
        </is>
      </c>
      <c r="E343" t="inlineStr">
        <is>
          <t>Stage 1</t>
        </is>
      </c>
      <c r="F343" t="inlineStr">
        <is>
          <t>N/A</t>
        </is>
      </c>
      <c r="G343" s="26">
        <v>522421487</v>
      </c>
      <c r="H343" s="26">
        <v>5224215</v>
      </c>
      <c r="I343" s="26">
        <v>0</v>
      </c>
      <c r="J343" s="26">
        <v>114</v>
      </c>
      <c r="K343" t="inlineStr">
        <is>
          <t>Non</t>
        </is>
      </c>
      <c r="L343">
        <f>SUBTOTAL(103,A343)</f>
        <v>1</v>
      </c>
    </row>
    <row r="344">
      <c r="A344" t="inlineStr">
        <is>
          <t>SOCIETE C1826</t>
        </is>
      </c>
      <c r="B344" t="inlineStr">
        <is>
          <t>C1826</t>
        </is>
      </c>
      <c r="C344" t="inlineStr">
        <is>
          <t>CORPORATE BANKING</t>
        </is>
      </c>
      <c r="D344" t="inlineStr">
        <is>
          <t>IV</t>
        </is>
      </c>
      <c r="E344" t="inlineStr">
        <is>
          <t>Stage 3</t>
        </is>
      </c>
      <c r="F344" t="inlineStr">
        <is>
          <t>N/A</t>
        </is>
      </c>
      <c r="G344" s="26">
        <v>557404198</v>
      </c>
      <c r="H344" s="26">
        <v>306572309</v>
      </c>
      <c r="I344" s="26">
        <v>41931652</v>
      </c>
      <c r="J344" s="26">
        <v>139</v>
      </c>
      <c r="K344" t="inlineStr">
        <is>
          <t>Oui</t>
        </is>
      </c>
      <c r="L344">
        <f>SUBTOTAL(103,A344)</f>
        <v>1</v>
      </c>
    </row>
    <row r="345">
      <c r="A345" t="inlineStr">
        <is>
          <t>SOCIETE C1808</t>
        </is>
      </c>
      <c r="B345" t="inlineStr">
        <is>
          <t>C1808</t>
        </is>
      </c>
      <c r="C345" t="inlineStr">
        <is>
          <t>CORPORATE BANKING</t>
        </is>
      </c>
      <c r="D345" t="inlineStr">
        <is>
          <t>II</t>
        </is>
      </c>
      <c r="E345" t="inlineStr">
        <is>
          <t>Stage 2</t>
        </is>
      </c>
      <c r="F345" t="inlineStr">
        <is>
          <t>N/A</t>
        </is>
      </c>
      <c r="G345" s="26">
        <v>1674254912</v>
      </c>
      <c r="H345" s="26">
        <v>100455295</v>
      </c>
      <c r="I345" s="26">
        <v>0</v>
      </c>
      <c r="J345" s="26">
        <v>3</v>
      </c>
      <c r="K345" t="inlineStr">
        <is>
          <t>Non</t>
        </is>
      </c>
      <c r="L345">
        <f>SUBTOTAL(103,A345)</f>
        <v>1</v>
      </c>
    </row>
    <row r="346">
      <c r="A346" t="inlineStr">
        <is>
          <t>SOCIETE C1423</t>
        </is>
      </c>
      <c r="B346" t="inlineStr">
        <is>
          <t>C1423</t>
        </is>
      </c>
      <c r="C346" t="inlineStr">
        <is>
          <t>CORPORATE BANKING</t>
        </is>
      </c>
      <c r="D346" t="inlineStr">
        <is>
          <t>I</t>
        </is>
      </c>
      <c r="E346" t="inlineStr">
        <is>
          <t>Stage 1</t>
        </is>
      </c>
      <c r="F346" t="inlineStr">
        <is>
          <t>N/A</t>
        </is>
      </c>
      <c r="G346" s="26">
        <v>21465840</v>
      </c>
      <c r="H346" s="26">
        <v>214658</v>
      </c>
      <c r="I346" s="26">
        <v>0</v>
      </c>
      <c r="J346" s="26">
        <v>69</v>
      </c>
      <c r="K346" t="inlineStr">
        <is>
          <t>Non</t>
        </is>
      </c>
      <c r="L346">
        <f>SUBTOTAL(103,A346)</f>
        <v>1</v>
      </c>
    </row>
    <row r="347">
      <c r="A347" t="inlineStr">
        <is>
          <t>SOCIETE C1357</t>
        </is>
      </c>
      <c r="B347" t="inlineStr">
        <is>
          <t>C1357</t>
        </is>
      </c>
      <c r="C347" t="inlineStr">
        <is>
          <t>CORPORATE BANKING</t>
        </is>
      </c>
      <c r="D347" t="inlineStr">
        <is>
          <t>IV</t>
        </is>
      </c>
      <c r="E347" t="inlineStr">
        <is>
          <t>Stage 3</t>
        </is>
      </c>
      <c r="F347" t="inlineStr">
        <is>
          <t>N/A</t>
        </is>
      </c>
      <c r="G347" s="26">
        <v>1219713315</v>
      </c>
      <c r="H347" s="26">
        <v>670842323</v>
      </c>
      <c r="I347" s="26">
        <v>0</v>
      </c>
      <c r="J347" s="26">
        <v>254</v>
      </c>
      <c r="K347" t="inlineStr">
        <is>
          <t>Oui</t>
        </is>
      </c>
      <c r="L347">
        <f>SUBTOTAL(103,A347)</f>
        <v>1</v>
      </c>
    </row>
    <row r="348">
      <c r="A348" t="inlineStr">
        <is>
          <t>SOCIETE C2436</t>
        </is>
      </c>
      <c r="B348" t="inlineStr">
        <is>
          <t>C2436</t>
        </is>
      </c>
      <c r="C348" t="inlineStr">
        <is>
          <t>COMMERCIAL BANKING</t>
        </is>
      </c>
      <c r="D348" t="inlineStr">
        <is>
          <t>III</t>
        </is>
      </c>
      <c r="E348" t="inlineStr">
        <is>
          <t>Stage 3</t>
        </is>
      </c>
      <c r="F348" t="inlineStr">
        <is>
          <t>N/A</t>
        </is>
      </c>
      <c r="G348" s="26">
        <v>2113844</v>
      </c>
      <c r="H348" s="26">
        <v>1162614</v>
      </c>
      <c r="I348" s="26">
        <v>0</v>
      </c>
      <c r="J348" s="26">
        <v>14</v>
      </c>
      <c r="K348" t="inlineStr">
        <is>
          <t>Oui</t>
        </is>
      </c>
      <c r="L348">
        <f>SUBTOTAL(103,A348)</f>
        <v>1</v>
      </c>
    </row>
    <row r="349">
      <c r="A349" t="inlineStr">
        <is>
          <t>SOCIETE C990</t>
        </is>
      </c>
      <c r="B349" t="inlineStr">
        <is>
          <t>C990</t>
        </is>
      </c>
      <c r="C349" t="inlineStr">
        <is>
          <t>COMMERCIAL BANKING</t>
        </is>
      </c>
      <c r="D349" t="inlineStr">
        <is>
          <t>I</t>
        </is>
      </c>
      <c r="E349" t="inlineStr">
        <is>
          <t>Stage 1</t>
        </is>
      </c>
      <c r="F349" t="inlineStr">
        <is>
          <t>N/A</t>
        </is>
      </c>
      <c r="G349" s="26">
        <v>649423489</v>
      </c>
      <c r="H349" s="26">
        <v>6494235</v>
      </c>
      <c r="I349" s="26">
        <v>107871098</v>
      </c>
      <c r="J349" s="26">
        <v>86</v>
      </c>
      <c r="K349" t="inlineStr">
        <is>
          <t>Non</t>
        </is>
      </c>
      <c r="L349">
        <f>SUBTOTAL(103,A349)</f>
        <v>1</v>
      </c>
    </row>
    <row r="350">
      <c r="A350" t="inlineStr">
        <is>
          <t>SOCIETE C364</t>
        </is>
      </c>
      <c r="B350" t="inlineStr">
        <is>
          <t>C364</t>
        </is>
      </c>
      <c r="C350" t="inlineStr">
        <is>
          <t>CORPORATE BANKING</t>
        </is>
      </c>
      <c r="D350" t="inlineStr">
        <is>
          <t>III</t>
        </is>
      </c>
      <c r="E350" t="inlineStr">
        <is>
          <t>Stage 3</t>
        </is>
      </c>
      <c r="F350" t="inlineStr">
        <is>
          <t>N/A</t>
        </is>
      </c>
      <c r="G350" s="26">
        <v>2454887169</v>
      </c>
      <c r="H350" s="26">
        <v>1350187943</v>
      </c>
      <c r="I350" s="26">
        <v>63773446</v>
      </c>
      <c r="J350" s="26">
        <v>27</v>
      </c>
      <c r="K350" t="inlineStr">
        <is>
          <t>Oui</t>
        </is>
      </c>
      <c r="L350">
        <f>SUBTOTAL(103,A350)</f>
        <v>1</v>
      </c>
    </row>
    <row r="351">
      <c r="A351" t="inlineStr">
        <is>
          <t>SOCIETE C1184</t>
        </is>
      </c>
      <c r="B351" t="inlineStr">
        <is>
          <t>C1184</t>
        </is>
      </c>
      <c r="C351" t="inlineStr">
        <is>
          <t>CORPORATE BANKING</t>
        </is>
      </c>
      <c r="D351" t="inlineStr">
        <is>
          <t>I</t>
        </is>
      </c>
      <c r="E351" t="inlineStr">
        <is>
          <t>Stage 1</t>
        </is>
      </c>
      <c r="F351" t="inlineStr">
        <is>
          <t>N/A</t>
        </is>
      </c>
      <c r="G351" s="26">
        <v>1181331634</v>
      </c>
      <c r="H351" s="26">
        <v>11813316</v>
      </c>
      <c r="I351" s="26">
        <v>0</v>
      </c>
      <c r="J351" s="26">
        <v>39</v>
      </c>
      <c r="K351" t="inlineStr">
        <is>
          <t>Non</t>
        </is>
      </c>
      <c r="L351">
        <f>SUBTOTAL(103,A351)</f>
        <v>1</v>
      </c>
    </row>
    <row r="352">
      <c r="A352" t="inlineStr">
        <is>
          <t>SOCIETE C992</t>
        </is>
      </c>
      <c r="B352" t="inlineStr">
        <is>
          <t>C992</t>
        </is>
      </c>
      <c r="C352" t="inlineStr">
        <is>
          <t>CORPORATE BANKING</t>
        </is>
      </c>
      <c r="D352" t="inlineStr">
        <is>
          <t>III</t>
        </is>
      </c>
      <c r="E352" t="inlineStr">
        <is>
          <t>Stage 3</t>
        </is>
      </c>
      <c r="F352" t="inlineStr">
        <is>
          <t>N/A</t>
        </is>
      </c>
      <c r="G352" s="26">
        <v>21752773</v>
      </c>
      <c r="H352" s="26">
        <v>11964025</v>
      </c>
      <c r="I352" s="26">
        <v>1924143</v>
      </c>
      <c r="J352" s="26">
        <v>8</v>
      </c>
      <c r="K352" t="inlineStr">
        <is>
          <t>Oui</t>
        </is>
      </c>
      <c r="L352">
        <f>SUBTOTAL(103,A352)</f>
        <v>1</v>
      </c>
    </row>
    <row r="353">
      <c r="A353" t="inlineStr">
        <is>
          <t>SOCIETE C2189</t>
        </is>
      </c>
      <c r="B353" t="inlineStr">
        <is>
          <t>C2189</t>
        </is>
      </c>
      <c r="C353" t="inlineStr">
        <is>
          <t>PUBLIC SECTOR</t>
        </is>
      </c>
      <c r="D353" t="inlineStr">
        <is>
          <t>I</t>
        </is>
      </c>
      <c r="E353" t="inlineStr">
        <is>
          <t>Stage 1</t>
        </is>
      </c>
      <c r="F353" t="inlineStr">
        <is>
          <t>N/A</t>
        </is>
      </c>
      <c r="G353" s="26">
        <v>2524252342</v>
      </c>
      <c r="H353" s="26">
        <v>25242523</v>
      </c>
      <c r="I353" s="26">
        <v>0</v>
      </c>
      <c r="J353" s="26">
        <v>217</v>
      </c>
      <c r="K353" t="inlineStr">
        <is>
          <t>Non</t>
        </is>
      </c>
      <c r="L353">
        <f>SUBTOTAL(103,A353)</f>
        <v>1</v>
      </c>
    </row>
    <row r="354">
      <c r="A354" t="inlineStr">
        <is>
          <t>SOCIETE C384</t>
        </is>
      </c>
      <c r="B354" t="inlineStr">
        <is>
          <t>C384</t>
        </is>
      </c>
      <c r="C354" t="inlineStr">
        <is>
          <t>CORPORATE BANKING</t>
        </is>
      </c>
      <c r="D354" t="inlineStr">
        <is>
          <t>I</t>
        </is>
      </c>
      <c r="E354" t="inlineStr">
        <is>
          <t>Stage 1</t>
        </is>
      </c>
      <c r="F354" t="inlineStr">
        <is>
          <t>N/A</t>
        </is>
      </c>
      <c r="G354" s="26">
        <v>3331127</v>
      </c>
      <c r="H354" s="26">
        <v>33311</v>
      </c>
      <c r="I354" s="26">
        <v>0</v>
      </c>
      <c r="J354" s="26">
        <v>61</v>
      </c>
      <c r="K354" t="inlineStr">
        <is>
          <t>Non</t>
        </is>
      </c>
      <c r="L354">
        <f>SUBTOTAL(103,A354)</f>
        <v>1</v>
      </c>
    </row>
    <row r="355">
      <c r="A355" t="inlineStr">
        <is>
          <t>SOCIETE C2279</t>
        </is>
      </c>
      <c r="B355" t="inlineStr">
        <is>
          <t>C2279</t>
        </is>
      </c>
      <c r="C355" t="inlineStr">
        <is>
          <t>COMMERCIAL BANKING</t>
        </is>
      </c>
      <c r="D355" t="inlineStr">
        <is>
          <t>V</t>
        </is>
      </c>
      <c r="E355" t="inlineStr">
        <is>
          <t>Stage 3</t>
        </is>
      </c>
      <c r="F355" t="inlineStr">
        <is>
          <t>N/A</t>
        </is>
      </c>
      <c r="G355" s="26">
        <v>2148599537</v>
      </c>
      <c r="H355" s="26">
        <v>1181729745</v>
      </c>
      <c r="I355" s="26">
        <v>340305960</v>
      </c>
      <c r="J355" s="26">
        <v>4</v>
      </c>
      <c r="K355" t="inlineStr">
        <is>
          <t>Oui</t>
        </is>
      </c>
      <c r="L355">
        <f>SUBTOTAL(103,A355)</f>
        <v>1</v>
      </c>
    </row>
    <row r="356">
      <c r="A356" t="inlineStr">
        <is>
          <t>SOCIETE C2286</t>
        </is>
      </c>
      <c r="B356" t="inlineStr">
        <is>
          <t>C2286</t>
        </is>
      </c>
      <c r="C356" t="inlineStr">
        <is>
          <t>PUBLIC SECTOR</t>
        </is>
      </c>
      <c r="D356" t="inlineStr">
        <is>
          <t>I</t>
        </is>
      </c>
      <c r="E356" t="inlineStr">
        <is>
          <t>Stage 1</t>
        </is>
      </c>
      <c r="F356" t="inlineStr">
        <is>
          <t>N/A</t>
        </is>
      </c>
      <c r="G356" s="26">
        <v>1237235455</v>
      </c>
      <c r="H356" s="26">
        <v>12372355</v>
      </c>
      <c r="I356" s="26">
        <v>72294765</v>
      </c>
      <c r="J356" s="26">
        <v>41</v>
      </c>
      <c r="K356" t="inlineStr">
        <is>
          <t>Non</t>
        </is>
      </c>
      <c r="L356">
        <f>SUBTOTAL(103,A356)</f>
        <v>1</v>
      </c>
    </row>
    <row r="357">
      <c r="A357" t="inlineStr">
        <is>
          <t>SOCIETE C2083</t>
        </is>
      </c>
      <c r="B357" t="inlineStr">
        <is>
          <t>C2083</t>
        </is>
      </c>
      <c r="C357" t="inlineStr">
        <is>
          <t>CONSUMER BANKING</t>
        </is>
      </c>
      <c r="D357" t="inlineStr">
        <is>
          <t>IV</t>
        </is>
      </c>
      <c r="E357" t="inlineStr">
        <is>
          <t>Stage 3</t>
        </is>
      </c>
      <c r="F357" t="inlineStr">
        <is>
          <t>N/A</t>
        </is>
      </c>
      <c r="G357" s="26">
        <v>676094434</v>
      </c>
      <c r="H357" s="26">
        <v>371851938</v>
      </c>
      <c r="I357" s="26">
        <v>0</v>
      </c>
      <c r="J357" s="26">
        <v>131</v>
      </c>
      <c r="K357" t="inlineStr">
        <is>
          <t>Oui</t>
        </is>
      </c>
      <c r="L357">
        <f>SUBTOTAL(103,A357)</f>
        <v>1</v>
      </c>
    </row>
    <row r="358">
      <c r="A358" t="inlineStr">
        <is>
          <t>SOCIETE C2004</t>
        </is>
      </c>
      <c r="B358" t="inlineStr">
        <is>
          <t>C2004</t>
        </is>
      </c>
      <c r="C358" t="inlineStr">
        <is>
          <t>COMMERCIAL BANKING</t>
        </is>
      </c>
      <c r="D358" t="inlineStr">
        <is>
          <t>I</t>
        </is>
      </c>
      <c r="E358" t="inlineStr">
        <is>
          <t>Stage 1</t>
        </is>
      </c>
      <c r="F358" t="inlineStr">
        <is>
          <t>N/A</t>
        </is>
      </c>
      <c r="G358" s="26">
        <v>1008076</v>
      </c>
      <c r="H358" s="26">
        <v>10081</v>
      </c>
      <c r="I358" s="26">
        <v>0</v>
      </c>
      <c r="J358" s="26">
        <v>210</v>
      </c>
      <c r="K358" t="inlineStr">
        <is>
          <t>Non</t>
        </is>
      </c>
      <c r="L358">
        <f>SUBTOTAL(103,A358)</f>
        <v>1</v>
      </c>
    </row>
    <row r="359">
      <c r="A359" t="inlineStr">
        <is>
          <t>SOCIETE C1738</t>
        </is>
      </c>
      <c r="B359" t="inlineStr">
        <is>
          <t>C1738</t>
        </is>
      </c>
      <c r="C359" t="inlineStr">
        <is>
          <t>CORPORATE BANKING</t>
        </is>
      </c>
      <c r="D359" t="inlineStr">
        <is>
          <t>V</t>
        </is>
      </c>
      <c r="E359" t="inlineStr">
        <is>
          <t>Stage 3</t>
        </is>
      </c>
      <c r="F359" t="inlineStr">
        <is>
          <t>N/A</t>
        </is>
      </c>
      <c r="G359" s="26">
        <v>595868977</v>
      </c>
      <c r="H359" s="26">
        <v>327727937</v>
      </c>
      <c r="I359" s="26">
        <v>0</v>
      </c>
      <c r="J359" s="26">
        <v>36</v>
      </c>
      <c r="K359" t="inlineStr">
        <is>
          <t>Oui</t>
        </is>
      </c>
      <c r="L359">
        <f>SUBTOTAL(103,A359)</f>
        <v>1</v>
      </c>
    </row>
    <row r="360">
      <c r="A360" t="inlineStr">
        <is>
          <t>SOCIETE C1657</t>
        </is>
      </c>
      <c r="B360" t="inlineStr">
        <is>
          <t>C1657</t>
        </is>
      </c>
      <c r="C360" t="inlineStr">
        <is>
          <t>COMMERCIAL BANKING</t>
        </is>
      </c>
      <c r="D360" t="inlineStr">
        <is>
          <t>IA</t>
        </is>
      </c>
      <c r="E360" t="inlineStr">
        <is>
          <t>Stage 2</t>
        </is>
      </c>
      <c r="F360" t="inlineStr">
        <is>
          <t>N/A</t>
        </is>
      </c>
      <c r="G360" s="26">
        <v>73880645</v>
      </c>
      <c r="H360" s="26">
        <v>4432839</v>
      </c>
      <c r="I360" s="26">
        <v>0</v>
      </c>
      <c r="J360" s="26">
        <v>5</v>
      </c>
      <c r="K360" t="inlineStr">
        <is>
          <t>Non</t>
        </is>
      </c>
      <c r="L360">
        <f>SUBTOTAL(103,A360)</f>
        <v>1</v>
      </c>
    </row>
    <row r="361">
      <c r="A361" t="inlineStr">
        <is>
          <t>SOCIETE C359</t>
        </is>
      </c>
      <c r="B361" t="inlineStr">
        <is>
          <t>C359</t>
        </is>
      </c>
      <c r="C361" t="inlineStr">
        <is>
          <t>CORPORATE BANKING</t>
        </is>
      </c>
      <c r="D361" t="inlineStr">
        <is>
          <t>IA</t>
        </is>
      </c>
      <c r="E361" t="inlineStr">
        <is>
          <t>Stage 2</t>
        </is>
      </c>
      <c r="F361" t="inlineStr">
        <is>
          <t>N/A</t>
        </is>
      </c>
      <c r="G361" s="26">
        <v>65198512</v>
      </c>
      <c r="H361" s="26">
        <v>3911911</v>
      </c>
      <c r="I361" s="26">
        <v>0</v>
      </c>
      <c r="J361" s="26">
        <v>103</v>
      </c>
      <c r="K361" t="inlineStr">
        <is>
          <t>Non</t>
        </is>
      </c>
      <c r="L361">
        <f>SUBTOTAL(103,A361)</f>
        <v>1</v>
      </c>
    </row>
    <row r="362">
      <c r="A362" t="inlineStr">
        <is>
          <t>SOCIETE C1984</t>
        </is>
      </c>
      <c r="B362" t="inlineStr">
        <is>
          <t>C1984</t>
        </is>
      </c>
      <c r="C362" t="inlineStr">
        <is>
          <t>COMMERCIAL BANKING</t>
        </is>
      </c>
      <c r="D362" t="inlineStr">
        <is>
          <t>I</t>
        </is>
      </c>
      <c r="E362" t="inlineStr">
        <is>
          <t>Stage 1</t>
        </is>
      </c>
      <c r="F362" t="inlineStr">
        <is>
          <t>N/A</t>
        </is>
      </c>
      <c r="G362" s="26">
        <v>717931732</v>
      </c>
      <c r="H362" s="26">
        <v>7179317</v>
      </c>
      <c r="I362" s="26">
        <v>0</v>
      </c>
      <c r="J362" s="26">
        <v>58</v>
      </c>
      <c r="K362" t="inlineStr">
        <is>
          <t>Non</t>
        </is>
      </c>
      <c r="L362">
        <f>SUBTOTAL(103,A362)</f>
        <v>1</v>
      </c>
    </row>
    <row r="363">
      <c r="A363" t="inlineStr">
        <is>
          <t>SOCIETE C2293</t>
        </is>
      </c>
      <c r="B363" t="inlineStr">
        <is>
          <t>C2293</t>
        </is>
      </c>
      <c r="C363" t="inlineStr">
        <is>
          <t>CONSUMER BANKING</t>
        </is>
      </c>
      <c r="D363" t="inlineStr">
        <is>
          <t>IA</t>
        </is>
      </c>
      <c r="E363" t="inlineStr">
        <is>
          <t>Stage 2</t>
        </is>
      </c>
      <c r="F363" t="inlineStr">
        <is>
          <t>N/A</t>
        </is>
      </c>
      <c r="G363" s="26">
        <v>557610881</v>
      </c>
      <c r="H363" s="26">
        <v>33456653</v>
      </c>
      <c r="I363" s="26">
        <v>8635936</v>
      </c>
      <c r="J363" s="26">
        <v>90</v>
      </c>
      <c r="K363" t="inlineStr">
        <is>
          <t>Non</t>
        </is>
      </c>
      <c r="L363">
        <f>SUBTOTAL(103,A363)</f>
        <v>1</v>
      </c>
    </row>
    <row r="364">
      <c r="A364" t="inlineStr">
        <is>
          <t>SOCIETE C1987</t>
        </is>
      </c>
      <c r="B364" t="inlineStr">
        <is>
          <t>C1987</t>
        </is>
      </c>
      <c r="C364" t="inlineStr">
        <is>
          <t>COMMERCIAL BANKING</t>
        </is>
      </c>
      <c r="D364" t="inlineStr">
        <is>
          <t>IV</t>
        </is>
      </c>
      <c r="E364" t="inlineStr">
        <is>
          <t>Stage 3</t>
        </is>
      </c>
      <c r="F364" t="inlineStr">
        <is>
          <t>N/A</t>
        </is>
      </c>
      <c r="G364" s="26">
        <v>228869973</v>
      </c>
      <c r="H364" s="26">
        <v>125878485</v>
      </c>
      <c r="I364" s="26">
        <v>0</v>
      </c>
      <c r="J364" s="26">
        <v>88</v>
      </c>
      <c r="K364" t="inlineStr">
        <is>
          <t>Oui</t>
        </is>
      </c>
      <c r="L364">
        <f>SUBTOTAL(103,A364)</f>
        <v>1</v>
      </c>
    </row>
    <row r="365">
      <c r="A365" t="inlineStr">
        <is>
          <t>SOCIETE C1940</t>
        </is>
      </c>
      <c r="B365" t="inlineStr">
        <is>
          <t>C1940</t>
        </is>
      </c>
      <c r="C365" t="inlineStr">
        <is>
          <t>CORPORATE BANKING</t>
        </is>
      </c>
      <c r="D365" t="inlineStr">
        <is>
          <t>IV</t>
        </is>
      </c>
      <c r="E365" t="inlineStr">
        <is>
          <t>Stage 3</t>
        </is>
      </c>
      <c r="F365" t="inlineStr">
        <is>
          <t>N/A</t>
        </is>
      </c>
      <c r="G365" s="26">
        <v>448694713</v>
      </c>
      <c r="H365" s="26">
        <v>246782092</v>
      </c>
      <c r="I365" s="26">
        <v>76120756</v>
      </c>
      <c r="J365" s="26">
        <v>106</v>
      </c>
      <c r="K365" t="inlineStr">
        <is>
          <t>Oui</t>
        </is>
      </c>
      <c r="L365">
        <f>SUBTOTAL(103,A365)</f>
        <v>1</v>
      </c>
    </row>
    <row r="366">
      <c r="A366" t="inlineStr">
        <is>
          <t>SOCIETE C838</t>
        </is>
      </c>
      <c r="B366" t="inlineStr">
        <is>
          <t>C838</t>
        </is>
      </c>
      <c r="C366" t="inlineStr">
        <is>
          <t>CORPORATE BANKING</t>
        </is>
      </c>
      <c r="D366" t="inlineStr">
        <is>
          <t>IA</t>
        </is>
      </c>
      <c r="E366" t="inlineStr">
        <is>
          <t>Stage 2</t>
        </is>
      </c>
      <c r="F366" t="inlineStr">
        <is>
          <t>N/A</t>
        </is>
      </c>
      <c r="G366" s="26">
        <v>1004154</v>
      </c>
      <c r="H366" s="26">
        <v>60249</v>
      </c>
      <c r="I366" s="26">
        <v>0</v>
      </c>
      <c r="J366" s="26">
        <v>263</v>
      </c>
      <c r="K366" t="inlineStr">
        <is>
          <t>Non</t>
        </is>
      </c>
      <c r="L366">
        <f>SUBTOTAL(103,A366)</f>
        <v>1</v>
      </c>
    </row>
    <row r="367">
      <c r="A367" t="inlineStr">
        <is>
          <t>SOCIETE C1695</t>
        </is>
      </c>
      <c r="B367" t="inlineStr">
        <is>
          <t>C1695</t>
        </is>
      </c>
      <c r="C367" t="inlineStr">
        <is>
          <t>CORPORATE BANKING</t>
        </is>
      </c>
      <c r="D367" t="inlineStr">
        <is>
          <t>IA</t>
        </is>
      </c>
      <c r="E367" t="inlineStr">
        <is>
          <t>Stage 2</t>
        </is>
      </c>
      <c r="F367" t="inlineStr">
        <is>
          <t>N/A</t>
        </is>
      </c>
      <c r="G367" s="26">
        <v>622848865</v>
      </c>
      <c r="H367" s="26">
        <v>37370932</v>
      </c>
      <c r="I367" s="26">
        <v>0</v>
      </c>
      <c r="J367" s="26">
        <v>57</v>
      </c>
      <c r="K367" t="inlineStr">
        <is>
          <t>Non</t>
        </is>
      </c>
      <c r="L367">
        <f>SUBTOTAL(103,A367)</f>
        <v>1</v>
      </c>
    </row>
    <row r="368">
      <c r="A368" t="inlineStr">
        <is>
          <t>SOCIETE C460</t>
        </is>
      </c>
      <c r="B368" t="inlineStr">
        <is>
          <t>C460</t>
        </is>
      </c>
      <c r="C368" t="inlineStr">
        <is>
          <t>CORPORATE BANKING</t>
        </is>
      </c>
      <c r="D368" t="inlineStr">
        <is>
          <t>IV</t>
        </is>
      </c>
      <c r="E368" t="inlineStr">
        <is>
          <t>Stage 3</t>
        </is>
      </c>
      <c r="F368" t="inlineStr">
        <is>
          <t>N/A</t>
        </is>
      </c>
      <c r="G368" s="26">
        <v>837297650</v>
      </c>
      <c r="H368" s="26">
        <v>460513708</v>
      </c>
      <c r="I368" s="26">
        <v>0</v>
      </c>
      <c r="J368" s="26">
        <v>141</v>
      </c>
      <c r="K368" t="inlineStr">
        <is>
          <t>Oui</t>
        </is>
      </c>
      <c r="L368">
        <f>SUBTOTAL(103,A368)</f>
        <v>1</v>
      </c>
    </row>
    <row r="369">
      <c r="A369" t="inlineStr">
        <is>
          <t>SOCIETE C2126</t>
        </is>
      </c>
      <c r="B369" t="inlineStr">
        <is>
          <t>C2126</t>
        </is>
      </c>
      <c r="C369" t="inlineStr">
        <is>
          <t>SME</t>
        </is>
      </c>
      <c r="D369" t="inlineStr">
        <is>
          <t>I</t>
        </is>
      </c>
      <c r="E369" t="inlineStr">
        <is>
          <t>Stage 1</t>
        </is>
      </c>
      <c r="F369" t="inlineStr">
        <is>
          <t>N/A</t>
        </is>
      </c>
      <c r="G369" s="26">
        <v>1983406</v>
      </c>
      <c r="H369" s="26">
        <v>19834</v>
      </c>
      <c r="I369" s="26">
        <v>0</v>
      </c>
      <c r="J369" s="26">
        <v>6</v>
      </c>
      <c r="K369" t="inlineStr">
        <is>
          <t>Non</t>
        </is>
      </c>
      <c r="L369">
        <f>SUBTOTAL(103,A369)</f>
        <v>1</v>
      </c>
    </row>
    <row r="370">
      <c r="A370" t="inlineStr">
        <is>
          <t>SOCIETE C1935</t>
        </is>
      </c>
      <c r="B370" t="inlineStr">
        <is>
          <t>C1935</t>
        </is>
      </c>
      <c r="C370" t="inlineStr">
        <is>
          <t>CORPORATE BANKING</t>
        </is>
      </c>
      <c r="D370" t="inlineStr">
        <is>
          <t>I</t>
        </is>
      </c>
      <c r="E370" t="inlineStr">
        <is>
          <t>Stage 1</t>
        </is>
      </c>
      <c r="F370" t="inlineStr">
        <is>
          <t>N/A</t>
        </is>
      </c>
      <c r="G370" s="26">
        <v>617443563</v>
      </c>
      <c r="H370" s="26">
        <v>6174436</v>
      </c>
      <c r="I370" s="26">
        <v>0</v>
      </c>
      <c r="J370" s="26">
        <v>36</v>
      </c>
      <c r="K370" t="inlineStr">
        <is>
          <t>Non</t>
        </is>
      </c>
      <c r="L370">
        <f>SUBTOTAL(103,A370)</f>
        <v>1</v>
      </c>
    </row>
    <row r="371">
      <c r="A371" t="inlineStr">
        <is>
          <t>SOCIETE C2347</t>
        </is>
      </c>
      <c r="B371" t="inlineStr">
        <is>
          <t>C2347</t>
        </is>
      </c>
      <c r="C371" t="inlineStr">
        <is>
          <t>CORPORATE BANKING</t>
        </is>
      </c>
      <c r="D371" t="inlineStr">
        <is>
          <t>III</t>
        </is>
      </c>
      <c r="E371" t="inlineStr">
        <is>
          <t>Stage 3</t>
        </is>
      </c>
      <c r="F371" t="inlineStr">
        <is>
          <t>N/A</t>
        </is>
      </c>
      <c r="G371" s="26">
        <v>2850926803</v>
      </c>
      <c r="H371" s="26">
        <v>1568009742</v>
      </c>
      <c r="I371" s="26">
        <v>0</v>
      </c>
      <c r="J371" s="26">
        <v>44</v>
      </c>
      <c r="K371" t="inlineStr">
        <is>
          <t>Oui</t>
        </is>
      </c>
      <c r="L371">
        <f>SUBTOTAL(103,A371)</f>
        <v>1</v>
      </c>
    </row>
    <row r="372">
      <c r="A372" t="inlineStr">
        <is>
          <t>SOCIETE C2461</t>
        </is>
      </c>
      <c r="B372" t="inlineStr">
        <is>
          <t>C2461</t>
        </is>
      </c>
      <c r="C372" t="inlineStr">
        <is>
          <t>COMMERCIAL BANKING</t>
        </is>
      </c>
      <c r="D372" t="inlineStr">
        <is>
          <t>II</t>
        </is>
      </c>
      <c r="E372" t="inlineStr">
        <is>
          <t>Stage 2</t>
        </is>
      </c>
      <c r="F372" t="inlineStr">
        <is>
          <t>N/A</t>
        </is>
      </c>
      <c r="G372" s="26">
        <v>273706976</v>
      </c>
      <c r="H372" s="26">
        <v>16422419</v>
      </c>
      <c r="I372" s="26">
        <v>0</v>
      </c>
      <c r="J372" s="26">
        <v>130</v>
      </c>
      <c r="K372" t="inlineStr">
        <is>
          <t>Non</t>
        </is>
      </c>
      <c r="L372">
        <f>SUBTOTAL(103,A372)</f>
        <v>1</v>
      </c>
    </row>
    <row r="373">
      <c r="A373" t="inlineStr">
        <is>
          <t>SOCIETE C124</t>
        </is>
      </c>
      <c r="B373" t="inlineStr">
        <is>
          <t>C124</t>
        </is>
      </c>
      <c r="C373" t="inlineStr">
        <is>
          <t>CONSUMER BANKING</t>
        </is>
      </c>
      <c r="D373" t="inlineStr">
        <is>
          <t>III</t>
        </is>
      </c>
      <c r="E373" t="inlineStr">
        <is>
          <t>Stage 3</t>
        </is>
      </c>
      <c r="F373" t="inlineStr">
        <is>
          <t>N/A</t>
        </is>
      </c>
      <c r="G373" s="26">
        <v>2033781255</v>
      </c>
      <c r="H373" s="26">
        <v>1118579690</v>
      </c>
      <c r="I373" s="26">
        <v>166445765</v>
      </c>
      <c r="J373" s="26">
        <v>153</v>
      </c>
      <c r="K373" t="inlineStr">
        <is>
          <t>Oui</t>
        </is>
      </c>
      <c r="L373">
        <f>SUBTOTAL(103,A373)</f>
        <v>1</v>
      </c>
    </row>
    <row r="374">
      <c r="A374" t="inlineStr">
        <is>
          <t>SOCIETE C1313</t>
        </is>
      </c>
      <c r="B374" t="inlineStr">
        <is>
          <t>C1313</t>
        </is>
      </c>
      <c r="C374" t="inlineStr">
        <is>
          <t>CORPORATE BANKING</t>
        </is>
      </c>
      <c r="D374" t="inlineStr">
        <is>
          <t>IV</t>
        </is>
      </c>
      <c r="E374" t="inlineStr">
        <is>
          <t>Stage 3</t>
        </is>
      </c>
      <c r="F374" t="inlineStr">
        <is>
          <t>N/A</t>
        </is>
      </c>
      <c r="G374" s="26">
        <v>2660544191</v>
      </c>
      <c r="H374" s="26">
        <v>1463299305</v>
      </c>
      <c r="I374" s="26">
        <v>0</v>
      </c>
      <c r="J374" s="26">
        <v>3</v>
      </c>
      <c r="K374" t="inlineStr">
        <is>
          <t>Oui</t>
        </is>
      </c>
      <c r="L374">
        <f>SUBTOTAL(103,A374)</f>
        <v>1</v>
      </c>
    </row>
    <row r="375">
      <c r="A375" t="inlineStr">
        <is>
          <t>SOCIETE C1642</t>
        </is>
      </c>
      <c r="B375" t="inlineStr">
        <is>
          <t>C1642</t>
        </is>
      </c>
      <c r="C375" t="inlineStr">
        <is>
          <t>SME</t>
        </is>
      </c>
      <c r="D375" t="inlineStr">
        <is>
          <t>II</t>
        </is>
      </c>
      <c r="E375" t="inlineStr">
        <is>
          <t>Stage 2</t>
        </is>
      </c>
      <c r="F375" t="inlineStr">
        <is>
          <t>N/A</t>
        </is>
      </c>
      <c r="G375" s="26">
        <v>261936421</v>
      </c>
      <c r="H375" s="26">
        <v>15716185</v>
      </c>
      <c r="I375" s="26">
        <v>0</v>
      </c>
      <c r="J375" s="26">
        <v>103</v>
      </c>
      <c r="K375" t="inlineStr">
        <is>
          <t>Non</t>
        </is>
      </c>
      <c r="L375">
        <f>SUBTOTAL(103,A375)</f>
        <v>1</v>
      </c>
    </row>
    <row r="376">
      <c r="A376" t="inlineStr">
        <is>
          <t>SOCIETE C658</t>
        </is>
      </c>
      <c r="B376" t="inlineStr">
        <is>
          <t>C658</t>
        </is>
      </c>
      <c r="C376" t="inlineStr">
        <is>
          <t>COMMERCIAL BANKING</t>
        </is>
      </c>
      <c r="D376" t="inlineStr">
        <is>
          <t>II</t>
        </is>
      </c>
      <c r="E376" t="inlineStr">
        <is>
          <t>Stage 2</t>
        </is>
      </c>
      <c r="F376" t="inlineStr">
        <is>
          <t>N/A</t>
        </is>
      </c>
      <c r="G376" s="26">
        <v>546596075</v>
      </c>
      <c r="H376" s="26">
        <v>32795765</v>
      </c>
      <c r="I376" s="26">
        <v>0</v>
      </c>
      <c r="J376" s="26">
        <v>3</v>
      </c>
      <c r="K376" t="inlineStr">
        <is>
          <t>Non</t>
        </is>
      </c>
      <c r="L376">
        <f>SUBTOTAL(103,A376)</f>
        <v>1</v>
      </c>
    </row>
    <row r="377">
      <c r="A377" t="inlineStr">
        <is>
          <t>SOCIETE C2232</t>
        </is>
      </c>
      <c r="B377" t="inlineStr">
        <is>
          <t>C2232</t>
        </is>
      </c>
      <c r="C377" t="inlineStr">
        <is>
          <t>INSTITUTIONAL</t>
        </is>
      </c>
      <c r="D377" t="inlineStr">
        <is>
          <t>III</t>
        </is>
      </c>
      <c r="E377" t="inlineStr">
        <is>
          <t>Stage 3</t>
        </is>
      </c>
      <c r="F377" t="inlineStr">
        <is>
          <t>N/A</t>
        </is>
      </c>
      <c r="G377" s="26">
        <v>116240458</v>
      </c>
      <c r="H377" s="26">
        <v>63932252</v>
      </c>
      <c r="I377" s="26">
        <v>0</v>
      </c>
      <c r="J377" s="26">
        <v>65</v>
      </c>
      <c r="K377" t="inlineStr">
        <is>
          <t>Oui</t>
        </is>
      </c>
      <c r="L377">
        <f>SUBTOTAL(103,A377)</f>
        <v>1</v>
      </c>
    </row>
    <row r="378">
      <c r="A378" t="inlineStr">
        <is>
          <t>SOCIETE C1972</t>
        </is>
      </c>
      <c r="B378" t="inlineStr">
        <is>
          <t>C1972</t>
        </is>
      </c>
      <c r="C378" t="inlineStr">
        <is>
          <t>COMMERCIAL BANKING</t>
        </is>
      </c>
      <c r="D378" t="inlineStr">
        <is>
          <t>V</t>
        </is>
      </c>
      <c r="E378" t="inlineStr">
        <is>
          <t>Stage 3</t>
        </is>
      </c>
      <c r="F378" t="inlineStr">
        <is>
          <t>N/A</t>
        </is>
      </c>
      <c r="G378" s="26">
        <v>14529423</v>
      </c>
      <c r="H378" s="26">
        <v>7991182</v>
      </c>
      <c r="I378" s="26">
        <v>2902016</v>
      </c>
      <c r="J378" s="26">
        <v>108</v>
      </c>
      <c r="K378" t="inlineStr">
        <is>
          <t>Oui</t>
        </is>
      </c>
      <c r="L378">
        <f>SUBTOTAL(103,A378)</f>
        <v>1</v>
      </c>
    </row>
    <row r="379">
      <c r="A379" t="inlineStr">
        <is>
          <t>SOCIETE C2375</t>
        </is>
      </c>
      <c r="B379" t="inlineStr">
        <is>
          <t>C2375</t>
        </is>
      </c>
      <c r="C379" t="inlineStr">
        <is>
          <t>CONSUMER BANKING</t>
        </is>
      </c>
      <c r="D379" t="inlineStr">
        <is>
          <t>I</t>
        </is>
      </c>
      <c r="E379" t="inlineStr">
        <is>
          <t>Stage 1</t>
        </is>
      </c>
      <c r="F379" t="inlineStr">
        <is>
          <t>N/A</t>
        </is>
      </c>
      <c r="G379" s="26">
        <v>1002994</v>
      </c>
      <c r="H379" s="26">
        <v>10030</v>
      </c>
      <c r="I379" s="26">
        <v>0</v>
      </c>
      <c r="J379" s="26">
        <v>10</v>
      </c>
      <c r="K379" t="inlineStr">
        <is>
          <t>Non</t>
        </is>
      </c>
      <c r="L379">
        <f>SUBTOTAL(103,A379)</f>
        <v>1</v>
      </c>
    </row>
    <row r="380">
      <c r="A380" t="inlineStr">
        <is>
          <t>SOCIETE C1475</t>
        </is>
      </c>
      <c r="B380" t="inlineStr">
        <is>
          <t>C1475</t>
        </is>
      </c>
      <c r="C380" t="inlineStr">
        <is>
          <t>CORPORATE BANKING</t>
        </is>
      </c>
      <c r="D380" t="inlineStr">
        <is>
          <t>IA</t>
        </is>
      </c>
      <c r="E380" t="inlineStr">
        <is>
          <t>Stage 2</t>
        </is>
      </c>
      <c r="F380" t="inlineStr">
        <is>
          <t>N/A</t>
        </is>
      </c>
      <c r="G380" s="26">
        <v>6941039</v>
      </c>
      <c r="H380" s="26">
        <v>416462</v>
      </c>
      <c r="I380" s="26">
        <v>0</v>
      </c>
      <c r="J380" s="26">
        <v>198</v>
      </c>
      <c r="K380" t="inlineStr">
        <is>
          <t>Non</t>
        </is>
      </c>
      <c r="L380">
        <f>SUBTOTAL(103,A380)</f>
        <v>1</v>
      </c>
    </row>
    <row r="381">
      <c r="A381" t="inlineStr">
        <is>
          <t>SOCIETE C1736</t>
        </is>
      </c>
      <c r="B381" t="inlineStr">
        <is>
          <t>C1736</t>
        </is>
      </c>
      <c r="C381" t="inlineStr">
        <is>
          <t>PUBLIC SECTOR</t>
        </is>
      </c>
      <c r="D381" t="inlineStr">
        <is>
          <t>III</t>
        </is>
      </c>
      <c r="E381" t="inlineStr">
        <is>
          <t>Stage 3</t>
        </is>
      </c>
      <c r="F381" t="inlineStr">
        <is>
          <t>N/A</t>
        </is>
      </c>
      <c r="G381" s="26">
        <v>22705970</v>
      </c>
      <c r="H381" s="26">
        <v>12488284</v>
      </c>
      <c r="I381" s="26">
        <v>3516413</v>
      </c>
      <c r="J381" s="26">
        <v>96</v>
      </c>
      <c r="K381" t="inlineStr">
        <is>
          <t>Oui</t>
        </is>
      </c>
      <c r="L381">
        <f>SUBTOTAL(103,A381)</f>
        <v>1</v>
      </c>
    </row>
    <row r="382">
      <c r="A382" t="inlineStr">
        <is>
          <t>SOCIETE C635</t>
        </is>
      </c>
      <c r="B382" t="inlineStr">
        <is>
          <t>C635</t>
        </is>
      </c>
      <c r="C382" t="inlineStr">
        <is>
          <t>COMMERCIAL BANKING</t>
        </is>
      </c>
      <c r="D382" t="inlineStr">
        <is>
          <t>I</t>
        </is>
      </c>
      <c r="E382" t="inlineStr">
        <is>
          <t>Stage 1</t>
        </is>
      </c>
      <c r="F382" t="inlineStr">
        <is>
          <t>N/A</t>
        </is>
      </c>
      <c r="G382" s="26">
        <v>2221110596</v>
      </c>
      <c r="H382" s="26">
        <v>22211106</v>
      </c>
      <c r="I382" s="26">
        <v>0</v>
      </c>
      <c r="J382" s="26">
        <v>38</v>
      </c>
      <c r="K382" t="inlineStr">
        <is>
          <t>Non</t>
        </is>
      </c>
      <c r="L382">
        <f>SUBTOTAL(103,A382)</f>
        <v>1</v>
      </c>
    </row>
    <row r="383">
      <c r="A383" t="inlineStr">
        <is>
          <t>SOCIETE C1687</t>
        </is>
      </c>
      <c r="B383" t="inlineStr">
        <is>
          <t>C1687</t>
        </is>
      </c>
      <c r="C383" t="inlineStr">
        <is>
          <t>SME</t>
        </is>
      </c>
      <c r="D383" t="inlineStr">
        <is>
          <t>I</t>
        </is>
      </c>
      <c r="E383" t="inlineStr">
        <is>
          <t>Stage 1</t>
        </is>
      </c>
      <c r="F383" t="inlineStr">
        <is>
          <t>N/A</t>
        </is>
      </c>
      <c r="G383" s="26">
        <v>956709584</v>
      </c>
      <c r="H383" s="26">
        <v>9567096</v>
      </c>
      <c r="I383" s="26">
        <v>96566715</v>
      </c>
      <c r="J383" s="26">
        <v>25</v>
      </c>
      <c r="K383" t="inlineStr">
        <is>
          <t>Non</t>
        </is>
      </c>
      <c r="L383">
        <f>SUBTOTAL(103,A383)</f>
        <v>1</v>
      </c>
    </row>
    <row r="384">
      <c r="A384" t="inlineStr">
        <is>
          <t>SOCIETE C293</t>
        </is>
      </c>
      <c r="B384" t="inlineStr">
        <is>
          <t>C293</t>
        </is>
      </c>
      <c r="C384" t="inlineStr">
        <is>
          <t>CORPORATE BANKING</t>
        </is>
      </c>
      <c r="D384" t="inlineStr">
        <is>
          <t>IA</t>
        </is>
      </c>
      <c r="E384" t="inlineStr">
        <is>
          <t>Stage 2</t>
        </is>
      </c>
      <c r="F384" t="inlineStr">
        <is>
          <t>N/A</t>
        </is>
      </c>
      <c r="G384" s="26">
        <v>141078880</v>
      </c>
      <c r="H384" s="26">
        <v>8464733</v>
      </c>
      <c r="I384" s="26">
        <v>0</v>
      </c>
      <c r="J384" s="26">
        <v>30</v>
      </c>
      <c r="K384" t="inlineStr">
        <is>
          <t>Non</t>
        </is>
      </c>
      <c r="L384">
        <f>SUBTOTAL(103,A384)</f>
        <v>1</v>
      </c>
    </row>
    <row r="385">
      <c r="A385" t="inlineStr">
        <is>
          <t>SOCIETE C646</t>
        </is>
      </c>
      <c r="B385" t="inlineStr">
        <is>
          <t>C646</t>
        </is>
      </c>
      <c r="C385" t="inlineStr">
        <is>
          <t>INSTITUTIONAL</t>
        </is>
      </c>
      <c r="D385" t="inlineStr">
        <is>
          <t>I</t>
        </is>
      </c>
      <c r="E385" t="inlineStr">
        <is>
          <t>Stage 1</t>
        </is>
      </c>
      <c r="F385" t="inlineStr">
        <is>
          <t>N/A</t>
        </is>
      </c>
      <c r="G385" s="26">
        <v>2618141006</v>
      </c>
      <c r="H385" s="26">
        <v>26181410</v>
      </c>
      <c r="I385" s="26">
        <v>0</v>
      </c>
      <c r="J385" s="26">
        <v>26</v>
      </c>
      <c r="K385" t="inlineStr">
        <is>
          <t>Non</t>
        </is>
      </c>
      <c r="L385">
        <f>SUBTOTAL(103,A385)</f>
        <v>1</v>
      </c>
    </row>
    <row r="386">
      <c r="A386" t="inlineStr">
        <is>
          <t>SOCIETE C2450</t>
        </is>
      </c>
      <c r="B386" t="inlineStr">
        <is>
          <t>C2450</t>
        </is>
      </c>
      <c r="C386" t="inlineStr">
        <is>
          <t>COMMERCIAL BANKING</t>
        </is>
      </c>
      <c r="D386" t="inlineStr">
        <is>
          <t>I</t>
        </is>
      </c>
      <c r="E386" t="inlineStr">
        <is>
          <t>Stage 1</t>
        </is>
      </c>
      <c r="F386" t="inlineStr">
        <is>
          <t>N/A</t>
        </is>
      </c>
      <c r="G386" s="26">
        <v>4486148</v>
      </c>
      <c r="H386" s="26">
        <v>44861</v>
      </c>
      <c r="I386" s="26">
        <v>366464</v>
      </c>
      <c r="J386" s="26">
        <v>245</v>
      </c>
      <c r="K386" t="inlineStr">
        <is>
          <t>Non</t>
        </is>
      </c>
      <c r="L386">
        <f>SUBTOTAL(103,A386)</f>
        <v>1</v>
      </c>
    </row>
    <row r="387">
      <c r="A387" t="inlineStr">
        <is>
          <t>SOCIETE C723</t>
        </is>
      </c>
      <c r="B387" t="inlineStr">
        <is>
          <t>C723</t>
        </is>
      </c>
      <c r="C387" t="inlineStr">
        <is>
          <t>PUBLIC SECTOR</t>
        </is>
      </c>
      <c r="D387" t="inlineStr">
        <is>
          <t>IA</t>
        </is>
      </c>
      <c r="E387" t="inlineStr">
        <is>
          <t>Stage 2</t>
        </is>
      </c>
      <c r="F387" t="inlineStr">
        <is>
          <t>N/A</t>
        </is>
      </c>
      <c r="G387" s="26">
        <v>1032869</v>
      </c>
      <c r="H387" s="26">
        <v>61972</v>
      </c>
      <c r="I387" s="26">
        <v>0</v>
      </c>
      <c r="J387" s="26">
        <v>173</v>
      </c>
      <c r="K387" t="inlineStr">
        <is>
          <t>Non</t>
        </is>
      </c>
      <c r="L387">
        <f>SUBTOTAL(103,A387)</f>
        <v>1</v>
      </c>
    </row>
    <row r="388">
      <c r="A388" t="inlineStr">
        <is>
          <t>SOCIETE C272</t>
        </is>
      </c>
      <c r="B388" t="inlineStr">
        <is>
          <t>C272</t>
        </is>
      </c>
      <c r="C388" t="inlineStr">
        <is>
          <t>SME</t>
        </is>
      </c>
      <c r="D388" t="inlineStr">
        <is>
          <t>II</t>
        </is>
      </c>
      <c r="E388" t="inlineStr">
        <is>
          <t>Stage 2</t>
        </is>
      </c>
      <c r="F388" t="inlineStr">
        <is>
          <t>N/A</t>
        </is>
      </c>
      <c r="G388" s="26">
        <v>4995197</v>
      </c>
      <c r="H388" s="26">
        <v>299712</v>
      </c>
      <c r="I388" s="26">
        <v>759450</v>
      </c>
      <c r="J388" s="26">
        <v>26</v>
      </c>
      <c r="K388" t="inlineStr">
        <is>
          <t>Non</t>
        </is>
      </c>
      <c r="L388">
        <f>SUBTOTAL(103,A388)</f>
        <v>1</v>
      </c>
    </row>
    <row r="389">
      <c r="A389" t="inlineStr">
        <is>
          <t>SOCIETE C1435</t>
        </is>
      </c>
      <c r="B389" t="inlineStr">
        <is>
          <t>C1435</t>
        </is>
      </c>
      <c r="C389" t="inlineStr">
        <is>
          <t>CORPORATE BANKING</t>
        </is>
      </c>
      <c r="D389" t="inlineStr">
        <is>
          <t>V</t>
        </is>
      </c>
      <c r="E389" t="inlineStr">
        <is>
          <t>Stage 3</t>
        </is>
      </c>
      <c r="F389" t="inlineStr">
        <is>
          <t>N/A</t>
        </is>
      </c>
      <c r="G389" s="26">
        <v>101421038</v>
      </c>
      <c r="H389" s="26">
        <v>55781571</v>
      </c>
      <c r="I389" s="26">
        <v>0</v>
      </c>
      <c r="J389" s="26">
        <v>151</v>
      </c>
      <c r="K389" t="inlineStr">
        <is>
          <t>Oui</t>
        </is>
      </c>
      <c r="L389">
        <f>SUBTOTAL(103,A389)</f>
        <v>1</v>
      </c>
    </row>
    <row r="390">
      <c r="A390" t="inlineStr">
        <is>
          <t>SOCIETE C612</t>
        </is>
      </c>
      <c r="B390" t="inlineStr">
        <is>
          <t>C612</t>
        </is>
      </c>
      <c r="C390" t="inlineStr">
        <is>
          <t>CONSUMER BANKING</t>
        </is>
      </c>
      <c r="D390" t="inlineStr">
        <is>
          <t>IA</t>
        </is>
      </c>
      <c r="E390" t="inlineStr">
        <is>
          <t>Stage 2</t>
        </is>
      </c>
      <c r="F390" t="inlineStr">
        <is>
          <t>N/A</t>
        </is>
      </c>
      <c r="G390" s="26">
        <v>201294240</v>
      </c>
      <c r="H390" s="26">
        <v>12077654</v>
      </c>
      <c r="I390" s="26">
        <v>0</v>
      </c>
      <c r="J390" s="26">
        <v>59</v>
      </c>
      <c r="K390" t="inlineStr">
        <is>
          <t>Non</t>
        </is>
      </c>
      <c r="L390">
        <f>SUBTOTAL(103,A390)</f>
        <v>1</v>
      </c>
    </row>
    <row r="391">
      <c r="A391" t="inlineStr">
        <is>
          <t>SOCIETE C2269</t>
        </is>
      </c>
      <c r="B391" t="inlineStr">
        <is>
          <t>C2269</t>
        </is>
      </c>
      <c r="C391" t="inlineStr">
        <is>
          <t>COMMERCIAL BANKING</t>
        </is>
      </c>
      <c r="D391" t="inlineStr">
        <is>
          <t>I</t>
        </is>
      </c>
      <c r="E391" t="inlineStr">
        <is>
          <t>Stage 1</t>
        </is>
      </c>
      <c r="F391" t="inlineStr">
        <is>
          <t>N/A</t>
        </is>
      </c>
      <c r="G391" s="26">
        <v>106070289</v>
      </c>
      <c r="H391" s="26">
        <v>1060703</v>
      </c>
      <c r="I391" s="26">
        <v>2764729</v>
      </c>
      <c r="J391" s="26">
        <v>146</v>
      </c>
      <c r="K391" t="inlineStr">
        <is>
          <t>Non</t>
        </is>
      </c>
      <c r="L391">
        <f>SUBTOTAL(103,A391)</f>
        <v>1</v>
      </c>
    </row>
    <row r="392">
      <c r="A392" t="inlineStr">
        <is>
          <t>SOCIETE C902</t>
        </is>
      </c>
      <c r="B392" t="inlineStr">
        <is>
          <t>C902</t>
        </is>
      </c>
      <c r="C392" t="inlineStr">
        <is>
          <t>COMMERCIAL BANKING</t>
        </is>
      </c>
      <c r="D392" t="inlineStr">
        <is>
          <t>IV</t>
        </is>
      </c>
      <c r="E392" t="inlineStr">
        <is>
          <t>Stage 3</t>
        </is>
      </c>
      <c r="F392" t="inlineStr">
        <is>
          <t>N/A</t>
        </is>
      </c>
      <c r="G392" s="26">
        <v>1591764</v>
      </c>
      <c r="H392" s="26">
        <v>875470</v>
      </c>
      <c r="I392" s="26">
        <v>0</v>
      </c>
      <c r="J392" s="26">
        <v>61</v>
      </c>
      <c r="K392" t="inlineStr">
        <is>
          <t>Oui</t>
        </is>
      </c>
      <c r="L392">
        <f>SUBTOTAL(103,A392)</f>
        <v>1</v>
      </c>
    </row>
    <row r="393">
      <c r="A393" t="inlineStr">
        <is>
          <t>SOCIETE C1422</t>
        </is>
      </c>
      <c r="B393" t="inlineStr">
        <is>
          <t>C1422</t>
        </is>
      </c>
      <c r="C393" t="inlineStr">
        <is>
          <t>CORPORATE BANKING</t>
        </is>
      </c>
      <c r="D393" t="inlineStr">
        <is>
          <t>IA</t>
        </is>
      </c>
      <c r="E393" t="inlineStr">
        <is>
          <t>Stage 2</t>
        </is>
      </c>
      <c r="F393" t="inlineStr">
        <is>
          <t>N/A</t>
        </is>
      </c>
      <c r="G393" s="26">
        <v>1939646036</v>
      </c>
      <c r="H393" s="26">
        <v>116378762</v>
      </c>
      <c r="I393" s="26">
        <v>41657301</v>
      </c>
      <c r="J393" s="26">
        <v>52</v>
      </c>
      <c r="K393" t="inlineStr">
        <is>
          <t>Non</t>
        </is>
      </c>
      <c r="L393">
        <f>SUBTOTAL(103,A393)</f>
        <v>1</v>
      </c>
    </row>
    <row r="394">
      <c r="A394" t="inlineStr">
        <is>
          <t>SOCIETE C447</t>
        </is>
      </c>
      <c r="B394" t="inlineStr">
        <is>
          <t>C447</t>
        </is>
      </c>
      <c r="C394" t="inlineStr">
        <is>
          <t>CORPORATE BANKING</t>
        </is>
      </c>
      <c r="D394" t="inlineStr">
        <is>
          <t>I</t>
        </is>
      </c>
      <c r="E394" t="inlineStr">
        <is>
          <t>Stage 1</t>
        </is>
      </c>
      <c r="F394" t="inlineStr">
        <is>
          <t>N/A</t>
        </is>
      </c>
      <c r="G394" s="26">
        <v>33246608</v>
      </c>
      <c r="H394" s="26">
        <v>332466</v>
      </c>
      <c r="I394" s="26">
        <v>0</v>
      </c>
      <c r="J394" s="26">
        <v>171</v>
      </c>
      <c r="K394" t="inlineStr">
        <is>
          <t>Non</t>
        </is>
      </c>
      <c r="L394">
        <f>SUBTOTAL(103,A394)</f>
        <v>1</v>
      </c>
    </row>
    <row r="395">
      <c r="A395" t="inlineStr">
        <is>
          <t>SOCIETE C585</t>
        </is>
      </c>
      <c r="B395" t="inlineStr">
        <is>
          <t>C585</t>
        </is>
      </c>
      <c r="C395" t="inlineStr">
        <is>
          <t>CONSUMER BANKING</t>
        </is>
      </c>
      <c r="D395" t="inlineStr">
        <is>
          <t>I</t>
        </is>
      </c>
      <c r="E395" t="inlineStr">
        <is>
          <t>Stage 1</t>
        </is>
      </c>
      <c r="F395" t="inlineStr">
        <is>
          <t>N/A</t>
        </is>
      </c>
      <c r="G395" s="26">
        <v>124115621</v>
      </c>
      <c r="H395" s="26">
        <v>1241156</v>
      </c>
      <c r="I395" s="26">
        <v>0</v>
      </c>
      <c r="J395" s="26">
        <v>136</v>
      </c>
      <c r="K395" t="inlineStr">
        <is>
          <t>Non</t>
        </is>
      </c>
      <c r="L395">
        <f>SUBTOTAL(103,A395)</f>
        <v>1</v>
      </c>
    </row>
    <row r="396">
      <c r="A396" t="inlineStr">
        <is>
          <t>SOCIETE C540</t>
        </is>
      </c>
      <c r="B396" t="inlineStr">
        <is>
          <t>C540</t>
        </is>
      </c>
      <c r="C396" t="inlineStr">
        <is>
          <t>SME</t>
        </is>
      </c>
      <c r="D396" t="inlineStr">
        <is>
          <t>V</t>
        </is>
      </c>
      <c r="E396" t="inlineStr">
        <is>
          <t>Stage 3</t>
        </is>
      </c>
      <c r="F396" t="inlineStr">
        <is>
          <t>N/A</t>
        </is>
      </c>
      <c r="G396" s="26">
        <v>1718356188</v>
      </c>
      <c r="H396" s="26">
        <v>945095903</v>
      </c>
      <c r="I396" s="26">
        <v>0</v>
      </c>
      <c r="J396" s="26">
        <v>224</v>
      </c>
      <c r="K396" t="inlineStr">
        <is>
          <t>Oui</t>
        </is>
      </c>
      <c r="L396">
        <f>SUBTOTAL(103,A396)</f>
        <v>1</v>
      </c>
    </row>
    <row r="397">
      <c r="A397" t="inlineStr">
        <is>
          <t>SOCIETE C2316</t>
        </is>
      </c>
      <c r="B397" t="inlineStr">
        <is>
          <t>C2316</t>
        </is>
      </c>
      <c r="C397" t="inlineStr">
        <is>
          <t>INSTITUTIONAL</t>
        </is>
      </c>
      <c r="D397" t="inlineStr">
        <is>
          <t>IA</t>
        </is>
      </c>
      <c r="E397" t="inlineStr">
        <is>
          <t>Stage 2</t>
        </is>
      </c>
      <c r="F397" t="inlineStr">
        <is>
          <t>N/A</t>
        </is>
      </c>
      <c r="G397" s="26">
        <v>152763840</v>
      </c>
      <c r="H397" s="26">
        <v>9165830</v>
      </c>
      <c r="I397" s="26">
        <v>22428685</v>
      </c>
      <c r="J397" s="26">
        <v>9</v>
      </c>
      <c r="K397" t="inlineStr">
        <is>
          <t>Non</t>
        </is>
      </c>
      <c r="L397">
        <f>SUBTOTAL(103,A397)</f>
        <v>1</v>
      </c>
    </row>
    <row r="398">
      <c r="A398" t="inlineStr">
        <is>
          <t>SOCIETE C1719</t>
        </is>
      </c>
      <c r="B398" t="inlineStr">
        <is>
          <t>C1719</t>
        </is>
      </c>
      <c r="C398" t="inlineStr">
        <is>
          <t>CORPORATE BANKING</t>
        </is>
      </c>
      <c r="D398" t="inlineStr">
        <is>
          <t>I</t>
        </is>
      </c>
      <c r="E398" t="inlineStr">
        <is>
          <t>Stage 1</t>
        </is>
      </c>
      <c r="F398" t="inlineStr">
        <is>
          <t>N/A</t>
        </is>
      </c>
      <c r="G398" s="26">
        <v>1221127</v>
      </c>
      <c r="H398" s="26">
        <v>12211</v>
      </c>
      <c r="I398" s="26">
        <v>229013</v>
      </c>
      <c r="J398" s="26">
        <v>5</v>
      </c>
      <c r="K398" t="inlineStr">
        <is>
          <t>Non</t>
        </is>
      </c>
      <c r="L398">
        <f>SUBTOTAL(103,A398)</f>
        <v>1</v>
      </c>
    </row>
    <row r="399">
      <c r="A399" t="inlineStr">
        <is>
          <t>SOCIETE C1590</t>
        </is>
      </c>
      <c r="B399" t="inlineStr">
        <is>
          <t>C1590</t>
        </is>
      </c>
      <c r="C399" t="inlineStr">
        <is>
          <t>CORPORATE BANKING</t>
        </is>
      </c>
      <c r="D399" t="inlineStr">
        <is>
          <t>II</t>
        </is>
      </c>
      <c r="E399" t="inlineStr">
        <is>
          <t>Stage 2</t>
        </is>
      </c>
      <c r="F399" t="inlineStr">
        <is>
          <t>N/A</t>
        </is>
      </c>
      <c r="G399" s="26">
        <v>1115574</v>
      </c>
      <c r="H399" s="26">
        <v>66934</v>
      </c>
      <c r="I399" s="26">
        <v>20535</v>
      </c>
      <c r="J399" s="26">
        <v>218</v>
      </c>
      <c r="K399" t="inlineStr">
        <is>
          <t>Non</t>
        </is>
      </c>
      <c r="L399">
        <f>SUBTOTAL(103,A399)</f>
        <v>1</v>
      </c>
    </row>
    <row r="400">
      <c r="A400" t="inlineStr">
        <is>
          <t>SOCIETE C1778</t>
        </is>
      </c>
      <c r="B400" t="inlineStr">
        <is>
          <t>C1778</t>
        </is>
      </c>
      <c r="C400" t="inlineStr">
        <is>
          <t>CORPORATE BANKING</t>
        </is>
      </c>
      <c r="D400" t="inlineStr">
        <is>
          <t>IA</t>
        </is>
      </c>
      <c r="E400" t="inlineStr">
        <is>
          <t>Stage 2</t>
        </is>
      </c>
      <c r="F400" t="inlineStr">
        <is>
          <t>N/A</t>
        </is>
      </c>
      <c r="G400" s="26">
        <v>84512911</v>
      </c>
      <c r="H400" s="26">
        <v>5070775</v>
      </c>
      <c r="I400" s="26">
        <v>10275484</v>
      </c>
      <c r="J400" s="26">
        <v>77</v>
      </c>
      <c r="K400" t="inlineStr">
        <is>
          <t>Non</t>
        </is>
      </c>
      <c r="L400">
        <f>SUBTOTAL(103,A400)</f>
        <v>1</v>
      </c>
    </row>
    <row r="401">
      <c r="A401" t="inlineStr">
        <is>
          <t>SOCIETE C1720</t>
        </is>
      </c>
      <c r="B401" t="inlineStr">
        <is>
          <t>C1720</t>
        </is>
      </c>
      <c r="C401" t="inlineStr">
        <is>
          <t>COMMERCIAL BANKING</t>
        </is>
      </c>
      <c r="D401" t="inlineStr">
        <is>
          <t>III</t>
        </is>
      </c>
      <c r="E401" t="inlineStr">
        <is>
          <t>Stage 3</t>
        </is>
      </c>
      <c r="F401" t="inlineStr">
        <is>
          <t>N/A</t>
        </is>
      </c>
      <c r="G401" s="26">
        <v>2339813</v>
      </c>
      <c r="H401" s="26">
        <v>1286897</v>
      </c>
      <c r="I401" s="26">
        <v>0</v>
      </c>
      <c r="J401" s="26">
        <v>147</v>
      </c>
      <c r="K401" t="inlineStr">
        <is>
          <t>Oui</t>
        </is>
      </c>
      <c r="L401">
        <f>SUBTOTAL(103,A401)</f>
        <v>1</v>
      </c>
    </row>
    <row r="402">
      <c r="A402" t="inlineStr">
        <is>
          <t>SOCIETE C1624</t>
        </is>
      </c>
      <c r="B402" t="inlineStr">
        <is>
          <t>C1624</t>
        </is>
      </c>
      <c r="C402" t="inlineStr">
        <is>
          <t>CORPORATE BANKING</t>
        </is>
      </c>
      <c r="D402" t="inlineStr">
        <is>
          <t>III</t>
        </is>
      </c>
      <c r="E402" t="inlineStr">
        <is>
          <t>Stage 3</t>
        </is>
      </c>
      <c r="F402" t="inlineStr">
        <is>
          <t>N/A</t>
        </is>
      </c>
      <c r="G402" s="26">
        <v>303143036</v>
      </c>
      <c r="H402" s="26">
        <v>166728670</v>
      </c>
      <c r="I402" s="26">
        <v>0</v>
      </c>
      <c r="J402" s="26">
        <v>34</v>
      </c>
      <c r="K402" t="inlineStr">
        <is>
          <t>Oui</t>
        </is>
      </c>
      <c r="L402">
        <f>SUBTOTAL(103,A402)</f>
        <v>1</v>
      </c>
    </row>
    <row r="403">
      <c r="A403" t="inlineStr">
        <is>
          <t>SOCIETE C1466</t>
        </is>
      </c>
      <c r="B403" t="inlineStr">
        <is>
          <t>C1466</t>
        </is>
      </c>
      <c r="C403" t="inlineStr">
        <is>
          <t>CORPORATE BANKING</t>
        </is>
      </c>
      <c r="D403" t="inlineStr">
        <is>
          <t>I</t>
        </is>
      </c>
      <c r="E403" t="inlineStr">
        <is>
          <t>Stage 1</t>
        </is>
      </c>
      <c r="F403" t="inlineStr">
        <is>
          <t>N/A</t>
        </is>
      </c>
      <c r="G403" s="26">
        <v>44857623</v>
      </c>
      <c r="H403" s="26">
        <v>448576</v>
      </c>
      <c r="I403" s="26">
        <v>0</v>
      </c>
      <c r="J403" s="26">
        <v>174</v>
      </c>
      <c r="K403" t="inlineStr">
        <is>
          <t>Non</t>
        </is>
      </c>
      <c r="L403">
        <f>SUBTOTAL(103,A403)</f>
        <v>1</v>
      </c>
    </row>
    <row r="404">
      <c r="A404" t="inlineStr">
        <is>
          <t>SOCIETE C1111</t>
        </is>
      </c>
      <c r="B404" t="inlineStr">
        <is>
          <t>C1111</t>
        </is>
      </c>
      <c r="C404" t="inlineStr">
        <is>
          <t>PUBLIC SECTOR</t>
        </is>
      </c>
      <c r="D404" t="inlineStr">
        <is>
          <t>II</t>
        </is>
      </c>
      <c r="E404" t="inlineStr">
        <is>
          <t>Stage 2</t>
        </is>
      </c>
      <c r="F404" t="inlineStr">
        <is>
          <t>N/A</t>
        </is>
      </c>
      <c r="G404" s="26">
        <v>1338173921</v>
      </c>
      <c r="H404" s="26">
        <v>80290435</v>
      </c>
      <c r="I404" s="26">
        <v>78128514</v>
      </c>
      <c r="J404" s="26">
        <v>73</v>
      </c>
      <c r="K404" t="inlineStr">
        <is>
          <t>Non</t>
        </is>
      </c>
      <c r="L404">
        <f>SUBTOTAL(103,A404)</f>
        <v>1</v>
      </c>
    </row>
    <row r="405">
      <c r="A405" t="inlineStr">
        <is>
          <t>SOCIETE C1027</t>
        </is>
      </c>
      <c r="B405" t="inlineStr">
        <is>
          <t>C1027</t>
        </is>
      </c>
      <c r="C405" t="inlineStr">
        <is>
          <t>COMMERCIAL BANKING</t>
        </is>
      </c>
      <c r="D405" t="inlineStr">
        <is>
          <t>IA</t>
        </is>
      </c>
      <c r="E405" t="inlineStr">
        <is>
          <t>Stage 2</t>
        </is>
      </c>
      <c r="F405" t="inlineStr">
        <is>
          <t>N/A</t>
        </is>
      </c>
      <c r="G405" s="26">
        <v>1375373628</v>
      </c>
      <c r="H405" s="26">
        <v>82522418</v>
      </c>
      <c r="I405" s="26">
        <v>264329200</v>
      </c>
      <c r="J405" s="26">
        <v>57</v>
      </c>
      <c r="K405" t="inlineStr">
        <is>
          <t>Non</t>
        </is>
      </c>
      <c r="L405">
        <f>SUBTOTAL(103,A405)</f>
        <v>1</v>
      </c>
    </row>
    <row r="406">
      <c r="A406" t="inlineStr">
        <is>
          <t>SOCIETE C548</t>
        </is>
      </c>
      <c r="B406" t="inlineStr">
        <is>
          <t>C548</t>
        </is>
      </c>
      <c r="C406" t="inlineStr">
        <is>
          <t>PUBLIC SECTOR</t>
        </is>
      </c>
      <c r="D406" t="inlineStr">
        <is>
          <t>V</t>
        </is>
      </c>
      <c r="E406" t="inlineStr">
        <is>
          <t>Stage 3</t>
        </is>
      </c>
      <c r="F406" t="inlineStr">
        <is>
          <t>N/A</t>
        </is>
      </c>
      <c r="G406" s="26">
        <v>3727655</v>
      </c>
      <c r="H406" s="26">
        <v>2050210</v>
      </c>
      <c r="I406" s="26">
        <v>0</v>
      </c>
      <c r="J406" s="26">
        <v>86</v>
      </c>
      <c r="K406" t="inlineStr">
        <is>
          <t>Oui</t>
        </is>
      </c>
      <c r="L406">
        <f>SUBTOTAL(103,A406)</f>
        <v>1</v>
      </c>
    </row>
    <row r="407">
      <c r="A407" t="inlineStr">
        <is>
          <t>SOCIETE C1377</t>
        </is>
      </c>
      <c r="B407" t="inlineStr">
        <is>
          <t>C1377</t>
        </is>
      </c>
      <c r="C407" t="inlineStr">
        <is>
          <t>PUBLIC SECTOR</t>
        </is>
      </c>
      <c r="D407" t="inlineStr">
        <is>
          <t>IV</t>
        </is>
      </c>
      <c r="E407" t="inlineStr">
        <is>
          <t>Stage 3</t>
        </is>
      </c>
      <c r="F407" t="inlineStr">
        <is>
          <t>N/A</t>
        </is>
      </c>
      <c r="G407" s="26">
        <v>2274762</v>
      </c>
      <c r="H407" s="26">
        <v>1251119</v>
      </c>
      <c r="I407" s="26">
        <v>0</v>
      </c>
      <c r="J407" s="26">
        <v>236</v>
      </c>
      <c r="K407" t="inlineStr">
        <is>
          <t>Oui</t>
        </is>
      </c>
      <c r="L407">
        <f>SUBTOTAL(103,A407)</f>
        <v>1</v>
      </c>
    </row>
    <row r="408">
      <c r="A408" t="inlineStr">
        <is>
          <t>SOCIETE C2343</t>
        </is>
      </c>
      <c r="B408" t="inlineStr">
        <is>
          <t>C2343</t>
        </is>
      </c>
      <c r="C408" t="inlineStr">
        <is>
          <t>CORPORATE BANKING</t>
        </is>
      </c>
      <c r="D408" t="inlineStr">
        <is>
          <t>V</t>
        </is>
      </c>
      <c r="E408" t="inlineStr">
        <is>
          <t>Stage 3</t>
        </is>
      </c>
      <c r="F408" t="inlineStr">
        <is>
          <t>N/A</t>
        </is>
      </c>
      <c r="G408" s="26">
        <v>810342999</v>
      </c>
      <c r="H408" s="26">
        <v>445688650</v>
      </c>
      <c r="I408" s="26">
        <v>112395490</v>
      </c>
      <c r="J408" s="26">
        <v>125</v>
      </c>
      <c r="K408" t="inlineStr">
        <is>
          <t>Oui</t>
        </is>
      </c>
      <c r="L408">
        <f>SUBTOTAL(103,A408)</f>
        <v>1</v>
      </c>
    </row>
    <row r="409">
      <c r="A409" t="inlineStr">
        <is>
          <t>SOCIETE C609</t>
        </is>
      </c>
      <c r="B409" t="inlineStr">
        <is>
          <t>C609</t>
        </is>
      </c>
      <c r="C409" t="inlineStr">
        <is>
          <t>CORPORATE BANKING</t>
        </is>
      </c>
      <c r="D409" t="inlineStr">
        <is>
          <t>III</t>
        </is>
      </c>
      <c r="E409" t="inlineStr">
        <is>
          <t>Stage 3</t>
        </is>
      </c>
      <c r="F409" t="inlineStr">
        <is>
          <t>N/A</t>
        </is>
      </c>
      <c r="G409" s="26">
        <v>6493822</v>
      </c>
      <c r="H409" s="26">
        <v>3571602</v>
      </c>
      <c r="I409" s="26">
        <v>213819</v>
      </c>
      <c r="J409" s="26">
        <v>367</v>
      </c>
      <c r="K409" t="inlineStr">
        <is>
          <t>Oui</t>
        </is>
      </c>
      <c r="L409">
        <f>SUBTOTAL(103,A409)</f>
        <v>1</v>
      </c>
    </row>
    <row r="410">
      <c r="A410" t="inlineStr">
        <is>
          <t>SOCIETE C1073</t>
        </is>
      </c>
      <c r="B410" t="inlineStr">
        <is>
          <t>C1073</t>
        </is>
      </c>
      <c r="C410" t="inlineStr">
        <is>
          <t>CORPORATE BANKING</t>
        </is>
      </c>
      <c r="D410" t="inlineStr">
        <is>
          <t>IA</t>
        </is>
      </c>
      <c r="E410" t="inlineStr">
        <is>
          <t>Stage 2</t>
        </is>
      </c>
      <c r="F410" t="inlineStr">
        <is>
          <t>N/A</t>
        </is>
      </c>
      <c r="G410" s="26">
        <v>279094995</v>
      </c>
      <c r="H410" s="26">
        <v>16745700</v>
      </c>
      <c r="I410" s="26">
        <v>0</v>
      </c>
      <c r="J410" s="26">
        <v>60</v>
      </c>
      <c r="K410" t="inlineStr">
        <is>
          <t>Non</t>
        </is>
      </c>
      <c r="L410">
        <f>SUBTOTAL(103,A410)</f>
        <v>1</v>
      </c>
    </row>
    <row r="411">
      <c r="A411" t="inlineStr">
        <is>
          <t>SOCIETE C122</t>
        </is>
      </c>
      <c r="B411" t="inlineStr">
        <is>
          <t>C122</t>
        </is>
      </c>
      <c r="C411" t="inlineStr">
        <is>
          <t>CORPORATE BANKING</t>
        </is>
      </c>
      <c r="D411" t="inlineStr">
        <is>
          <t>I</t>
        </is>
      </c>
      <c r="E411" t="inlineStr">
        <is>
          <t>Stage 1</t>
        </is>
      </c>
      <c r="F411" t="inlineStr">
        <is>
          <t>N/A</t>
        </is>
      </c>
      <c r="G411" s="26">
        <v>590849043</v>
      </c>
      <c r="H411" s="26">
        <v>5908490</v>
      </c>
      <c r="I411" s="26">
        <v>0</v>
      </c>
      <c r="J411" s="26">
        <v>149</v>
      </c>
      <c r="K411" t="inlineStr">
        <is>
          <t>Non</t>
        </is>
      </c>
      <c r="L411">
        <f>SUBTOTAL(103,A411)</f>
        <v>1</v>
      </c>
    </row>
    <row r="412">
      <c r="A412" t="inlineStr">
        <is>
          <t>SOCIETE C608</t>
        </is>
      </c>
      <c r="B412" t="inlineStr">
        <is>
          <t>C608</t>
        </is>
      </c>
      <c r="C412" t="inlineStr">
        <is>
          <t>CONSUMER BANKING</t>
        </is>
      </c>
      <c r="D412" t="inlineStr">
        <is>
          <t>I</t>
        </is>
      </c>
      <c r="E412" t="inlineStr">
        <is>
          <t>Stage 1</t>
        </is>
      </c>
      <c r="F412" t="inlineStr">
        <is>
          <t>N/A</t>
        </is>
      </c>
      <c r="G412" s="26">
        <v>1509963591</v>
      </c>
      <c r="H412" s="26">
        <v>15099636</v>
      </c>
      <c r="I412" s="26">
        <v>0</v>
      </c>
      <c r="J412" s="26">
        <v>2</v>
      </c>
      <c r="K412" t="inlineStr">
        <is>
          <t>Non</t>
        </is>
      </c>
      <c r="L412">
        <f>SUBTOTAL(103,A412)</f>
        <v>1</v>
      </c>
    </row>
    <row r="413">
      <c r="A413" t="inlineStr">
        <is>
          <t>SOCIETE C1942</t>
        </is>
      </c>
      <c r="B413" t="inlineStr">
        <is>
          <t>C1942</t>
        </is>
      </c>
      <c r="C413" t="inlineStr">
        <is>
          <t>COMMERCIAL BANKING</t>
        </is>
      </c>
      <c r="D413" t="inlineStr">
        <is>
          <t>I</t>
        </is>
      </c>
      <c r="E413" t="inlineStr">
        <is>
          <t>Stage 1</t>
        </is>
      </c>
      <c r="F413" t="inlineStr">
        <is>
          <t>N/A</t>
        </is>
      </c>
      <c r="G413" s="26">
        <v>2521343434</v>
      </c>
      <c r="H413" s="26">
        <v>25213434</v>
      </c>
      <c r="I413" s="26">
        <v>0</v>
      </c>
      <c r="J413" s="26">
        <v>64</v>
      </c>
      <c r="K413" t="inlineStr">
        <is>
          <t>Non</t>
        </is>
      </c>
      <c r="L413">
        <f>SUBTOTAL(103,A413)</f>
        <v>1</v>
      </c>
    </row>
    <row r="414">
      <c r="A414" t="inlineStr">
        <is>
          <t>SOCIETE C1920</t>
        </is>
      </c>
      <c r="B414" t="inlineStr">
        <is>
          <t>C1920</t>
        </is>
      </c>
      <c r="C414" t="inlineStr">
        <is>
          <t>CONSUMER BANKING</t>
        </is>
      </c>
      <c r="D414" t="inlineStr">
        <is>
          <t>I</t>
        </is>
      </c>
      <c r="E414" t="inlineStr">
        <is>
          <t>Stage 1</t>
        </is>
      </c>
      <c r="F414" t="inlineStr">
        <is>
          <t>N/A</t>
        </is>
      </c>
      <c r="G414" s="26">
        <v>5084388</v>
      </c>
      <c r="H414" s="26">
        <v>50844</v>
      </c>
      <c r="I414" s="26">
        <v>852466</v>
      </c>
      <c r="J414" s="26">
        <v>143</v>
      </c>
      <c r="K414" t="inlineStr">
        <is>
          <t>Non</t>
        </is>
      </c>
      <c r="L414">
        <f>SUBTOTAL(103,A414)</f>
        <v>1</v>
      </c>
    </row>
    <row r="415">
      <c r="A415" t="inlineStr">
        <is>
          <t>SOCIETE C606</t>
        </is>
      </c>
      <c r="B415" t="inlineStr">
        <is>
          <t>C606</t>
        </is>
      </c>
      <c r="C415" t="inlineStr">
        <is>
          <t>CORPORATE BANKING</t>
        </is>
      </c>
      <c r="D415" t="inlineStr">
        <is>
          <t>I</t>
        </is>
      </c>
      <c r="E415" t="inlineStr">
        <is>
          <t>Stage 1</t>
        </is>
      </c>
      <c r="F415" t="inlineStr">
        <is>
          <t>N/A</t>
        </is>
      </c>
      <c r="G415" s="26">
        <v>85526848</v>
      </c>
      <c r="H415" s="26">
        <v>855268</v>
      </c>
      <c r="I415" s="26">
        <v>0</v>
      </c>
      <c r="J415" s="26">
        <v>102</v>
      </c>
      <c r="K415" t="inlineStr">
        <is>
          <t>Non</t>
        </is>
      </c>
      <c r="L415">
        <f>SUBTOTAL(103,A415)</f>
        <v>1</v>
      </c>
    </row>
    <row r="416">
      <c r="A416" t="inlineStr">
        <is>
          <t>SOCIETE C1629</t>
        </is>
      </c>
      <c r="B416" t="inlineStr">
        <is>
          <t>C1629</t>
        </is>
      </c>
      <c r="C416" t="inlineStr">
        <is>
          <t>SME</t>
        </is>
      </c>
      <c r="D416" t="inlineStr">
        <is>
          <t>II</t>
        </is>
      </c>
      <c r="E416" t="inlineStr">
        <is>
          <t>Stage 2</t>
        </is>
      </c>
      <c r="F416" t="inlineStr">
        <is>
          <t>N/A</t>
        </is>
      </c>
      <c r="G416" s="26">
        <v>517128978</v>
      </c>
      <c r="H416" s="26">
        <v>31027739</v>
      </c>
      <c r="I416" s="26">
        <v>0</v>
      </c>
      <c r="J416" s="26">
        <v>272</v>
      </c>
      <c r="K416" t="inlineStr">
        <is>
          <t>Non</t>
        </is>
      </c>
      <c r="L416">
        <f>SUBTOTAL(103,A416)</f>
        <v>1</v>
      </c>
    </row>
    <row r="417">
      <c r="A417" t="inlineStr">
        <is>
          <t>SOCIETE C392</t>
        </is>
      </c>
      <c r="B417" t="inlineStr">
        <is>
          <t>C392</t>
        </is>
      </c>
      <c r="C417" t="inlineStr">
        <is>
          <t>SME</t>
        </is>
      </c>
      <c r="D417" t="inlineStr">
        <is>
          <t>I</t>
        </is>
      </c>
      <c r="E417" t="inlineStr">
        <is>
          <t>Stage 1</t>
        </is>
      </c>
      <c r="F417" t="inlineStr">
        <is>
          <t>N/A</t>
        </is>
      </c>
      <c r="G417" s="26">
        <v>2018167580</v>
      </c>
      <c r="H417" s="26">
        <v>20181676</v>
      </c>
      <c r="I417" s="26">
        <v>0</v>
      </c>
      <c r="J417" s="26">
        <v>34</v>
      </c>
      <c r="K417" t="inlineStr">
        <is>
          <t>Non</t>
        </is>
      </c>
      <c r="L417">
        <f>SUBTOTAL(103,A417)</f>
        <v>1</v>
      </c>
    </row>
    <row r="418">
      <c r="A418" t="inlineStr">
        <is>
          <t>SOCIETE C1621</t>
        </is>
      </c>
      <c r="B418" t="inlineStr">
        <is>
          <t>C1621</t>
        </is>
      </c>
      <c r="C418" t="inlineStr">
        <is>
          <t>CONSUMER BANKING</t>
        </is>
      </c>
      <c r="D418" t="inlineStr">
        <is>
          <t>IA</t>
        </is>
      </c>
      <c r="E418" t="inlineStr">
        <is>
          <t>Stage 2</t>
        </is>
      </c>
      <c r="F418" t="inlineStr">
        <is>
          <t>N/A</t>
        </is>
      </c>
      <c r="G418" s="26">
        <v>847038903</v>
      </c>
      <c r="H418" s="26">
        <v>50822334</v>
      </c>
      <c r="I418" s="26">
        <v>0</v>
      </c>
      <c r="J418" s="26">
        <v>2</v>
      </c>
      <c r="K418" t="inlineStr">
        <is>
          <t>Non</t>
        </is>
      </c>
      <c r="L418">
        <f>SUBTOTAL(103,A418)</f>
        <v>1</v>
      </c>
    </row>
    <row r="419">
      <c r="A419" t="inlineStr">
        <is>
          <t>SOCIETE C723</t>
        </is>
      </c>
      <c r="B419" t="inlineStr">
        <is>
          <t>C723</t>
        </is>
      </c>
      <c r="C419" t="inlineStr">
        <is>
          <t>COMMERCIAL BANKING</t>
        </is>
      </c>
      <c r="D419" t="inlineStr">
        <is>
          <t>I</t>
        </is>
      </c>
      <c r="E419" t="inlineStr">
        <is>
          <t>Stage 1</t>
        </is>
      </c>
      <c r="F419" t="inlineStr">
        <is>
          <t>N/A</t>
        </is>
      </c>
      <c r="G419" s="26">
        <v>47725866</v>
      </c>
      <c r="H419" s="26">
        <v>477259</v>
      </c>
      <c r="I419" s="26">
        <v>193334</v>
      </c>
      <c r="J419" s="26">
        <v>53</v>
      </c>
      <c r="K419" t="inlineStr">
        <is>
          <t>Non</t>
        </is>
      </c>
      <c r="L419">
        <f>SUBTOTAL(103,A419)</f>
        <v>1</v>
      </c>
    </row>
    <row r="420">
      <c r="A420" t="inlineStr">
        <is>
          <t>SOCIETE C291</t>
        </is>
      </c>
      <c r="B420" t="inlineStr">
        <is>
          <t>C291</t>
        </is>
      </c>
      <c r="C420" t="inlineStr">
        <is>
          <t>CORPORATE BANKING</t>
        </is>
      </c>
      <c r="D420" t="inlineStr">
        <is>
          <t>IV</t>
        </is>
      </c>
      <c r="E420" t="inlineStr">
        <is>
          <t>Stage 3</t>
        </is>
      </c>
      <c r="F420" t="inlineStr">
        <is>
          <t>N/A</t>
        </is>
      </c>
      <c r="G420" s="26">
        <v>4227293</v>
      </c>
      <c r="H420" s="26">
        <v>2325011</v>
      </c>
      <c r="I420" s="26">
        <v>0</v>
      </c>
      <c r="J420" s="26">
        <v>166</v>
      </c>
      <c r="K420" t="inlineStr">
        <is>
          <t>Oui</t>
        </is>
      </c>
      <c r="L420">
        <f>SUBTOTAL(103,A420)</f>
        <v>1</v>
      </c>
    </row>
    <row r="421">
      <c r="A421" t="inlineStr">
        <is>
          <t>SOCIETE C1426</t>
        </is>
      </c>
      <c r="B421" t="inlineStr">
        <is>
          <t>C1426</t>
        </is>
      </c>
      <c r="C421" t="inlineStr">
        <is>
          <t>CORPORATE BANKING</t>
        </is>
      </c>
      <c r="D421" t="inlineStr">
        <is>
          <t>I</t>
        </is>
      </c>
      <c r="E421" t="inlineStr">
        <is>
          <t>Stage 1</t>
        </is>
      </c>
      <c r="F421" t="inlineStr">
        <is>
          <t>N/A</t>
        </is>
      </c>
      <c r="G421" s="26">
        <v>653515763</v>
      </c>
      <c r="H421" s="26">
        <v>6535158</v>
      </c>
      <c r="I421" s="26">
        <v>50482531</v>
      </c>
      <c r="J421" s="26">
        <v>21</v>
      </c>
      <c r="K421" t="inlineStr">
        <is>
          <t>Non</t>
        </is>
      </c>
      <c r="L421">
        <f>SUBTOTAL(103,A421)</f>
        <v>1</v>
      </c>
    </row>
    <row r="422">
      <c r="A422" t="inlineStr">
        <is>
          <t>SOCIETE C469</t>
        </is>
      </c>
      <c r="B422" t="inlineStr">
        <is>
          <t>C469</t>
        </is>
      </c>
      <c r="C422" t="inlineStr">
        <is>
          <t>CORPORATE BANKING</t>
        </is>
      </c>
      <c r="D422" t="inlineStr">
        <is>
          <t>I</t>
        </is>
      </c>
      <c r="E422" t="inlineStr">
        <is>
          <t>Stage 1</t>
        </is>
      </c>
      <c r="F422" t="inlineStr">
        <is>
          <t>N/A</t>
        </is>
      </c>
      <c r="G422" s="26">
        <v>322257497</v>
      </c>
      <c r="H422" s="26">
        <v>3222575</v>
      </c>
      <c r="I422" s="26">
        <v>18437758</v>
      </c>
      <c r="J422" s="26">
        <v>2</v>
      </c>
      <c r="K422" t="inlineStr">
        <is>
          <t>Non</t>
        </is>
      </c>
      <c r="L422">
        <f>SUBTOTAL(103,A422)</f>
        <v>1</v>
      </c>
    </row>
    <row r="423">
      <c r="A423" t="inlineStr">
        <is>
          <t>SOCIETE C2419</t>
        </is>
      </c>
      <c r="B423" t="inlineStr">
        <is>
          <t>C2419</t>
        </is>
      </c>
      <c r="C423" t="inlineStr">
        <is>
          <t>CORPORATE BANKING</t>
        </is>
      </c>
      <c r="D423" t="inlineStr">
        <is>
          <t>III</t>
        </is>
      </c>
      <c r="E423" t="inlineStr">
        <is>
          <t>Stage 3</t>
        </is>
      </c>
      <c r="F423" t="inlineStr">
        <is>
          <t>N/A</t>
        </is>
      </c>
      <c r="G423" s="26">
        <v>45030132</v>
      </c>
      <c r="H423" s="26">
        <v>24766573</v>
      </c>
      <c r="I423" s="26">
        <v>0</v>
      </c>
      <c r="J423" s="26">
        <v>257</v>
      </c>
      <c r="K423" t="inlineStr">
        <is>
          <t>Oui</t>
        </is>
      </c>
      <c r="L423">
        <f>SUBTOTAL(103,A423)</f>
        <v>1</v>
      </c>
    </row>
    <row r="424">
      <c r="A424" t="inlineStr">
        <is>
          <t>SOCIETE C591</t>
        </is>
      </c>
      <c r="B424" t="inlineStr">
        <is>
          <t>C591</t>
        </is>
      </c>
      <c r="C424" t="inlineStr">
        <is>
          <t>CORPORATE BANKING</t>
        </is>
      </c>
      <c r="D424" t="inlineStr">
        <is>
          <t>V</t>
        </is>
      </c>
      <c r="E424" t="inlineStr">
        <is>
          <t>Stage 3</t>
        </is>
      </c>
      <c r="F424" t="inlineStr">
        <is>
          <t>N/A</t>
        </is>
      </c>
      <c r="G424" s="26">
        <v>1219917054</v>
      </c>
      <c r="H424" s="26">
        <v>670954380</v>
      </c>
      <c r="I424" s="26">
        <v>0</v>
      </c>
      <c r="J424" s="26">
        <v>251</v>
      </c>
      <c r="K424" t="inlineStr">
        <is>
          <t>Oui</t>
        </is>
      </c>
      <c r="L424">
        <f>SUBTOTAL(103,A424)</f>
        <v>1</v>
      </c>
    </row>
    <row r="425">
      <c r="A425" t="inlineStr">
        <is>
          <t>SOCIETE C848</t>
        </is>
      </c>
      <c r="B425" t="inlineStr">
        <is>
          <t>C848</t>
        </is>
      </c>
      <c r="C425" t="inlineStr">
        <is>
          <t>COMMERCIAL BANKING</t>
        </is>
      </c>
      <c r="D425" t="inlineStr">
        <is>
          <t>I</t>
        </is>
      </c>
      <c r="E425" t="inlineStr">
        <is>
          <t>Stage 1</t>
        </is>
      </c>
      <c r="F425" t="inlineStr">
        <is>
          <t>N/A</t>
        </is>
      </c>
      <c r="G425" s="26">
        <v>1266953146</v>
      </c>
      <c r="H425" s="26">
        <v>12669531</v>
      </c>
      <c r="I425" s="26">
        <v>27243202</v>
      </c>
      <c r="J425" s="26">
        <v>375</v>
      </c>
      <c r="K425" t="inlineStr">
        <is>
          <t>Non</t>
        </is>
      </c>
      <c r="L425">
        <f>SUBTOTAL(103,A425)</f>
        <v>1</v>
      </c>
    </row>
    <row r="426">
      <c r="A426" t="inlineStr">
        <is>
          <t>SOCIETE C1704</t>
        </is>
      </c>
      <c r="B426" t="inlineStr">
        <is>
          <t>C1704</t>
        </is>
      </c>
      <c r="C426" t="inlineStr">
        <is>
          <t>CORPORATE BANKING</t>
        </is>
      </c>
      <c r="D426" t="inlineStr">
        <is>
          <t>III</t>
        </is>
      </c>
      <c r="E426" t="inlineStr">
        <is>
          <t>Stage 3</t>
        </is>
      </c>
      <c r="F426" t="inlineStr">
        <is>
          <t>N/A</t>
        </is>
      </c>
      <c r="G426" s="26">
        <v>750136521</v>
      </c>
      <c r="H426" s="26">
        <v>412575087</v>
      </c>
      <c r="I426" s="26">
        <v>0</v>
      </c>
      <c r="J426" s="26">
        <v>61</v>
      </c>
      <c r="K426" t="inlineStr">
        <is>
          <t>Oui</t>
        </is>
      </c>
      <c r="L426">
        <f>SUBTOTAL(103,A426)</f>
        <v>1</v>
      </c>
    </row>
    <row r="427">
      <c r="A427" t="inlineStr">
        <is>
          <t>SOCIETE C569</t>
        </is>
      </c>
      <c r="B427" t="inlineStr">
        <is>
          <t>C569</t>
        </is>
      </c>
      <c r="C427" t="inlineStr">
        <is>
          <t>CONSUMER BANKING</t>
        </is>
      </c>
      <c r="D427" t="inlineStr">
        <is>
          <t>V</t>
        </is>
      </c>
      <c r="E427" t="inlineStr">
        <is>
          <t>Stage 3</t>
        </is>
      </c>
      <c r="F427" t="inlineStr">
        <is>
          <t>N/A</t>
        </is>
      </c>
      <c r="G427" s="26">
        <v>945898411</v>
      </c>
      <c r="H427" s="26">
        <v>520244126</v>
      </c>
      <c r="I427" s="26">
        <v>0</v>
      </c>
      <c r="J427" s="26">
        <v>262</v>
      </c>
      <c r="K427" t="inlineStr">
        <is>
          <t>Oui</t>
        </is>
      </c>
      <c r="L427">
        <f>SUBTOTAL(103,A427)</f>
        <v>1</v>
      </c>
    </row>
    <row r="428">
      <c r="A428" t="inlineStr">
        <is>
          <t>SOCIETE C1817</t>
        </is>
      </c>
      <c r="B428" t="inlineStr">
        <is>
          <t>C1817</t>
        </is>
      </c>
      <c r="C428" t="inlineStr">
        <is>
          <t>COMMERCIAL BANKING</t>
        </is>
      </c>
      <c r="D428" t="inlineStr">
        <is>
          <t>I</t>
        </is>
      </c>
      <c r="E428" t="inlineStr">
        <is>
          <t>Stage 1</t>
        </is>
      </c>
      <c r="F428" t="inlineStr">
        <is>
          <t>N/A</t>
        </is>
      </c>
      <c r="G428" s="26">
        <v>157036976</v>
      </c>
      <c r="H428" s="26">
        <v>1570370</v>
      </c>
      <c r="I428" s="26">
        <v>31055027</v>
      </c>
      <c r="J428" s="26">
        <v>106</v>
      </c>
      <c r="K428" t="inlineStr">
        <is>
          <t>Non</t>
        </is>
      </c>
      <c r="L428">
        <f>SUBTOTAL(103,A428)</f>
        <v>1</v>
      </c>
    </row>
    <row r="429">
      <c r="A429" t="inlineStr">
        <is>
          <t>SOCIETE C1522</t>
        </is>
      </c>
      <c r="B429" t="inlineStr">
        <is>
          <t>C1522</t>
        </is>
      </c>
      <c r="C429" t="inlineStr">
        <is>
          <t>CORPORATE BANKING</t>
        </is>
      </c>
      <c r="D429" t="inlineStr">
        <is>
          <t>III</t>
        </is>
      </c>
      <c r="E429" t="inlineStr">
        <is>
          <t>Stage 3</t>
        </is>
      </c>
      <c r="F429" t="inlineStr">
        <is>
          <t>N/A</t>
        </is>
      </c>
      <c r="G429" s="26">
        <v>765298883</v>
      </c>
      <c r="H429" s="26">
        <v>420914386</v>
      </c>
      <c r="I429" s="26">
        <v>0</v>
      </c>
      <c r="J429" s="26">
        <v>146</v>
      </c>
      <c r="K429" t="inlineStr">
        <is>
          <t>Oui</t>
        </is>
      </c>
      <c r="L429">
        <f>SUBTOTAL(103,A429)</f>
        <v>1</v>
      </c>
    </row>
    <row r="430">
      <c r="A430" t="inlineStr">
        <is>
          <t>SOCIETE C1949</t>
        </is>
      </c>
      <c r="B430" t="inlineStr">
        <is>
          <t>C1949</t>
        </is>
      </c>
      <c r="C430" t="inlineStr">
        <is>
          <t>CONSUMER BANKING</t>
        </is>
      </c>
      <c r="D430" t="inlineStr">
        <is>
          <t>IA</t>
        </is>
      </c>
      <c r="E430" t="inlineStr">
        <is>
          <t>Stage 2</t>
        </is>
      </c>
      <c r="F430" t="inlineStr">
        <is>
          <t>N/A</t>
        </is>
      </c>
      <c r="G430" s="26">
        <v>2987515102</v>
      </c>
      <c r="H430" s="26">
        <v>179250906</v>
      </c>
      <c r="I430" s="26">
        <v>0</v>
      </c>
      <c r="J430" s="26">
        <v>193</v>
      </c>
      <c r="K430" t="inlineStr">
        <is>
          <t>Non</t>
        </is>
      </c>
      <c r="L430">
        <f>SUBTOTAL(103,A430)</f>
        <v>1</v>
      </c>
    </row>
    <row r="431">
      <c r="A431" t="inlineStr">
        <is>
          <t>SOCIETE C2251</t>
        </is>
      </c>
      <c r="B431" t="inlineStr">
        <is>
          <t>C2251</t>
        </is>
      </c>
      <c r="C431" t="inlineStr">
        <is>
          <t>CORPORATE BANKING</t>
        </is>
      </c>
      <c r="D431" t="inlineStr">
        <is>
          <t>IV</t>
        </is>
      </c>
      <c r="E431" t="inlineStr">
        <is>
          <t>Stage 3</t>
        </is>
      </c>
      <c r="F431" t="inlineStr">
        <is>
          <t>N/A</t>
        </is>
      </c>
      <c r="G431" s="26">
        <v>2990249778</v>
      </c>
      <c r="H431" s="26">
        <v>1644637378</v>
      </c>
      <c r="I431" s="26">
        <v>338253154</v>
      </c>
      <c r="J431" s="26">
        <v>106</v>
      </c>
      <c r="K431" t="inlineStr">
        <is>
          <t>Oui</t>
        </is>
      </c>
      <c r="L431">
        <f>SUBTOTAL(103,A431)</f>
        <v>1</v>
      </c>
    </row>
    <row r="432">
      <c r="A432" t="inlineStr">
        <is>
          <t>SOCIETE C2353</t>
        </is>
      </c>
      <c r="B432" t="inlineStr">
        <is>
          <t>C2353</t>
        </is>
      </c>
      <c r="C432" t="inlineStr">
        <is>
          <t>COMMERCIAL BANKING</t>
        </is>
      </c>
      <c r="D432" t="inlineStr">
        <is>
          <t>V</t>
        </is>
      </c>
      <c r="E432" t="inlineStr">
        <is>
          <t>Stage 3</t>
        </is>
      </c>
      <c r="F432" t="inlineStr">
        <is>
          <t>N/A</t>
        </is>
      </c>
      <c r="G432" s="26">
        <v>91705783</v>
      </c>
      <c r="H432" s="26">
        <v>50438180</v>
      </c>
      <c r="I432" s="26">
        <v>15391722</v>
      </c>
      <c r="J432" s="26">
        <v>28</v>
      </c>
      <c r="K432" t="inlineStr">
        <is>
          <t>Oui</t>
        </is>
      </c>
      <c r="L432">
        <f>SUBTOTAL(103,A432)</f>
        <v>1</v>
      </c>
    </row>
    <row r="433">
      <c r="A433" t="inlineStr">
        <is>
          <t>SOCIETE C694</t>
        </is>
      </c>
      <c r="B433" t="inlineStr">
        <is>
          <t>C694</t>
        </is>
      </c>
      <c r="C433" t="inlineStr">
        <is>
          <t>CONSUMER BANKING</t>
        </is>
      </c>
      <c r="D433" t="inlineStr">
        <is>
          <t>I</t>
        </is>
      </c>
      <c r="E433" t="inlineStr">
        <is>
          <t>Stage 1</t>
        </is>
      </c>
      <c r="F433" t="inlineStr">
        <is>
          <t>N/A</t>
        </is>
      </c>
      <c r="G433" s="26">
        <v>1149083287</v>
      </c>
      <c r="H433" s="26">
        <v>11490833</v>
      </c>
      <c r="I433" s="26">
        <v>0</v>
      </c>
      <c r="J433" s="26">
        <v>4</v>
      </c>
      <c r="K433" t="inlineStr">
        <is>
          <t>Non</t>
        </is>
      </c>
      <c r="L433">
        <f>SUBTOTAL(103,A433)</f>
        <v>1</v>
      </c>
    </row>
    <row r="434">
      <c r="A434" t="inlineStr">
        <is>
          <t>SOCIETE C1806</t>
        </is>
      </c>
      <c r="B434" t="inlineStr">
        <is>
          <t>C1806</t>
        </is>
      </c>
      <c r="C434" t="inlineStr">
        <is>
          <t>CORPORATE BANKING</t>
        </is>
      </c>
      <c r="D434" t="inlineStr">
        <is>
          <t>V</t>
        </is>
      </c>
      <c r="E434" t="inlineStr">
        <is>
          <t>Stage 3</t>
        </is>
      </c>
      <c r="F434" t="inlineStr">
        <is>
          <t>N/A</t>
        </is>
      </c>
      <c r="G434" s="26">
        <v>163311941</v>
      </c>
      <c r="H434" s="26">
        <v>89821567</v>
      </c>
      <c r="I434" s="26">
        <v>0</v>
      </c>
      <c r="J434" s="26">
        <v>14</v>
      </c>
      <c r="K434" t="inlineStr">
        <is>
          <t>Oui</t>
        </is>
      </c>
      <c r="L434">
        <f>SUBTOTAL(103,A434)</f>
        <v>1</v>
      </c>
    </row>
    <row r="435">
      <c r="A435" t="inlineStr">
        <is>
          <t>SOCIETE C2213</t>
        </is>
      </c>
      <c r="B435" t="inlineStr">
        <is>
          <t>C2213</t>
        </is>
      </c>
      <c r="C435" t="inlineStr">
        <is>
          <t>CORPORATE BANKING</t>
        </is>
      </c>
      <c r="D435" t="inlineStr">
        <is>
          <t>IV</t>
        </is>
      </c>
      <c r="E435" t="inlineStr">
        <is>
          <t>Stage 3</t>
        </is>
      </c>
      <c r="F435" t="inlineStr">
        <is>
          <t>N/A</t>
        </is>
      </c>
      <c r="G435" s="26">
        <v>2053850</v>
      </c>
      <c r="H435" s="26">
        <v>1129617</v>
      </c>
      <c r="I435" s="26">
        <v>0</v>
      </c>
      <c r="J435" s="26">
        <v>9</v>
      </c>
      <c r="K435" t="inlineStr">
        <is>
          <t>Oui</t>
        </is>
      </c>
      <c r="L435">
        <f>SUBTOTAL(103,A435)</f>
        <v>1</v>
      </c>
    </row>
    <row r="436">
      <c r="A436" t="inlineStr">
        <is>
          <t>SOCIETE C449</t>
        </is>
      </c>
      <c r="B436" t="inlineStr">
        <is>
          <t>C449</t>
        </is>
      </c>
      <c r="C436" t="inlineStr">
        <is>
          <t>CORPORATE BANKING</t>
        </is>
      </c>
      <c r="D436" t="inlineStr">
        <is>
          <t>I</t>
        </is>
      </c>
      <c r="E436" t="inlineStr">
        <is>
          <t>Stage 1</t>
        </is>
      </c>
      <c r="F436" t="inlineStr">
        <is>
          <t>N/A</t>
        </is>
      </c>
      <c r="G436" s="26">
        <v>1576603750</v>
      </c>
      <c r="H436" s="26">
        <v>15766037</v>
      </c>
      <c r="I436" s="26">
        <v>0</v>
      </c>
      <c r="J436" s="26">
        <v>54</v>
      </c>
      <c r="K436" t="inlineStr">
        <is>
          <t>Non</t>
        </is>
      </c>
      <c r="L436">
        <f>SUBTOTAL(103,A436)</f>
        <v>1</v>
      </c>
    </row>
    <row r="437">
      <c r="A437" t="inlineStr">
        <is>
          <t>SOCIETE C823</t>
        </is>
      </c>
      <c r="B437" t="inlineStr">
        <is>
          <t>C823</t>
        </is>
      </c>
      <c r="C437" t="inlineStr">
        <is>
          <t>COMMERCIAL BANKING</t>
        </is>
      </c>
      <c r="D437" t="inlineStr">
        <is>
          <t>I</t>
        </is>
      </c>
      <c r="E437" t="inlineStr">
        <is>
          <t>Stage 1</t>
        </is>
      </c>
      <c r="F437" t="inlineStr">
        <is>
          <t>N/A</t>
        </is>
      </c>
      <c r="G437" s="26">
        <v>83612034</v>
      </c>
      <c r="H437" s="26">
        <v>836120</v>
      </c>
      <c r="I437" s="26">
        <v>0</v>
      </c>
      <c r="J437" s="26">
        <v>31</v>
      </c>
      <c r="K437" t="inlineStr">
        <is>
          <t>Non</t>
        </is>
      </c>
      <c r="L437">
        <f>SUBTOTAL(103,A437)</f>
        <v>1</v>
      </c>
    </row>
    <row r="438">
      <c r="A438" t="inlineStr">
        <is>
          <t>SOCIETE C572</t>
        </is>
      </c>
      <c r="B438" t="inlineStr">
        <is>
          <t>C572</t>
        </is>
      </c>
      <c r="C438" t="inlineStr">
        <is>
          <t>COMMERCIAL BANKING</t>
        </is>
      </c>
      <c r="D438" t="inlineStr">
        <is>
          <t>IA</t>
        </is>
      </c>
      <c r="E438" t="inlineStr">
        <is>
          <t>Stage 2</t>
        </is>
      </c>
      <c r="F438" t="inlineStr">
        <is>
          <t>N/A</t>
        </is>
      </c>
      <c r="G438" s="26">
        <v>1925535432</v>
      </c>
      <c r="H438" s="26">
        <v>115532126</v>
      </c>
      <c r="I438" s="26">
        <v>0</v>
      </c>
      <c r="J438" s="26">
        <v>0</v>
      </c>
      <c r="K438" t="inlineStr">
        <is>
          <t>Non</t>
        </is>
      </c>
      <c r="L438">
        <f>SUBTOTAL(103,A438)</f>
        <v>1</v>
      </c>
    </row>
    <row r="439">
      <c r="A439" t="inlineStr">
        <is>
          <t>SOCIETE C1930</t>
        </is>
      </c>
      <c r="B439" t="inlineStr">
        <is>
          <t>C1930</t>
        </is>
      </c>
      <c r="C439" t="inlineStr">
        <is>
          <t>CONSUMER BANKING</t>
        </is>
      </c>
      <c r="D439" t="inlineStr">
        <is>
          <t>III</t>
        </is>
      </c>
      <c r="E439" t="inlineStr">
        <is>
          <t>Stage 3</t>
        </is>
      </c>
      <c r="F439" t="inlineStr">
        <is>
          <t>N/A</t>
        </is>
      </c>
      <c r="G439" s="26">
        <v>1305409</v>
      </c>
      <c r="H439" s="26">
        <v>717975</v>
      </c>
      <c r="I439" s="26">
        <v>0</v>
      </c>
      <c r="J439" s="26">
        <v>183</v>
      </c>
      <c r="K439" t="inlineStr">
        <is>
          <t>Oui</t>
        </is>
      </c>
      <c r="L439">
        <f>SUBTOTAL(103,A439)</f>
        <v>1</v>
      </c>
    </row>
    <row r="440">
      <c r="A440" t="inlineStr">
        <is>
          <t>SOCIETE C1709</t>
        </is>
      </c>
      <c r="B440" t="inlineStr">
        <is>
          <t>C1709</t>
        </is>
      </c>
      <c r="C440" t="inlineStr">
        <is>
          <t>CORPORATE BANKING</t>
        </is>
      </c>
      <c r="D440" t="inlineStr">
        <is>
          <t>I</t>
        </is>
      </c>
      <c r="E440" t="inlineStr">
        <is>
          <t>Stage 1</t>
        </is>
      </c>
      <c r="F440" t="inlineStr">
        <is>
          <t>N/A</t>
        </is>
      </c>
      <c r="G440" s="26">
        <v>2983194796</v>
      </c>
      <c r="H440" s="26">
        <v>29831948</v>
      </c>
      <c r="I440" s="26">
        <v>293376558</v>
      </c>
      <c r="J440" s="26">
        <v>86</v>
      </c>
      <c r="K440" t="inlineStr">
        <is>
          <t>Non</t>
        </is>
      </c>
      <c r="L440">
        <f>SUBTOTAL(103,A440)</f>
        <v>1</v>
      </c>
    </row>
    <row r="441">
      <c r="A441" t="inlineStr">
        <is>
          <t>SOCIETE C293</t>
        </is>
      </c>
      <c r="B441" t="inlineStr">
        <is>
          <t>C293</t>
        </is>
      </c>
      <c r="C441" t="inlineStr">
        <is>
          <t>CORPORATE BANKING</t>
        </is>
      </c>
      <c r="D441" t="inlineStr">
        <is>
          <t>I</t>
        </is>
      </c>
      <c r="E441" t="inlineStr">
        <is>
          <t>Stage 1</t>
        </is>
      </c>
      <c r="F441" t="inlineStr">
        <is>
          <t>N/A</t>
        </is>
      </c>
      <c r="G441" s="26">
        <v>484143383</v>
      </c>
      <c r="H441" s="26">
        <v>4841434</v>
      </c>
      <c r="I441" s="26">
        <v>0</v>
      </c>
      <c r="J441" s="26">
        <v>11</v>
      </c>
      <c r="K441" t="inlineStr">
        <is>
          <t>Non</t>
        </is>
      </c>
      <c r="L441">
        <f>SUBTOTAL(103,A441)</f>
        <v>1</v>
      </c>
    </row>
    <row r="442">
      <c r="A442" t="inlineStr">
        <is>
          <t>SOCIETE C1092</t>
        </is>
      </c>
      <c r="B442" t="inlineStr">
        <is>
          <t>C1092</t>
        </is>
      </c>
      <c r="C442" t="inlineStr">
        <is>
          <t>COMMERCIAL BANKING</t>
        </is>
      </c>
      <c r="D442" t="inlineStr">
        <is>
          <t>II</t>
        </is>
      </c>
      <c r="E442" t="inlineStr">
        <is>
          <t>Stage 2</t>
        </is>
      </c>
      <c r="F442" t="inlineStr">
        <is>
          <t>N/A</t>
        </is>
      </c>
      <c r="G442" s="26">
        <v>1338484052</v>
      </c>
      <c r="H442" s="26">
        <v>80309043</v>
      </c>
      <c r="I442" s="26">
        <v>0</v>
      </c>
      <c r="J442" s="26">
        <v>111</v>
      </c>
      <c r="K442" t="inlineStr">
        <is>
          <t>Non</t>
        </is>
      </c>
      <c r="L442">
        <f>SUBTOTAL(103,A442)</f>
        <v>1</v>
      </c>
    </row>
    <row r="443">
      <c r="A443" t="inlineStr">
        <is>
          <t>SOCIETE C759</t>
        </is>
      </c>
      <c r="B443" t="inlineStr">
        <is>
          <t>C759</t>
        </is>
      </c>
      <c r="C443" t="inlineStr">
        <is>
          <t>CORPORATE BANKING</t>
        </is>
      </c>
      <c r="D443" t="inlineStr">
        <is>
          <t>II</t>
        </is>
      </c>
      <c r="E443" t="inlineStr">
        <is>
          <t>Stage 2</t>
        </is>
      </c>
      <c r="F443" t="inlineStr">
        <is>
          <t>N/A</t>
        </is>
      </c>
      <c r="G443" s="26">
        <v>143676877</v>
      </c>
      <c r="H443" s="26">
        <v>8620613</v>
      </c>
      <c r="I443" s="26">
        <v>3815265</v>
      </c>
      <c r="J443" s="26">
        <v>45</v>
      </c>
      <c r="K443" t="inlineStr">
        <is>
          <t>Non</t>
        </is>
      </c>
      <c r="L443">
        <f>SUBTOTAL(103,A443)</f>
        <v>1</v>
      </c>
    </row>
    <row r="444">
      <c r="A444" t="inlineStr">
        <is>
          <t>SOCIETE C1197</t>
        </is>
      </c>
      <c r="B444" t="inlineStr">
        <is>
          <t>C1197</t>
        </is>
      </c>
      <c r="C444" t="inlineStr">
        <is>
          <t>CORPORATE BANKING</t>
        </is>
      </c>
      <c r="D444" t="inlineStr">
        <is>
          <t>I</t>
        </is>
      </c>
      <c r="E444" t="inlineStr">
        <is>
          <t>Stage 1</t>
        </is>
      </c>
      <c r="F444" t="inlineStr">
        <is>
          <t>N/A</t>
        </is>
      </c>
      <c r="G444" s="26">
        <v>346928901</v>
      </c>
      <c r="H444" s="26">
        <v>3469289</v>
      </c>
      <c r="I444" s="26">
        <v>0</v>
      </c>
      <c r="J444" s="26">
        <v>103</v>
      </c>
      <c r="K444" t="inlineStr">
        <is>
          <t>Non</t>
        </is>
      </c>
      <c r="L444">
        <f>SUBTOTAL(103,A444)</f>
        <v>1</v>
      </c>
    </row>
    <row r="445">
      <c r="A445" t="inlineStr">
        <is>
          <t>SOCIETE C237</t>
        </is>
      </c>
      <c r="B445" t="inlineStr">
        <is>
          <t>C237</t>
        </is>
      </c>
      <c r="C445" t="inlineStr">
        <is>
          <t>CORPORATE BANKING</t>
        </is>
      </c>
      <c r="D445" t="inlineStr">
        <is>
          <t>IA</t>
        </is>
      </c>
      <c r="E445" t="inlineStr">
        <is>
          <t>Stage 2</t>
        </is>
      </c>
      <c r="F445" t="inlineStr">
        <is>
          <t>N/A</t>
        </is>
      </c>
      <c r="G445" s="26">
        <v>1378687</v>
      </c>
      <c r="H445" s="26">
        <v>82721</v>
      </c>
      <c r="I445" s="26">
        <v>0</v>
      </c>
      <c r="J445" s="26">
        <v>28</v>
      </c>
      <c r="K445" t="inlineStr">
        <is>
          <t>Non</t>
        </is>
      </c>
      <c r="L445">
        <f>SUBTOTAL(103,A445)</f>
        <v>1</v>
      </c>
    </row>
    <row r="446">
      <c r="A446" t="inlineStr">
        <is>
          <t>SOCIETE C1256</t>
        </is>
      </c>
      <c r="B446" t="inlineStr">
        <is>
          <t>C1256</t>
        </is>
      </c>
      <c r="C446" t="inlineStr">
        <is>
          <t>CORPORATE BANKING</t>
        </is>
      </c>
      <c r="D446" t="inlineStr">
        <is>
          <t>I</t>
        </is>
      </c>
      <c r="E446" t="inlineStr">
        <is>
          <t>Stage 1</t>
        </is>
      </c>
      <c r="F446" t="inlineStr">
        <is>
          <t>N/A</t>
        </is>
      </c>
      <c r="G446" s="26">
        <v>1830079742</v>
      </c>
      <c r="H446" s="26">
        <v>18300797</v>
      </c>
      <c r="I446" s="26">
        <v>0</v>
      </c>
      <c r="J446" s="26">
        <v>53</v>
      </c>
      <c r="K446" t="inlineStr">
        <is>
          <t>Non</t>
        </is>
      </c>
      <c r="L446">
        <f>SUBTOTAL(103,A446)</f>
        <v>1</v>
      </c>
    </row>
    <row r="447">
      <c r="A447" t="inlineStr">
        <is>
          <t>SOCIETE C812</t>
        </is>
      </c>
      <c r="B447" t="inlineStr">
        <is>
          <t>C812</t>
        </is>
      </c>
      <c r="C447" t="inlineStr">
        <is>
          <t>CORPORATE BANKING</t>
        </is>
      </c>
      <c r="D447" t="inlineStr">
        <is>
          <t>III</t>
        </is>
      </c>
      <c r="E447" t="inlineStr">
        <is>
          <t>Stage 3</t>
        </is>
      </c>
      <c r="F447" t="inlineStr">
        <is>
          <t>N/A</t>
        </is>
      </c>
      <c r="G447" s="26">
        <v>6763267</v>
      </c>
      <c r="H447" s="26">
        <v>3719797</v>
      </c>
      <c r="I447" s="26">
        <v>0</v>
      </c>
      <c r="J447" s="26">
        <v>228</v>
      </c>
      <c r="K447" t="inlineStr">
        <is>
          <t>Oui</t>
        </is>
      </c>
      <c r="L447">
        <f>SUBTOTAL(103,A447)</f>
        <v>1</v>
      </c>
    </row>
    <row r="448">
      <c r="A448" t="inlineStr">
        <is>
          <t>SOCIETE C697</t>
        </is>
      </c>
      <c r="B448" t="inlineStr">
        <is>
          <t>C697</t>
        </is>
      </c>
      <c r="C448" t="inlineStr">
        <is>
          <t>COMMERCIAL BANKING</t>
        </is>
      </c>
      <c r="D448" t="inlineStr">
        <is>
          <t>I</t>
        </is>
      </c>
      <c r="E448" t="inlineStr">
        <is>
          <t>Stage 1</t>
        </is>
      </c>
      <c r="F448" t="inlineStr">
        <is>
          <t>N/A</t>
        </is>
      </c>
      <c r="G448" s="26">
        <v>1143447530</v>
      </c>
      <c r="H448" s="26">
        <v>11434475</v>
      </c>
      <c r="I448" s="26">
        <v>0</v>
      </c>
      <c r="J448" s="26">
        <v>336</v>
      </c>
      <c r="K448" t="inlineStr">
        <is>
          <t>Non</t>
        </is>
      </c>
      <c r="L448">
        <f>SUBTOTAL(103,A448)</f>
        <v>1</v>
      </c>
    </row>
    <row r="449">
      <c r="A449" t="inlineStr">
        <is>
          <t>SOCIETE C2148</t>
        </is>
      </c>
      <c r="B449" t="inlineStr">
        <is>
          <t>C2148</t>
        </is>
      </c>
      <c r="C449" t="inlineStr">
        <is>
          <t>CORPORATE BANKING</t>
        </is>
      </c>
      <c r="D449" t="inlineStr">
        <is>
          <t>II</t>
        </is>
      </c>
      <c r="E449" t="inlineStr">
        <is>
          <t>Stage 2</t>
        </is>
      </c>
      <c r="F449" t="inlineStr">
        <is>
          <t>N/A</t>
        </is>
      </c>
      <c r="G449" s="26">
        <v>302819664</v>
      </c>
      <c r="H449" s="26">
        <v>18169180</v>
      </c>
      <c r="I449" s="26">
        <v>9422294</v>
      </c>
      <c r="J449" s="26">
        <v>52</v>
      </c>
      <c r="K449" t="inlineStr">
        <is>
          <t>Non</t>
        </is>
      </c>
      <c r="L449">
        <f>SUBTOTAL(103,A449)</f>
        <v>1</v>
      </c>
    </row>
    <row r="450">
      <c r="A450" t="inlineStr">
        <is>
          <t>SOCIETE C425</t>
        </is>
      </c>
      <c r="B450" t="inlineStr">
        <is>
          <t>C425</t>
        </is>
      </c>
      <c r="C450" t="inlineStr">
        <is>
          <t>SME</t>
        </is>
      </c>
      <c r="D450" t="inlineStr">
        <is>
          <t>I</t>
        </is>
      </c>
      <c r="E450" t="inlineStr">
        <is>
          <t>Stage 1</t>
        </is>
      </c>
      <c r="F450" t="inlineStr">
        <is>
          <t>N/A</t>
        </is>
      </c>
      <c r="G450" s="26">
        <v>313995101</v>
      </c>
      <c r="H450" s="26">
        <v>3139951</v>
      </c>
      <c r="I450" s="26">
        <v>7927050</v>
      </c>
      <c r="J450" s="26">
        <v>194</v>
      </c>
      <c r="K450" t="inlineStr">
        <is>
          <t>Non</t>
        </is>
      </c>
      <c r="L450">
        <f>SUBTOTAL(103,A450)</f>
        <v>1</v>
      </c>
    </row>
    <row r="451">
      <c r="A451" t="inlineStr">
        <is>
          <t>SOCIETE C489</t>
        </is>
      </c>
      <c r="B451" t="inlineStr">
        <is>
          <t>C489</t>
        </is>
      </c>
      <c r="C451" t="inlineStr">
        <is>
          <t>COMMERCIAL BANKING</t>
        </is>
      </c>
      <c r="D451" t="inlineStr">
        <is>
          <t>I</t>
        </is>
      </c>
      <c r="E451" t="inlineStr">
        <is>
          <t>Stage 1</t>
        </is>
      </c>
      <c r="F451" t="inlineStr">
        <is>
          <t>N/A</t>
        </is>
      </c>
      <c r="G451" s="26">
        <v>2657911216</v>
      </c>
      <c r="H451" s="26">
        <v>26579112</v>
      </c>
      <c r="I451" s="26">
        <v>0</v>
      </c>
      <c r="J451" s="26">
        <v>1</v>
      </c>
      <c r="K451" t="inlineStr">
        <is>
          <t>Non</t>
        </is>
      </c>
      <c r="L451">
        <f>SUBTOTAL(103,A451)</f>
        <v>1</v>
      </c>
    </row>
    <row r="452">
      <c r="A452" t="inlineStr">
        <is>
          <t>SOCIETE C2053</t>
        </is>
      </c>
      <c r="B452" t="inlineStr">
        <is>
          <t>C2053</t>
        </is>
      </c>
      <c r="C452" t="inlineStr">
        <is>
          <t>CONSUMER BANKING</t>
        </is>
      </c>
      <c r="D452" t="inlineStr">
        <is>
          <t>III</t>
        </is>
      </c>
      <c r="E452" t="inlineStr">
        <is>
          <t>Stage 3</t>
        </is>
      </c>
      <c r="F452" t="inlineStr">
        <is>
          <t>N/A</t>
        </is>
      </c>
      <c r="G452" s="26">
        <v>252914106</v>
      </c>
      <c r="H452" s="26">
        <v>139102758</v>
      </c>
      <c r="I452" s="26">
        <v>0</v>
      </c>
      <c r="J452" s="26">
        <v>83</v>
      </c>
      <c r="K452" t="inlineStr">
        <is>
          <t>Oui</t>
        </is>
      </c>
      <c r="L452">
        <f>SUBTOTAL(103,A452)</f>
        <v>1</v>
      </c>
    </row>
    <row r="453">
      <c r="A453" t="inlineStr">
        <is>
          <t>SOCIETE C1946</t>
        </is>
      </c>
      <c r="B453" t="inlineStr">
        <is>
          <t>C1946</t>
        </is>
      </c>
      <c r="C453" t="inlineStr">
        <is>
          <t>COMMERCIAL BANKING</t>
        </is>
      </c>
      <c r="D453" t="inlineStr">
        <is>
          <t>III</t>
        </is>
      </c>
      <c r="E453" t="inlineStr">
        <is>
          <t>Stage 3</t>
        </is>
      </c>
      <c r="F453" t="inlineStr">
        <is>
          <t>N/A</t>
        </is>
      </c>
      <c r="G453" s="26">
        <v>1425411561</v>
      </c>
      <c r="H453" s="26">
        <v>783976359</v>
      </c>
      <c r="I453" s="26">
        <v>0</v>
      </c>
      <c r="J453" s="26">
        <v>169</v>
      </c>
      <c r="K453" t="inlineStr">
        <is>
          <t>Oui</t>
        </is>
      </c>
      <c r="L453">
        <f>SUBTOTAL(103,A453)</f>
        <v>1</v>
      </c>
    </row>
    <row r="454">
      <c r="A454" t="inlineStr">
        <is>
          <t>SOCIETE C1689</t>
        </is>
      </c>
      <c r="B454" t="inlineStr">
        <is>
          <t>C1689</t>
        </is>
      </c>
      <c r="C454" t="inlineStr">
        <is>
          <t>COMMERCIAL BANKING</t>
        </is>
      </c>
      <c r="D454" t="inlineStr">
        <is>
          <t>I</t>
        </is>
      </c>
      <c r="E454" t="inlineStr">
        <is>
          <t>Stage 1</t>
        </is>
      </c>
      <c r="F454" t="inlineStr">
        <is>
          <t>N/A</t>
        </is>
      </c>
      <c r="G454" s="26">
        <v>936866387</v>
      </c>
      <c r="H454" s="26">
        <v>9368664</v>
      </c>
      <c r="I454" s="26">
        <v>0</v>
      </c>
      <c r="J454" s="26">
        <v>167</v>
      </c>
      <c r="K454" t="inlineStr">
        <is>
          <t>Non</t>
        </is>
      </c>
      <c r="L454">
        <f>SUBTOTAL(103,A454)</f>
        <v>1</v>
      </c>
    </row>
    <row r="455">
      <c r="A455" t="inlineStr">
        <is>
          <t>SOCIETE C146</t>
        </is>
      </c>
      <c r="B455" t="inlineStr">
        <is>
          <t>C146</t>
        </is>
      </c>
      <c r="C455" t="inlineStr">
        <is>
          <t>COMMERCIAL BANKING</t>
        </is>
      </c>
      <c r="D455" t="inlineStr">
        <is>
          <t>I</t>
        </is>
      </c>
      <c r="E455" t="inlineStr">
        <is>
          <t>Stage 1</t>
        </is>
      </c>
      <c r="F455" t="inlineStr">
        <is>
          <t>N/A</t>
        </is>
      </c>
      <c r="G455" s="26">
        <v>1881201505</v>
      </c>
      <c r="H455" s="26">
        <v>18812015</v>
      </c>
      <c r="I455" s="26">
        <v>0</v>
      </c>
      <c r="J455" s="26">
        <v>205</v>
      </c>
      <c r="K455" t="inlineStr">
        <is>
          <t>Non</t>
        </is>
      </c>
      <c r="L455">
        <f>SUBTOTAL(103,A455)</f>
        <v>1</v>
      </c>
    </row>
    <row r="456">
      <c r="A456" t="inlineStr">
        <is>
          <t>SOCIETE C1611</t>
        </is>
      </c>
      <c r="B456" t="inlineStr">
        <is>
          <t>C1611</t>
        </is>
      </c>
      <c r="C456" t="inlineStr">
        <is>
          <t>CORPORATE BANKING</t>
        </is>
      </c>
      <c r="D456" t="inlineStr">
        <is>
          <t>IA</t>
        </is>
      </c>
      <c r="E456" t="inlineStr">
        <is>
          <t>Stage 2</t>
        </is>
      </c>
      <c r="F456" t="inlineStr">
        <is>
          <t>N/A</t>
        </is>
      </c>
      <c r="G456" s="26">
        <v>1570757</v>
      </c>
      <c r="H456" s="26">
        <v>94245</v>
      </c>
      <c r="I456" s="26">
        <v>0</v>
      </c>
      <c r="J456" s="26">
        <v>158</v>
      </c>
      <c r="K456" t="inlineStr">
        <is>
          <t>Non</t>
        </is>
      </c>
      <c r="L456">
        <f>SUBTOTAL(103,A456)</f>
        <v>1</v>
      </c>
    </row>
    <row r="457">
      <c r="A457" t="inlineStr">
        <is>
          <t>SOCIETE C2306</t>
        </is>
      </c>
      <c r="B457" t="inlineStr">
        <is>
          <t>C2306</t>
        </is>
      </c>
      <c r="C457" t="inlineStr">
        <is>
          <t>CONSUMER BANKING</t>
        </is>
      </c>
      <c r="D457" t="inlineStr">
        <is>
          <t>IA</t>
        </is>
      </c>
      <c r="E457" t="inlineStr">
        <is>
          <t>Stage 2</t>
        </is>
      </c>
      <c r="F457" t="inlineStr">
        <is>
          <t>N/A</t>
        </is>
      </c>
      <c r="G457" s="26">
        <v>326104884</v>
      </c>
      <c r="H457" s="26">
        <v>19566293</v>
      </c>
      <c r="I457" s="26">
        <v>0</v>
      </c>
      <c r="J457" s="26">
        <v>269</v>
      </c>
      <c r="K457" t="inlineStr">
        <is>
          <t>Non</t>
        </is>
      </c>
      <c r="L457">
        <f>SUBTOTAL(103,A457)</f>
        <v>1</v>
      </c>
    </row>
    <row r="458">
      <c r="A458" t="inlineStr">
        <is>
          <t>SOCIETE C121</t>
        </is>
      </c>
      <c r="B458" t="inlineStr">
        <is>
          <t>C121</t>
        </is>
      </c>
      <c r="C458" t="inlineStr">
        <is>
          <t>PUBLIC SECTOR</t>
        </is>
      </c>
      <c r="D458" t="inlineStr">
        <is>
          <t>IA</t>
        </is>
      </c>
      <c r="E458" t="inlineStr">
        <is>
          <t>Stage 2</t>
        </is>
      </c>
      <c r="F458" t="inlineStr">
        <is>
          <t>N/A</t>
        </is>
      </c>
      <c r="G458" s="26">
        <v>6564697</v>
      </c>
      <c r="H458" s="26">
        <v>393882</v>
      </c>
      <c r="I458" s="26">
        <v>0</v>
      </c>
      <c r="J458" s="26">
        <v>85</v>
      </c>
      <c r="K458" t="inlineStr">
        <is>
          <t>Non</t>
        </is>
      </c>
      <c r="L458">
        <f>SUBTOTAL(103,A458)</f>
        <v>1</v>
      </c>
    </row>
    <row r="459">
      <c r="A459" t="inlineStr">
        <is>
          <t>SOCIETE C1849</t>
        </is>
      </c>
      <c r="B459" t="inlineStr">
        <is>
          <t>C1849</t>
        </is>
      </c>
      <c r="C459" t="inlineStr">
        <is>
          <t>CORPORATE BANKING</t>
        </is>
      </c>
      <c r="D459" t="inlineStr">
        <is>
          <t>III</t>
        </is>
      </c>
      <c r="E459" t="inlineStr">
        <is>
          <t>Stage 3</t>
        </is>
      </c>
      <c r="F459" t="inlineStr">
        <is>
          <t>N/A</t>
        </is>
      </c>
      <c r="G459" s="26">
        <v>38074207</v>
      </c>
      <c r="H459" s="26">
        <v>20940814</v>
      </c>
      <c r="I459" s="26">
        <v>1735104</v>
      </c>
      <c r="J459" s="26">
        <v>77</v>
      </c>
      <c r="K459" t="inlineStr">
        <is>
          <t>Oui</t>
        </is>
      </c>
      <c r="L459">
        <f>SUBTOTAL(103,A459)</f>
        <v>1</v>
      </c>
    </row>
    <row r="460">
      <c r="A460" t="inlineStr">
        <is>
          <t>SOCIETE C1521</t>
        </is>
      </c>
      <c r="B460" t="inlineStr">
        <is>
          <t>C1521</t>
        </is>
      </c>
      <c r="C460" t="inlineStr">
        <is>
          <t>PUBLIC SECTOR</t>
        </is>
      </c>
      <c r="D460" t="inlineStr">
        <is>
          <t>II</t>
        </is>
      </c>
      <c r="E460" t="inlineStr">
        <is>
          <t>Stage 2</t>
        </is>
      </c>
      <c r="F460" t="inlineStr">
        <is>
          <t>N/A</t>
        </is>
      </c>
      <c r="G460" s="26">
        <v>145108901</v>
      </c>
      <c r="H460" s="26">
        <v>8706534</v>
      </c>
      <c r="I460" s="26">
        <v>0</v>
      </c>
      <c r="J460" s="26">
        <v>65</v>
      </c>
      <c r="K460" t="inlineStr">
        <is>
          <t>Non</t>
        </is>
      </c>
      <c r="L460">
        <f>SUBTOTAL(103,A460)</f>
        <v>1</v>
      </c>
    </row>
    <row r="461">
      <c r="A461" t="inlineStr">
        <is>
          <t>SOCIETE C499</t>
        </is>
      </c>
      <c r="B461" t="inlineStr">
        <is>
          <t>C499</t>
        </is>
      </c>
      <c r="C461" t="inlineStr">
        <is>
          <t>COMMERCIAL BANKING</t>
        </is>
      </c>
      <c r="D461" t="inlineStr">
        <is>
          <t>V</t>
        </is>
      </c>
      <c r="E461" t="inlineStr">
        <is>
          <t>Stage 3</t>
        </is>
      </c>
      <c r="F461" t="inlineStr">
        <is>
          <t>N/A</t>
        </is>
      </c>
      <c r="G461" s="26">
        <v>2754875208</v>
      </c>
      <c r="H461" s="26">
        <v>1515181364</v>
      </c>
      <c r="I461" s="26">
        <v>0</v>
      </c>
      <c r="J461" s="26">
        <v>5</v>
      </c>
      <c r="K461" t="inlineStr">
        <is>
          <t>Oui</t>
        </is>
      </c>
      <c r="L461">
        <f>SUBTOTAL(103,A461)</f>
        <v>1</v>
      </c>
    </row>
    <row r="462">
      <c r="A462" t="inlineStr">
        <is>
          <t>SOCIETE C1952</t>
        </is>
      </c>
      <c r="B462" t="inlineStr">
        <is>
          <t>C1952</t>
        </is>
      </c>
      <c r="C462" t="inlineStr">
        <is>
          <t>CORPORATE BANKING</t>
        </is>
      </c>
      <c r="D462" t="inlineStr">
        <is>
          <t>I</t>
        </is>
      </c>
      <c r="E462" t="inlineStr">
        <is>
          <t>Stage 1</t>
        </is>
      </c>
      <c r="F462" t="inlineStr">
        <is>
          <t>N/A</t>
        </is>
      </c>
      <c r="G462" s="26">
        <v>692661148</v>
      </c>
      <c r="H462" s="26">
        <v>6926611</v>
      </c>
      <c r="I462" s="26">
        <v>0</v>
      </c>
      <c r="J462" s="26">
        <v>216</v>
      </c>
      <c r="K462" t="inlineStr">
        <is>
          <t>Non</t>
        </is>
      </c>
      <c r="L462">
        <f>SUBTOTAL(103,A462)</f>
        <v>1</v>
      </c>
    </row>
    <row r="463">
      <c r="A463" t="inlineStr">
        <is>
          <t>SOCIETE C2080</t>
        </is>
      </c>
      <c r="B463" t="inlineStr">
        <is>
          <t>C2080</t>
        </is>
      </c>
      <c r="C463" t="inlineStr">
        <is>
          <t>CORPORATE BANKING</t>
        </is>
      </c>
      <c r="D463" t="inlineStr">
        <is>
          <t>IA</t>
        </is>
      </c>
      <c r="E463" t="inlineStr">
        <is>
          <t>Stage 2</t>
        </is>
      </c>
      <c r="F463" t="inlineStr">
        <is>
          <t>N/A</t>
        </is>
      </c>
      <c r="G463" s="26">
        <v>1589414631</v>
      </c>
      <c r="H463" s="26">
        <v>95364878</v>
      </c>
      <c r="I463" s="26">
        <v>0</v>
      </c>
      <c r="J463" s="26">
        <v>27</v>
      </c>
      <c r="K463" t="inlineStr">
        <is>
          <t>Non</t>
        </is>
      </c>
      <c r="L463">
        <f>SUBTOTAL(103,A463)</f>
        <v>1</v>
      </c>
    </row>
    <row r="464">
      <c r="A464" t="inlineStr">
        <is>
          <t>SOCIETE C2246</t>
        </is>
      </c>
      <c r="B464" t="inlineStr">
        <is>
          <t>C2246</t>
        </is>
      </c>
      <c r="C464" t="inlineStr">
        <is>
          <t>CORPORATE BANKING</t>
        </is>
      </c>
      <c r="D464" t="inlineStr">
        <is>
          <t>II</t>
        </is>
      </c>
      <c r="E464" t="inlineStr">
        <is>
          <t>Stage 2</t>
        </is>
      </c>
      <c r="F464" t="inlineStr">
        <is>
          <t>N/A</t>
        </is>
      </c>
      <c r="G464" s="26">
        <v>20393563</v>
      </c>
      <c r="H464" s="26">
        <v>1223614</v>
      </c>
      <c r="I464" s="26">
        <v>0</v>
      </c>
      <c r="J464" s="26">
        <v>74</v>
      </c>
      <c r="K464" t="inlineStr">
        <is>
          <t>Non</t>
        </is>
      </c>
      <c r="L464">
        <f>SUBTOTAL(103,A464)</f>
        <v>1</v>
      </c>
    </row>
    <row r="465">
      <c r="A465" t="inlineStr">
        <is>
          <t>SOCIETE C1705</t>
        </is>
      </c>
      <c r="B465" t="inlineStr">
        <is>
          <t>C1705</t>
        </is>
      </c>
      <c r="C465" t="inlineStr">
        <is>
          <t>CORPORATE BANKING</t>
        </is>
      </c>
      <c r="D465" t="inlineStr">
        <is>
          <t>IV</t>
        </is>
      </c>
      <c r="E465" t="inlineStr">
        <is>
          <t>Stage 3</t>
        </is>
      </c>
      <c r="F465" t="inlineStr">
        <is>
          <t>N/A</t>
        </is>
      </c>
      <c r="G465" s="26">
        <v>1258939287</v>
      </c>
      <c r="H465" s="26">
        <v>692416608</v>
      </c>
      <c r="I465" s="26">
        <v>0</v>
      </c>
      <c r="J465" s="26">
        <v>234</v>
      </c>
      <c r="K465" t="inlineStr">
        <is>
          <t>Oui</t>
        </is>
      </c>
      <c r="L465">
        <f>SUBTOTAL(103,A465)</f>
        <v>1</v>
      </c>
    </row>
    <row r="466">
      <c r="A466" t="inlineStr">
        <is>
          <t>SOCIETE C2154</t>
        </is>
      </c>
      <c r="B466" t="inlineStr">
        <is>
          <t>C2154</t>
        </is>
      </c>
      <c r="C466" t="inlineStr">
        <is>
          <t>COMMERCIAL BANKING</t>
        </is>
      </c>
      <c r="D466" t="inlineStr">
        <is>
          <t>V</t>
        </is>
      </c>
      <c r="E466" t="inlineStr">
        <is>
          <t>Stage 3</t>
        </is>
      </c>
      <c r="F466" t="inlineStr">
        <is>
          <t>N/A</t>
        </is>
      </c>
      <c r="G466" s="26">
        <v>162939858</v>
      </c>
      <c r="H466" s="26">
        <v>89616922</v>
      </c>
      <c r="I466" s="26">
        <v>0</v>
      </c>
      <c r="J466" s="26">
        <v>116</v>
      </c>
      <c r="K466" t="inlineStr">
        <is>
          <t>Oui</t>
        </is>
      </c>
      <c r="L466">
        <f>SUBTOTAL(103,A466)</f>
        <v>1</v>
      </c>
    </row>
    <row r="467">
      <c r="A467" t="inlineStr">
        <is>
          <t>SOCIETE C46</t>
        </is>
      </c>
      <c r="B467" t="inlineStr">
        <is>
          <t>C46</t>
        </is>
      </c>
      <c r="C467" t="inlineStr">
        <is>
          <t>SME</t>
        </is>
      </c>
      <c r="D467" t="inlineStr">
        <is>
          <t>III</t>
        </is>
      </c>
      <c r="E467" t="inlineStr">
        <is>
          <t>Stage 3</t>
        </is>
      </c>
      <c r="F467" t="inlineStr">
        <is>
          <t>N/A</t>
        </is>
      </c>
      <c r="G467" s="26">
        <v>111854598</v>
      </c>
      <c r="H467" s="26">
        <v>61520029</v>
      </c>
      <c r="I467" s="26">
        <v>0</v>
      </c>
      <c r="J467" s="26">
        <v>22</v>
      </c>
      <c r="K467" t="inlineStr">
        <is>
          <t>Oui</t>
        </is>
      </c>
      <c r="L467">
        <f>SUBTOTAL(103,A467)</f>
        <v>1</v>
      </c>
    </row>
    <row r="468">
      <c r="A468" t="inlineStr">
        <is>
          <t>SOCIETE C1397</t>
        </is>
      </c>
      <c r="B468" t="inlineStr">
        <is>
          <t>C1397</t>
        </is>
      </c>
      <c r="C468" t="inlineStr">
        <is>
          <t>CORPORATE BANKING</t>
        </is>
      </c>
      <c r="D468" t="inlineStr">
        <is>
          <t>I</t>
        </is>
      </c>
      <c r="E468" t="inlineStr">
        <is>
          <t>Stage 1</t>
        </is>
      </c>
      <c r="F468" t="inlineStr">
        <is>
          <t>N/A</t>
        </is>
      </c>
      <c r="G468" s="26">
        <v>477428820</v>
      </c>
      <c r="H468" s="26">
        <v>4774288</v>
      </c>
      <c r="I468" s="26">
        <v>0</v>
      </c>
      <c r="J468" s="26">
        <v>130</v>
      </c>
      <c r="K468" t="inlineStr">
        <is>
          <t>Non</t>
        </is>
      </c>
      <c r="L468">
        <f>SUBTOTAL(103,A468)</f>
        <v>1</v>
      </c>
    </row>
    <row r="469">
      <c r="A469" t="inlineStr">
        <is>
          <t>SOCIETE C1337</t>
        </is>
      </c>
      <c r="B469" t="inlineStr">
        <is>
          <t>C1337</t>
        </is>
      </c>
      <c r="C469" t="inlineStr">
        <is>
          <t>CORPORATE BANKING</t>
        </is>
      </c>
      <c r="D469" t="inlineStr">
        <is>
          <t>IA</t>
        </is>
      </c>
      <c r="E469" t="inlineStr">
        <is>
          <t>Stage 2</t>
        </is>
      </c>
      <c r="F469" t="inlineStr">
        <is>
          <t>N/A</t>
        </is>
      </c>
      <c r="G469" s="26">
        <v>88754898</v>
      </c>
      <c r="H469" s="26">
        <v>5325294</v>
      </c>
      <c r="I469" s="26">
        <v>0</v>
      </c>
      <c r="J469" s="26">
        <v>95</v>
      </c>
      <c r="K469" t="inlineStr">
        <is>
          <t>Non</t>
        </is>
      </c>
      <c r="L469">
        <f>SUBTOTAL(103,A469)</f>
        <v>1</v>
      </c>
    </row>
    <row r="470">
      <c r="A470" t="inlineStr">
        <is>
          <t>SOCIETE C2463</t>
        </is>
      </c>
      <c r="B470" t="inlineStr">
        <is>
          <t>C2463</t>
        </is>
      </c>
      <c r="C470" t="inlineStr">
        <is>
          <t>COMMERCIAL BANKING</t>
        </is>
      </c>
      <c r="D470" t="inlineStr">
        <is>
          <t>I</t>
        </is>
      </c>
      <c r="E470" t="inlineStr">
        <is>
          <t>Stage 1</t>
        </is>
      </c>
      <c r="F470" t="inlineStr">
        <is>
          <t>N/A</t>
        </is>
      </c>
      <c r="G470" s="26">
        <v>2721520368</v>
      </c>
      <c r="H470" s="26">
        <v>27215204</v>
      </c>
      <c r="I470" s="26">
        <v>0</v>
      </c>
      <c r="J470" s="26">
        <v>142</v>
      </c>
      <c r="K470" t="inlineStr">
        <is>
          <t>Non</t>
        </is>
      </c>
      <c r="L470">
        <f>SUBTOTAL(103,A470)</f>
        <v>1</v>
      </c>
    </row>
    <row r="471">
      <c r="A471" t="inlineStr">
        <is>
          <t>SOCIETE C130</t>
        </is>
      </c>
      <c r="B471" t="inlineStr">
        <is>
          <t>C130</t>
        </is>
      </c>
      <c r="C471" t="inlineStr">
        <is>
          <t>CORPORATE BANKING</t>
        </is>
      </c>
      <c r="D471" t="inlineStr">
        <is>
          <t>I</t>
        </is>
      </c>
      <c r="E471" t="inlineStr">
        <is>
          <t>Stage 1</t>
        </is>
      </c>
      <c r="F471" t="inlineStr">
        <is>
          <t>N/A</t>
        </is>
      </c>
      <c r="G471" s="26">
        <v>13300784</v>
      </c>
      <c r="H471" s="26">
        <v>133008</v>
      </c>
      <c r="I471" s="26">
        <v>0</v>
      </c>
      <c r="J471" s="26">
        <v>54</v>
      </c>
      <c r="K471" t="inlineStr">
        <is>
          <t>Non</t>
        </is>
      </c>
      <c r="L471">
        <f>SUBTOTAL(103,A471)</f>
        <v>1</v>
      </c>
    </row>
    <row r="472">
      <c r="A472" t="inlineStr">
        <is>
          <t>SOCIETE C1088</t>
        </is>
      </c>
      <c r="B472" t="inlineStr">
        <is>
          <t>C1088</t>
        </is>
      </c>
      <c r="C472" t="inlineStr">
        <is>
          <t>CONSUMER BANKING</t>
        </is>
      </c>
      <c r="D472" t="inlineStr">
        <is>
          <t>V</t>
        </is>
      </c>
      <c r="E472" t="inlineStr">
        <is>
          <t>Stage 3</t>
        </is>
      </c>
      <c r="F472" t="inlineStr">
        <is>
          <t>N/A</t>
        </is>
      </c>
      <c r="G472" s="26">
        <v>1614287384</v>
      </c>
      <c r="H472" s="26">
        <v>887858061</v>
      </c>
      <c r="I472" s="26">
        <v>0</v>
      </c>
      <c r="J472" s="26">
        <v>17</v>
      </c>
      <c r="K472" t="inlineStr">
        <is>
          <t>Oui</t>
        </is>
      </c>
      <c r="L472">
        <f>SUBTOTAL(103,A472)</f>
        <v>1</v>
      </c>
    </row>
    <row r="473">
      <c r="A473" t="inlineStr">
        <is>
          <t>SOCIETE C1536</t>
        </is>
      </c>
      <c r="B473" t="inlineStr">
        <is>
          <t>C1536</t>
        </is>
      </c>
      <c r="C473" t="inlineStr">
        <is>
          <t>COMMERCIAL BANKING</t>
        </is>
      </c>
      <c r="D473" t="inlineStr">
        <is>
          <t>I</t>
        </is>
      </c>
      <c r="E473" t="inlineStr">
        <is>
          <t>Stage 1</t>
        </is>
      </c>
      <c r="F473" t="inlineStr">
        <is>
          <t>N/A</t>
        </is>
      </c>
      <c r="G473" s="26">
        <v>533188399</v>
      </c>
      <c r="H473" s="26">
        <v>5331884</v>
      </c>
      <c r="I473" s="26">
        <v>82612075</v>
      </c>
      <c r="J473" s="26">
        <v>63</v>
      </c>
      <c r="K473" t="inlineStr">
        <is>
          <t>Non</t>
        </is>
      </c>
      <c r="L473">
        <f>SUBTOTAL(103,A473)</f>
        <v>1</v>
      </c>
    </row>
    <row r="474">
      <c r="A474" t="inlineStr">
        <is>
          <t>SOCIETE C587</t>
        </is>
      </c>
      <c r="B474" t="inlineStr">
        <is>
          <t>C587</t>
        </is>
      </c>
      <c r="C474" t="inlineStr">
        <is>
          <t>COMMERCIAL BANKING</t>
        </is>
      </c>
      <c r="D474" t="inlineStr">
        <is>
          <t>I</t>
        </is>
      </c>
      <c r="E474" t="inlineStr">
        <is>
          <t>Stage 1</t>
        </is>
      </c>
      <c r="F474" t="inlineStr">
        <is>
          <t>N/A</t>
        </is>
      </c>
      <c r="G474" s="26">
        <v>1092174373</v>
      </c>
      <c r="H474" s="26">
        <v>10921744</v>
      </c>
      <c r="I474" s="26">
        <v>0</v>
      </c>
      <c r="J474" s="26">
        <v>79</v>
      </c>
      <c r="K474" t="inlineStr">
        <is>
          <t>Non</t>
        </is>
      </c>
      <c r="L474">
        <f>SUBTOTAL(103,A474)</f>
        <v>1</v>
      </c>
    </row>
    <row r="475">
      <c r="A475" t="inlineStr">
        <is>
          <t>SOCIETE C1551</t>
        </is>
      </c>
      <c r="B475" t="inlineStr">
        <is>
          <t>C1551</t>
        </is>
      </c>
      <c r="C475" t="inlineStr">
        <is>
          <t>CORPORATE BANKING</t>
        </is>
      </c>
      <c r="D475" t="inlineStr">
        <is>
          <t>I</t>
        </is>
      </c>
      <c r="E475" t="inlineStr">
        <is>
          <t>Stage 1</t>
        </is>
      </c>
      <c r="F475" t="inlineStr">
        <is>
          <t>N/A</t>
        </is>
      </c>
      <c r="G475" s="26">
        <v>2349859917</v>
      </c>
      <c r="H475" s="26">
        <v>23498599</v>
      </c>
      <c r="I475" s="26">
        <v>0</v>
      </c>
      <c r="J475" s="26">
        <v>62</v>
      </c>
      <c r="K475" t="inlineStr">
        <is>
          <t>Non</t>
        </is>
      </c>
      <c r="L475">
        <f>SUBTOTAL(103,A475)</f>
        <v>1</v>
      </c>
    </row>
    <row r="476">
      <c r="A476" t="inlineStr">
        <is>
          <t>SOCIETE C1041</t>
        </is>
      </c>
      <c r="B476" t="inlineStr">
        <is>
          <t>C1041</t>
        </is>
      </c>
      <c r="C476" t="inlineStr">
        <is>
          <t>CORPORATE BANKING</t>
        </is>
      </c>
      <c r="D476" t="inlineStr">
        <is>
          <t>V</t>
        </is>
      </c>
      <c r="E476" t="inlineStr">
        <is>
          <t>Stage 3</t>
        </is>
      </c>
      <c r="F476" t="inlineStr">
        <is>
          <t>N/A</t>
        </is>
      </c>
      <c r="G476" s="26">
        <v>704127043</v>
      </c>
      <c r="H476" s="26">
        <v>387269873</v>
      </c>
      <c r="I476" s="26">
        <v>0</v>
      </c>
      <c r="J476" s="26">
        <v>146</v>
      </c>
      <c r="K476" t="inlineStr">
        <is>
          <t>Oui</t>
        </is>
      </c>
      <c r="L476">
        <f>SUBTOTAL(103,A476)</f>
        <v>1</v>
      </c>
    </row>
    <row r="477">
      <c r="A477" t="inlineStr">
        <is>
          <t>SOCIETE C1958</t>
        </is>
      </c>
      <c r="B477" t="inlineStr">
        <is>
          <t>C1958</t>
        </is>
      </c>
      <c r="C477" t="inlineStr">
        <is>
          <t>CORPORATE BANKING</t>
        </is>
      </c>
      <c r="D477" t="inlineStr">
        <is>
          <t>IA</t>
        </is>
      </c>
      <c r="E477" t="inlineStr">
        <is>
          <t>Stage 2</t>
        </is>
      </c>
      <c r="F477" t="inlineStr">
        <is>
          <t>N/A</t>
        </is>
      </c>
      <c r="G477" s="26">
        <v>1758375258</v>
      </c>
      <c r="H477" s="26">
        <v>105502516</v>
      </c>
      <c r="I477" s="26">
        <v>0</v>
      </c>
      <c r="J477" s="26">
        <v>205</v>
      </c>
      <c r="K477" t="inlineStr">
        <is>
          <t>Non</t>
        </is>
      </c>
      <c r="L477">
        <f>SUBTOTAL(103,A477)</f>
        <v>1</v>
      </c>
    </row>
    <row r="478">
      <c r="A478" t="inlineStr">
        <is>
          <t>SOCIETE C2031</t>
        </is>
      </c>
      <c r="B478" t="inlineStr">
        <is>
          <t>C2031</t>
        </is>
      </c>
      <c r="C478" t="inlineStr">
        <is>
          <t>COMMERCIAL BANKING</t>
        </is>
      </c>
      <c r="D478" t="inlineStr">
        <is>
          <t>IA</t>
        </is>
      </c>
      <c r="E478" t="inlineStr">
        <is>
          <t>Stage 2</t>
        </is>
      </c>
      <c r="F478" t="inlineStr">
        <is>
          <t>N/A</t>
        </is>
      </c>
      <c r="G478" s="26">
        <v>1401663</v>
      </c>
      <c r="H478" s="26">
        <v>84100</v>
      </c>
      <c r="I478" s="26">
        <v>0</v>
      </c>
      <c r="J478" s="26">
        <v>168</v>
      </c>
      <c r="K478" t="inlineStr">
        <is>
          <t>Non</t>
        </is>
      </c>
      <c r="L478">
        <f>SUBTOTAL(103,A478)</f>
        <v>1</v>
      </c>
    </row>
    <row r="479">
      <c r="A479" t="inlineStr">
        <is>
          <t>SOCIETE C1561</t>
        </is>
      </c>
      <c r="B479" t="inlineStr">
        <is>
          <t>C1561</t>
        </is>
      </c>
      <c r="C479" t="inlineStr">
        <is>
          <t>CORPORATE BANKING</t>
        </is>
      </c>
      <c r="D479" t="inlineStr">
        <is>
          <t>I</t>
        </is>
      </c>
      <c r="E479" t="inlineStr">
        <is>
          <t>Stage 1</t>
        </is>
      </c>
      <c r="F479" t="inlineStr">
        <is>
          <t>N/A</t>
        </is>
      </c>
      <c r="G479" s="26">
        <v>13964996</v>
      </c>
      <c r="H479" s="26">
        <v>139650</v>
      </c>
      <c r="I479" s="26">
        <v>1921618</v>
      </c>
      <c r="J479" s="26">
        <v>107</v>
      </c>
      <c r="K479" t="inlineStr">
        <is>
          <t>Non</t>
        </is>
      </c>
      <c r="L479">
        <f>SUBTOTAL(103,A479)</f>
        <v>1</v>
      </c>
    </row>
    <row r="480">
      <c r="A480" t="inlineStr">
        <is>
          <t>SOCIETE C1941</t>
        </is>
      </c>
      <c r="B480" t="inlineStr">
        <is>
          <t>C1941</t>
        </is>
      </c>
      <c r="C480" t="inlineStr">
        <is>
          <t>INSTITUTIONAL</t>
        </is>
      </c>
      <c r="D480" t="inlineStr">
        <is>
          <t>III</t>
        </is>
      </c>
      <c r="E480" t="inlineStr">
        <is>
          <t>Stage 3</t>
        </is>
      </c>
      <c r="F480" t="inlineStr">
        <is>
          <t>N/A</t>
        </is>
      </c>
      <c r="G480" s="26">
        <v>156667878</v>
      </c>
      <c r="H480" s="26">
        <v>86167333</v>
      </c>
      <c r="I480" s="26">
        <v>0</v>
      </c>
      <c r="J480" s="26">
        <v>183</v>
      </c>
      <c r="K480" t="inlineStr">
        <is>
          <t>Oui</t>
        </is>
      </c>
      <c r="L480">
        <f>SUBTOTAL(103,A480)</f>
        <v>1</v>
      </c>
    </row>
    <row r="481">
      <c r="A481" t="inlineStr">
        <is>
          <t>SOCIETE C2248</t>
        </is>
      </c>
      <c r="B481" t="inlineStr">
        <is>
          <t>C2248</t>
        </is>
      </c>
      <c r="C481" t="inlineStr">
        <is>
          <t>CORPORATE BANKING</t>
        </is>
      </c>
      <c r="D481" t="inlineStr">
        <is>
          <t>I</t>
        </is>
      </c>
      <c r="E481" t="inlineStr">
        <is>
          <t>Stage 1</t>
        </is>
      </c>
      <c r="F481" t="inlineStr">
        <is>
          <t>N/A</t>
        </is>
      </c>
      <c r="G481" s="26">
        <v>1408834</v>
      </c>
      <c r="H481" s="26">
        <v>14088</v>
      </c>
      <c r="I481" s="26">
        <v>0</v>
      </c>
      <c r="J481" s="26">
        <v>208</v>
      </c>
      <c r="K481" t="inlineStr">
        <is>
          <t>Non</t>
        </is>
      </c>
      <c r="L481">
        <f>SUBTOTAL(103,A481)</f>
        <v>1</v>
      </c>
    </row>
    <row r="482">
      <c r="A482" t="inlineStr">
        <is>
          <t>SOCIETE C1860</t>
        </is>
      </c>
      <c r="B482" t="inlineStr">
        <is>
          <t>C1860</t>
        </is>
      </c>
      <c r="C482" t="inlineStr">
        <is>
          <t>COMMERCIAL BANKING</t>
        </is>
      </c>
      <c r="D482" t="inlineStr">
        <is>
          <t>V</t>
        </is>
      </c>
      <c r="E482" t="inlineStr">
        <is>
          <t>Stage 3</t>
        </is>
      </c>
      <c r="F482" t="inlineStr">
        <is>
          <t>N/A</t>
        </is>
      </c>
      <c r="G482" s="26">
        <v>176606576</v>
      </c>
      <c r="H482" s="26">
        <v>97133617</v>
      </c>
      <c r="I482" s="26">
        <v>23351967</v>
      </c>
      <c r="J482" s="26">
        <v>196</v>
      </c>
      <c r="K482" t="inlineStr">
        <is>
          <t>Oui</t>
        </is>
      </c>
      <c r="L482">
        <f>SUBTOTAL(103,A482)</f>
        <v>1</v>
      </c>
    </row>
    <row r="483">
      <c r="A483" t="inlineStr">
        <is>
          <t>SOCIETE C2082</t>
        </is>
      </c>
      <c r="B483" t="inlineStr">
        <is>
          <t>C2082</t>
        </is>
      </c>
      <c r="C483" t="inlineStr">
        <is>
          <t>SME</t>
        </is>
      </c>
      <c r="D483" t="inlineStr">
        <is>
          <t>V</t>
        </is>
      </c>
      <c r="E483" t="inlineStr">
        <is>
          <t>Stage 3</t>
        </is>
      </c>
      <c r="F483" t="inlineStr">
        <is>
          <t>N/A</t>
        </is>
      </c>
      <c r="G483" s="26">
        <v>905488593</v>
      </c>
      <c r="H483" s="26">
        <v>498018726</v>
      </c>
      <c r="I483" s="26">
        <v>0</v>
      </c>
      <c r="J483" s="26">
        <v>68</v>
      </c>
      <c r="K483" t="inlineStr">
        <is>
          <t>Oui</t>
        </is>
      </c>
      <c r="L483">
        <f>SUBTOTAL(103,A483)</f>
        <v>1</v>
      </c>
    </row>
    <row r="484">
      <c r="A484" t="inlineStr">
        <is>
          <t>SOCIETE C396</t>
        </is>
      </c>
      <c r="B484" t="inlineStr">
        <is>
          <t>C396</t>
        </is>
      </c>
      <c r="C484" t="inlineStr">
        <is>
          <t>CONSUMER BANKING</t>
        </is>
      </c>
      <c r="D484" t="inlineStr">
        <is>
          <t>I</t>
        </is>
      </c>
      <c r="E484" t="inlineStr">
        <is>
          <t>Stage 1</t>
        </is>
      </c>
      <c r="F484" t="inlineStr">
        <is>
          <t>N/A</t>
        </is>
      </c>
      <c r="G484" s="26">
        <v>1020389513</v>
      </c>
      <c r="H484" s="26">
        <v>10203895</v>
      </c>
      <c r="I484" s="26">
        <v>44322687</v>
      </c>
      <c r="J484" s="26">
        <v>59</v>
      </c>
      <c r="K484" t="inlineStr">
        <is>
          <t>Non</t>
        </is>
      </c>
      <c r="L484">
        <f>SUBTOTAL(103,A484)</f>
        <v>1</v>
      </c>
    </row>
    <row r="485">
      <c r="A485" t="inlineStr">
        <is>
          <t>SOCIETE C1657</t>
        </is>
      </c>
      <c r="B485" t="inlineStr">
        <is>
          <t>C1657</t>
        </is>
      </c>
      <c r="C485" t="inlineStr">
        <is>
          <t>PUBLIC SECTOR</t>
        </is>
      </c>
      <c r="D485" t="inlineStr">
        <is>
          <t>I</t>
        </is>
      </c>
      <c r="E485" t="inlineStr">
        <is>
          <t>Stage 1</t>
        </is>
      </c>
      <c r="F485" t="inlineStr">
        <is>
          <t>N/A</t>
        </is>
      </c>
      <c r="G485" s="26">
        <v>56072991</v>
      </c>
      <c r="H485" s="26">
        <v>560730</v>
      </c>
      <c r="I485" s="26">
        <v>0</v>
      </c>
      <c r="J485" s="26">
        <v>1</v>
      </c>
      <c r="K485" t="inlineStr">
        <is>
          <t>Non</t>
        </is>
      </c>
      <c r="L485">
        <f>SUBTOTAL(103,A485)</f>
        <v>1</v>
      </c>
    </row>
    <row r="486">
      <c r="A486" t="inlineStr">
        <is>
          <t>SOCIETE C2009</t>
        </is>
      </c>
      <c r="B486" t="inlineStr">
        <is>
          <t>C2009</t>
        </is>
      </c>
      <c r="C486" t="inlineStr">
        <is>
          <t>CORPORATE BANKING</t>
        </is>
      </c>
      <c r="D486" t="inlineStr">
        <is>
          <t>II</t>
        </is>
      </c>
      <c r="E486" t="inlineStr">
        <is>
          <t>Stage 2</t>
        </is>
      </c>
      <c r="F486" t="inlineStr">
        <is>
          <t>N/A</t>
        </is>
      </c>
      <c r="G486" s="26">
        <v>785749522</v>
      </c>
      <c r="H486" s="26">
        <v>47144971</v>
      </c>
      <c r="I486" s="26">
        <v>0</v>
      </c>
      <c r="J486" s="26">
        <v>195</v>
      </c>
      <c r="K486" t="inlineStr">
        <is>
          <t>Non</t>
        </is>
      </c>
      <c r="L486">
        <f>SUBTOTAL(103,A486)</f>
        <v>1</v>
      </c>
    </row>
    <row r="487">
      <c r="A487" t="inlineStr">
        <is>
          <t>SOCIETE C601</t>
        </is>
      </c>
      <c r="B487" t="inlineStr">
        <is>
          <t>C601</t>
        </is>
      </c>
      <c r="C487" t="inlineStr">
        <is>
          <t>COMMERCIAL BANKING</t>
        </is>
      </c>
      <c r="D487" t="inlineStr">
        <is>
          <t>I</t>
        </is>
      </c>
      <c r="E487" t="inlineStr">
        <is>
          <t>Stage 1</t>
        </is>
      </c>
      <c r="F487" t="inlineStr">
        <is>
          <t>N/A</t>
        </is>
      </c>
      <c r="G487" s="26">
        <v>1825746929</v>
      </c>
      <c r="H487" s="26">
        <v>18257469</v>
      </c>
      <c r="I487" s="26">
        <v>0</v>
      </c>
      <c r="J487" s="26">
        <v>9</v>
      </c>
      <c r="K487" t="inlineStr">
        <is>
          <t>Non</t>
        </is>
      </c>
      <c r="L487">
        <f>SUBTOTAL(103,A487)</f>
        <v>1</v>
      </c>
    </row>
    <row r="488">
      <c r="A488" t="inlineStr">
        <is>
          <t>SOCIETE C2499</t>
        </is>
      </c>
      <c r="B488" t="inlineStr">
        <is>
          <t>C2499</t>
        </is>
      </c>
      <c r="C488" t="inlineStr">
        <is>
          <t>INSTITUTIONAL</t>
        </is>
      </c>
      <c r="D488" t="inlineStr">
        <is>
          <t>I</t>
        </is>
      </c>
      <c r="E488" t="inlineStr">
        <is>
          <t>Stage 1</t>
        </is>
      </c>
      <c r="F488" t="inlineStr">
        <is>
          <t>N/A</t>
        </is>
      </c>
      <c r="G488" s="26">
        <v>57097984</v>
      </c>
      <c r="H488" s="26">
        <v>570980</v>
      </c>
      <c r="I488" s="26">
        <v>0</v>
      </c>
      <c r="J488" s="26">
        <v>67</v>
      </c>
      <c r="K488" t="inlineStr">
        <is>
          <t>Non</t>
        </is>
      </c>
      <c r="L488">
        <f>SUBTOTAL(103,A488)</f>
        <v>1</v>
      </c>
    </row>
    <row r="489">
      <c r="A489" t="inlineStr">
        <is>
          <t>SOCIETE C221</t>
        </is>
      </c>
      <c r="B489" t="inlineStr">
        <is>
          <t>C221</t>
        </is>
      </c>
      <c r="C489" t="inlineStr">
        <is>
          <t>CORPORATE BANKING</t>
        </is>
      </c>
      <c r="D489" t="inlineStr">
        <is>
          <t>IA</t>
        </is>
      </c>
      <c r="E489" t="inlineStr">
        <is>
          <t>Stage 2</t>
        </is>
      </c>
      <c r="F489" t="inlineStr">
        <is>
          <t>N/A</t>
        </is>
      </c>
      <c r="G489" s="26">
        <v>2070474</v>
      </c>
      <c r="H489" s="26">
        <v>124228</v>
      </c>
      <c r="I489" s="26">
        <v>0</v>
      </c>
      <c r="J489" s="26">
        <v>90</v>
      </c>
      <c r="K489" t="inlineStr">
        <is>
          <t>Non</t>
        </is>
      </c>
      <c r="L489">
        <f>SUBTOTAL(103,A489)</f>
        <v>1</v>
      </c>
    </row>
    <row r="490">
      <c r="A490" t="inlineStr">
        <is>
          <t>SOCIETE C1656</t>
        </is>
      </c>
      <c r="B490" t="inlineStr">
        <is>
          <t>C1656</t>
        </is>
      </c>
      <c r="C490" t="inlineStr">
        <is>
          <t>CORPORATE BANKING</t>
        </is>
      </c>
      <c r="D490" t="inlineStr">
        <is>
          <t>I</t>
        </is>
      </c>
      <c r="E490" t="inlineStr">
        <is>
          <t>Stage 1</t>
        </is>
      </c>
      <c r="F490" t="inlineStr">
        <is>
          <t>N/A</t>
        </is>
      </c>
      <c r="G490" s="26">
        <v>7259633</v>
      </c>
      <c r="H490" s="26">
        <v>72596</v>
      </c>
      <c r="I490" s="26">
        <v>1173883</v>
      </c>
      <c r="J490" s="26">
        <v>128</v>
      </c>
      <c r="K490" t="inlineStr">
        <is>
          <t>Non</t>
        </is>
      </c>
      <c r="L490">
        <f>SUBTOTAL(103,A490)</f>
        <v>1</v>
      </c>
    </row>
    <row r="491">
      <c r="A491" t="inlineStr">
        <is>
          <t>SOCIETE C71</t>
        </is>
      </c>
      <c r="B491" t="inlineStr">
        <is>
          <t>C71</t>
        </is>
      </c>
      <c r="C491" t="inlineStr">
        <is>
          <t>SME</t>
        </is>
      </c>
      <c r="D491" t="inlineStr">
        <is>
          <t>I</t>
        </is>
      </c>
      <c r="E491" t="inlineStr">
        <is>
          <t>Stage 1</t>
        </is>
      </c>
      <c r="F491" t="inlineStr">
        <is>
          <t>N/A</t>
        </is>
      </c>
      <c r="G491" s="26">
        <v>171988327</v>
      </c>
      <c r="H491" s="26">
        <v>1719883</v>
      </c>
      <c r="I491" s="26">
        <v>0</v>
      </c>
      <c r="J491" s="26">
        <v>97</v>
      </c>
      <c r="K491" t="inlineStr">
        <is>
          <t>Non</t>
        </is>
      </c>
      <c r="L491">
        <f>SUBTOTAL(103,A491)</f>
        <v>1</v>
      </c>
    </row>
    <row r="492">
      <c r="A492" t="inlineStr">
        <is>
          <t>SOCIETE C1287</t>
        </is>
      </c>
      <c r="B492" t="inlineStr">
        <is>
          <t>C1287</t>
        </is>
      </c>
      <c r="C492" t="inlineStr">
        <is>
          <t>CORPORATE BANKING</t>
        </is>
      </c>
      <c r="D492" t="inlineStr">
        <is>
          <t>V</t>
        </is>
      </c>
      <c r="E492" t="inlineStr">
        <is>
          <t>Stage 3</t>
        </is>
      </c>
      <c r="F492" t="inlineStr">
        <is>
          <t>N/A</t>
        </is>
      </c>
      <c r="G492" s="26">
        <v>54079736</v>
      </c>
      <c r="H492" s="26">
        <v>29743855</v>
      </c>
      <c r="I492" s="26">
        <v>0</v>
      </c>
      <c r="J492" s="26">
        <v>30</v>
      </c>
      <c r="K492" t="inlineStr">
        <is>
          <t>Oui</t>
        </is>
      </c>
      <c r="L492">
        <f>SUBTOTAL(103,A492)</f>
        <v>1</v>
      </c>
    </row>
    <row r="493">
      <c r="A493" t="inlineStr">
        <is>
          <t>SOCIETE C1580</t>
        </is>
      </c>
      <c r="B493" t="inlineStr">
        <is>
          <t>C1580</t>
        </is>
      </c>
      <c r="C493" t="inlineStr">
        <is>
          <t>CORPORATE BANKING</t>
        </is>
      </c>
      <c r="D493" t="inlineStr">
        <is>
          <t>I</t>
        </is>
      </c>
      <c r="E493" t="inlineStr">
        <is>
          <t>Stage 1</t>
        </is>
      </c>
      <c r="F493" t="inlineStr">
        <is>
          <t>N/A</t>
        </is>
      </c>
      <c r="G493" s="26">
        <v>14381504</v>
      </c>
      <c r="H493" s="26">
        <v>143815</v>
      </c>
      <c r="I493" s="26">
        <v>0</v>
      </c>
      <c r="J493" s="26">
        <v>59</v>
      </c>
      <c r="K493" t="inlineStr">
        <is>
          <t>Non</t>
        </is>
      </c>
      <c r="L493">
        <f>SUBTOTAL(103,A493)</f>
        <v>1</v>
      </c>
    </row>
    <row r="494">
      <c r="A494" t="inlineStr">
        <is>
          <t>SOCIETE C765</t>
        </is>
      </c>
      <c r="B494" t="inlineStr">
        <is>
          <t>C765</t>
        </is>
      </c>
      <c r="C494" t="inlineStr">
        <is>
          <t>INSTITUTIONAL</t>
        </is>
      </c>
      <c r="D494" t="inlineStr">
        <is>
          <t>IV</t>
        </is>
      </c>
      <c r="E494" t="inlineStr">
        <is>
          <t>Stage 3</t>
        </is>
      </c>
      <c r="F494" t="inlineStr">
        <is>
          <t>N/A</t>
        </is>
      </c>
      <c r="G494" s="26">
        <v>899116732</v>
      </c>
      <c r="H494" s="26">
        <v>494514203</v>
      </c>
      <c r="I494" s="26">
        <v>0</v>
      </c>
      <c r="J494" s="26">
        <v>34</v>
      </c>
      <c r="K494" t="inlineStr">
        <is>
          <t>Oui</t>
        </is>
      </c>
      <c r="L494">
        <f>SUBTOTAL(103,A494)</f>
        <v>1</v>
      </c>
    </row>
    <row r="495">
      <c r="A495" t="inlineStr">
        <is>
          <t>SOCIETE C86</t>
        </is>
      </c>
      <c r="B495" t="inlineStr">
        <is>
          <t>C86</t>
        </is>
      </c>
      <c r="C495" t="inlineStr">
        <is>
          <t>COMMERCIAL BANKING</t>
        </is>
      </c>
      <c r="D495" t="inlineStr">
        <is>
          <t>II</t>
        </is>
      </c>
      <c r="E495" t="inlineStr">
        <is>
          <t>Stage 2</t>
        </is>
      </c>
      <c r="F495" t="inlineStr">
        <is>
          <t>N/A</t>
        </is>
      </c>
      <c r="G495" s="26">
        <v>1198249374</v>
      </c>
      <c r="H495" s="26">
        <v>71894962</v>
      </c>
      <c r="I495" s="26">
        <v>0</v>
      </c>
      <c r="J495" s="26">
        <v>249</v>
      </c>
      <c r="K495" t="inlineStr">
        <is>
          <t>Non</t>
        </is>
      </c>
      <c r="L495">
        <f>SUBTOTAL(103,A495)</f>
        <v>1</v>
      </c>
    </row>
    <row r="496">
      <c r="A496" t="inlineStr">
        <is>
          <t>SOCIETE C1454</t>
        </is>
      </c>
      <c r="B496" t="inlineStr">
        <is>
          <t>C1454</t>
        </is>
      </c>
      <c r="C496" t="inlineStr">
        <is>
          <t>CONSUMER BANKING</t>
        </is>
      </c>
      <c r="D496" t="inlineStr">
        <is>
          <t>I</t>
        </is>
      </c>
      <c r="E496" t="inlineStr">
        <is>
          <t>Stage 1</t>
        </is>
      </c>
      <c r="F496" t="inlineStr">
        <is>
          <t>N/A</t>
        </is>
      </c>
      <c r="G496" s="26">
        <v>66798155</v>
      </c>
      <c r="H496" s="26">
        <v>667982</v>
      </c>
      <c r="I496" s="26">
        <v>0</v>
      </c>
      <c r="J496" s="26">
        <v>122</v>
      </c>
      <c r="K496" t="inlineStr">
        <is>
          <t>Non</t>
        </is>
      </c>
      <c r="L496">
        <f>SUBTOTAL(103,A496)</f>
        <v>1</v>
      </c>
    </row>
    <row r="497">
      <c r="A497" t="inlineStr">
        <is>
          <t>SOCIETE C81</t>
        </is>
      </c>
      <c r="B497" t="inlineStr">
        <is>
          <t>C81</t>
        </is>
      </c>
      <c r="C497" t="inlineStr">
        <is>
          <t>COMMERCIAL BANKING</t>
        </is>
      </c>
      <c r="D497" t="inlineStr">
        <is>
          <t>IA</t>
        </is>
      </c>
      <c r="E497" t="inlineStr">
        <is>
          <t>Stage 2</t>
        </is>
      </c>
      <c r="F497" t="inlineStr">
        <is>
          <t>N/A</t>
        </is>
      </c>
      <c r="G497" s="26">
        <v>2672673259</v>
      </c>
      <c r="H497" s="26">
        <v>160360396</v>
      </c>
      <c r="I497" s="26">
        <v>128631649</v>
      </c>
      <c r="J497" s="26">
        <v>165</v>
      </c>
      <c r="K497" t="inlineStr">
        <is>
          <t>Non</t>
        </is>
      </c>
      <c r="L497">
        <f>SUBTOTAL(103,A497)</f>
        <v>1</v>
      </c>
    </row>
    <row r="498">
      <c r="A498" t="inlineStr">
        <is>
          <t>SOCIETE C1042</t>
        </is>
      </c>
      <c r="B498" t="inlineStr">
        <is>
          <t>C1042</t>
        </is>
      </c>
      <c r="C498" t="inlineStr">
        <is>
          <t>COMMERCIAL BANKING</t>
        </is>
      </c>
      <c r="D498" t="inlineStr">
        <is>
          <t>I</t>
        </is>
      </c>
      <c r="E498" t="inlineStr">
        <is>
          <t>Stage 1</t>
        </is>
      </c>
      <c r="F498" t="inlineStr">
        <is>
          <t>N/A</t>
        </is>
      </c>
      <c r="G498" s="26">
        <v>8662496</v>
      </c>
      <c r="H498" s="26">
        <v>86625</v>
      </c>
      <c r="I498" s="26">
        <v>0</v>
      </c>
      <c r="J498" s="26">
        <v>289</v>
      </c>
      <c r="K498" t="inlineStr">
        <is>
          <t>Non</t>
        </is>
      </c>
      <c r="L498">
        <f>SUBTOTAL(103,A498)</f>
        <v>1</v>
      </c>
    </row>
    <row r="499">
      <c r="A499" t="inlineStr">
        <is>
          <t>SOCIETE C272</t>
        </is>
      </c>
      <c r="B499" t="inlineStr">
        <is>
          <t>C272</t>
        </is>
      </c>
      <c r="C499" t="inlineStr">
        <is>
          <t>CORPORATE BANKING</t>
        </is>
      </c>
      <c r="D499" t="inlineStr">
        <is>
          <t>III</t>
        </is>
      </c>
      <c r="E499" t="inlineStr">
        <is>
          <t>Stage 3</t>
        </is>
      </c>
      <c r="F499" t="inlineStr">
        <is>
          <t>N/A</t>
        </is>
      </c>
      <c r="G499" s="26">
        <v>523525459</v>
      </c>
      <c r="H499" s="26">
        <v>287939002</v>
      </c>
      <c r="I499" s="26">
        <v>0</v>
      </c>
      <c r="J499" s="26">
        <v>54</v>
      </c>
      <c r="K499" t="inlineStr">
        <is>
          <t>Oui</t>
        </is>
      </c>
      <c r="L499">
        <f>SUBTOTAL(103,A499)</f>
        <v>1</v>
      </c>
    </row>
    <row r="500">
      <c r="A500" t="inlineStr">
        <is>
          <t>SOCIETE C2374</t>
        </is>
      </c>
      <c r="B500" t="inlineStr">
        <is>
          <t>C2374</t>
        </is>
      </c>
      <c r="C500" t="inlineStr">
        <is>
          <t>COMMERCIAL BANKING</t>
        </is>
      </c>
      <c r="D500" t="inlineStr">
        <is>
          <t>IA</t>
        </is>
      </c>
      <c r="E500" t="inlineStr">
        <is>
          <t>Stage 2</t>
        </is>
      </c>
      <c r="F500" t="inlineStr">
        <is>
          <t>N/A</t>
        </is>
      </c>
      <c r="G500" s="26">
        <v>242198321</v>
      </c>
      <c r="H500" s="26">
        <v>14531899</v>
      </c>
      <c r="I500" s="26">
        <v>0</v>
      </c>
      <c r="J500" s="26">
        <v>149</v>
      </c>
      <c r="K500" t="inlineStr">
        <is>
          <t>Non</t>
        </is>
      </c>
      <c r="L500">
        <f>SUBTOTAL(103,A500)</f>
        <v>1</v>
      </c>
    </row>
    <row r="501">
      <c r="A501" t="inlineStr">
        <is>
          <t>SOCIETE C1331</t>
        </is>
      </c>
      <c r="B501" t="inlineStr">
        <is>
          <t>C1331</t>
        </is>
      </c>
      <c r="C501" t="inlineStr">
        <is>
          <t>CORPORATE BANKING</t>
        </is>
      </c>
      <c r="D501" t="inlineStr">
        <is>
          <t>III</t>
        </is>
      </c>
      <c r="E501" t="inlineStr">
        <is>
          <t>Stage 3</t>
        </is>
      </c>
      <c r="F501" t="inlineStr">
        <is>
          <t>N/A</t>
        </is>
      </c>
      <c r="G501" s="26">
        <v>38991675</v>
      </c>
      <c r="H501" s="26">
        <v>21445422</v>
      </c>
      <c r="I501" s="26">
        <v>0</v>
      </c>
      <c r="J501" s="26">
        <v>48</v>
      </c>
      <c r="K501" t="inlineStr">
        <is>
          <t>Oui</t>
        </is>
      </c>
      <c r="L501">
        <f>SUBTOTAL(103,A501)</f>
        <v>1</v>
      </c>
    </row>
    <row r="502">
      <c r="A502" t="inlineStr">
        <is>
          <t>SOCIETE C1928</t>
        </is>
      </c>
      <c r="B502" t="inlineStr">
        <is>
          <t>C1928</t>
        </is>
      </c>
      <c r="C502" t="inlineStr">
        <is>
          <t>COMMERCIAL BANKING</t>
        </is>
      </c>
      <c r="D502" t="inlineStr">
        <is>
          <t>III</t>
        </is>
      </c>
      <c r="E502" t="inlineStr">
        <is>
          <t>Stage 3</t>
        </is>
      </c>
      <c r="F502" t="inlineStr">
        <is>
          <t>N/A</t>
        </is>
      </c>
      <c r="G502" s="26">
        <v>315373882</v>
      </c>
      <c r="H502" s="26">
        <v>173455635</v>
      </c>
      <c r="I502" s="26">
        <v>0</v>
      </c>
      <c r="J502" s="26">
        <v>11</v>
      </c>
      <c r="K502" t="inlineStr">
        <is>
          <t>Oui</t>
        </is>
      </c>
      <c r="L502">
        <f>SUBTOTAL(103,A502)</f>
        <v>1</v>
      </c>
    </row>
    <row r="503">
      <c r="A503" t="inlineStr">
        <is>
          <t>SOCIETE C2462</t>
        </is>
      </c>
      <c r="B503" t="inlineStr">
        <is>
          <t>C2462</t>
        </is>
      </c>
      <c r="C503" t="inlineStr">
        <is>
          <t>PUBLIC SECTOR</t>
        </is>
      </c>
      <c r="D503" t="inlineStr">
        <is>
          <t>I</t>
        </is>
      </c>
      <c r="E503" t="inlineStr">
        <is>
          <t>Stage 1</t>
        </is>
      </c>
      <c r="F503" t="inlineStr">
        <is>
          <t>N/A</t>
        </is>
      </c>
      <c r="G503" s="26">
        <v>345979056</v>
      </c>
      <c r="H503" s="26">
        <v>3459791</v>
      </c>
      <c r="I503" s="26">
        <v>0</v>
      </c>
      <c r="J503" s="26">
        <v>107</v>
      </c>
      <c r="K503" t="inlineStr">
        <is>
          <t>Non</t>
        </is>
      </c>
      <c r="L503">
        <f>SUBTOTAL(103,A503)</f>
        <v>1</v>
      </c>
    </row>
    <row r="504">
      <c r="A504" t="inlineStr">
        <is>
          <t>SOCIETE C1252</t>
        </is>
      </c>
      <c r="B504" t="inlineStr">
        <is>
          <t>C1252</t>
        </is>
      </c>
      <c r="C504" t="inlineStr">
        <is>
          <t>CORPORATE BANKING</t>
        </is>
      </c>
      <c r="D504" t="inlineStr">
        <is>
          <t>I</t>
        </is>
      </c>
      <c r="E504" t="inlineStr">
        <is>
          <t>Stage 1</t>
        </is>
      </c>
      <c r="F504" t="inlineStr">
        <is>
          <t>N/A</t>
        </is>
      </c>
      <c r="G504" s="26">
        <v>1651419970</v>
      </c>
      <c r="H504" s="26">
        <v>16514200</v>
      </c>
      <c r="I504" s="26">
        <v>43664461</v>
      </c>
      <c r="J504" s="26">
        <v>322</v>
      </c>
      <c r="K504" t="inlineStr">
        <is>
          <t>Non</t>
        </is>
      </c>
      <c r="L504">
        <f>SUBTOTAL(103,A504)</f>
        <v>1</v>
      </c>
    </row>
    <row r="505">
      <c r="A505" t="inlineStr">
        <is>
          <t>SOCIETE C1919</t>
        </is>
      </c>
      <c r="B505" t="inlineStr">
        <is>
          <t>C1919</t>
        </is>
      </c>
      <c r="C505" t="inlineStr">
        <is>
          <t>CORPORATE BANKING</t>
        </is>
      </c>
      <c r="D505" t="inlineStr">
        <is>
          <t>V</t>
        </is>
      </c>
      <c r="E505" t="inlineStr">
        <is>
          <t>Stage 3</t>
        </is>
      </c>
      <c r="F505" t="inlineStr">
        <is>
          <t>N/A</t>
        </is>
      </c>
      <c r="G505" s="26">
        <v>2606301</v>
      </c>
      <c r="H505" s="26">
        <v>1433465</v>
      </c>
      <c r="I505" s="26">
        <v>488192</v>
      </c>
      <c r="J505" s="26">
        <v>182</v>
      </c>
      <c r="K505" t="inlineStr">
        <is>
          <t>Oui</t>
        </is>
      </c>
      <c r="L505">
        <f>SUBTOTAL(103,A505)</f>
        <v>1</v>
      </c>
    </row>
    <row r="506">
      <c r="A506" t="inlineStr">
        <is>
          <t>SOCIETE C38</t>
        </is>
      </c>
      <c r="B506" t="inlineStr">
        <is>
          <t>C38</t>
        </is>
      </c>
      <c r="C506" t="inlineStr">
        <is>
          <t>CORPORATE BANKING</t>
        </is>
      </c>
      <c r="D506" t="inlineStr">
        <is>
          <t>II</t>
        </is>
      </c>
      <c r="E506" t="inlineStr">
        <is>
          <t>Stage 2</t>
        </is>
      </c>
      <c r="F506" t="inlineStr">
        <is>
          <t>N/A</t>
        </is>
      </c>
      <c r="G506" s="26">
        <v>1015574</v>
      </c>
      <c r="H506" s="26">
        <v>60934</v>
      </c>
      <c r="I506" s="26">
        <v>0</v>
      </c>
      <c r="J506" s="26">
        <v>241</v>
      </c>
      <c r="K506" t="inlineStr">
        <is>
          <t>Non</t>
        </is>
      </c>
      <c r="L506">
        <f>SUBTOTAL(103,A506)</f>
        <v>1</v>
      </c>
    </row>
    <row r="507">
      <c r="A507" t="inlineStr">
        <is>
          <t>SOCIETE C723</t>
        </is>
      </c>
      <c r="B507" t="inlineStr">
        <is>
          <t>C723</t>
        </is>
      </c>
      <c r="C507" t="inlineStr">
        <is>
          <t>CORPORATE BANKING</t>
        </is>
      </c>
      <c r="D507" t="inlineStr">
        <is>
          <t>I</t>
        </is>
      </c>
      <c r="E507" t="inlineStr">
        <is>
          <t>Stage 1</t>
        </is>
      </c>
      <c r="F507" t="inlineStr">
        <is>
          <t>N/A</t>
        </is>
      </c>
      <c r="G507" s="26">
        <v>160309976</v>
      </c>
      <c r="H507" s="26">
        <v>1603100</v>
      </c>
      <c r="I507" s="26">
        <v>0</v>
      </c>
      <c r="J507" s="26">
        <v>247</v>
      </c>
      <c r="K507" t="inlineStr">
        <is>
          <t>Non</t>
        </is>
      </c>
      <c r="L507">
        <f>SUBTOTAL(103,A507)</f>
        <v>1</v>
      </c>
    </row>
    <row r="508">
      <c r="A508" t="inlineStr">
        <is>
          <t>SOCIETE C1508</t>
        </is>
      </c>
      <c r="B508" t="inlineStr">
        <is>
          <t>C1508</t>
        </is>
      </c>
      <c r="C508" t="inlineStr">
        <is>
          <t>CORPORATE BANKING</t>
        </is>
      </c>
      <c r="D508" t="inlineStr">
        <is>
          <t>I</t>
        </is>
      </c>
      <c r="E508" t="inlineStr">
        <is>
          <t>Stage 1</t>
        </is>
      </c>
      <c r="F508" t="inlineStr">
        <is>
          <t>N/A</t>
        </is>
      </c>
      <c r="G508" s="26">
        <v>1944466839</v>
      </c>
      <c r="H508" s="26">
        <v>19444668</v>
      </c>
      <c r="I508" s="26">
        <v>0</v>
      </c>
      <c r="J508" s="26">
        <v>32</v>
      </c>
      <c r="K508" t="inlineStr">
        <is>
          <t>Non</t>
        </is>
      </c>
      <c r="L508">
        <f>SUBTOTAL(103,A508)</f>
        <v>1</v>
      </c>
    </row>
    <row r="509">
      <c r="A509" t="inlineStr">
        <is>
          <t>SOCIETE C2217</t>
        </is>
      </c>
      <c r="B509" t="inlineStr">
        <is>
          <t>C2217</t>
        </is>
      </c>
      <c r="C509" t="inlineStr">
        <is>
          <t>CONSUMER BANKING</t>
        </is>
      </c>
      <c r="D509" t="inlineStr">
        <is>
          <t>I</t>
        </is>
      </c>
      <c r="E509" t="inlineStr">
        <is>
          <t>Stage 1</t>
        </is>
      </c>
      <c r="F509" t="inlineStr">
        <is>
          <t>N/A</t>
        </is>
      </c>
      <c r="G509" s="26">
        <v>2582128</v>
      </c>
      <c r="H509" s="26">
        <v>25821</v>
      </c>
      <c r="I509" s="26">
        <v>0</v>
      </c>
      <c r="J509" s="26">
        <v>47</v>
      </c>
      <c r="K509" t="inlineStr">
        <is>
          <t>Non</t>
        </is>
      </c>
      <c r="L509">
        <f>SUBTOTAL(103,A509)</f>
        <v>1</v>
      </c>
    </row>
    <row r="510">
      <c r="A510" t="inlineStr">
        <is>
          <t>SOCIETE C1512</t>
        </is>
      </c>
      <c r="B510" t="inlineStr">
        <is>
          <t>C1512</t>
        </is>
      </c>
      <c r="C510" t="inlineStr">
        <is>
          <t>CORPORATE BANKING</t>
        </is>
      </c>
      <c r="D510" t="inlineStr">
        <is>
          <t>II</t>
        </is>
      </c>
      <c r="E510" t="inlineStr">
        <is>
          <t>Stage 2</t>
        </is>
      </c>
      <c r="F510" t="inlineStr">
        <is>
          <t>N/A</t>
        </is>
      </c>
      <c r="G510" s="26">
        <v>2198994316</v>
      </c>
      <c r="H510" s="26">
        <v>131939659</v>
      </c>
      <c r="I510" s="26">
        <v>0</v>
      </c>
      <c r="J510" s="26">
        <v>55</v>
      </c>
      <c r="K510" t="inlineStr">
        <is>
          <t>Non</t>
        </is>
      </c>
      <c r="L510">
        <f>SUBTOTAL(103,A510)</f>
        <v>1</v>
      </c>
    </row>
    <row r="511">
      <c r="A511" t="inlineStr">
        <is>
          <t>SOCIETE C1835</t>
        </is>
      </c>
      <c r="B511" t="inlineStr">
        <is>
          <t>C1835</t>
        </is>
      </c>
      <c r="C511" t="inlineStr">
        <is>
          <t>CORPORATE BANKING</t>
        </is>
      </c>
      <c r="D511" t="inlineStr">
        <is>
          <t>I</t>
        </is>
      </c>
      <c r="E511" t="inlineStr">
        <is>
          <t>Stage 1</t>
        </is>
      </c>
      <c r="F511" t="inlineStr">
        <is>
          <t>N/A</t>
        </is>
      </c>
      <c r="G511" s="26">
        <v>293292993</v>
      </c>
      <c r="H511" s="26">
        <v>2932930</v>
      </c>
      <c r="I511" s="26">
        <v>0</v>
      </c>
      <c r="J511" s="26">
        <v>0</v>
      </c>
      <c r="K511" t="inlineStr">
        <is>
          <t>Non</t>
        </is>
      </c>
      <c r="L511">
        <f>SUBTOTAL(103,A511)</f>
        <v>1</v>
      </c>
    </row>
    <row r="512">
      <c r="A512" t="inlineStr">
        <is>
          <t>SOCIETE C1693</t>
        </is>
      </c>
      <c r="B512" t="inlineStr">
        <is>
          <t>C1693</t>
        </is>
      </c>
      <c r="C512" t="inlineStr">
        <is>
          <t>CONSUMER BANKING</t>
        </is>
      </c>
      <c r="D512" t="inlineStr">
        <is>
          <t>I</t>
        </is>
      </c>
      <c r="E512" t="inlineStr">
        <is>
          <t>Stage 1</t>
        </is>
      </c>
      <c r="F512" t="inlineStr">
        <is>
          <t>N/A</t>
        </is>
      </c>
      <c r="G512" s="26">
        <v>74241209</v>
      </c>
      <c r="H512" s="26">
        <v>742412</v>
      </c>
      <c r="I512" s="26">
        <v>0</v>
      </c>
      <c r="J512" s="26">
        <v>38</v>
      </c>
      <c r="K512" t="inlineStr">
        <is>
          <t>Non</t>
        </is>
      </c>
      <c r="L512">
        <f>SUBTOTAL(103,A512)</f>
        <v>1</v>
      </c>
    </row>
    <row r="513">
      <c r="A513" t="inlineStr">
        <is>
          <t>SOCIETE C382</t>
        </is>
      </c>
      <c r="B513" t="inlineStr">
        <is>
          <t>C382</t>
        </is>
      </c>
      <c r="C513" t="inlineStr">
        <is>
          <t>CONSUMER BANKING</t>
        </is>
      </c>
      <c r="D513" t="inlineStr">
        <is>
          <t>IA</t>
        </is>
      </c>
      <c r="E513" t="inlineStr">
        <is>
          <t>Stage 2</t>
        </is>
      </c>
      <c r="F513" t="inlineStr">
        <is>
          <t>N/A</t>
        </is>
      </c>
      <c r="G513" s="26">
        <v>44365352</v>
      </c>
      <c r="H513" s="26">
        <v>2661921</v>
      </c>
      <c r="I513" s="26">
        <v>0</v>
      </c>
      <c r="J513" s="26">
        <v>170</v>
      </c>
      <c r="K513" t="inlineStr">
        <is>
          <t>Non</t>
        </is>
      </c>
      <c r="L513">
        <f>SUBTOTAL(103,A513)</f>
        <v>1</v>
      </c>
    </row>
    <row r="514">
      <c r="A514" t="inlineStr">
        <is>
          <t>SOCIETE C1434</t>
        </is>
      </c>
      <c r="B514" t="inlineStr">
        <is>
          <t>C1434</t>
        </is>
      </c>
      <c r="C514" t="inlineStr">
        <is>
          <t>PUBLIC SECTOR</t>
        </is>
      </c>
      <c r="D514" t="inlineStr">
        <is>
          <t>IA</t>
        </is>
      </c>
      <c r="E514" t="inlineStr">
        <is>
          <t>Stage 2</t>
        </is>
      </c>
      <c r="F514" t="inlineStr">
        <is>
          <t>N/A</t>
        </is>
      </c>
      <c r="G514" s="26">
        <v>19835488</v>
      </c>
      <c r="H514" s="26">
        <v>1190129</v>
      </c>
      <c r="I514" s="26">
        <v>3838000</v>
      </c>
      <c r="J514" s="26">
        <v>2</v>
      </c>
      <c r="K514" t="inlineStr">
        <is>
          <t>Non</t>
        </is>
      </c>
      <c r="L514">
        <f>SUBTOTAL(103,A514)</f>
        <v>1</v>
      </c>
    </row>
    <row r="515">
      <c r="A515" t="inlineStr">
        <is>
          <t>SOCIETE C1234</t>
        </is>
      </c>
      <c r="B515" t="inlineStr">
        <is>
          <t>C1234</t>
        </is>
      </c>
      <c r="C515" t="inlineStr">
        <is>
          <t>CORPORATE BANKING</t>
        </is>
      </c>
      <c r="D515" t="inlineStr">
        <is>
          <t>II</t>
        </is>
      </c>
      <c r="E515" t="inlineStr">
        <is>
          <t>Stage 2</t>
        </is>
      </c>
      <c r="F515" t="inlineStr">
        <is>
          <t>N/A</t>
        </is>
      </c>
      <c r="G515" s="26">
        <v>4831452</v>
      </c>
      <c r="H515" s="26">
        <v>289887</v>
      </c>
      <c r="I515" s="26">
        <v>222722</v>
      </c>
      <c r="J515" s="26">
        <v>181</v>
      </c>
      <c r="K515" t="inlineStr">
        <is>
          <t>Non</t>
        </is>
      </c>
      <c r="L515">
        <f>SUBTOTAL(103,A515)</f>
        <v>1</v>
      </c>
    </row>
    <row r="516">
      <c r="A516" t="inlineStr">
        <is>
          <t>SOCIETE C1156</t>
        </is>
      </c>
      <c r="B516" t="inlineStr">
        <is>
          <t>C1156</t>
        </is>
      </c>
      <c r="C516" t="inlineStr">
        <is>
          <t>COMMERCIAL BANKING</t>
        </is>
      </c>
      <c r="D516" t="inlineStr">
        <is>
          <t>III</t>
        </is>
      </c>
      <c r="E516" t="inlineStr">
        <is>
          <t>Stage 3</t>
        </is>
      </c>
      <c r="F516" t="inlineStr">
        <is>
          <t>N/A</t>
        </is>
      </c>
      <c r="G516" s="26">
        <v>453940884</v>
      </c>
      <c r="H516" s="26">
        <v>249667486</v>
      </c>
      <c r="I516" s="26">
        <v>0</v>
      </c>
      <c r="J516" s="26">
        <v>8</v>
      </c>
      <c r="K516" t="inlineStr">
        <is>
          <t>Oui</t>
        </is>
      </c>
      <c r="L516">
        <f>SUBTOTAL(103,A516)</f>
        <v>1</v>
      </c>
    </row>
    <row r="517">
      <c r="A517" t="inlineStr">
        <is>
          <t>SOCIETE C1988</t>
        </is>
      </c>
      <c r="B517" t="inlineStr">
        <is>
          <t>C1988</t>
        </is>
      </c>
      <c r="C517" t="inlineStr">
        <is>
          <t>CONSUMER BANKING</t>
        </is>
      </c>
      <c r="D517" t="inlineStr">
        <is>
          <t>III</t>
        </is>
      </c>
      <c r="E517" t="inlineStr">
        <is>
          <t>Stage 3</t>
        </is>
      </c>
      <c r="F517" t="inlineStr">
        <is>
          <t>N/A</t>
        </is>
      </c>
      <c r="G517" s="26">
        <v>2538076224</v>
      </c>
      <c r="H517" s="26">
        <v>1395941923</v>
      </c>
      <c r="I517" s="26">
        <v>0</v>
      </c>
      <c r="J517" s="26">
        <v>189</v>
      </c>
      <c r="K517" t="inlineStr">
        <is>
          <t>Oui</t>
        </is>
      </c>
      <c r="L517">
        <f>SUBTOTAL(103,A517)</f>
        <v>1</v>
      </c>
    </row>
    <row r="518">
      <c r="A518" t="inlineStr">
        <is>
          <t>SOCIETE C1755</t>
        </is>
      </c>
      <c r="B518" t="inlineStr">
        <is>
          <t>C1755</t>
        </is>
      </c>
      <c r="C518" t="inlineStr">
        <is>
          <t>CORPORATE BANKING</t>
        </is>
      </c>
      <c r="D518" t="inlineStr">
        <is>
          <t>I</t>
        </is>
      </c>
      <c r="E518" t="inlineStr">
        <is>
          <t>Stage 1</t>
        </is>
      </c>
      <c r="F518" t="inlineStr">
        <is>
          <t>N/A</t>
        </is>
      </c>
      <c r="G518" s="26">
        <v>335664259</v>
      </c>
      <c r="H518" s="26">
        <v>3356643</v>
      </c>
      <c r="I518" s="26">
        <v>29255405</v>
      </c>
      <c r="J518" s="26">
        <v>14</v>
      </c>
      <c r="K518" t="inlineStr">
        <is>
          <t>Non</t>
        </is>
      </c>
      <c r="L518">
        <f>SUBTOTAL(103,A518)</f>
        <v>1</v>
      </c>
    </row>
    <row r="519">
      <c r="A519" t="inlineStr">
        <is>
          <t>SOCIETE C672</t>
        </is>
      </c>
      <c r="B519" t="inlineStr">
        <is>
          <t>C672</t>
        </is>
      </c>
      <c r="C519" t="inlineStr">
        <is>
          <t>COMMERCIAL BANKING</t>
        </is>
      </c>
      <c r="D519" t="inlineStr">
        <is>
          <t>IV</t>
        </is>
      </c>
      <c r="E519" t="inlineStr">
        <is>
          <t>Stage 3</t>
        </is>
      </c>
      <c r="F519" t="inlineStr">
        <is>
          <t>N/A</t>
        </is>
      </c>
      <c r="G519" s="26">
        <v>2394560008</v>
      </c>
      <c r="H519" s="26">
        <v>1317008004</v>
      </c>
      <c r="I519" s="26">
        <v>0</v>
      </c>
      <c r="J519" s="26">
        <v>173</v>
      </c>
      <c r="K519" t="inlineStr">
        <is>
          <t>Oui</t>
        </is>
      </c>
      <c r="L519">
        <f>SUBTOTAL(103,A519)</f>
        <v>1</v>
      </c>
    </row>
    <row r="520">
      <c r="A520" t="inlineStr">
        <is>
          <t>SOCIETE C6</t>
        </is>
      </c>
      <c r="B520" t="inlineStr">
        <is>
          <t>C6</t>
        </is>
      </c>
      <c r="C520" t="inlineStr">
        <is>
          <t>CONSUMER BANKING</t>
        </is>
      </c>
      <c r="D520" t="inlineStr">
        <is>
          <t>V</t>
        </is>
      </c>
      <c r="E520" t="inlineStr">
        <is>
          <t>Stage 3</t>
        </is>
      </c>
      <c r="F520" t="inlineStr">
        <is>
          <t>N/A</t>
        </is>
      </c>
      <c r="G520" s="26">
        <v>3906225</v>
      </c>
      <c r="H520" s="26">
        <v>2148424</v>
      </c>
      <c r="I520" s="26">
        <v>0</v>
      </c>
      <c r="J520" s="26">
        <v>88</v>
      </c>
      <c r="K520" t="inlineStr">
        <is>
          <t>Oui</t>
        </is>
      </c>
      <c r="L520">
        <f>SUBTOTAL(103,A520)</f>
        <v>1</v>
      </c>
    </row>
    <row r="521">
      <c r="A521" t="inlineStr">
        <is>
          <t>SOCIETE C1214</t>
        </is>
      </c>
      <c r="B521" t="inlineStr">
        <is>
          <t>C1214</t>
        </is>
      </c>
      <c r="C521" t="inlineStr">
        <is>
          <t>COMMERCIAL BANKING</t>
        </is>
      </c>
      <c r="D521" t="inlineStr">
        <is>
          <t>IA</t>
        </is>
      </c>
      <c r="E521" t="inlineStr">
        <is>
          <t>Stage 2</t>
        </is>
      </c>
      <c r="F521" t="inlineStr">
        <is>
          <t>N/A</t>
        </is>
      </c>
      <c r="G521" s="26">
        <v>12048584</v>
      </c>
      <c r="H521" s="26">
        <v>722915</v>
      </c>
      <c r="I521" s="26">
        <v>0</v>
      </c>
      <c r="J521" s="26">
        <v>18</v>
      </c>
      <c r="K521" t="inlineStr">
        <is>
          <t>Non</t>
        </is>
      </c>
      <c r="L521">
        <f>SUBTOTAL(103,A521)</f>
        <v>1</v>
      </c>
    </row>
    <row r="522">
      <c r="A522" t="inlineStr">
        <is>
          <t>SOCIETE C1411</t>
        </is>
      </c>
      <c r="B522" t="inlineStr">
        <is>
          <t>C1411</t>
        </is>
      </c>
      <c r="C522" t="inlineStr">
        <is>
          <t>CORPORATE BANKING</t>
        </is>
      </c>
      <c r="D522" t="inlineStr">
        <is>
          <t>I</t>
        </is>
      </c>
      <c r="E522" t="inlineStr">
        <is>
          <t>Stage 1</t>
        </is>
      </c>
      <c r="F522" t="inlineStr">
        <is>
          <t>N/A</t>
        </is>
      </c>
      <c r="G522" s="26">
        <v>1828657</v>
      </c>
      <c r="H522" s="26">
        <v>18287</v>
      </c>
      <c r="I522" s="26">
        <v>0</v>
      </c>
      <c r="J522" s="26">
        <v>18</v>
      </c>
      <c r="K522" t="inlineStr">
        <is>
          <t>Non</t>
        </is>
      </c>
      <c r="L522">
        <f>SUBTOTAL(103,A522)</f>
        <v>1</v>
      </c>
    </row>
    <row r="523">
      <c r="A523" t="inlineStr">
        <is>
          <t>SOCIETE C1700</t>
        </is>
      </c>
      <c r="B523" t="inlineStr">
        <is>
          <t>C1700</t>
        </is>
      </c>
      <c r="C523" t="inlineStr">
        <is>
          <t>CORPORATE BANKING</t>
        </is>
      </c>
      <c r="D523" t="inlineStr">
        <is>
          <t>I</t>
        </is>
      </c>
      <c r="E523" t="inlineStr">
        <is>
          <t>Stage 1</t>
        </is>
      </c>
      <c r="F523" t="inlineStr">
        <is>
          <t>N/A</t>
        </is>
      </c>
      <c r="G523" s="26">
        <v>197653460</v>
      </c>
      <c r="H523" s="26">
        <v>1976535</v>
      </c>
      <c r="I523" s="26">
        <v>0</v>
      </c>
      <c r="J523" s="26">
        <v>179</v>
      </c>
      <c r="K523" t="inlineStr">
        <is>
          <t>Non</t>
        </is>
      </c>
      <c r="L523">
        <f>SUBTOTAL(103,A523)</f>
        <v>1</v>
      </c>
    </row>
    <row r="524">
      <c r="A524" t="inlineStr">
        <is>
          <t>SOCIETE C442</t>
        </is>
      </c>
      <c r="B524" t="inlineStr">
        <is>
          <t>C442</t>
        </is>
      </c>
      <c r="C524" t="inlineStr">
        <is>
          <t>CORPORATE BANKING</t>
        </is>
      </c>
      <c r="D524" t="inlineStr">
        <is>
          <t>I</t>
        </is>
      </c>
      <c r="E524" t="inlineStr">
        <is>
          <t>Stage 1</t>
        </is>
      </c>
      <c r="F524" t="inlineStr">
        <is>
          <t>N/A</t>
        </is>
      </c>
      <c r="G524" s="26">
        <v>2268729688</v>
      </c>
      <c r="H524" s="26">
        <v>22687297</v>
      </c>
      <c r="I524" s="26">
        <v>0</v>
      </c>
      <c r="J524" s="26">
        <v>16</v>
      </c>
      <c r="K524" t="inlineStr">
        <is>
          <t>Non</t>
        </is>
      </c>
      <c r="L524">
        <f>SUBTOTAL(103,A524)</f>
        <v>1</v>
      </c>
    </row>
    <row r="525">
      <c r="A525" t="inlineStr">
        <is>
          <t>SOCIETE C1083</t>
        </is>
      </c>
      <c r="B525" t="inlineStr">
        <is>
          <t>C1083</t>
        </is>
      </c>
      <c r="C525" t="inlineStr">
        <is>
          <t>COMMERCIAL BANKING</t>
        </is>
      </c>
      <c r="D525" t="inlineStr">
        <is>
          <t>I</t>
        </is>
      </c>
      <c r="E525" t="inlineStr">
        <is>
          <t>Stage 1</t>
        </is>
      </c>
      <c r="F525" t="inlineStr">
        <is>
          <t>N/A</t>
        </is>
      </c>
      <c r="G525" s="26">
        <v>646157544</v>
      </c>
      <c r="H525" s="26">
        <v>6461575</v>
      </c>
      <c r="I525" s="26">
        <v>100217989</v>
      </c>
      <c r="J525" s="26">
        <v>253</v>
      </c>
      <c r="K525" t="inlineStr">
        <is>
          <t>Non</t>
        </is>
      </c>
      <c r="L525">
        <f>SUBTOTAL(103,A525)</f>
        <v>1</v>
      </c>
    </row>
    <row r="526">
      <c r="A526" t="inlineStr">
        <is>
          <t>SOCIETE C1142</t>
        </is>
      </c>
      <c r="B526" t="inlineStr">
        <is>
          <t>C1142</t>
        </is>
      </c>
      <c r="C526" t="inlineStr">
        <is>
          <t>PUBLIC SECTOR</t>
        </is>
      </c>
      <c r="D526" t="inlineStr">
        <is>
          <t>V</t>
        </is>
      </c>
      <c r="E526" t="inlineStr">
        <is>
          <t>Stage 3</t>
        </is>
      </c>
      <c r="F526" t="inlineStr">
        <is>
          <t>N/A</t>
        </is>
      </c>
      <c r="G526" s="26">
        <v>356398979</v>
      </c>
      <c r="H526" s="26">
        <v>196019438</v>
      </c>
      <c r="I526" s="26">
        <v>0</v>
      </c>
      <c r="J526" s="26">
        <v>36</v>
      </c>
      <c r="K526" t="inlineStr">
        <is>
          <t>Oui</t>
        </is>
      </c>
      <c r="L526">
        <f>SUBTOTAL(103,A526)</f>
        <v>1</v>
      </c>
    </row>
    <row r="527">
      <c r="A527" t="inlineStr">
        <is>
          <t>SOCIETE C2094</t>
        </is>
      </c>
      <c r="B527" t="inlineStr">
        <is>
          <t>C2094</t>
        </is>
      </c>
      <c r="C527" t="inlineStr">
        <is>
          <t>CORPORATE BANKING</t>
        </is>
      </c>
      <c r="D527" t="inlineStr">
        <is>
          <t>I</t>
        </is>
      </c>
      <c r="E527" t="inlineStr">
        <is>
          <t>Stage 1</t>
        </is>
      </c>
      <c r="F527" t="inlineStr">
        <is>
          <t>N/A</t>
        </is>
      </c>
      <c r="G527" s="26">
        <v>77402372</v>
      </c>
      <c r="H527" s="26">
        <v>774024</v>
      </c>
      <c r="I527" s="26">
        <v>0</v>
      </c>
      <c r="J527" s="26">
        <v>0</v>
      </c>
      <c r="K527" t="inlineStr">
        <is>
          <t>Non</t>
        </is>
      </c>
      <c r="L527">
        <f>SUBTOTAL(103,A527)</f>
        <v>1</v>
      </c>
    </row>
    <row r="528">
      <c r="A528" t="inlineStr">
        <is>
          <t>SOCIETE C741</t>
        </is>
      </c>
      <c r="B528" t="inlineStr">
        <is>
          <t>C741</t>
        </is>
      </c>
      <c r="C528" t="inlineStr">
        <is>
          <t>COMMERCIAL BANKING</t>
        </is>
      </c>
      <c r="D528" t="inlineStr">
        <is>
          <t>I</t>
        </is>
      </c>
      <c r="E528" t="inlineStr">
        <is>
          <t>Stage 1</t>
        </is>
      </c>
      <c r="F528" t="inlineStr">
        <is>
          <t>N/A</t>
        </is>
      </c>
      <c r="G528" s="26">
        <v>661825586</v>
      </c>
      <c r="H528" s="26">
        <v>6618256</v>
      </c>
      <c r="I528" s="26">
        <v>0</v>
      </c>
      <c r="J528" s="26">
        <v>90</v>
      </c>
      <c r="K528" t="inlineStr">
        <is>
          <t>Non</t>
        </is>
      </c>
      <c r="L528">
        <f>SUBTOTAL(103,A528)</f>
        <v>1</v>
      </c>
    </row>
    <row r="529">
      <c r="A529" t="inlineStr">
        <is>
          <t>SOCIETE C1179</t>
        </is>
      </c>
      <c r="B529" t="inlineStr">
        <is>
          <t>C1179</t>
        </is>
      </c>
      <c r="C529" t="inlineStr">
        <is>
          <t>COMMERCIAL BANKING</t>
        </is>
      </c>
      <c r="D529" t="inlineStr">
        <is>
          <t>IA</t>
        </is>
      </c>
      <c r="E529" t="inlineStr">
        <is>
          <t>Stage 2</t>
        </is>
      </c>
      <c r="F529" t="inlineStr">
        <is>
          <t>N/A</t>
        </is>
      </c>
      <c r="G529" s="26">
        <v>1026742401</v>
      </c>
      <c r="H529" s="26">
        <v>61604544</v>
      </c>
      <c r="I529" s="26">
        <v>0</v>
      </c>
      <c r="J529" s="26">
        <v>1</v>
      </c>
      <c r="K529" t="inlineStr">
        <is>
          <t>Non</t>
        </is>
      </c>
      <c r="L529">
        <f>SUBTOTAL(103,A529)</f>
        <v>1</v>
      </c>
    </row>
    <row r="530">
      <c r="A530" t="inlineStr">
        <is>
          <t>SOCIETE C671</t>
        </is>
      </c>
      <c r="B530" t="inlineStr">
        <is>
          <t>C671</t>
        </is>
      </c>
      <c r="C530" t="inlineStr">
        <is>
          <t>COMMERCIAL BANKING</t>
        </is>
      </c>
      <c r="D530" t="inlineStr">
        <is>
          <t>IA</t>
        </is>
      </c>
      <c r="E530" t="inlineStr">
        <is>
          <t>Stage 2</t>
        </is>
      </c>
      <c r="F530" t="inlineStr">
        <is>
          <t>N/A</t>
        </is>
      </c>
      <c r="G530" s="26">
        <v>71289055</v>
      </c>
      <c r="H530" s="26">
        <v>4277343</v>
      </c>
      <c r="I530" s="26">
        <v>0</v>
      </c>
      <c r="J530" s="26">
        <v>78</v>
      </c>
      <c r="K530" t="inlineStr">
        <is>
          <t>Non</t>
        </is>
      </c>
      <c r="L530">
        <f>SUBTOTAL(103,A530)</f>
        <v>1</v>
      </c>
    </row>
    <row r="531">
      <c r="A531" t="inlineStr">
        <is>
          <t>SOCIETE C1141</t>
        </is>
      </c>
      <c r="B531" t="inlineStr">
        <is>
          <t>C1141</t>
        </is>
      </c>
      <c r="C531" t="inlineStr">
        <is>
          <t>PUBLIC SECTOR</t>
        </is>
      </c>
      <c r="D531" t="inlineStr">
        <is>
          <t>I</t>
        </is>
      </c>
      <c r="E531" t="inlineStr">
        <is>
          <t>Stage 1</t>
        </is>
      </c>
      <c r="F531" t="inlineStr">
        <is>
          <t>N/A</t>
        </is>
      </c>
      <c r="G531" s="26">
        <v>481191513</v>
      </c>
      <c r="H531" s="26">
        <v>4811915</v>
      </c>
      <c r="I531" s="26">
        <v>0</v>
      </c>
      <c r="J531" s="26">
        <v>39</v>
      </c>
      <c r="K531" t="inlineStr">
        <is>
          <t>Non</t>
        </is>
      </c>
      <c r="L531">
        <f>SUBTOTAL(103,A531)</f>
        <v>1</v>
      </c>
    </row>
    <row r="532">
      <c r="A532" t="inlineStr">
        <is>
          <t>SOCIETE C1310</t>
        </is>
      </c>
      <c r="B532" t="inlineStr">
        <is>
          <t>C1310</t>
        </is>
      </c>
      <c r="C532" t="inlineStr">
        <is>
          <t>PUBLIC SECTOR</t>
        </is>
      </c>
      <c r="D532" t="inlineStr">
        <is>
          <t>I</t>
        </is>
      </c>
      <c r="E532" t="inlineStr">
        <is>
          <t>Stage 1</t>
        </is>
      </c>
      <c r="F532" t="inlineStr">
        <is>
          <t>N/A</t>
        </is>
      </c>
      <c r="G532" s="26">
        <v>9917109</v>
      </c>
      <c r="H532" s="26">
        <v>99171</v>
      </c>
      <c r="I532" s="26">
        <v>0</v>
      </c>
      <c r="J532" s="26">
        <v>155</v>
      </c>
      <c r="K532" t="inlineStr">
        <is>
          <t>Non</t>
        </is>
      </c>
      <c r="L532">
        <f>SUBTOTAL(103,A532)</f>
        <v>1</v>
      </c>
    </row>
    <row r="533">
      <c r="A533" t="inlineStr">
        <is>
          <t>SOCIETE C1611</t>
        </is>
      </c>
      <c r="B533" t="inlineStr">
        <is>
          <t>C1611</t>
        </is>
      </c>
      <c r="C533" t="inlineStr">
        <is>
          <t>COMMERCIAL BANKING</t>
        </is>
      </c>
      <c r="D533" t="inlineStr">
        <is>
          <t>V</t>
        </is>
      </c>
      <c r="E533" t="inlineStr">
        <is>
          <t>Stage 3</t>
        </is>
      </c>
      <c r="F533" t="inlineStr">
        <is>
          <t>N/A</t>
        </is>
      </c>
      <c r="G533" s="26">
        <v>588786560</v>
      </c>
      <c r="H533" s="26">
        <v>323832608</v>
      </c>
      <c r="I533" s="26">
        <v>0</v>
      </c>
      <c r="J533" s="26">
        <v>12</v>
      </c>
      <c r="K533" t="inlineStr">
        <is>
          <t>Oui</t>
        </is>
      </c>
      <c r="L533">
        <f>SUBTOTAL(103,A533)</f>
        <v>1</v>
      </c>
    </row>
    <row r="534">
      <c r="A534" t="inlineStr">
        <is>
          <t>SOCIETE C317</t>
        </is>
      </c>
      <c r="B534" t="inlineStr">
        <is>
          <t>C317</t>
        </is>
      </c>
      <c r="C534" t="inlineStr">
        <is>
          <t>SME</t>
        </is>
      </c>
      <c r="D534" t="inlineStr">
        <is>
          <t>I</t>
        </is>
      </c>
      <c r="E534" t="inlineStr">
        <is>
          <t>Stage 1</t>
        </is>
      </c>
      <c r="F534" t="inlineStr">
        <is>
          <t>N/A</t>
        </is>
      </c>
      <c r="G534" s="26">
        <v>1099254457</v>
      </c>
      <c r="H534" s="26">
        <v>10992545</v>
      </c>
      <c r="I534" s="26">
        <v>0</v>
      </c>
      <c r="J534" s="26">
        <v>41</v>
      </c>
      <c r="K534" t="inlineStr">
        <is>
          <t>Non</t>
        </is>
      </c>
      <c r="L534">
        <f>SUBTOTAL(103,A534)</f>
        <v>1</v>
      </c>
    </row>
    <row r="535">
      <c r="A535" t="inlineStr">
        <is>
          <t>SOCIETE C274</t>
        </is>
      </c>
      <c r="B535" t="inlineStr">
        <is>
          <t>C274</t>
        </is>
      </c>
      <c r="C535" t="inlineStr">
        <is>
          <t>CORPORATE BANKING</t>
        </is>
      </c>
      <c r="D535" t="inlineStr">
        <is>
          <t>IA</t>
        </is>
      </c>
      <c r="E535" t="inlineStr">
        <is>
          <t>Stage 2</t>
        </is>
      </c>
      <c r="F535" t="inlineStr">
        <is>
          <t>N/A</t>
        </is>
      </c>
      <c r="G535" s="26">
        <v>46462336</v>
      </c>
      <c r="H535" s="26">
        <v>2787740</v>
      </c>
      <c r="I535" s="26">
        <v>0</v>
      </c>
      <c r="J535" s="26">
        <v>160</v>
      </c>
      <c r="K535" t="inlineStr">
        <is>
          <t>Non</t>
        </is>
      </c>
      <c r="L535">
        <f>SUBTOTAL(103,A535)</f>
        <v>1</v>
      </c>
    </row>
    <row r="536">
      <c r="A536" t="inlineStr">
        <is>
          <t>SOCIETE C2478</t>
        </is>
      </c>
      <c r="B536" t="inlineStr">
        <is>
          <t>C2478</t>
        </is>
      </c>
      <c r="C536" t="inlineStr">
        <is>
          <t>CORPORATE BANKING</t>
        </is>
      </c>
      <c r="D536" t="inlineStr">
        <is>
          <t>IV</t>
        </is>
      </c>
      <c r="E536" t="inlineStr">
        <is>
          <t>Stage 3</t>
        </is>
      </c>
      <c r="F536" t="inlineStr">
        <is>
          <t>N/A</t>
        </is>
      </c>
      <c r="G536" s="26">
        <v>1082314850</v>
      </c>
      <c r="H536" s="26">
        <v>595273167</v>
      </c>
      <c r="I536" s="26">
        <v>0</v>
      </c>
      <c r="J536" s="26">
        <v>68</v>
      </c>
      <c r="K536" t="inlineStr">
        <is>
          <t>Oui</t>
        </is>
      </c>
      <c r="L536">
        <f>SUBTOTAL(103,A536)</f>
        <v>1</v>
      </c>
    </row>
    <row r="537">
      <c r="A537" t="inlineStr">
        <is>
          <t>SOCIETE C999</t>
        </is>
      </c>
      <c r="B537" t="inlineStr">
        <is>
          <t>C999</t>
        </is>
      </c>
      <c r="C537" t="inlineStr">
        <is>
          <t>COMMERCIAL BANKING</t>
        </is>
      </c>
      <c r="D537" t="inlineStr">
        <is>
          <t>III</t>
        </is>
      </c>
      <c r="E537" t="inlineStr">
        <is>
          <t>Stage 3</t>
        </is>
      </c>
      <c r="F537" t="inlineStr">
        <is>
          <t>N/A</t>
        </is>
      </c>
      <c r="G537" s="26">
        <v>1835435665</v>
      </c>
      <c r="H537" s="26">
        <v>1009489616</v>
      </c>
      <c r="I537" s="26">
        <v>0</v>
      </c>
      <c r="J537" s="26">
        <v>59</v>
      </c>
      <c r="K537" t="inlineStr">
        <is>
          <t>Oui</t>
        </is>
      </c>
      <c r="L537">
        <f>SUBTOTAL(103,A537)</f>
        <v>1</v>
      </c>
    </row>
    <row r="538">
      <c r="A538" t="inlineStr">
        <is>
          <t>SOCIETE C2470</t>
        </is>
      </c>
      <c r="B538" t="inlineStr">
        <is>
          <t>C2470</t>
        </is>
      </c>
      <c r="C538" t="inlineStr">
        <is>
          <t>CONSUMER BANKING</t>
        </is>
      </c>
      <c r="D538" t="inlineStr">
        <is>
          <t>IA</t>
        </is>
      </c>
      <c r="E538" t="inlineStr">
        <is>
          <t>Stage 2</t>
        </is>
      </c>
      <c r="F538" t="inlineStr">
        <is>
          <t>N/A</t>
        </is>
      </c>
      <c r="G538" s="26">
        <v>53013356</v>
      </c>
      <c r="H538" s="26">
        <v>3180801</v>
      </c>
      <c r="I538" s="26">
        <v>0</v>
      </c>
      <c r="J538" s="26">
        <v>81</v>
      </c>
      <c r="K538" t="inlineStr">
        <is>
          <t>Non</t>
        </is>
      </c>
      <c r="L538">
        <f>SUBTOTAL(103,A538)</f>
        <v>1</v>
      </c>
    </row>
    <row r="539">
      <c r="A539" t="inlineStr">
        <is>
          <t>SOCIETE C1706</t>
        </is>
      </c>
      <c r="B539" t="inlineStr">
        <is>
          <t>C1706</t>
        </is>
      </c>
      <c r="C539" t="inlineStr">
        <is>
          <t>CONSUMER BANKING</t>
        </is>
      </c>
      <c r="D539" t="inlineStr">
        <is>
          <t>IA</t>
        </is>
      </c>
      <c r="E539" t="inlineStr">
        <is>
          <t>Stage 2</t>
        </is>
      </c>
      <c r="F539" t="inlineStr">
        <is>
          <t>N/A</t>
        </is>
      </c>
      <c r="G539" s="26">
        <v>1997902276</v>
      </c>
      <c r="H539" s="26">
        <v>119874137</v>
      </c>
      <c r="I539" s="26">
        <v>332201802</v>
      </c>
      <c r="J539" s="26">
        <v>0</v>
      </c>
      <c r="K539" t="inlineStr">
        <is>
          <t>Non</t>
        </is>
      </c>
      <c r="L539">
        <f>SUBTOTAL(103,A539)</f>
        <v>1</v>
      </c>
    </row>
    <row r="540">
      <c r="A540" t="inlineStr">
        <is>
          <t>SOCIETE C1259</t>
        </is>
      </c>
      <c r="B540" t="inlineStr">
        <is>
          <t>C1259</t>
        </is>
      </c>
      <c r="C540" t="inlineStr">
        <is>
          <t>COMMERCIAL BANKING</t>
        </is>
      </c>
      <c r="D540" t="inlineStr">
        <is>
          <t>I</t>
        </is>
      </c>
      <c r="E540" t="inlineStr">
        <is>
          <t>Stage 1</t>
        </is>
      </c>
      <c r="F540" t="inlineStr">
        <is>
          <t>N/A</t>
        </is>
      </c>
      <c r="G540" s="26">
        <v>3856711</v>
      </c>
      <c r="H540" s="26">
        <v>38567</v>
      </c>
      <c r="I540" s="26">
        <v>0</v>
      </c>
      <c r="J540" s="26">
        <v>119</v>
      </c>
      <c r="K540" t="inlineStr">
        <is>
          <t>Non</t>
        </is>
      </c>
      <c r="L540">
        <f>SUBTOTAL(103,A540)</f>
        <v>1</v>
      </c>
    </row>
    <row r="541">
      <c r="A541" t="inlineStr">
        <is>
          <t>SOCIETE C1335</t>
        </is>
      </c>
      <c r="B541" t="inlineStr">
        <is>
          <t>C1335</t>
        </is>
      </c>
      <c r="C541" t="inlineStr">
        <is>
          <t>PUBLIC SECTOR</t>
        </is>
      </c>
      <c r="D541" t="inlineStr">
        <is>
          <t>I</t>
        </is>
      </c>
      <c r="E541" t="inlineStr">
        <is>
          <t>Stage 1</t>
        </is>
      </c>
      <c r="F541" t="inlineStr">
        <is>
          <t>N/A</t>
        </is>
      </c>
      <c r="G541" s="26">
        <v>7434999</v>
      </c>
      <c r="H541" s="26">
        <v>74350</v>
      </c>
      <c r="I541" s="26">
        <v>0</v>
      </c>
      <c r="J541" s="26">
        <v>10</v>
      </c>
      <c r="K541" t="inlineStr">
        <is>
          <t>Non</t>
        </is>
      </c>
      <c r="L541">
        <f>SUBTOTAL(103,A541)</f>
        <v>1</v>
      </c>
    </row>
    <row r="542">
      <c r="A542" t="inlineStr">
        <is>
          <t>SOCIETE C1159</t>
        </is>
      </c>
      <c r="B542" t="inlineStr">
        <is>
          <t>C1159</t>
        </is>
      </c>
      <c r="C542" t="inlineStr">
        <is>
          <t>CORPORATE BANKING</t>
        </is>
      </c>
      <c r="D542" t="inlineStr">
        <is>
          <t>I</t>
        </is>
      </c>
      <c r="E542" t="inlineStr">
        <is>
          <t>Stage 1</t>
        </is>
      </c>
      <c r="F542" t="inlineStr">
        <is>
          <t>N/A</t>
        </is>
      </c>
      <c r="G542" s="26">
        <v>1006710766</v>
      </c>
      <c r="H542" s="26">
        <v>10067108</v>
      </c>
      <c r="I542" s="26">
        <v>133154706</v>
      </c>
      <c r="J542" s="26">
        <v>8</v>
      </c>
      <c r="K542" t="inlineStr">
        <is>
          <t>Non</t>
        </is>
      </c>
      <c r="L542">
        <f>SUBTOTAL(103,A542)</f>
        <v>1</v>
      </c>
    </row>
    <row r="543">
      <c r="A543" t="inlineStr">
        <is>
          <t>SOCIETE C2231</t>
        </is>
      </c>
      <c r="B543" t="inlineStr">
        <is>
          <t>C2231</t>
        </is>
      </c>
      <c r="C543" t="inlineStr">
        <is>
          <t>CONSUMER BANKING</t>
        </is>
      </c>
      <c r="D543" t="inlineStr">
        <is>
          <t>IV</t>
        </is>
      </c>
      <c r="E543" t="inlineStr">
        <is>
          <t>Stage 3</t>
        </is>
      </c>
      <c r="F543" t="inlineStr">
        <is>
          <t>N/A</t>
        </is>
      </c>
      <c r="G543" s="26">
        <v>20654774</v>
      </c>
      <c r="H543" s="26">
        <v>11360126</v>
      </c>
      <c r="I543" s="26">
        <v>3224929</v>
      </c>
      <c r="J543" s="26">
        <v>151</v>
      </c>
      <c r="K543" t="inlineStr">
        <is>
          <t>Oui</t>
        </is>
      </c>
      <c r="L543">
        <f>SUBTOTAL(103,A543)</f>
        <v>1</v>
      </c>
    </row>
    <row r="544">
      <c r="A544" t="inlineStr">
        <is>
          <t>SOCIETE C1218</t>
        </is>
      </c>
      <c r="B544" t="inlineStr">
        <is>
          <t>C1218</t>
        </is>
      </c>
      <c r="C544" t="inlineStr">
        <is>
          <t>CORPORATE BANKING</t>
        </is>
      </c>
      <c r="D544" t="inlineStr">
        <is>
          <t>I</t>
        </is>
      </c>
      <c r="E544" t="inlineStr">
        <is>
          <t>Stage 1</t>
        </is>
      </c>
      <c r="F544" t="inlineStr">
        <is>
          <t>N/A</t>
        </is>
      </c>
      <c r="G544" s="26">
        <v>3419730</v>
      </c>
      <c r="H544" s="26">
        <v>34197</v>
      </c>
      <c r="I544" s="26">
        <v>0</v>
      </c>
      <c r="J544" s="26">
        <v>157</v>
      </c>
      <c r="K544" t="inlineStr">
        <is>
          <t>Non</t>
        </is>
      </c>
      <c r="L544">
        <f>SUBTOTAL(103,A544)</f>
        <v>1</v>
      </c>
    </row>
    <row r="545">
      <c r="A545" t="inlineStr">
        <is>
          <t>SOCIETE C782</t>
        </is>
      </c>
      <c r="B545" t="inlineStr">
        <is>
          <t>C782</t>
        </is>
      </c>
      <c r="C545" t="inlineStr">
        <is>
          <t>CORPORATE BANKING</t>
        </is>
      </c>
      <c r="D545" t="inlineStr">
        <is>
          <t>II</t>
        </is>
      </c>
      <c r="E545" t="inlineStr">
        <is>
          <t>Stage 2</t>
        </is>
      </c>
      <c r="F545" t="inlineStr">
        <is>
          <t>N/A</t>
        </is>
      </c>
      <c r="G545" s="26">
        <v>2191911659</v>
      </c>
      <c r="H545" s="26">
        <v>131514700</v>
      </c>
      <c r="I545" s="26">
        <v>373901368</v>
      </c>
      <c r="J545" s="26">
        <v>191</v>
      </c>
      <c r="K545" t="inlineStr">
        <is>
          <t>Non</t>
        </is>
      </c>
      <c r="L545">
        <f>SUBTOTAL(103,A545)</f>
        <v>1</v>
      </c>
    </row>
    <row r="546">
      <c r="A546" t="inlineStr">
        <is>
          <t>SOCIETE C1590</t>
        </is>
      </c>
      <c r="B546" t="inlineStr">
        <is>
          <t>C1590</t>
        </is>
      </c>
      <c r="C546" t="inlineStr">
        <is>
          <t>CONSUMER BANKING</t>
        </is>
      </c>
      <c r="D546" t="inlineStr">
        <is>
          <t>I</t>
        </is>
      </c>
      <c r="E546" t="inlineStr">
        <is>
          <t>Stage 1</t>
        </is>
      </c>
      <c r="F546" t="inlineStr">
        <is>
          <t>N/A</t>
        </is>
      </c>
      <c r="G546" s="26">
        <v>909540357</v>
      </c>
      <c r="H546" s="26">
        <v>9095404</v>
      </c>
      <c r="I546" s="26">
        <v>0</v>
      </c>
      <c r="J546" s="26">
        <v>16</v>
      </c>
      <c r="K546" t="inlineStr">
        <is>
          <t>Non</t>
        </is>
      </c>
      <c r="L546">
        <f>SUBTOTAL(103,A546)</f>
        <v>1</v>
      </c>
    </row>
    <row r="547">
      <c r="A547" t="inlineStr">
        <is>
          <t>SOCIETE C976</t>
        </is>
      </c>
      <c r="B547" t="inlineStr">
        <is>
          <t>C976</t>
        </is>
      </c>
      <c r="C547" t="inlineStr">
        <is>
          <t>CONSUMER BANKING</t>
        </is>
      </c>
      <c r="D547" t="inlineStr">
        <is>
          <t>IA</t>
        </is>
      </c>
      <c r="E547" t="inlineStr">
        <is>
          <t>Stage 2</t>
        </is>
      </c>
      <c r="F547" t="inlineStr">
        <is>
          <t>N/A</t>
        </is>
      </c>
      <c r="G547" s="26">
        <v>3871699</v>
      </c>
      <c r="H547" s="26">
        <v>232302</v>
      </c>
      <c r="I547" s="26">
        <v>0</v>
      </c>
      <c r="J547" s="26">
        <v>46</v>
      </c>
      <c r="K547" t="inlineStr">
        <is>
          <t>Non</t>
        </is>
      </c>
      <c r="L547">
        <f>SUBTOTAL(103,A547)</f>
        <v>1</v>
      </c>
    </row>
    <row r="548">
      <c r="A548" t="inlineStr">
        <is>
          <t>SOCIETE C2344</t>
        </is>
      </c>
      <c r="B548" t="inlineStr">
        <is>
          <t>C2344</t>
        </is>
      </c>
      <c r="C548" t="inlineStr">
        <is>
          <t>COMMERCIAL BANKING</t>
        </is>
      </c>
      <c r="D548" t="inlineStr">
        <is>
          <t>I</t>
        </is>
      </c>
      <c r="E548" t="inlineStr">
        <is>
          <t>Stage 1</t>
        </is>
      </c>
      <c r="F548" t="inlineStr">
        <is>
          <t>N/A</t>
        </is>
      </c>
      <c r="G548" s="26">
        <v>87460016</v>
      </c>
      <c r="H548" s="26">
        <v>874600</v>
      </c>
      <c r="I548" s="26">
        <v>0</v>
      </c>
      <c r="J548" s="26">
        <v>307</v>
      </c>
      <c r="K548" t="inlineStr">
        <is>
          <t>Non</t>
        </is>
      </c>
      <c r="L548">
        <f>SUBTOTAL(103,A548)</f>
        <v>1</v>
      </c>
    </row>
    <row r="549">
      <c r="A549" t="inlineStr">
        <is>
          <t>SOCIETE C1998</t>
        </is>
      </c>
      <c r="B549" t="inlineStr">
        <is>
          <t>C1998</t>
        </is>
      </c>
      <c r="C549" t="inlineStr">
        <is>
          <t>CONSUMER BANKING</t>
        </is>
      </c>
      <c r="D549" t="inlineStr">
        <is>
          <t>IA</t>
        </is>
      </c>
      <c r="E549" t="inlineStr">
        <is>
          <t>Stage 2</t>
        </is>
      </c>
      <c r="F549" t="inlineStr">
        <is>
          <t>N/A</t>
        </is>
      </c>
      <c r="G549" s="26">
        <v>979651687</v>
      </c>
      <c r="H549" s="26">
        <v>58779101</v>
      </c>
      <c r="I549" s="26">
        <v>0</v>
      </c>
      <c r="J549" s="26">
        <v>36</v>
      </c>
      <c r="K549" t="inlineStr">
        <is>
          <t>Non</t>
        </is>
      </c>
      <c r="L549">
        <f>SUBTOTAL(103,A549)</f>
        <v>1</v>
      </c>
    </row>
    <row r="550">
      <c r="A550" t="inlineStr">
        <is>
          <t>SOCIETE C688</t>
        </is>
      </c>
      <c r="B550" t="inlineStr">
        <is>
          <t>C688</t>
        </is>
      </c>
      <c r="C550" t="inlineStr">
        <is>
          <t>SME</t>
        </is>
      </c>
      <c r="D550" t="inlineStr">
        <is>
          <t>III</t>
        </is>
      </c>
      <c r="E550" t="inlineStr">
        <is>
          <t>Stage 3</t>
        </is>
      </c>
      <c r="F550" t="inlineStr">
        <is>
          <t>N/A</t>
        </is>
      </c>
      <c r="G550" s="26">
        <v>19342352</v>
      </c>
      <c r="H550" s="26">
        <v>10638294</v>
      </c>
      <c r="I550" s="26">
        <v>0</v>
      </c>
      <c r="J550" s="26">
        <v>29</v>
      </c>
      <c r="K550" t="inlineStr">
        <is>
          <t>Oui</t>
        </is>
      </c>
      <c r="L550">
        <f>SUBTOTAL(103,A550)</f>
        <v>1</v>
      </c>
    </row>
    <row r="551">
      <c r="A551" t="inlineStr">
        <is>
          <t>SOCIETE C126</t>
        </is>
      </c>
      <c r="B551" t="inlineStr">
        <is>
          <t>C126</t>
        </is>
      </c>
      <c r="C551" t="inlineStr">
        <is>
          <t>CORPORATE BANKING</t>
        </is>
      </c>
      <c r="D551" t="inlineStr">
        <is>
          <t>III</t>
        </is>
      </c>
      <c r="E551" t="inlineStr">
        <is>
          <t>Stage 3</t>
        </is>
      </c>
      <c r="F551" t="inlineStr">
        <is>
          <t>N/A</t>
        </is>
      </c>
      <c r="G551" s="26">
        <v>75345107</v>
      </c>
      <c r="H551" s="26">
        <v>41439809</v>
      </c>
      <c r="I551" s="26">
        <v>0</v>
      </c>
      <c r="J551" s="26">
        <v>141</v>
      </c>
      <c r="K551" t="inlineStr">
        <is>
          <t>Oui</t>
        </is>
      </c>
      <c r="L551">
        <f>SUBTOTAL(103,A551)</f>
        <v>1</v>
      </c>
    </row>
    <row r="552">
      <c r="A552" t="inlineStr">
        <is>
          <t>SOCIETE C909</t>
        </is>
      </c>
      <c r="B552" t="inlineStr">
        <is>
          <t>C909</t>
        </is>
      </c>
      <c r="C552" t="inlineStr">
        <is>
          <t>SME</t>
        </is>
      </c>
      <c r="D552" t="inlineStr">
        <is>
          <t>IA</t>
        </is>
      </c>
      <c r="E552" t="inlineStr">
        <is>
          <t>Stage 2</t>
        </is>
      </c>
      <c r="F552" t="inlineStr">
        <is>
          <t>N/A</t>
        </is>
      </c>
      <c r="G552" s="26">
        <v>1473620</v>
      </c>
      <c r="H552" s="26">
        <v>88417</v>
      </c>
      <c r="I552" s="26">
        <v>0</v>
      </c>
      <c r="J552" s="26">
        <v>132</v>
      </c>
      <c r="K552" t="inlineStr">
        <is>
          <t>Non</t>
        </is>
      </c>
      <c r="L552">
        <f>SUBTOTAL(103,A552)</f>
        <v>1</v>
      </c>
    </row>
    <row r="553">
      <c r="A553" t="inlineStr">
        <is>
          <t>SOCIETE C1694</t>
        </is>
      </c>
      <c r="B553" t="inlineStr">
        <is>
          <t>C1694</t>
        </is>
      </c>
      <c r="C553" t="inlineStr">
        <is>
          <t>CONSUMER BANKING</t>
        </is>
      </c>
      <c r="D553" t="inlineStr">
        <is>
          <t>I</t>
        </is>
      </c>
      <c r="E553" t="inlineStr">
        <is>
          <t>Stage 1</t>
        </is>
      </c>
      <c r="F553" t="inlineStr">
        <is>
          <t>N/A</t>
        </is>
      </c>
      <c r="G553" s="26">
        <v>2206868962</v>
      </c>
      <c r="H553" s="26">
        <v>22068690</v>
      </c>
      <c r="I553" s="26">
        <v>0</v>
      </c>
      <c r="J553" s="26">
        <v>44</v>
      </c>
      <c r="K553" t="inlineStr">
        <is>
          <t>Non</t>
        </is>
      </c>
      <c r="L553">
        <f>SUBTOTAL(103,A553)</f>
        <v>1</v>
      </c>
    </row>
    <row r="554">
      <c r="A554" t="inlineStr">
        <is>
          <t>SOCIETE C1167</t>
        </is>
      </c>
      <c r="B554" t="inlineStr">
        <is>
          <t>C1167</t>
        </is>
      </c>
      <c r="C554" t="inlineStr">
        <is>
          <t>CORPORATE BANKING</t>
        </is>
      </c>
      <c r="D554" t="inlineStr">
        <is>
          <t>I</t>
        </is>
      </c>
      <c r="E554" t="inlineStr">
        <is>
          <t>Stage 1</t>
        </is>
      </c>
      <c r="F554" t="inlineStr">
        <is>
          <t>N/A</t>
        </is>
      </c>
      <c r="G554" s="26">
        <v>110638144</v>
      </c>
      <c r="H554" s="26">
        <v>1106381</v>
      </c>
      <c r="I554" s="26">
        <v>0</v>
      </c>
      <c r="J554" s="26">
        <v>82</v>
      </c>
      <c r="K554" t="inlineStr">
        <is>
          <t>Non</t>
        </is>
      </c>
      <c r="L554">
        <f>SUBTOTAL(103,A554)</f>
        <v>1</v>
      </c>
    </row>
    <row r="555">
      <c r="A555" t="inlineStr">
        <is>
          <t>SOCIETE C544</t>
        </is>
      </c>
      <c r="B555" t="inlineStr">
        <is>
          <t>C544</t>
        </is>
      </c>
      <c r="C555" t="inlineStr">
        <is>
          <t>CORPORATE BANKING</t>
        </is>
      </c>
      <c r="D555" t="inlineStr">
        <is>
          <t>I</t>
        </is>
      </c>
      <c r="E555" t="inlineStr">
        <is>
          <t>Stage 1</t>
        </is>
      </c>
      <c r="F555" t="inlineStr">
        <is>
          <t>N/A</t>
        </is>
      </c>
      <c r="G555" s="26">
        <v>1555794375</v>
      </c>
      <c r="H555" s="26">
        <v>15557944</v>
      </c>
      <c r="I555" s="26">
        <v>0</v>
      </c>
      <c r="J555" s="26">
        <v>83</v>
      </c>
      <c r="K555" t="inlineStr">
        <is>
          <t>Non</t>
        </is>
      </c>
      <c r="L555">
        <f>SUBTOTAL(103,A555)</f>
        <v>1</v>
      </c>
    </row>
    <row r="556">
      <c r="A556" t="inlineStr">
        <is>
          <t>SOCIETE C111</t>
        </is>
      </c>
      <c r="B556" t="inlineStr">
        <is>
          <t>C111</t>
        </is>
      </c>
      <c r="C556" t="inlineStr">
        <is>
          <t>CORPORATE BANKING</t>
        </is>
      </c>
      <c r="D556" t="inlineStr">
        <is>
          <t>III</t>
        </is>
      </c>
      <c r="E556" t="inlineStr">
        <is>
          <t>Stage 3</t>
        </is>
      </c>
      <c r="F556" t="inlineStr">
        <is>
          <t>N/A</t>
        </is>
      </c>
      <c r="G556" s="26">
        <v>242906725</v>
      </c>
      <c r="H556" s="26">
        <v>133598699</v>
      </c>
      <c r="I556" s="26">
        <v>0</v>
      </c>
      <c r="J556" s="26">
        <v>266</v>
      </c>
      <c r="K556" t="inlineStr">
        <is>
          <t>Oui</t>
        </is>
      </c>
      <c r="L556">
        <f>SUBTOTAL(103,A556)</f>
        <v>1</v>
      </c>
    </row>
    <row r="557">
      <c r="A557" t="inlineStr">
        <is>
          <t>SOCIETE C2284</t>
        </is>
      </c>
      <c r="B557" t="inlineStr">
        <is>
          <t>C2284</t>
        </is>
      </c>
      <c r="C557" t="inlineStr">
        <is>
          <t>CORPORATE BANKING</t>
        </is>
      </c>
      <c r="D557" t="inlineStr">
        <is>
          <t>IA</t>
        </is>
      </c>
      <c r="E557" t="inlineStr">
        <is>
          <t>Stage 2</t>
        </is>
      </c>
      <c r="F557" t="inlineStr">
        <is>
          <t>N/A</t>
        </is>
      </c>
      <c r="G557" s="26">
        <v>68206628</v>
      </c>
      <c r="H557" s="26">
        <v>4092398</v>
      </c>
      <c r="I557" s="26">
        <v>12378794</v>
      </c>
      <c r="J557" s="26">
        <v>101</v>
      </c>
      <c r="K557" t="inlineStr">
        <is>
          <t>Non</t>
        </is>
      </c>
      <c r="L557">
        <f>SUBTOTAL(103,A557)</f>
        <v>1</v>
      </c>
    </row>
    <row r="558">
      <c r="A558" t="inlineStr">
        <is>
          <t>SOCIETE C1253</t>
        </is>
      </c>
      <c r="B558" t="inlineStr">
        <is>
          <t>C1253</t>
        </is>
      </c>
      <c r="C558" t="inlineStr">
        <is>
          <t>CORPORATE BANKING</t>
        </is>
      </c>
      <c r="D558" t="inlineStr">
        <is>
          <t>II</t>
        </is>
      </c>
      <c r="E558" t="inlineStr">
        <is>
          <t>Stage 2</t>
        </is>
      </c>
      <c r="F558" t="inlineStr">
        <is>
          <t>N/A</t>
        </is>
      </c>
      <c r="G558" s="26">
        <v>1293394104</v>
      </c>
      <c r="H558" s="26">
        <v>77603646</v>
      </c>
      <c r="I558" s="26">
        <v>0</v>
      </c>
      <c r="J558" s="26">
        <v>57</v>
      </c>
      <c r="K558" t="inlineStr">
        <is>
          <t>Non</t>
        </is>
      </c>
      <c r="L558">
        <f>SUBTOTAL(103,A558)</f>
        <v>1</v>
      </c>
    </row>
    <row r="559">
      <c r="A559" t="inlineStr">
        <is>
          <t>SOCIETE C1280</t>
        </is>
      </c>
      <c r="B559" t="inlineStr">
        <is>
          <t>C1280</t>
        </is>
      </c>
      <c r="C559" t="inlineStr">
        <is>
          <t>CONSUMER BANKING</t>
        </is>
      </c>
      <c r="D559" t="inlineStr">
        <is>
          <t>I</t>
        </is>
      </c>
      <c r="E559" t="inlineStr">
        <is>
          <t>Stage 1</t>
        </is>
      </c>
      <c r="F559" t="inlineStr">
        <is>
          <t>N/A</t>
        </is>
      </c>
      <c r="G559" s="26">
        <v>2684825392</v>
      </c>
      <c r="H559" s="26">
        <v>26848254</v>
      </c>
      <c r="I559" s="26">
        <v>0</v>
      </c>
      <c r="J559" s="26">
        <v>27</v>
      </c>
      <c r="K559" t="inlineStr">
        <is>
          <t>Non</t>
        </is>
      </c>
      <c r="L559">
        <f>SUBTOTAL(103,A559)</f>
        <v>1</v>
      </c>
    </row>
    <row r="560">
      <c r="A560" t="inlineStr">
        <is>
          <t>SOCIETE C850</t>
        </is>
      </c>
      <c r="B560" t="inlineStr">
        <is>
          <t>C850</t>
        </is>
      </c>
      <c r="C560" t="inlineStr">
        <is>
          <t>CORPORATE BANKING</t>
        </is>
      </c>
      <c r="D560" t="inlineStr">
        <is>
          <t>V</t>
        </is>
      </c>
      <c r="E560" t="inlineStr">
        <is>
          <t>Stage 3</t>
        </is>
      </c>
      <c r="F560" t="inlineStr">
        <is>
          <t>N/A</t>
        </is>
      </c>
      <c r="G560" s="26">
        <v>464479492</v>
      </c>
      <c r="H560" s="26">
        <v>255463720</v>
      </c>
      <c r="I560" s="26">
        <v>0</v>
      </c>
      <c r="J560" s="26">
        <v>37</v>
      </c>
      <c r="K560" t="inlineStr">
        <is>
          <t>Oui</t>
        </is>
      </c>
      <c r="L560">
        <f>SUBTOTAL(103,A560)</f>
        <v>1</v>
      </c>
    </row>
    <row r="561">
      <c r="A561" t="inlineStr">
        <is>
          <t>SOCIETE C1926</t>
        </is>
      </c>
      <c r="B561" t="inlineStr">
        <is>
          <t>C1926</t>
        </is>
      </c>
      <c r="C561" t="inlineStr">
        <is>
          <t>CORPORATE BANKING</t>
        </is>
      </c>
      <c r="D561" t="inlineStr">
        <is>
          <t>IV</t>
        </is>
      </c>
      <c r="E561" t="inlineStr">
        <is>
          <t>Stage 3</t>
        </is>
      </c>
      <c r="F561" t="inlineStr">
        <is>
          <t>N/A</t>
        </is>
      </c>
      <c r="G561" s="26">
        <v>1220661538</v>
      </c>
      <c r="H561" s="26">
        <v>671363846</v>
      </c>
      <c r="I561" s="26">
        <v>0</v>
      </c>
      <c r="J561" s="26">
        <v>167</v>
      </c>
      <c r="K561" t="inlineStr">
        <is>
          <t>Oui</t>
        </is>
      </c>
      <c r="L561">
        <f>SUBTOTAL(103,A561)</f>
        <v>1</v>
      </c>
    </row>
    <row r="562">
      <c r="A562" t="inlineStr">
        <is>
          <t>SOCIETE C2264</t>
        </is>
      </c>
      <c r="B562" t="inlineStr">
        <is>
          <t>C2264</t>
        </is>
      </c>
      <c r="C562" t="inlineStr">
        <is>
          <t>PUBLIC SECTOR</t>
        </is>
      </c>
      <c r="D562" t="inlineStr">
        <is>
          <t>I</t>
        </is>
      </c>
      <c r="E562" t="inlineStr">
        <is>
          <t>Stage 1</t>
        </is>
      </c>
      <c r="F562" t="inlineStr">
        <is>
          <t>N/A</t>
        </is>
      </c>
      <c r="G562" s="26">
        <v>2847805889</v>
      </c>
      <c r="H562" s="26">
        <v>28478059</v>
      </c>
      <c r="I562" s="26">
        <v>253863493</v>
      </c>
      <c r="J562" s="26">
        <v>66</v>
      </c>
      <c r="K562" t="inlineStr">
        <is>
          <t>Non</t>
        </is>
      </c>
      <c r="L562">
        <f>SUBTOTAL(103,A562)</f>
        <v>1</v>
      </c>
    </row>
    <row r="563">
      <c r="A563" t="inlineStr">
        <is>
          <t>SOCIETE C693</t>
        </is>
      </c>
      <c r="B563" t="inlineStr">
        <is>
          <t>C693</t>
        </is>
      </c>
      <c r="C563" t="inlineStr">
        <is>
          <t>PUBLIC SECTOR</t>
        </is>
      </c>
      <c r="D563" t="inlineStr">
        <is>
          <t>IV</t>
        </is>
      </c>
      <c r="E563" t="inlineStr">
        <is>
          <t>Stage 3</t>
        </is>
      </c>
      <c r="F563" t="inlineStr">
        <is>
          <t>N/A</t>
        </is>
      </c>
      <c r="G563" s="26">
        <v>826624516</v>
      </c>
      <c r="H563" s="26">
        <v>454643484</v>
      </c>
      <c r="I563" s="26">
        <v>77967912</v>
      </c>
      <c r="J563" s="26">
        <v>12</v>
      </c>
      <c r="K563" t="inlineStr">
        <is>
          <t>Oui</t>
        </is>
      </c>
      <c r="L563">
        <f>SUBTOTAL(103,A563)</f>
        <v>1</v>
      </c>
    </row>
    <row r="564">
      <c r="A564" t="inlineStr">
        <is>
          <t>SOCIETE C753</t>
        </is>
      </c>
      <c r="B564" t="inlineStr">
        <is>
          <t>C753</t>
        </is>
      </c>
      <c r="C564" t="inlineStr">
        <is>
          <t>COMMERCIAL BANKING</t>
        </is>
      </c>
      <c r="D564" t="inlineStr">
        <is>
          <t>I</t>
        </is>
      </c>
      <c r="E564" t="inlineStr">
        <is>
          <t>Stage 1</t>
        </is>
      </c>
      <c r="F564" t="inlineStr">
        <is>
          <t>N/A</t>
        </is>
      </c>
      <c r="G564" s="26">
        <v>533473648</v>
      </c>
      <c r="H564" s="26">
        <v>5334736</v>
      </c>
      <c r="I564" s="26">
        <v>0</v>
      </c>
      <c r="J564" s="26">
        <v>32</v>
      </c>
      <c r="K564" t="inlineStr">
        <is>
          <t>Non</t>
        </is>
      </c>
      <c r="L564">
        <f>SUBTOTAL(103,A564)</f>
        <v>1</v>
      </c>
    </row>
    <row r="565">
      <c r="A565" t="inlineStr">
        <is>
          <t>SOCIETE C1644</t>
        </is>
      </c>
      <c r="B565" t="inlineStr">
        <is>
          <t>C1644</t>
        </is>
      </c>
      <c r="C565" t="inlineStr">
        <is>
          <t>COMMERCIAL BANKING</t>
        </is>
      </c>
      <c r="D565" t="inlineStr">
        <is>
          <t>II</t>
        </is>
      </c>
      <c r="E565" t="inlineStr">
        <is>
          <t>Stage 2</t>
        </is>
      </c>
      <c r="F565" t="inlineStr">
        <is>
          <t>N/A</t>
        </is>
      </c>
      <c r="G565" s="26">
        <v>23722289</v>
      </c>
      <c r="H565" s="26">
        <v>1423337</v>
      </c>
      <c r="I565" s="26">
        <v>0</v>
      </c>
      <c r="J565" s="26">
        <v>15</v>
      </c>
      <c r="K565" t="inlineStr">
        <is>
          <t>Non</t>
        </is>
      </c>
      <c r="L565">
        <f>SUBTOTAL(103,A565)</f>
        <v>1</v>
      </c>
    </row>
    <row r="566">
      <c r="A566" t="inlineStr">
        <is>
          <t>SOCIETE C2039</t>
        </is>
      </c>
      <c r="B566" t="inlineStr">
        <is>
          <t>C2039</t>
        </is>
      </c>
      <c r="C566" t="inlineStr">
        <is>
          <t>SME</t>
        </is>
      </c>
      <c r="D566" t="inlineStr">
        <is>
          <t>V</t>
        </is>
      </c>
      <c r="E566" t="inlineStr">
        <is>
          <t>Stage 3</t>
        </is>
      </c>
      <c r="F566" t="inlineStr">
        <is>
          <t>N/A</t>
        </is>
      </c>
      <c r="G566" s="26">
        <v>53800275</v>
      </c>
      <c r="H566" s="26">
        <v>29590151</v>
      </c>
      <c r="I566" s="26">
        <v>0</v>
      </c>
      <c r="J566" s="26">
        <v>175</v>
      </c>
      <c r="K566" t="inlineStr">
        <is>
          <t>Oui</t>
        </is>
      </c>
      <c r="L566">
        <f>SUBTOTAL(103,A566)</f>
        <v>1</v>
      </c>
    </row>
    <row r="567">
      <c r="A567" t="inlineStr">
        <is>
          <t>SOCIETE C1647</t>
        </is>
      </c>
      <c r="B567" t="inlineStr">
        <is>
          <t>C1647</t>
        </is>
      </c>
      <c r="C567" t="inlineStr">
        <is>
          <t>COMMERCIAL BANKING</t>
        </is>
      </c>
      <c r="D567" t="inlineStr">
        <is>
          <t>IA</t>
        </is>
      </c>
      <c r="E567" t="inlineStr">
        <is>
          <t>Stage 2</t>
        </is>
      </c>
      <c r="F567" t="inlineStr">
        <is>
          <t>N/A</t>
        </is>
      </c>
      <c r="G567" s="26">
        <v>2055176145</v>
      </c>
      <c r="H567" s="26">
        <v>123310569</v>
      </c>
      <c r="I567" s="26">
        <v>0</v>
      </c>
      <c r="J567" s="26">
        <v>18</v>
      </c>
      <c r="K567" t="inlineStr">
        <is>
          <t>Non</t>
        </is>
      </c>
      <c r="L567">
        <f>SUBTOTAL(103,A567)</f>
        <v>1</v>
      </c>
    </row>
    <row r="568">
      <c r="A568" t="inlineStr">
        <is>
          <t>SOCIETE C668</t>
        </is>
      </c>
      <c r="B568" t="inlineStr">
        <is>
          <t>C668</t>
        </is>
      </c>
      <c r="C568" t="inlineStr">
        <is>
          <t>COMMERCIAL BANKING</t>
        </is>
      </c>
      <c r="D568" t="inlineStr">
        <is>
          <t>V</t>
        </is>
      </c>
      <c r="E568" t="inlineStr">
        <is>
          <t>Stage 3</t>
        </is>
      </c>
      <c r="F568" t="inlineStr">
        <is>
          <t>N/A</t>
        </is>
      </c>
      <c r="G568" s="26">
        <v>387053264</v>
      </c>
      <c r="H568" s="26">
        <v>212879295</v>
      </c>
      <c r="I568" s="26">
        <v>0</v>
      </c>
      <c r="J568" s="26">
        <v>6</v>
      </c>
      <c r="K568" t="inlineStr">
        <is>
          <t>Oui</t>
        </is>
      </c>
      <c r="L568">
        <f>SUBTOTAL(103,A568)</f>
        <v>1</v>
      </c>
    </row>
    <row r="569">
      <c r="A569" t="inlineStr">
        <is>
          <t>SOCIETE C1846</t>
        </is>
      </c>
      <c r="B569" t="inlineStr">
        <is>
          <t>C1846</t>
        </is>
      </c>
      <c r="C569" t="inlineStr">
        <is>
          <t>CORPORATE BANKING</t>
        </is>
      </c>
      <c r="D569" t="inlineStr">
        <is>
          <t>IA</t>
        </is>
      </c>
      <c r="E569" t="inlineStr">
        <is>
          <t>Stage 2</t>
        </is>
      </c>
      <c r="F569" t="inlineStr">
        <is>
          <t>N/A</t>
        </is>
      </c>
      <c r="G569" s="26">
        <v>1302651899</v>
      </c>
      <c r="H569" s="26">
        <v>78159114</v>
      </c>
      <c r="I569" s="26">
        <v>0</v>
      </c>
      <c r="J569" s="26">
        <v>307</v>
      </c>
      <c r="K569" t="inlineStr">
        <is>
          <t>Non</t>
        </is>
      </c>
      <c r="L569">
        <f>SUBTOTAL(103,A569)</f>
        <v>1</v>
      </c>
    </row>
    <row r="570">
      <c r="A570" t="inlineStr">
        <is>
          <t>SOCIETE C1380</t>
        </is>
      </c>
      <c r="B570" t="inlineStr">
        <is>
          <t>C1380</t>
        </is>
      </c>
      <c r="C570" t="inlineStr">
        <is>
          <t>CONSUMER BANKING</t>
        </is>
      </c>
      <c r="D570" t="inlineStr">
        <is>
          <t>V</t>
        </is>
      </c>
      <c r="E570" t="inlineStr">
        <is>
          <t>Stage 3</t>
        </is>
      </c>
      <c r="F570" t="inlineStr">
        <is>
          <t>N/A</t>
        </is>
      </c>
      <c r="G570" s="26">
        <v>19472955</v>
      </c>
      <c r="H570" s="26">
        <v>10710125</v>
      </c>
      <c r="I570" s="26">
        <v>0</v>
      </c>
      <c r="J570" s="26">
        <v>19</v>
      </c>
      <c r="K570" t="inlineStr">
        <is>
          <t>Oui</t>
        </is>
      </c>
      <c r="L570">
        <f>SUBTOTAL(103,A570)</f>
        <v>1</v>
      </c>
    </row>
    <row r="571">
      <c r="A571" t="inlineStr">
        <is>
          <t>SOCIETE C1281</t>
        </is>
      </c>
      <c r="B571" t="inlineStr">
        <is>
          <t>C1281</t>
        </is>
      </c>
      <c r="C571" t="inlineStr">
        <is>
          <t>PUBLIC SECTOR</t>
        </is>
      </c>
      <c r="D571" t="inlineStr">
        <is>
          <t>IA</t>
        </is>
      </c>
      <c r="E571" t="inlineStr">
        <is>
          <t>Stage 2</t>
        </is>
      </c>
      <c r="F571" t="inlineStr">
        <is>
          <t>N/A</t>
        </is>
      </c>
      <c r="G571" s="26">
        <v>617767739</v>
      </c>
      <c r="H571" s="26">
        <v>37066064</v>
      </c>
      <c r="I571" s="26">
        <v>0</v>
      </c>
      <c r="J571" s="26">
        <v>236</v>
      </c>
      <c r="K571" t="inlineStr">
        <is>
          <t>Non</t>
        </is>
      </c>
      <c r="L571">
        <f>SUBTOTAL(103,A571)</f>
        <v>1</v>
      </c>
    </row>
    <row r="572">
      <c r="A572" t="inlineStr">
        <is>
          <t>SOCIETE C1650</t>
        </is>
      </c>
      <c r="B572" t="inlineStr">
        <is>
          <t>C1650</t>
        </is>
      </c>
      <c r="C572" t="inlineStr">
        <is>
          <t>COMMERCIAL BANKING</t>
        </is>
      </c>
      <c r="D572" t="inlineStr">
        <is>
          <t>II</t>
        </is>
      </c>
      <c r="E572" t="inlineStr">
        <is>
          <t>Stage 2</t>
        </is>
      </c>
      <c r="F572" t="inlineStr">
        <is>
          <t>N/A</t>
        </is>
      </c>
      <c r="G572" s="26">
        <v>457624793</v>
      </c>
      <c r="H572" s="26">
        <v>27457488</v>
      </c>
      <c r="I572" s="26">
        <v>66534106</v>
      </c>
      <c r="J572" s="26">
        <v>158</v>
      </c>
      <c r="K572" t="inlineStr">
        <is>
          <t>Non</t>
        </is>
      </c>
      <c r="L572">
        <f>SUBTOTAL(103,A572)</f>
        <v>1</v>
      </c>
    </row>
    <row r="573">
      <c r="A573" t="inlineStr">
        <is>
          <t>SOCIETE C670</t>
        </is>
      </c>
      <c r="B573" t="inlineStr">
        <is>
          <t>C670</t>
        </is>
      </c>
      <c r="C573" t="inlineStr">
        <is>
          <t>COMMERCIAL BANKING</t>
        </is>
      </c>
      <c r="D573" t="inlineStr">
        <is>
          <t>I</t>
        </is>
      </c>
      <c r="E573" t="inlineStr">
        <is>
          <t>Stage 1</t>
        </is>
      </c>
      <c r="F573" t="inlineStr">
        <is>
          <t>N/A</t>
        </is>
      </c>
      <c r="G573" s="26">
        <v>2010824319</v>
      </c>
      <c r="H573" s="26">
        <v>20108243</v>
      </c>
      <c r="I573" s="26">
        <v>0</v>
      </c>
      <c r="J573" s="26">
        <v>4</v>
      </c>
      <c r="K573" t="inlineStr">
        <is>
          <t>Non</t>
        </is>
      </c>
      <c r="L573">
        <f>SUBTOTAL(103,A573)</f>
        <v>1</v>
      </c>
    </row>
    <row r="574">
      <c r="A574" t="inlineStr">
        <is>
          <t>SOCIETE C574</t>
        </is>
      </c>
      <c r="B574" t="inlineStr">
        <is>
          <t>C574</t>
        </is>
      </c>
      <c r="C574" t="inlineStr">
        <is>
          <t>PUBLIC SECTOR</t>
        </is>
      </c>
      <c r="D574" t="inlineStr">
        <is>
          <t>IA</t>
        </is>
      </c>
      <c r="E574" t="inlineStr">
        <is>
          <t>Stage 2</t>
        </is>
      </c>
      <c r="F574" t="inlineStr">
        <is>
          <t>N/A</t>
        </is>
      </c>
      <c r="G574" s="26">
        <v>2643140281</v>
      </c>
      <c r="H574" s="26">
        <v>158588417</v>
      </c>
      <c r="I574" s="26">
        <v>0</v>
      </c>
      <c r="J574" s="26">
        <v>22</v>
      </c>
      <c r="K574" t="inlineStr">
        <is>
          <t>Non</t>
        </is>
      </c>
      <c r="L574">
        <f>SUBTOTAL(103,A574)</f>
        <v>1</v>
      </c>
    </row>
    <row r="575">
      <c r="A575" t="inlineStr">
        <is>
          <t>SOCIETE C1764</t>
        </is>
      </c>
      <c r="B575" t="inlineStr">
        <is>
          <t>C1764</t>
        </is>
      </c>
      <c r="C575" t="inlineStr">
        <is>
          <t>COMMERCIAL BANKING</t>
        </is>
      </c>
      <c r="D575" t="inlineStr">
        <is>
          <t>IA</t>
        </is>
      </c>
      <c r="E575" t="inlineStr">
        <is>
          <t>Stage 2</t>
        </is>
      </c>
      <c r="F575" t="inlineStr">
        <is>
          <t>N/A</t>
        </is>
      </c>
      <c r="G575" s="26">
        <v>113507550</v>
      </c>
      <c r="H575" s="26">
        <v>6810453</v>
      </c>
      <c r="I575" s="26">
        <v>16487177</v>
      </c>
      <c r="J575" s="26">
        <v>81</v>
      </c>
      <c r="K575" t="inlineStr">
        <is>
          <t>Non</t>
        </is>
      </c>
      <c r="L575">
        <f>SUBTOTAL(103,A575)</f>
        <v>1</v>
      </c>
    </row>
    <row r="576">
      <c r="A576" t="inlineStr">
        <is>
          <t>SOCIETE C2225</t>
        </is>
      </c>
      <c r="B576" t="inlineStr">
        <is>
          <t>C2225</t>
        </is>
      </c>
      <c r="C576" t="inlineStr">
        <is>
          <t>PUBLIC SECTOR</t>
        </is>
      </c>
      <c r="D576" t="inlineStr">
        <is>
          <t>IV</t>
        </is>
      </c>
      <c r="E576" t="inlineStr">
        <is>
          <t>Stage 3</t>
        </is>
      </c>
      <c r="F576" t="inlineStr">
        <is>
          <t>N/A</t>
        </is>
      </c>
      <c r="G576" s="26">
        <v>2815857731</v>
      </c>
      <c r="H576" s="26">
        <v>1548721752</v>
      </c>
      <c r="I576" s="26">
        <v>0</v>
      </c>
      <c r="J576" s="26">
        <v>30</v>
      </c>
      <c r="K576" t="inlineStr">
        <is>
          <t>Oui</t>
        </is>
      </c>
      <c r="L576">
        <f>SUBTOTAL(103,A576)</f>
        <v>1</v>
      </c>
    </row>
    <row r="577">
      <c r="A577" t="inlineStr">
        <is>
          <t>SOCIETE C2099</t>
        </is>
      </c>
      <c r="B577" t="inlineStr">
        <is>
          <t>C2099</t>
        </is>
      </c>
      <c r="C577" t="inlineStr">
        <is>
          <t>CORPORATE BANKING</t>
        </is>
      </c>
      <c r="D577" t="inlineStr">
        <is>
          <t>III</t>
        </is>
      </c>
      <c r="E577" t="inlineStr">
        <is>
          <t>Stage 3</t>
        </is>
      </c>
      <c r="F577" t="inlineStr">
        <is>
          <t>N/A</t>
        </is>
      </c>
      <c r="G577" s="26">
        <v>1304218187</v>
      </c>
      <c r="H577" s="26">
        <v>717320003</v>
      </c>
      <c r="I577" s="26">
        <v>0</v>
      </c>
      <c r="J577" s="26">
        <v>120</v>
      </c>
      <c r="K577" t="inlineStr">
        <is>
          <t>Oui</t>
        </is>
      </c>
      <c r="L577">
        <f>SUBTOTAL(103,A577)</f>
        <v>1</v>
      </c>
    </row>
    <row r="578">
      <c r="A578" t="inlineStr">
        <is>
          <t>SOCIETE C394</t>
        </is>
      </c>
      <c r="B578" t="inlineStr">
        <is>
          <t>C394</t>
        </is>
      </c>
      <c r="C578" t="inlineStr">
        <is>
          <t>COMMERCIAL BANKING</t>
        </is>
      </c>
      <c r="D578" t="inlineStr">
        <is>
          <t>IA</t>
        </is>
      </c>
      <c r="E578" t="inlineStr">
        <is>
          <t>Stage 2</t>
        </is>
      </c>
      <c r="F578" t="inlineStr">
        <is>
          <t>N/A</t>
        </is>
      </c>
      <c r="G578" s="26">
        <v>7090630</v>
      </c>
      <c r="H578" s="26">
        <v>425438</v>
      </c>
      <c r="I578" s="26">
        <v>0</v>
      </c>
      <c r="J578" s="26">
        <v>29</v>
      </c>
      <c r="K578" t="inlineStr">
        <is>
          <t>Non</t>
        </is>
      </c>
      <c r="L578">
        <f>SUBTOTAL(103,A578)</f>
        <v>1</v>
      </c>
    </row>
    <row r="579">
      <c r="A579" t="inlineStr">
        <is>
          <t>SOCIETE C791</t>
        </is>
      </c>
      <c r="B579" t="inlineStr">
        <is>
          <t>C791</t>
        </is>
      </c>
      <c r="C579" t="inlineStr">
        <is>
          <t>INSTITUTIONAL</t>
        </is>
      </c>
      <c r="D579" t="inlineStr">
        <is>
          <t>IA</t>
        </is>
      </c>
      <c r="E579" t="inlineStr">
        <is>
          <t>Stage 2</t>
        </is>
      </c>
      <c r="F579" t="inlineStr">
        <is>
          <t>N/A</t>
        </is>
      </c>
      <c r="G579" s="26">
        <v>1625959209</v>
      </c>
      <c r="H579" s="26">
        <v>97557553</v>
      </c>
      <c r="I579" s="26">
        <v>0</v>
      </c>
      <c r="J579" s="26">
        <v>54</v>
      </c>
      <c r="K579" t="inlineStr">
        <is>
          <t>Non</t>
        </is>
      </c>
      <c r="L579">
        <f>SUBTOTAL(103,A579)</f>
        <v>1</v>
      </c>
    </row>
    <row r="580">
      <c r="A580" t="inlineStr">
        <is>
          <t>SOCIETE C336</t>
        </is>
      </c>
      <c r="B580" t="inlineStr">
        <is>
          <t>C336</t>
        </is>
      </c>
      <c r="C580" t="inlineStr">
        <is>
          <t>CORPORATE BANKING</t>
        </is>
      </c>
      <c r="D580" t="inlineStr">
        <is>
          <t>III</t>
        </is>
      </c>
      <c r="E580" t="inlineStr">
        <is>
          <t>Stage 3</t>
        </is>
      </c>
      <c r="F580" t="inlineStr">
        <is>
          <t>N/A</t>
        </is>
      </c>
      <c r="G580" s="26">
        <v>206529072</v>
      </c>
      <c r="H580" s="26">
        <v>113590990</v>
      </c>
      <c r="I580" s="26">
        <v>0</v>
      </c>
      <c r="J580" s="26">
        <v>95</v>
      </c>
      <c r="K580" t="inlineStr">
        <is>
          <t>Oui</t>
        </is>
      </c>
      <c r="L580">
        <f>SUBTOTAL(103,A580)</f>
        <v>1</v>
      </c>
    </row>
    <row r="581">
      <c r="A581" t="inlineStr">
        <is>
          <t>SOCIETE C2023</t>
        </is>
      </c>
      <c r="B581" t="inlineStr">
        <is>
          <t>C2023</t>
        </is>
      </c>
      <c r="C581" t="inlineStr">
        <is>
          <t>SME</t>
        </is>
      </c>
      <c r="D581" t="inlineStr">
        <is>
          <t>I</t>
        </is>
      </c>
      <c r="E581" t="inlineStr">
        <is>
          <t>Stage 1</t>
        </is>
      </c>
      <c r="F581" t="inlineStr">
        <is>
          <t>N/A</t>
        </is>
      </c>
      <c r="G581" s="26">
        <v>2744574819</v>
      </c>
      <c r="H581" s="26">
        <v>27445748</v>
      </c>
      <c r="I581" s="26">
        <v>0</v>
      </c>
      <c r="J581" s="26">
        <v>20</v>
      </c>
      <c r="K581" t="inlineStr">
        <is>
          <t>Non</t>
        </is>
      </c>
      <c r="L581">
        <f>SUBTOTAL(103,A581)</f>
        <v>1</v>
      </c>
    </row>
    <row r="582">
      <c r="A582" t="inlineStr">
        <is>
          <t>SOCIETE C1044</t>
        </is>
      </c>
      <c r="B582" t="inlineStr">
        <is>
          <t>C1044</t>
        </is>
      </c>
      <c r="C582" t="inlineStr">
        <is>
          <t>COMMERCIAL BANKING</t>
        </is>
      </c>
      <c r="D582" t="inlineStr">
        <is>
          <t>IV</t>
        </is>
      </c>
      <c r="E582" t="inlineStr">
        <is>
          <t>Stage 3</t>
        </is>
      </c>
      <c r="F582" t="inlineStr">
        <is>
          <t>N/A</t>
        </is>
      </c>
      <c r="G582" s="26">
        <v>2618707816</v>
      </c>
      <c r="H582" s="26">
        <v>1440289299</v>
      </c>
      <c r="I582" s="26">
        <v>80921820</v>
      </c>
      <c r="J582" s="26">
        <v>207</v>
      </c>
      <c r="K582" t="inlineStr">
        <is>
          <t>Oui</t>
        </is>
      </c>
      <c r="L582">
        <f>SUBTOTAL(103,A582)</f>
        <v>1</v>
      </c>
    </row>
    <row r="583">
      <c r="A583" t="inlineStr">
        <is>
          <t>SOCIETE C178</t>
        </is>
      </c>
      <c r="B583" t="inlineStr">
        <is>
          <t>C178</t>
        </is>
      </c>
      <c r="C583" t="inlineStr">
        <is>
          <t>CONSUMER BANKING</t>
        </is>
      </c>
      <c r="D583" t="inlineStr">
        <is>
          <t>IA</t>
        </is>
      </c>
      <c r="E583" t="inlineStr">
        <is>
          <t>Stage 2</t>
        </is>
      </c>
      <c r="F583" t="inlineStr">
        <is>
          <t>N/A</t>
        </is>
      </c>
      <c r="G583" s="26">
        <v>195691786</v>
      </c>
      <c r="H583" s="26">
        <v>11741507</v>
      </c>
      <c r="I583" s="26">
        <v>0</v>
      </c>
      <c r="J583" s="26">
        <v>193</v>
      </c>
      <c r="K583" t="inlineStr">
        <is>
          <t>Non</t>
        </is>
      </c>
      <c r="L583">
        <f>SUBTOTAL(103,A583)</f>
        <v>1</v>
      </c>
    </row>
    <row r="584">
      <c r="A584" t="inlineStr">
        <is>
          <t>SOCIETE C1419</t>
        </is>
      </c>
      <c r="B584" t="inlineStr">
        <is>
          <t>C1419</t>
        </is>
      </c>
      <c r="C584" t="inlineStr">
        <is>
          <t>COMMERCIAL BANKING</t>
        </is>
      </c>
      <c r="D584" t="inlineStr">
        <is>
          <t>I</t>
        </is>
      </c>
      <c r="E584" t="inlineStr">
        <is>
          <t>Stage 1</t>
        </is>
      </c>
      <c r="F584" t="inlineStr">
        <is>
          <t>N/A</t>
        </is>
      </c>
      <c r="G584" s="26">
        <v>954436607</v>
      </c>
      <c r="H584" s="26">
        <v>9544366</v>
      </c>
      <c r="I584" s="26">
        <v>0</v>
      </c>
      <c r="J584" s="26">
        <v>139</v>
      </c>
      <c r="K584" t="inlineStr">
        <is>
          <t>Non</t>
        </is>
      </c>
      <c r="L584">
        <f>SUBTOTAL(103,A584)</f>
        <v>1</v>
      </c>
    </row>
    <row r="585">
      <c r="A585" t="inlineStr">
        <is>
          <t>SOCIETE C950</t>
        </is>
      </c>
      <c r="B585" t="inlineStr">
        <is>
          <t>C950</t>
        </is>
      </c>
      <c r="C585" t="inlineStr">
        <is>
          <t>CONSUMER BANKING</t>
        </is>
      </c>
      <c r="D585" t="inlineStr">
        <is>
          <t>III</t>
        </is>
      </c>
      <c r="E585" t="inlineStr">
        <is>
          <t>Stage 3</t>
        </is>
      </c>
      <c r="F585" t="inlineStr">
        <is>
          <t>N/A</t>
        </is>
      </c>
      <c r="G585" s="26">
        <v>2104116162</v>
      </c>
      <c r="H585" s="26">
        <v>1157263889</v>
      </c>
      <c r="I585" s="26">
        <v>90309127</v>
      </c>
      <c r="J585" s="26">
        <v>81</v>
      </c>
      <c r="K585" t="inlineStr">
        <is>
          <t>Oui</t>
        </is>
      </c>
      <c r="L585">
        <f>SUBTOTAL(103,A585)</f>
        <v>1</v>
      </c>
    </row>
    <row r="586">
      <c r="A586" t="inlineStr">
        <is>
          <t>SOCIETE C583</t>
        </is>
      </c>
      <c r="B586" t="inlineStr">
        <is>
          <t>C583</t>
        </is>
      </c>
      <c r="C586" t="inlineStr">
        <is>
          <t>PUBLIC SECTOR</t>
        </is>
      </c>
      <c r="D586" t="inlineStr">
        <is>
          <t>I</t>
        </is>
      </c>
      <c r="E586" t="inlineStr">
        <is>
          <t>Stage 1</t>
        </is>
      </c>
      <c r="F586" t="inlineStr">
        <is>
          <t>N/A</t>
        </is>
      </c>
      <c r="G586" s="26">
        <v>74266272</v>
      </c>
      <c r="H586" s="26">
        <v>742663</v>
      </c>
      <c r="I586" s="26">
        <v>0</v>
      </c>
      <c r="J586" s="26">
        <v>91</v>
      </c>
      <c r="K586" t="inlineStr">
        <is>
          <t>Non</t>
        </is>
      </c>
      <c r="L586">
        <f>SUBTOTAL(103,A586)</f>
        <v>1</v>
      </c>
    </row>
    <row r="587">
      <c r="A587" t="inlineStr">
        <is>
          <t>SOCIETE C1877</t>
        </is>
      </c>
      <c r="B587" t="inlineStr">
        <is>
          <t>C1877</t>
        </is>
      </c>
      <c r="C587" t="inlineStr">
        <is>
          <t>CONSUMER BANKING</t>
        </is>
      </c>
      <c r="D587" t="inlineStr">
        <is>
          <t>I</t>
        </is>
      </c>
      <c r="E587" t="inlineStr">
        <is>
          <t>Stage 1</t>
        </is>
      </c>
      <c r="F587" t="inlineStr">
        <is>
          <t>N/A</t>
        </is>
      </c>
      <c r="G587" s="26">
        <v>2758696190</v>
      </c>
      <c r="H587" s="26">
        <v>27586962</v>
      </c>
      <c r="I587" s="26">
        <v>0</v>
      </c>
      <c r="J587" s="26">
        <v>77</v>
      </c>
      <c r="K587" t="inlineStr">
        <is>
          <t>Non</t>
        </is>
      </c>
      <c r="L587">
        <f>SUBTOTAL(103,A587)</f>
        <v>1</v>
      </c>
    </row>
    <row r="588">
      <c r="A588" t="inlineStr">
        <is>
          <t>SOCIETE C1348</t>
        </is>
      </c>
      <c r="B588" t="inlineStr">
        <is>
          <t>C1348</t>
        </is>
      </c>
      <c r="C588" t="inlineStr">
        <is>
          <t>CORPORATE BANKING</t>
        </is>
      </c>
      <c r="D588" t="inlineStr">
        <is>
          <t>II</t>
        </is>
      </c>
      <c r="E588" t="inlineStr">
        <is>
          <t>Stage 2</t>
        </is>
      </c>
      <c r="F588" t="inlineStr">
        <is>
          <t>N/A</t>
        </is>
      </c>
      <c r="G588" s="26">
        <v>1971831032</v>
      </c>
      <c r="H588" s="26">
        <v>118309862</v>
      </c>
      <c r="I588" s="26">
        <v>0</v>
      </c>
      <c r="J588" s="26">
        <v>166</v>
      </c>
      <c r="K588" t="inlineStr">
        <is>
          <t>Non</t>
        </is>
      </c>
      <c r="L588">
        <f>SUBTOTAL(103,A588)</f>
        <v>1</v>
      </c>
    </row>
    <row r="589">
      <c r="A589" t="inlineStr">
        <is>
          <t>SOCIETE C452</t>
        </is>
      </c>
      <c r="B589" t="inlineStr">
        <is>
          <t>C452</t>
        </is>
      </c>
      <c r="C589" t="inlineStr">
        <is>
          <t>CORPORATE BANKING</t>
        </is>
      </c>
      <c r="D589" t="inlineStr">
        <is>
          <t>I</t>
        </is>
      </c>
      <c r="E589" t="inlineStr">
        <is>
          <t>Stage 1</t>
        </is>
      </c>
      <c r="F589" t="inlineStr">
        <is>
          <t>N/A</t>
        </is>
      </c>
      <c r="G589" s="26">
        <v>11030486</v>
      </c>
      <c r="H589" s="26">
        <v>110305</v>
      </c>
      <c r="I589" s="26">
        <v>0</v>
      </c>
      <c r="J589" s="26">
        <v>182</v>
      </c>
      <c r="K589" t="inlineStr">
        <is>
          <t>Non</t>
        </is>
      </c>
      <c r="L589">
        <f>SUBTOTAL(103,A589)</f>
        <v>1</v>
      </c>
    </row>
    <row r="590">
      <c r="A590" t="inlineStr">
        <is>
          <t>SOCIETE C1594</t>
        </is>
      </c>
      <c r="B590" t="inlineStr">
        <is>
          <t>C1594</t>
        </is>
      </c>
      <c r="C590" t="inlineStr">
        <is>
          <t>CONSUMER BANKING</t>
        </is>
      </c>
      <c r="D590" t="inlineStr">
        <is>
          <t>I</t>
        </is>
      </c>
      <c r="E590" t="inlineStr">
        <is>
          <t>Stage 1</t>
        </is>
      </c>
      <c r="F590" t="inlineStr">
        <is>
          <t>N/A</t>
        </is>
      </c>
      <c r="G590" s="26">
        <v>2376350441</v>
      </c>
      <c r="H590" s="26">
        <v>23763504</v>
      </c>
      <c r="I590" s="26">
        <v>0</v>
      </c>
      <c r="J590" s="26">
        <v>44</v>
      </c>
      <c r="K590" t="inlineStr">
        <is>
          <t>Non</t>
        </is>
      </c>
      <c r="L590">
        <f>SUBTOTAL(103,A590)</f>
        <v>1</v>
      </c>
    </row>
    <row r="591">
      <c r="A591" t="inlineStr">
        <is>
          <t>SOCIETE C1449</t>
        </is>
      </c>
      <c r="B591" t="inlineStr">
        <is>
          <t>C1449</t>
        </is>
      </c>
      <c r="C591" t="inlineStr">
        <is>
          <t>CORPORATE BANKING</t>
        </is>
      </c>
      <c r="D591" t="inlineStr">
        <is>
          <t>IA</t>
        </is>
      </c>
      <c r="E591" t="inlineStr">
        <is>
          <t>Stage 2</t>
        </is>
      </c>
      <c r="F591" t="inlineStr">
        <is>
          <t>N/A</t>
        </is>
      </c>
      <c r="G591" s="26">
        <v>867918106</v>
      </c>
      <c r="H591" s="26">
        <v>52075086</v>
      </c>
      <c r="I591" s="26">
        <v>0</v>
      </c>
      <c r="J591" s="26">
        <v>74</v>
      </c>
      <c r="K591" t="inlineStr">
        <is>
          <t>Non</t>
        </is>
      </c>
      <c r="L591">
        <f>SUBTOTAL(103,A591)</f>
        <v>1</v>
      </c>
    </row>
    <row r="592">
      <c r="A592" t="inlineStr">
        <is>
          <t>SOCIETE C2298</t>
        </is>
      </c>
      <c r="B592" t="inlineStr">
        <is>
          <t>C2298</t>
        </is>
      </c>
      <c r="C592" t="inlineStr">
        <is>
          <t>CONSUMER BANKING</t>
        </is>
      </c>
      <c r="D592" t="inlineStr">
        <is>
          <t>II</t>
        </is>
      </c>
      <c r="E592" t="inlineStr">
        <is>
          <t>Stage 2</t>
        </is>
      </c>
      <c r="F592" t="inlineStr">
        <is>
          <t>N/A</t>
        </is>
      </c>
      <c r="G592" s="26">
        <v>246611006</v>
      </c>
      <c r="H592" s="26">
        <v>14796660</v>
      </c>
      <c r="I592" s="26">
        <v>0</v>
      </c>
      <c r="J592" s="26">
        <v>56</v>
      </c>
      <c r="K592" t="inlineStr">
        <is>
          <t>Non</t>
        </is>
      </c>
      <c r="L592">
        <f>SUBTOTAL(103,A592)</f>
        <v>1</v>
      </c>
    </row>
    <row r="593">
      <c r="A593" t="inlineStr">
        <is>
          <t>SOCIETE C122</t>
        </is>
      </c>
      <c r="B593" t="inlineStr">
        <is>
          <t>C122</t>
        </is>
      </c>
      <c r="C593" t="inlineStr">
        <is>
          <t>CORPORATE BANKING</t>
        </is>
      </c>
      <c r="D593" t="inlineStr">
        <is>
          <t>IA</t>
        </is>
      </c>
      <c r="E593" t="inlineStr">
        <is>
          <t>Stage 2</t>
        </is>
      </c>
      <c r="F593" t="inlineStr">
        <is>
          <t>N/A</t>
        </is>
      </c>
      <c r="G593" s="26">
        <v>302378514</v>
      </c>
      <c r="H593" s="26">
        <v>18142711</v>
      </c>
      <c r="I593" s="26">
        <v>42131682</v>
      </c>
      <c r="J593" s="26">
        <v>65</v>
      </c>
      <c r="K593" t="inlineStr">
        <is>
          <t>Non</t>
        </is>
      </c>
      <c r="L593">
        <f>SUBTOTAL(103,A593)</f>
        <v>1</v>
      </c>
    </row>
    <row r="594">
      <c r="A594" t="inlineStr">
        <is>
          <t>SOCIETE C977</t>
        </is>
      </c>
      <c r="B594" t="inlineStr">
        <is>
          <t>C977</t>
        </is>
      </c>
      <c r="C594" t="inlineStr">
        <is>
          <t>CORPORATE BANKING</t>
        </is>
      </c>
      <c r="D594" t="inlineStr">
        <is>
          <t>I</t>
        </is>
      </c>
      <c r="E594" t="inlineStr">
        <is>
          <t>Stage 1</t>
        </is>
      </c>
      <c r="F594" t="inlineStr">
        <is>
          <t>N/A</t>
        </is>
      </c>
      <c r="G594" s="26">
        <v>54038876</v>
      </c>
      <c r="H594" s="26">
        <v>540389</v>
      </c>
      <c r="I594" s="26">
        <v>0</v>
      </c>
      <c r="J594" s="26">
        <v>64</v>
      </c>
      <c r="K594" t="inlineStr">
        <is>
          <t>Non</t>
        </is>
      </c>
      <c r="L594">
        <f>SUBTOTAL(103,A594)</f>
        <v>1</v>
      </c>
    </row>
    <row r="595">
      <c r="A595" t="inlineStr">
        <is>
          <t>SOCIETE C111</t>
        </is>
      </c>
      <c r="B595" t="inlineStr">
        <is>
          <t>C111</t>
        </is>
      </c>
      <c r="C595" t="inlineStr">
        <is>
          <t>COMMERCIAL BANKING</t>
        </is>
      </c>
      <c r="D595" t="inlineStr">
        <is>
          <t>II</t>
        </is>
      </c>
      <c r="E595" t="inlineStr">
        <is>
          <t>Stage 2</t>
        </is>
      </c>
      <c r="F595" t="inlineStr">
        <is>
          <t>N/A</t>
        </is>
      </c>
      <c r="G595" s="26">
        <v>578442826</v>
      </c>
      <c r="H595" s="26">
        <v>34706570</v>
      </c>
      <c r="I595" s="26">
        <v>29239128</v>
      </c>
      <c r="J595" s="26">
        <v>157</v>
      </c>
      <c r="K595" t="inlineStr">
        <is>
          <t>Non</t>
        </is>
      </c>
      <c r="L595">
        <f>SUBTOTAL(103,A595)</f>
        <v>1</v>
      </c>
    </row>
    <row r="596">
      <c r="A596" t="inlineStr">
        <is>
          <t>SOCIETE C508</t>
        </is>
      </c>
      <c r="B596" t="inlineStr">
        <is>
          <t>C508</t>
        </is>
      </c>
      <c r="C596" t="inlineStr">
        <is>
          <t>CORPORATE BANKING</t>
        </is>
      </c>
      <c r="D596" t="inlineStr">
        <is>
          <t>II</t>
        </is>
      </c>
      <c r="E596" t="inlineStr">
        <is>
          <t>Stage 2</t>
        </is>
      </c>
      <c r="F596" t="inlineStr">
        <is>
          <t>N/A</t>
        </is>
      </c>
      <c r="G596" s="26">
        <v>1001097</v>
      </c>
      <c r="H596" s="26">
        <v>60066</v>
      </c>
      <c r="I596" s="26">
        <v>0</v>
      </c>
      <c r="J596" s="26">
        <v>73</v>
      </c>
      <c r="K596" t="inlineStr">
        <is>
          <t>Non</t>
        </is>
      </c>
      <c r="L596">
        <f>SUBTOTAL(103,A596)</f>
        <v>1</v>
      </c>
    </row>
    <row r="597">
      <c r="A597" t="inlineStr">
        <is>
          <t>SOCIETE C1259</t>
        </is>
      </c>
      <c r="B597" t="inlineStr">
        <is>
          <t>C1259</t>
        </is>
      </c>
      <c r="C597" t="inlineStr">
        <is>
          <t>CONSUMER BANKING</t>
        </is>
      </c>
      <c r="D597" t="inlineStr">
        <is>
          <t>I</t>
        </is>
      </c>
      <c r="E597" t="inlineStr">
        <is>
          <t>Stage 1</t>
        </is>
      </c>
      <c r="F597" t="inlineStr">
        <is>
          <t>N/A</t>
        </is>
      </c>
      <c r="G597" s="26">
        <v>78364311</v>
      </c>
      <c r="H597" s="26">
        <v>783643</v>
      </c>
      <c r="I597" s="26">
        <v>0</v>
      </c>
      <c r="J597" s="26">
        <v>276</v>
      </c>
      <c r="K597" t="inlineStr">
        <is>
          <t>Non</t>
        </is>
      </c>
      <c r="L597">
        <f>SUBTOTAL(103,A597)</f>
        <v>1</v>
      </c>
    </row>
    <row r="598">
      <c r="A598" t="inlineStr">
        <is>
          <t>SOCIETE C819</t>
        </is>
      </c>
      <c r="B598" t="inlineStr">
        <is>
          <t>C819</t>
        </is>
      </c>
      <c r="C598" t="inlineStr">
        <is>
          <t>CORPORATE BANKING</t>
        </is>
      </c>
      <c r="D598" t="inlineStr">
        <is>
          <t>IA</t>
        </is>
      </c>
      <c r="E598" t="inlineStr">
        <is>
          <t>Stage 2</t>
        </is>
      </c>
      <c r="F598" t="inlineStr">
        <is>
          <t>N/A</t>
        </is>
      </c>
      <c r="G598" s="26">
        <v>1170397583</v>
      </c>
      <c r="H598" s="26">
        <v>70223855</v>
      </c>
      <c r="I598" s="26">
        <v>32190968</v>
      </c>
      <c r="J598" s="26">
        <v>86</v>
      </c>
      <c r="K598" t="inlineStr">
        <is>
          <t>Non</t>
        </is>
      </c>
      <c r="L598">
        <f>SUBTOTAL(103,A598)</f>
        <v>1</v>
      </c>
    </row>
    <row r="599">
      <c r="A599" t="inlineStr">
        <is>
          <t>SOCIETE C532</t>
        </is>
      </c>
      <c r="B599" t="inlineStr">
        <is>
          <t>C532</t>
        </is>
      </c>
      <c r="C599" t="inlineStr">
        <is>
          <t>CONSUMER BANKING</t>
        </is>
      </c>
      <c r="D599" t="inlineStr">
        <is>
          <t>II</t>
        </is>
      </c>
      <c r="E599" t="inlineStr">
        <is>
          <t>Stage 2</t>
        </is>
      </c>
      <c r="F599" t="inlineStr">
        <is>
          <t>N/A</t>
        </is>
      </c>
      <c r="G599" s="26">
        <v>1166939243</v>
      </c>
      <c r="H599" s="26">
        <v>70016355</v>
      </c>
      <c r="I599" s="26">
        <v>0</v>
      </c>
      <c r="J599" s="26">
        <v>56</v>
      </c>
      <c r="K599" t="inlineStr">
        <is>
          <t>Non</t>
        </is>
      </c>
      <c r="L599">
        <f>SUBTOTAL(103,A599)</f>
        <v>1</v>
      </c>
    </row>
    <row r="600">
      <c r="A600" t="inlineStr">
        <is>
          <t>SOCIETE C542</t>
        </is>
      </c>
      <c r="B600" t="inlineStr">
        <is>
          <t>C542</t>
        </is>
      </c>
      <c r="C600" t="inlineStr">
        <is>
          <t>CORPORATE BANKING</t>
        </is>
      </c>
      <c r="D600" t="inlineStr">
        <is>
          <t>I</t>
        </is>
      </c>
      <c r="E600" t="inlineStr">
        <is>
          <t>Stage 1</t>
        </is>
      </c>
      <c r="F600" t="inlineStr">
        <is>
          <t>N/A</t>
        </is>
      </c>
      <c r="G600" s="26">
        <v>107181038</v>
      </c>
      <c r="H600" s="26">
        <v>1071810</v>
      </c>
      <c r="I600" s="26">
        <v>0</v>
      </c>
      <c r="J600" s="26">
        <v>50</v>
      </c>
      <c r="K600" t="inlineStr">
        <is>
          <t>Non</t>
        </is>
      </c>
      <c r="L600">
        <f>SUBTOTAL(103,A600)</f>
        <v>1</v>
      </c>
    </row>
    <row r="601">
      <c r="A601" t="inlineStr">
        <is>
          <t>SOCIETE C2453</t>
        </is>
      </c>
      <c r="B601" t="inlineStr">
        <is>
          <t>C2453</t>
        </is>
      </c>
      <c r="C601" t="inlineStr">
        <is>
          <t>PUBLIC SECTOR</t>
        </is>
      </c>
      <c r="D601" t="inlineStr">
        <is>
          <t>I</t>
        </is>
      </c>
      <c r="E601" t="inlineStr">
        <is>
          <t>Stage 1</t>
        </is>
      </c>
      <c r="F601" t="inlineStr">
        <is>
          <t>N/A</t>
        </is>
      </c>
      <c r="G601" s="26">
        <v>1011244389</v>
      </c>
      <c r="H601" s="26">
        <v>10112444</v>
      </c>
      <c r="I601" s="26">
        <v>0</v>
      </c>
      <c r="J601" s="26">
        <v>93</v>
      </c>
      <c r="K601" t="inlineStr">
        <is>
          <t>Non</t>
        </is>
      </c>
      <c r="L601">
        <f>SUBTOTAL(103,A601)</f>
        <v>1</v>
      </c>
    </row>
    <row r="602">
      <c r="A602" t="inlineStr">
        <is>
          <t>SOCIETE C874</t>
        </is>
      </c>
      <c r="B602" t="inlineStr">
        <is>
          <t>C874</t>
        </is>
      </c>
      <c r="C602" t="inlineStr">
        <is>
          <t>PUBLIC SECTOR</t>
        </is>
      </c>
      <c r="D602" t="inlineStr">
        <is>
          <t>I</t>
        </is>
      </c>
      <c r="E602" t="inlineStr">
        <is>
          <t>Stage 1</t>
        </is>
      </c>
      <c r="F602" t="inlineStr">
        <is>
          <t>N/A</t>
        </is>
      </c>
      <c r="G602" s="26">
        <v>1252849538</v>
      </c>
      <c r="H602" s="26">
        <v>12528495</v>
      </c>
      <c r="I602" s="26">
        <v>1828866</v>
      </c>
      <c r="J602" s="26">
        <v>168</v>
      </c>
      <c r="K602" t="inlineStr">
        <is>
          <t>Non</t>
        </is>
      </c>
      <c r="L602">
        <f>SUBTOTAL(103,A602)</f>
        <v>1</v>
      </c>
    </row>
    <row r="603">
      <c r="A603" t="inlineStr">
        <is>
          <t>SOCIETE C1877</t>
        </is>
      </c>
      <c r="B603" t="inlineStr">
        <is>
          <t>C1877</t>
        </is>
      </c>
      <c r="C603" t="inlineStr">
        <is>
          <t>CORPORATE BANKING</t>
        </is>
      </c>
      <c r="D603" t="inlineStr">
        <is>
          <t>I</t>
        </is>
      </c>
      <c r="E603" t="inlineStr">
        <is>
          <t>Stage 1</t>
        </is>
      </c>
      <c r="F603" t="inlineStr">
        <is>
          <t>N/A</t>
        </is>
      </c>
      <c r="G603" s="26">
        <v>13434310</v>
      </c>
      <c r="H603" s="26">
        <v>134343</v>
      </c>
      <c r="I603" s="26">
        <v>0</v>
      </c>
      <c r="J603" s="26">
        <v>120</v>
      </c>
      <c r="K603" t="inlineStr">
        <is>
          <t>Non</t>
        </is>
      </c>
      <c r="L603">
        <f>SUBTOTAL(103,A603)</f>
        <v>1</v>
      </c>
    </row>
    <row r="604">
      <c r="A604" t="inlineStr">
        <is>
          <t>SOCIETE C1025</t>
        </is>
      </c>
      <c r="B604" t="inlineStr">
        <is>
          <t>C1025</t>
        </is>
      </c>
      <c r="C604" t="inlineStr">
        <is>
          <t>CORPORATE BANKING</t>
        </is>
      </c>
      <c r="D604" t="inlineStr">
        <is>
          <t>I</t>
        </is>
      </c>
      <c r="E604" t="inlineStr">
        <is>
          <t>Stage 1</t>
        </is>
      </c>
      <c r="F604" t="inlineStr">
        <is>
          <t>N/A</t>
        </is>
      </c>
      <c r="G604" s="26">
        <v>1729898260</v>
      </c>
      <c r="H604" s="26">
        <v>17298983</v>
      </c>
      <c r="I604" s="26">
        <v>0</v>
      </c>
      <c r="J604" s="26">
        <v>50</v>
      </c>
      <c r="K604" t="inlineStr">
        <is>
          <t>Non</t>
        </is>
      </c>
      <c r="L604">
        <f>SUBTOTAL(103,A604)</f>
        <v>1</v>
      </c>
    </row>
    <row r="605">
      <c r="A605" t="inlineStr">
        <is>
          <t>SOCIETE C2017</t>
        </is>
      </c>
      <c r="B605" t="inlineStr">
        <is>
          <t>C2017</t>
        </is>
      </c>
      <c r="C605" t="inlineStr">
        <is>
          <t>CORPORATE BANKING</t>
        </is>
      </c>
      <c r="D605" t="inlineStr">
        <is>
          <t>I</t>
        </is>
      </c>
      <c r="E605" t="inlineStr">
        <is>
          <t>Stage 1</t>
        </is>
      </c>
      <c r="F605" t="inlineStr">
        <is>
          <t>N/A</t>
        </is>
      </c>
      <c r="G605" s="26">
        <v>55706534</v>
      </c>
      <c r="H605" s="26">
        <v>557065</v>
      </c>
      <c r="I605" s="26">
        <v>0</v>
      </c>
      <c r="J605" s="26">
        <v>266</v>
      </c>
      <c r="K605" t="inlineStr">
        <is>
          <t>Non</t>
        </is>
      </c>
      <c r="L605">
        <f>SUBTOTAL(103,A605)</f>
        <v>1</v>
      </c>
    </row>
    <row r="606">
      <c r="A606" t="inlineStr">
        <is>
          <t>SOCIETE C1013</t>
        </is>
      </c>
      <c r="B606" t="inlineStr">
        <is>
          <t>C1013</t>
        </is>
      </c>
      <c r="C606" t="inlineStr">
        <is>
          <t>CORPORATE BANKING</t>
        </is>
      </c>
      <c r="D606" t="inlineStr">
        <is>
          <t>I</t>
        </is>
      </c>
      <c r="E606" t="inlineStr">
        <is>
          <t>Stage 1</t>
        </is>
      </c>
      <c r="F606" t="inlineStr">
        <is>
          <t>N/A</t>
        </is>
      </c>
      <c r="G606" s="26">
        <v>1981098891</v>
      </c>
      <c r="H606" s="26">
        <v>19810989</v>
      </c>
      <c r="I606" s="26">
        <v>0</v>
      </c>
      <c r="J606" s="26">
        <v>101</v>
      </c>
      <c r="K606" t="inlineStr">
        <is>
          <t>Non</t>
        </is>
      </c>
      <c r="L606">
        <f>SUBTOTAL(103,A606)</f>
        <v>1</v>
      </c>
    </row>
    <row r="607">
      <c r="A607" t="inlineStr">
        <is>
          <t>SOCIETE C1130</t>
        </is>
      </c>
      <c r="B607" t="inlineStr">
        <is>
          <t>C1130</t>
        </is>
      </c>
      <c r="C607" t="inlineStr">
        <is>
          <t>CONSUMER BANKING</t>
        </is>
      </c>
      <c r="D607" t="inlineStr">
        <is>
          <t>IA</t>
        </is>
      </c>
      <c r="E607" t="inlineStr">
        <is>
          <t>Stage 2</t>
        </is>
      </c>
      <c r="F607" t="inlineStr">
        <is>
          <t>N/A</t>
        </is>
      </c>
      <c r="G607" s="26">
        <v>12435705</v>
      </c>
      <c r="H607" s="26">
        <v>746142</v>
      </c>
      <c r="I607" s="26">
        <v>0</v>
      </c>
      <c r="J607" s="26">
        <v>262</v>
      </c>
      <c r="K607" t="inlineStr">
        <is>
          <t>Non</t>
        </is>
      </c>
      <c r="L607">
        <f>SUBTOTAL(103,A607)</f>
        <v>1</v>
      </c>
    </row>
    <row r="608">
      <c r="A608" t="inlineStr">
        <is>
          <t>SOCIETE C1949</t>
        </is>
      </c>
      <c r="B608" t="inlineStr">
        <is>
          <t>C1949</t>
        </is>
      </c>
      <c r="C608" t="inlineStr">
        <is>
          <t>CORPORATE BANKING</t>
        </is>
      </c>
      <c r="D608" t="inlineStr">
        <is>
          <t>III</t>
        </is>
      </c>
      <c r="E608" t="inlineStr">
        <is>
          <t>Stage 3</t>
        </is>
      </c>
      <c r="F608" t="inlineStr">
        <is>
          <t>N/A</t>
        </is>
      </c>
      <c r="G608" s="26">
        <v>180185593</v>
      </c>
      <c r="H608" s="26">
        <v>99102076</v>
      </c>
      <c r="I608" s="26">
        <v>0</v>
      </c>
      <c r="J608" s="26">
        <v>170</v>
      </c>
      <c r="K608" t="inlineStr">
        <is>
          <t>Oui</t>
        </is>
      </c>
      <c r="L608">
        <f>SUBTOTAL(103,A608)</f>
        <v>1</v>
      </c>
    </row>
    <row r="609">
      <c r="A609" t="inlineStr">
        <is>
          <t>SOCIETE C2113</t>
        </is>
      </c>
      <c r="B609" t="inlineStr">
        <is>
          <t>C2113</t>
        </is>
      </c>
      <c r="C609" t="inlineStr">
        <is>
          <t>CORPORATE BANKING</t>
        </is>
      </c>
      <c r="D609" t="inlineStr">
        <is>
          <t>IV</t>
        </is>
      </c>
      <c r="E609" t="inlineStr">
        <is>
          <t>Stage 3</t>
        </is>
      </c>
      <c r="F609" t="inlineStr">
        <is>
          <t>N/A</t>
        </is>
      </c>
      <c r="G609" s="26">
        <v>17485271</v>
      </c>
      <c r="H609" s="26">
        <v>9616899</v>
      </c>
      <c r="I609" s="26">
        <v>1412391</v>
      </c>
      <c r="J609" s="26">
        <v>1</v>
      </c>
      <c r="K609" t="inlineStr">
        <is>
          <t>Oui</t>
        </is>
      </c>
      <c r="L609">
        <f>SUBTOTAL(103,A609)</f>
        <v>1</v>
      </c>
    </row>
    <row r="610">
      <c r="A610" t="inlineStr">
        <is>
          <t>SOCIETE C1452</t>
        </is>
      </c>
      <c r="B610" t="inlineStr">
        <is>
          <t>C1452</t>
        </is>
      </c>
      <c r="C610" t="inlineStr">
        <is>
          <t>COMMERCIAL BANKING</t>
        </is>
      </c>
      <c r="D610" t="inlineStr">
        <is>
          <t>I</t>
        </is>
      </c>
      <c r="E610" t="inlineStr">
        <is>
          <t>Stage 1</t>
        </is>
      </c>
      <c r="F610" t="inlineStr">
        <is>
          <t>N/A</t>
        </is>
      </c>
      <c r="G610" s="26">
        <v>1247422</v>
      </c>
      <c r="H610" s="26">
        <v>12474</v>
      </c>
      <c r="I610" s="26">
        <v>97607</v>
      </c>
      <c r="J610" s="26">
        <v>70</v>
      </c>
      <c r="K610" t="inlineStr">
        <is>
          <t>Non</t>
        </is>
      </c>
      <c r="L610">
        <f>SUBTOTAL(103,A610)</f>
        <v>1</v>
      </c>
    </row>
    <row r="611">
      <c r="A611" t="inlineStr">
        <is>
          <t>SOCIETE C45</t>
        </is>
      </c>
      <c r="B611" t="inlineStr">
        <is>
          <t>C45</t>
        </is>
      </c>
      <c r="C611" t="inlineStr">
        <is>
          <t>CONSUMER BANKING</t>
        </is>
      </c>
      <c r="D611" t="inlineStr">
        <is>
          <t>IV</t>
        </is>
      </c>
      <c r="E611" t="inlineStr">
        <is>
          <t>Stage 3</t>
        </is>
      </c>
      <c r="F611" t="inlineStr">
        <is>
          <t>N/A</t>
        </is>
      </c>
      <c r="G611" s="26">
        <v>501611582</v>
      </c>
      <c r="H611" s="26">
        <v>275886370</v>
      </c>
      <c r="I611" s="26">
        <v>43390324</v>
      </c>
      <c r="J611" s="26">
        <v>11</v>
      </c>
      <c r="K611" t="inlineStr">
        <is>
          <t>Oui</t>
        </is>
      </c>
      <c r="L611">
        <f>SUBTOTAL(103,A611)</f>
        <v>1</v>
      </c>
    </row>
    <row r="612">
      <c r="A612" t="inlineStr">
        <is>
          <t>SOCIETE C1840</t>
        </is>
      </c>
      <c r="B612" t="inlineStr">
        <is>
          <t>C1840</t>
        </is>
      </c>
      <c r="C612" t="inlineStr">
        <is>
          <t>SME</t>
        </is>
      </c>
      <c r="D612" t="inlineStr">
        <is>
          <t>I</t>
        </is>
      </c>
      <c r="E612" t="inlineStr">
        <is>
          <t>Stage 1</t>
        </is>
      </c>
      <c r="F612" t="inlineStr">
        <is>
          <t>N/A</t>
        </is>
      </c>
      <c r="G612" s="26">
        <v>1185148958</v>
      </c>
      <c r="H612" s="26">
        <v>11851490</v>
      </c>
      <c r="I612" s="26">
        <v>0</v>
      </c>
      <c r="J612" s="26">
        <v>98</v>
      </c>
      <c r="K612" t="inlineStr">
        <is>
          <t>Non</t>
        </is>
      </c>
      <c r="L612">
        <f>SUBTOTAL(103,A612)</f>
        <v>1</v>
      </c>
    </row>
    <row r="613">
      <c r="A613" t="inlineStr">
        <is>
          <t>SOCIETE C2286</t>
        </is>
      </c>
      <c r="B613" t="inlineStr">
        <is>
          <t>C2286</t>
        </is>
      </c>
      <c r="C613" t="inlineStr">
        <is>
          <t>CORPORATE BANKING</t>
        </is>
      </c>
      <c r="D613" t="inlineStr">
        <is>
          <t>III</t>
        </is>
      </c>
      <c r="E613" t="inlineStr">
        <is>
          <t>Stage 3</t>
        </is>
      </c>
      <c r="F613" t="inlineStr">
        <is>
          <t>N/A</t>
        </is>
      </c>
      <c r="G613" s="26">
        <v>20042922</v>
      </c>
      <c r="H613" s="26">
        <v>11023607</v>
      </c>
      <c r="I613" s="26">
        <v>0</v>
      </c>
      <c r="J613" s="26">
        <v>26</v>
      </c>
      <c r="K613" t="inlineStr">
        <is>
          <t>Oui</t>
        </is>
      </c>
      <c r="L613">
        <f>SUBTOTAL(103,A613)</f>
        <v>1</v>
      </c>
    </row>
    <row r="614">
      <c r="A614" t="inlineStr">
        <is>
          <t>SOCIETE C933</t>
        </is>
      </c>
      <c r="B614" t="inlineStr">
        <is>
          <t>C933</t>
        </is>
      </c>
      <c r="C614" t="inlineStr">
        <is>
          <t>PUBLIC SECTOR</t>
        </is>
      </c>
      <c r="D614" t="inlineStr">
        <is>
          <t>IA</t>
        </is>
      </c>
      <c r="E614" t="inlineStr">
        <is>
          <t>Stage 2</t>
        </is>
      </c>
      <c r="F614" t="inlineStr">
        <is>
          <t>N/A</t>
        </is>
      </c>
      <c r="G614" s="26">
        <v>973971840</v>
      </c>
      <c r="H614" s="26">
        <v>58438310</v>
      </c>
      <c r="I614" s="26">
        <v>0</v>
      </c>
      <c r="J614" s="26">
        <v>162</v>
      </c>
      <c r="K614" t="inlineStr">
        <is>
          <t>Non</t>
        </is>
      </c>
      <c r="L614">
        <f>SUBTOTAL(103,A614)</f>
        <v>1</v>
      </c>
    </row>
    <row r="615">
      <c r="A615" t="inlineStr">
        <is>
          <t>SOCIETE C1395</t>
        </is>
      </c>
      <c r="B615" t="inlineStr">
        <is>
          <t>C1395</t>
        </is>
      </c>
      <c r="C615" t="inlineStr">
        <is>
          <t>CORPORATE BANKING</t>
        </is>
      </c>
      <c r="D615" t="inlineStr">
        <is>
          <t>I</t>
        </is>
      </c>
      <c r="E615" t="inlineStr">
        <is>
          <t>Stage 1</t>
        </is>
      </c>
      <c r="F615" t="inlineStr">
        <is>
          <t>N/A</t>
        </is>
      </c>
      <c r="G615" s="26">
        <v>282965806</v>
      </c>
      <c r="H615" s="26">
        <v>2829658</v>
      </c>
      <c r="I615" s="26">
        <v>0</v>
      </c>
      <c r="J615" s="26">
        <v>134</v>
      </c>
      <c r="K615" t="inlineStr">
        <is>
          <t>Non</t>
        </is>
      </c>
      <c r="L615">
        <f>SUBTOTAL(103,A615)</f>
        <v>1</v>
      </c>
    </row>
    <row r="616">
      <c r="A616" t="inlineStr">
        <is>
          <t>SOCIETE C768</t>
        </is>
      </c>
      <c r="B616" t="inlineStr">
        <is>
          <t>C768</t>
        </is>
      </c>
      <c r="C616" t="inlineStr">
        <is>
          <t>COMMERCIAL BANKING</t>
        </is>
      </c>
      <c r="D616" t="inlineStr">
        <is>
          <t>I</t>
        </is>
      </c>
      <c r="E616" t="inlineStr">
        <is>
          <t>Stage 1</t>
        </is>
      </c>
      <c r="F616" t="inlineStr">
        <is>
          <t>N/A</t>
        </is>
      </c>
      <c r="G616" s="26">
        <v>22399192</v>
      </c>
      <c r="H616" s="26">
        <v>223992</v>
      </c>
      <c r="I616" s="26">
        <v>3679060</v>
      </c>
      <c r="J616" s="26">
        <v>56</v>
      </c>
      <c r="K616" t="inlineStr">
        <is>
          <t>Non</t>
        </is>
      </c>
      <c r="L616">
        <f>SUBTOTAL(103,A616)</f>
        <v>1</v>
      </c>
    </row>
    <row r="617">
      <c r="A617" t="inlineStr">
        <is>
          <t>SOCIETE C337</t>
        </is>
      </c>
      <c r="B617" t="inlineStr">
        <is>
          <t>C337</t>
        </is>
      </c>
      <c r="C617" t="inlineStr">
        <is>
          <t>CORPORATE BANKING</t>
        </is>
      </c>
      <c r="D617" t="inlineStr">
        <is>
          <t>IA</t>
        </is>
      </c>
      <c r="E617" t="inlineStr">
        <is>
          <t>Stage 2</t>
        </is>
      </c>
      <c r="F617" t="inlineStr">
        <is>
          <t>N/A</t>
        </is>
      </c>
      <c r="G617" s="26">
        <v>159166225</v>
      </c>
      <c r="H617" s="26">
        <v>9549974</v>
      </c>
      <c r="I617" s="26">
        <v>6253638</v>
      </c>
      <c r="J617" s="26">
        <v>79</v>
      </c>
      <c r="K617" t="inlineStr">
        <is>
          <t>Non</t>
        </is>
      </c>
      <c r="L617">
        <f>SUBTOTAL(103,A617)</f>
        <v>1</v>
      </c>
    </row>
    <row r="618">
      <c r="A618" t="inlineStr">
        <is>
          <t>SOCIETE C1237</t>
        </is>
      </c>
      <c r="B618" t="inlineStr">
        <is>
          <t>C1237</t>
        </is>
      </c>
      <c r="C618" t="inlineStr">
        <is>
          <t>COMMERCIAL BANKING</t>
        </is>
      </c>
      <c r="D618" t="inlineStr">
        <is>
          <t>III</t>
        </is>
      </c>
      <c r="E618" t="inlineStr">
        <is>
          <t>Stage 3</t>
        </is>
      </c>
      <c r="F618" t="inlineStr">
        <is>
          <t>N/A</t>
        </is>
      </c>
      <c r="G618" s="26">
        <v>516606260</v>
      </c>
      <c r="H618" s="26">
        <v>284133443</v>
      </c>
      <c r="I618" s="26">
        <v>102876119</v>
      </c>
      <c r="J618" s="26">
        <v>27</v>
      </c>
      <c r="K618" t="inlineStr">
        <is>
          <t>Oui</t>
        </is>
      </c>
      <c r="L618">
        <f>SUBTOTAL(103,A618)</f>
        <v>1</v>
      </c>
    </row>
    <row r="619">
      <c r="A619" t="inlineStr">
        <is>
          <t>SOCIETE C473</t>
        </is>
      </c>
      <c r="B619" t="inlineStr">
        <is>
          <t>C473</t>
        </is>
      </c>
      <c r="C619" t="inlineStr">
        <is>
          <t>CORPORATE BANKING</t>
        </is>
      </c>
      <c r="D619" t="inlineStr">
        <is>
          <t>I</t>
        </is>
      </c>
      <c r="E619" t="inlineStr">
        <is>
          <t>Stage 1</t>
        </is>
      </c>
      <c r="F619" t="inlineStr">
        <is>
          <t>N/A</t>
        </is>
      </c>
      <c r="G619" s="26">
        <v>127715104</v>
      </c>
      <c r="H619" s="26">
        <v>1277151</v>
      </c>
      <c r="I619" s="26">
        <v>0</v>
      </c>
      <c r="J619" s="26">
        <v>3</v>
      </c>
      <c r="K619" t="inlineStr">
        <is>
          <t>Non</t>
        </is>
      </c>
      <c r="L619">
        <f>SUBTOTAL(103,A619)</f>
        <v>1</v>
      </c>
    </row>
    <row r="620">
      <c r="A620" t="inlineStr">
        <is>
          <t>SOCIETE C1714</t>
        </is>
      </c>
      <c r="B620" t="inlineStr">
        <is>
          <t>C1714</t>
        </is>
      </c>
      <c r="C620" t="inlineStr">
        <is>
          <t>PUBLIC SECTOR</t>
        </is>
      </c>
      <c r="D620" t="inlineStr">
        <is>
          <t>III</t>
        </is>
      </c>
      <c r="E620" t="inlineStr">
        <is>
          <t>Stage 3</t>
        </is>
      </c>
      <c r="F620" t="inlineStr">
        <is>
          <t>N/A</t>
        </is>
      </c>
      <c r="G620" s="26">
        <v>2189902921</v>
      </c>
      <c r="H620" s="26">
        <v>1204446606</v>
      </c>
      <c r="I620" s="26">
        <v>29453481</v>
      </c>
      <c r="J620" s="26">
        <v>33</v>
      </c>
      <c r="K620" t="inlineStr">
        <is>
          <t>Oui</t>
        </is>
      </c>
      <c r="L620">
        <f>SUBTOTAL(103,A620)</f>
        <v>1</v>
      </c>
    </row>
    <row r="621">
      <c r="A621" t="inlineStr">
        <is>
          <t>SOCIETE C1959</t>
        </is>
      </c>
      <c r="B621" t="inlineStr">
        <is>
          <t>C1959</t>
        </is>
      </c>
      <c r="C621" t="inlineStr">
        <is>
          <t>CORPORATE BANKING</t>
        </is>
      </c>
      <c r="D621" t="inlineStr">
        <is>
          <t>I</t>
        </is>
      </c>
      <c r="E621" t="inlineStr">
        <is>
          <t>Stage 1</t>
        </is>
      </c>
      <c r="F621" t="inlineStr">
        <is>
          <t>N/A</t>
        </is>
      </c>
      <c r="G621" s="26">
        <v>429540812</v>
      </c>
      <c r="H621" s="26">
        <v>4295408</v>
      </c>
      <c r="I621" s="26">
        <v>0</v>
      </c>
      <c r="J621" s="26">
        <v>50</v>
      </c>
      <c r="K621" t="inlineStr">
        <is>
          <t>Non</t>
        </is>
      </c>
      <c r="L621">
        <f>SUBTOTAL(103,A621)</f>
        <v>1</v>
      </c>
    </row>
    <row r="622">
      <c r="A622" t="inlineStr">
        <is>
          <t>SOCIETE C383</t>
        </is>
      </c>
      <c r="B622" t="inlineStr">
        <is>
          <t>C383</t>
        </is>
      </c>
      <c r="C622" t="inlineStr">
        <is>
          <t>CORPORATE BANKING</t>
        </is>
      </c>
      <c r="D622" t="inlineStr">
        <is>
          <t>V</t>
        </is>
      </c>
      <c r="E622" t="inlineStr">
        <is>
          <t>Stage 3</t>
        </is>
      </c>
      <c r="F622" t="inlineStr">
        <is>
          <t>N/A</t>
        </is>
      </c>
      <c r="G622" s="26">
        <v>479566860</v>
      </c>
      <c r="H622" s="26">
        <v>263761773</v>
      </c>
      <c r="I622" s="26">
        <v>60924394</v>
      </c>
      <c r="J622" s="26">
        <v>237</v>
      </c>
      <c r="K622" t="inlineStr">
        <is>
          <t>Oui</t>
        </is>
      </c>
      <c r="L622">
        <f>SUBTOTAL(103,A622)</f>
        <v>1</v>
      </c>
    </row>
    <row r="623">
      <c r="A623" t="inlineStr">
        <is>
          <t>SOCIETE C828</t>
        </is>
      </c>
      <c r="B623" t="inlineStr">
        <is>
          <t>C828</t>
        </is>
      </c>
      <c r="C623" t="inlineStr">
        <is>
          <t>SME</t>
        </is>
      </c>
      <c r="D623" t="inlineStr">
        <is>
          <t>I</t>
        </is>
      </c>
      <c r="E623" t="inlineStr">
        <is>
          <t>Stage 1</t>
        </is>
      </c>
      <c r="F623" t="inlineStr">
        <is>
          <t>N/A</t>
        </is>
      </c>
      <c r="G623" s="26">
        <v>131595112</v>
      </c>
      <c r="H623" s="26">
        <v>1315951</v>
      </c>
      <c r="I623" s="26">
        <v>0</v>
      </c>
      <c r="J623" s="26">
        <v>14</v>
      </c>
      <c r="K623" t="inlineStr">
        <is>
          <t>Non</t>
        </is>
      </c>
      <c r="L623">
        <f>SUBTOTAL(103,A623)</f>
        <v>1</v>
      </c>
    </row>
    <row r="624">
      <c r="A624" t="inlineStr">
        <is>
          <t>SOCIETE C1622</t>
        </is>
      </c>
      <c r="B624" t="inlineStr">
        <is>
          <t>C1622</t>
        </is>
      </c>
      <c r="C624" t="inlineStr">
        <is>
          <t>CORPORATE BANKING</t>
        </is>
      </c>
      <c r="D624" t="inlineStr">
        <is>
          <t>IA</t>
        </is>
      </c>
      <c r="E624" t="inlineStr">
        <is>
          <t>Stage 2</t>
        </is>
      </c>
      <c r="F624" t="inlineStr">
        <is>
          <t>N/A</t>
        </is>
      </c>
      <c r="G624" s="26">
        <v>1043638304</v>
      </c>
      <c r="H624" s="26">
        <v>62618298</v>
      </c>
      <c r="I624" s="26">
        <v>0</v>
      </c>
      <c r="J624" s="26">
        <v>118</v>
      </c>
      <c r="K624" t="inlineStr">
        <is>
          <t>Non</t>
        </is>
      </c>
      <c r="L624">
        <f>SUBTOTAL(103,A624)</f>
        <v>1</v>
      </c>
    </row>
    <row r="625">
      <c r="A625" t="inlineStr">
        <is>
          <t>SOCIETE C1442</t>
        </is>
      </c>
      <c r="B625" t="inlineStr">
        <is>
          <t>C1442</t>
        </is>
      </c>
      <c r="C625" t="inlineStr">
        <is>
          <t>PUBLIC SECTOR</t>
        </is>
      </c>
      <c r="D625" t="inlineStr">
        <is>
          <t>V</t>
        </is>
      </c>
      <c r="E625" t="inlineStr">
        <is>
          <t>Stage 3</t>
        </is>
      </c>
      <c r="F625" t="inlineStr">
        <is>
          <t>N/A</t>
        </is>
      </c>
      <c r="G625" s="26">
        <v>962692238</v>
      </c>
      <c r="H625" s="26">
        <v>529480731</v>
      </c>
      <c r="I625" s="26">
        <v>159298371</v>
      </c>
      <c r="J625" s="26">
        <v>51</v>
      </c>
      <c r="K625" t="inlineStr">
        <is>
          <t>Oui</t>
        </is>
      </c>
      <c r="L625">
        <f>SUBTOTAL(103,A625)</f>
        <v>1</v>
      </c>
    </row>
    <row r="626">
      <c r="A626" t="inlineStr">
        <is>
          <t>SOCIETE C2176</t>
        </is>
      </c>
      <c r="B626" t="inlineStr">
        <is>
          <t>C2176</t>
        </is>
      </c>
      <c r="C626" t="inlineStr">
        <is>
          <t>CORPORATE BANKING</t>
        </is>
      </c>
      <c r="D626" t="inlineStr">
        <is>
          <t>IV</t>
        </is>
      </c>
      <c r="E626" t="inlineStr">
        <is>
          <t>Stage 3</t>
        </is>
      </c>
      <c r="F626" t="inlineStr">
        <is>
          <t>N/A</t>
        </is>
      </c>
      <c r="G626" s="26">
        <v>1167106</v>
      </c>
      <c r="H626" s="26">
        <v>641908</v>
      </c>
      <c r="I626" s="26">
        <v>0</v>
      </c>
      <c r="J626" s="26">
        <v>84</v>
      </c>
      <c r="K626" t="inlineStr">
        <is>
          <t>Oui</t>
        </is>
      </c>
      <c r="L626">
        <f>SUBTOTAL(103,A626)</f>
        <v>1</v>
      </c>
    </row>
    <row r="627">
      <c r="A627" t="inlineStr">
        <is>
          <t>SOCIETE C1990</t>
        </is>
      </c>
      <c r="B627" t="inlineStr">
        <is>
          <t>C1990</t>
        </is>
      </c>
      <c r="C627" t="inlineStr">
        <is>
          <t>CORPORATE BANKING</t>
        </is>
      </c>
      <c r="D627" t="inlineStr">
        <is>
          <t>IA</t>
        </is>
      </c>
      <c r="E627" t="inlineStr">
        <is>
          <t>Stage 2</t>
        </is>
      </c>
      <c r="F627" t="inlineStr">
        <is>
          <t>N/A</t>
        </is>
      </c>
      <c r="G627" s="26">
        <v>114656816</v>
      </c>
      <c r="H627" s="26">
        <v>6879409</v>
      </c>
      <c r="I627" s="26">
        <v>0</v>
      </c>
      <c r="J627" s="26">
        <v>206</v>
      </c>
      <c r="K627" t="inlineStr">
        <is>
          <t>Non</t>
        </is>
      </c>
      <c r="L627">
        <f>SUBTOTAL(103,A627)</f>
        <v>1</v>
      </c>
    </row>
    <row r="628">
      <c r="A628" t="inlineStr">
        <is>
          <t>SOCIETE C1091</t>
        </is>
      </c>
      <c r="B628" t="inlineStr">
        <is>
          <t>C1091</t>
        </is>
      </c>
      <c r="C628" t="inlineStr">
        <is>
          <t>COMMERCIAL BANKING</t>
        </is>
      </c>
      <c r="D628" t="inlineStr">
        <is>
          <t>IV</t>
        </is>
      </c>
      <c r="E628" t="inlineStr">
        <is>
          <t>Stage 3</t>
        </is>
      </c>
      <c r="F628" t="inlineStr">
        <is>
          <t>N/A</t>
        </is>
      </c>
      <c r="G628" s="26">
        <v>48300878</v>
      </c>
      <c r="H628" s="26">
        <v>26565483</v>
      </c>
      <c r="I628" s="26">
        <v>7020390</v>
      </c>
      <c r="J628" s="26">
        <v>18</v>
      </c>
      <c r="K628" t="inlineStr">
        <is>
          <t>Oui</t>
        </is>
      </c>
      <c r="L628">
        <f>SUBTOTAL(103,A628)</f>
        <v>1</v>
      </c>
    </row>
    <row r="629">
      <c r="A629" t="inlineStr">
        <is>
          <t>SOCIETE C2159</t>
        </is>
      </c>
      <c r="B629" t="inlineStr">
        <is>
          <t>C2159</t>
        </is>
      </c>
      <c r="C629" t="inlineStr">
        <is>
          <t>PUBLIC SECTOR</t>
        </is>
      </c>
      <c r="D629" t="inlineStr">
        <is>
          <t>I</t>
        </is>
      </c>
      <c r="E629" t="inlineStr">
        <is>
          <t>Stage 1</t>
        </is>
      </c>
      <c r="F629" t="inlineStr">
        <is>
          <t>N/A</t>
        </is>
      </c>
      <c r="G629" s="26">
        <v>136121531</v>
      </c>
      <c r="H629" s="26">
        <v>1361215</v>
      </c>
      <c r="I629" s="26">
        <v>0</v>
      </c>
      <c r="J629" s="26">
        <v>290</v>
      </c>
      <c r="K629" t="inlineStr">
        <is>
          <t>Non</t>
        </is>
      </c>
      <c r="L629">
        <f>SUBTOTAL(103,A629)</f>
        <v>1</v>
      </c>
    </row>
    <row r="630">
      <c r="A630" t="inlineStr">
        <is>
          <t>SOCIETE C2471</t>
        </is>
      </c>
      <c r="B630" t="inlineStr">
        <is>
          <t>C2471</t>
        </is>
      </c>
      <c r="C630" t="inlineStr">
        <is>
          <t>CORPORATE BANKING</t>
        </is>
      </c>
      <c r="D630" t="inlineStr">
        <is>
          <t>I</t>
        </is>
      </c>
      <c r="E630" t="inlineStr">
        <is>
          <t>Stage 1</t>
        </is>
      </c>
      <c r="F630" t="inlineStr">
        <is>
          <t>N/A</t>
        </is>
      </c>
      <c r="G630" s="26">
        <v>1524830</v>
      </c>
      <c r="H630" s="26">
        <v>15248</v>
      </c>
      <c r="I630" s="26">
        <v>0</v>
      </c>
      <c r="J630" s="26">
        <v>285</v>
      </c>
      <c r="K630" t="inlineStr">
        <is>
          <t>Non</t>
        </is>
      </c>
      <c r="L630">
        <f>SUBTOTAL(103,A630)</f>
        <v>1</v>
      </c>
    </row>
    <row r="631">
      <c r="A631" t="inlineStr">
        <is>
          <t>SOCIETE C873</t>
        </is>
      </c>
      <c r="B631" t="inlineStr">
        <is>
          <t>C873</t>
        </is>
      </c>
      <c r="C631" t="inlineStr">
        <is>
          <t>COMMERCIAL BANKING</t>
        </is>
      </c>
      <c r="D631" t="inlineStr">
        <is>
          <t>I</t>
        </is>
      </c>
      <c r="E631" t="inlineStr">
        <is>
          <t>Stage 1</t>
        </is>
      </c>
      <c r="F631" t="inlineStr">
        <is>
          <t>N/A</t>
        </is>
      </c>
      <c r="G631" s="26">
        <v>25931766</v>
      </c>
      <c r="H631" s="26">
        <v>259318</v>
      </c>
      <c r="I631" s="26">
        <v>0</v>
      </c>
      <c r="J631" s="26">
        <v>252</v>
      </c>
      <c r="K631" t="inlineStr">
        <is>
          <t>Non</t>
        </is>
      </c>
      <c r="L631">
        <f>SUBTOTAL(103,A631)</f>
        <v>1</v>
      </c>
    </row>
    <row r="632">
      <c r="A632" t="inlineStr">
        <is>
          <t>SOCIETE C1930</t>
        </is>
      </c>
      <c r="B632" t="inlineStr">
        <is>
          <t>C1930</t>
        </is>
      </c>
      <c r="C632" t="inlineStr">
        <is>
          <t>CORPORATE BANKING</t>
        </is>
      </c>
      <c r="D632" t="inlineStr">
        <is>
          <t>I</t>
        </is>
      </c>
      <c r="E632" t="inlineStr">
        <is>
          <t>Stage 1</t>
        </is>
      </c>
      <c r="F632" t="inlineStr">
        <is>
          <t>N/A</t>
        </is>
      </c>
      <c r="G632" s="26">
        <v>92061260</v>
      </c>
      <c r="H632" s="26">
        <v>920613</v>
      </c>
      <c r="I632" s="26">
        <v>0</v>
      </c>
      <c r="J632" s="26">
        <v>32</v>
      </c>
      <c r="K632" t="inlineStr">
        <is>
          <t>Non</t>
        </is>
      </c>
      <c r="L632">
        <f>SUBTOTAL(103,A632)</f>
        <v>1</v>
      </c>
    </row>
    <row r="633">
      <c r="A633" t="inlineStr">
        <is>
          <t>SOCIETE C442</t>
        </is>
      </c>
      <c r="B633" t="inlineStr">
        <is>
          <t>C442</t>
        </is>
      </c>
      <c r="C633" t="inlineStr">
        <is>
          <t>CORPORATE BANKING</t>
        </is>
      </c>
      <c r="D633" t="inlineStr">
        <is>
          <t>II</t>
        </is>
      </c>
      <c r="E633" t="inlineStr">
        <is>
          <t>Stage 2</t>
        </is>
      </c>
      <c r="F633" t="inlineStr">
        <is>
          <t>N/A</t>
        </is>
      </c>
      <c r="G633" s="26">
        <v>2480280060</v>
      </c>
      <c r="H633" s="26">
        <v>148816804</v>
      </c>
      <c r="I633" s="26">
        <v>269594916</v>
      </c>
      <c r="J633" s="26">
        <v>29</v>
      </c>
      <c r="K633" t="inlineStr">
        <is>
          <t>Non</t>
        </is>
      </c>
      <c r="L633">
        <f>SUBTOTAL(103,A633)</f>
        <v>1</v>
      </c>
    </row>
    <row r="634">
      <c r="A634" t="inlineStr">
        <is>
          <t>SOCIETE C896</t>
        </is>
      </c>
      <c r="B634" t="inlineStr">
        <is>
          <t>C896</t>
        </is>
      </c>
      <c r="C634" t="inlineStr">
        <is>
          <t>CONSUMER BANKING</t>
        </is>
      </c>
      <c r="D634" t="inlineStr">
        <is>
          <t>I</t>
        </is>
      </c>
      <c r="E634" t="inlineStr">
        <is>
          <t>Stage 1</t>
        </is>
      </c>
      <c r="F634" t="inlineStr">
        <is>
          <t>N/A</t>
        </is>
      </c>
      <c r="G634" s="26">
        <v>111222497</v>
      </c>
      <c r="H634" s="26">
        <v>1112225</v>
      </c>
      <c r="I634" s="26">
        <v>11573440</v>
      </c>
      <c r="J634" s="26">
        <v>15</v>
      </c>
      <c r="K634" t="inlineStr">
        <is>
          <t>Non</t>
        </is>
      </c>
      <c r="L634">
        <f>SUBTOTAL(103,A634)</f>
        <v>1</v>
      </c>
    </row>
    <row r="635">
      <c r="A635" t="inlineStr">
        <is>
          <t>SOCIETE C607</t>
        </is>
      </c>
      <c r="B635" t="inlineStr">
        <is>
          <t>C607</t>
        </is>
      </c>
      <c r="C635" t="inlineStr">
        <is>
          <t>CORPORATE BANKING</t>
        </is>
      </c>
      <c r="D635" t="inlineStr">
        <is>
          <t>III</t>
        </is>
      </c>
      <c r="E635" t="inlineStr">
        <is>
          <t>Stage 3</t>
        </is>
      </c>
      <c r="F635" t="inlineStr">
        <is>
          <t>N/A</t>
        </is>
      </c>
      <c r="G635" s="26">
        <v>1387127947</v>
      </c>
      <c r="H635" s="26">
        <v>762920371</v>
      </c>
      <c r="I635" s="26">
        <v>0</v>
      </c>
      <c r="J635" s="26">
        <v>190</v>
      </c>
      <c r="K635" t="inlineStr">
        <is>
          <t>Oui</t>
        </is>
      </c>
      <c r="L635">
        <f>SUBTOTAL(103,A635)</f>
        <v>1</v>
      </c>
    </row>
    <row r="636">
      <c r="A636" t="inlineStr">
        <is>
          <t>SOCIETE C1668</t>
        </is>
      </c>
      <c r="B636" t="inlineStr">
        <is>
          <t>C1668</t>
        </is>
      </c>
      <c r="C636" t="inlineStr">
        <is>
          <t>SME</t>
        </is>
      </c>
      <c r="D636" t="inlineStr">
        <is>
          <t>I</t>
        </is>
      </c>
      <c r="E636" t="inlineStr">
        <is>
          <t>Stage 1</t>
        </is>
      </c>
      <c r="F636" t="inlineStr">
        <is>
          <t>N/A</t>
        </is>
      </c>
      <c r="G636" s="26">
        <v>2224798689</v>
      </c>
      <c r="H636" s="26">
        <v>22247987</v>
      </c>
      <c r="I636" s="26">
        <v>0</v>
      </c>
      <c r="J636" s="26">
        <v>54</v>
      </c>
      <c r="K636" t="inlineStr">
        <is>
          <t>Non</t>
        </is>
      </c>
      <c r="L636">
        <f>SUBTOTAL(103,A636)</f>
        <v>1</v>
      </c>
    </row>
    <row r="637">
      <c r="A637" t="inlineStr">
        <is>
          <t>SOCIETE C1157</t>
        </is>
      </c>
      <c r="B637" t="inlineStr">
        <is>
          <t>C1157</t>
        </is>
      </c>
      <c r="C637" t="inlineStr">
        <is>
          <t>CORPORATE BANKING</t>
        </is>
      </c>
      <c r="D637" t="inlineStr">
        <is>
          <t>III</t>
        </is>
      </c>
      <c r="E637" t="inlineStr">
        <is>
          <t>Stage 3</t>
        </is>
      </c>
      <c r="F637" t="inlineStr">
        <is>
          <t>N/A</t>
        </is>
      </c>
      <c r="G637" s="26">
        <v>192971119</v>
      </c>
      <c r="H637" s="26">
        <v>106134115</v>
      </c>
      <c r="I637" s="26">
        <v>0</v>
      </c>
      <c r="J637" s="26">
        <v>54</v>
      </c>
      <c r="K637" t="inlineStr">
        <is>
          <t>Oui</t>
        </is>
      </c>
      <c r="L637">
        <f>SUBTOTAL(103,A637)</f>
        <v>1</v>
      </c>
    </row>
    <row r="638">
      <c r="A638" t="inlineStr">
        <is>
          <t>SOCIETE C4</t>
        </is>
      </c>
      <c r="B638" t="inlineStr">
        <is>
          <t>C4</t>
        </is>
      </c>
      <c r="C638" t="inlineStr">
        <is>
          <t>CONSUMER BANKING</t>
        </is>
      </c>
      <c r="D638" t="inlineStr">
        <is>
          <t>I</t>
        </is>
      </c>
      <c r="E638" t="inlineStr">
        <is>
          <t>Stage 1</t>
        </is>
      </c>
      <c r="F638" t="inlineStr">
        <is>
          <t>N/A</t>
        </is>
      </c>
      <c r="G638" s="26">
        <v>635561393</v>
      </c>
      <c r="H638" s="26">
        <v>6355614</v>
      </c>
      <c r="I638" s="26">
        <v>101161032</v>
      </c>
      <c r="J638" s="26">
        <v>15</v>
      </c>
      <c r="K638" t="inlineStr">
        <is>
          <t>Non</t>
        </is>
      </c>
      <c r="L638">
        <f>SUBTOTAL(103,A638)</f>
        <v>1</v>
      </c>
    </row>
    <row r="639">
      <c r="A639" t="inlineStr">
        <is>
          <t>SOCIETE C43</t>
        </is>
      </c>
      <c r="B639" t="inlineStr">
        <is>
          <t>C43</t>
        </is>
      </c>
      <c r="C639" t="inlineStr">
        <is>
          <t>CORPORATE BANKING</t>
        </is>
      </c>
      <c r="D639" t="inlineStr">
        <is>
          <t>IA</t>
        </is>
      </c>
      <c r="E639" t="inlineStr">
        <is>
          <t>Stage 2</t>
        </is>
      </c>
      <c r="F639" t="inlineStr">
        <is>
          <t>N/A</t>
        </is>
      </c>
      <c r="G639" s="26">
        <v>415107184</v>
      </c>
      <c r="H639" s="26">
        <v>24906431</v>
      </c>
      <c r="I639" s="26">
        <v>0</v>
      </c>
      <c r="J639" s="26">
        <v>109</v>
      </c>
      <c r="K639" t="inlineStr">
        <is>
          <t>Non</t>
        </is>
      </c>
      <c r="L639">
        <f>SUBTOTAL(103,A639)</f>
        <v>1</v>
      </c>
    </row>
    <row r="640">
      <c r="A640" t="inlineStr">
        <is>
          <t>SOCIETE C2255</t>
        </is>
      </c>
      <c r="B640" t="inlineStr">
        <is>
          <t>C2255</t>
        </is>
      </c>
      <c r="C640" t="inlineStr">
        <is>
          <t>CORPORATE BANKING</t>
        </is>
      </c>
      <c r="D640" t="inlineStr">
        <is>
          <t>I</t>
        </is>
      </c>
      <c r="E640" t="inlineStr">
        <is>
          <t>Stage 1</t>
        </is>
      </c>
      <c r="F640" t="inlineStr">
        <is>
          <t>N/A</t>
        </is>
      </c>
      <c r="G640" s="26">
        <v>34160733</v>
      </c>
      <c r="H640" s="26">
        <v>341607</v>
      </c>
      <c r="I640" s="26">
        <v>5177152</v>
      </c>
      <c r="J640" s="26">
        <v>116</v>
      </c>
      <c r="K640" t="inlineStr">
        <is>
          <t>Non</t>
        </is>
      </c>
      <c r="L640">
        <f>SUBTOTAL(103,A640)</f>
        <v>1</v>
      </c>
    </row>
    <row r="641">
      <c r="A641" t="inlineStr">
        <is>
          <t>SOCIETE C482</t>
        </is>
      </c>
      <c r="B641" t="inlineStr">
        <is>
          <t>C482</t>
        </is>
      </c>
      <c r="C641" t="inlineStr">
        <is>
          <t>CORPORATE BANKING</t>
        </is>
      </c>
      <c r="D641" t="inlineStr">
        <is>
          <t>I</t>
        </is>
      </c>
      <c r="E641" t="inlineStr">
        <is>
          <t>Stage 1</t>
        </is>
      </c>
      <c r="F641" t="inlineStr">
        <is>
          <t>N/A</t>
        </is>
      </c>
      <c r="G641" s="26">
        <v>675373459</v>
      </c>
      <c r="H641" s="26">
        <v>6753735</v>
      </c>
      <c r="I641" s="26">
        <v>124824436</v>
      </c>
      <c r="J641" s="26">
        <v>51</v>
      </c>
      <c r="K641" t="inlineStr">
        <is>
          <t>Non</t>
        </is>
      </c>
      <c r="L641">
        <f>SUBTOTAL(103,A641)</f>
        <v>1</v>
      </c>
    </row>
    <row r="642">
      <c r="A642" t="inlineStr">
        <is>
          <t>SOCIETE C2388</t>
        </is>
      </c>
      <c r="B642" t="inlineStr">
        <is>
          <t>C2388</t>
        </is>
      </c>
      <c r="C642" t="inlineStr">
        <is>
          <t>CONSUMER BANKING</t>
        </is>
      </c>
      <c r="D642" t="inlineStr">
        <is>
          <t>I</t>
        </is>
      </c>
      <c r="E642" t="inlineStr">
        <is>
          <t>Stage 1</t>
        </is>
      </c>
      <c r="F642" t="inlineStr">
        <is>
          <t>N/A</t>
        </is>
      </c>
      <c r="G642" s="26">
        <v>102783203</v>
      </c>
      <c r="H642" s="26">
        <v>1027832</v>
      </c>
      <c r="I642" s="26">
        <v>0</v>
      </c>
      <c r="J642" s="26">
        <v>25</v>
      </c>
      <c r="K642" t="inlineStr">
        <is>
          <t>Non</t>
        </is>
      </c>
      <c r="L642">
        <f>SUBTOTAL(103,A642)</f>
        <v>1</v>
      </c>
    </row>
    <row r="643">
      <c r="A643" t="inlineStr">
        <is>
          <t>SOCIETE C1312</t>
        </is>
      </c>
      <c r="B643" t="inlineStr">
        <is>
          <t>C1312</t>
        </is>
      </c>
      <c r="C643" t="inlineStr">
        <is>
          <t>CORPORATE BANKING</t>
        </is>
      </c>
      <c r="D643" t="inlineStr">
        <is>
          <t>IV</t>
        </is>
      </c>
      <c r="E643" t="inlineStr">
        <is>
          <t>Stage 3</t>
        </is>
      </c>
      <c r="F643" t="inlineStr">
        <is>
          <t>N/A</t>
        </is>
      </c>
      <c r="G643" s="26">
        <v>1917697651</v>
      </c>
      <c r="H643" s="26">
        <v>1054733708</v>
      </c>
      <c r="I643" s="26">
        <v>0</v>
      </c>
      <c r="J643" s="26">
        <v>368</v>
      </c>
      <c r="K643" t="inlineStr">
        <is>
          <t>Oui</t>
        </is>
      </c>
      <c r="L643">
        <f>SUBTOTAL(103,A643)</f>
        <v>1</v>
      </c>
    </row>
    <row r="644">
      <c r="A644" t="inlineStr">
        <is>
          <t>SOCIETE C200</t>
        </is>
      </c>
      <c r="B644" t="inlineStr">
        <is>
          <t>C200</t>
        </is>
      </c>
      <c r="C644" t="inlineStr">
        <is>
          <t>COMMERCIAL BANKING</t>
        </is>
      </c>
      <c r="D644" t="inlineStr">
        <is>
          <t>I</t>
        </is>
      </c>
      <c r="E644" t="inlineStr">
        <is>
          <t>Stage 1</t>
        </is>
      </c>
      <c r="F644" t="inlineStr">
        <is>
          <t>N/A</t>
        </is>
      </c>
      <c r="G644" s="26">
        <v>29129452</v>
      </c>
      <c r="H644" s="26">
        <v>291295</v>
      </c>
      <c r="I644" s="26">
        <v>0</v>
      </c>
      <c r="J644" s="26">
        <v>40</v>
      </c>
      <c r="K644" t="inlineStr">
        <is>
          <t>Non</t>
        </is>
      </c>
      <c r="L644">
        <f>SUBTOTAL(103,A644)</f>
        <v>1</v>
      </c>
    </row>
    <row r="645">
      <c r="A645" t="inlineStr">
        <is>
          <t>SOCIETE C1544</t>
        </is>
      </c>
      <c r="B645" t="inlineStr">
        <is>
          <t>C1544</t>
        </is>
      </c>
      <c r="C645" t="inlineStr">
        <is>
          <t>CORPORATE BANKING</t>
        </is>
      </c>
      <c r="D645" t="inlineStr">
        <is>
          <t>IA</t>
        </is>
      </c>
      <c r="E645" t="inlineStr">
        <is>
          <t>Stage 2</t>
        </is>
      </c>
      <c r="F645" t="inlineStr">
        <is>
          <t>N/A</t>
        </is>
      </c>
      <c r="G645" s="26">
        <v>79166992</v>
      </c>
      <c r="H645" s="26">
        <v>4750020</v>
      </c>
      <c r="I645" s="26">
        <v>0</v>
      </c>
      <c r="J645" s="26">
        <v>173</v>
      </c>
      <c r="K645" t="inlineStr">
        <is>
          <t>Non</t>
        </is>
      </c>
      <c r="L645">
        <f>SUBTOTAL(103,A645)</f>
        <v>1</v>
      </c>
    </row>
    <row r="646">
      <c r="A646" t="inlineStr">
        <is>
          <t>SOCIETE C1756</t>
        </is>
      </c>
      <c r="B646" t="inlineStr">
        <is>
          <t>C1756</t>
        </is>
      </c>
      <c r="C646" t="inlineStr">
        <is>
          <t>SME</t>
        </is>
      </c>
      <c r="D646" t="inlineStr">
        <is>
          <t>III</t>
        </is>
      </c>
      <c r="E646" t="inlineStr">
        <is>
          <t>Stage 3</t>
        </is>
      </c>
      <c r="F646" t="inlineStr">
        <is>
          <t>N/A</t>
        </is>
      </c>
      <c r="G646" s="26">
        <v>8166174</v>
      </c>
      <c r="H646" s="26">
        <v>4491396</v>
      </c>
      <c r="I646" s="26">
        <v>0</v>
      </c>
      <c r="J646" s="26">
        <v>28</v>
      </c>
      <c r="K646" t="inlineStr">
        <is>
          <t>Oui</t>
        </is>
      </c>
      <c r="L646">
        <f>SUBTOTAL(103,A646)</f>
        <v>1</v>
      </c>
    </row>
    <row r="647">
      <c r="A647" t="inlineStr">
        <is>
          <t>SOCIETE C152</t>
        </is>
      </c>
      <c r="B647" t="inlineStr">
        <is>
          <t>C152</t>
        </is>
      </c>
      <c r="C647" t="inlineStr">
        <is>
          <t>PUBLIC SECTOR</t>
        </is>
      </c>
      <c r="D647" t="inlineStr">
        <is>
          <t>V</t>
        </is>
      </c>
      <c r="E647" t="inlineStr">
        <is>
          <t>Stage 3</t>
        </is>
      </c>
      <c r="F647" t="inlineStr">
        <is>
          <t>N/A</t>
        </is>
      </c>
      <c r="G647" s="26">
        <v>1802329122</v>
      </c>
      <c r="H647" s="26">
        <v>991281017</v>
      </c>
      <c r="I647" s="26">
        <v>0</v>
      </c>
      <c r="J647" s="26">
        <v>224</v>
      </c>
      <c r="K647" t="inlineStr">
        <is>
          <t>Oui</t>
        </is>
      </c>
      <c r="L647">
        <f>SUBTOTAL(103,A647)</f>
        <v>1</v>
      </c>
    </row>
    <row r="648">
      <c r="A648" t="inlineStr">
        <is>
          <t>SOCIETE C977</t>
        </is>
      </c>
      <c r="B648" t="inlineStr">
        <is>
          <t>C977</t>
        </is>
      </c>
      <c r="C648" t="inlineStr">
        <is>
          <t>CORPORATE BANKING</t>
        </is>
      </c>
      <c r="D648" t="inlineStr">
        <is>
          <t>IA</t>
        </is>
      </c>
      <c r="E648" t="inlineStr">
        <is>
          <t>Stage 2</t>
        </is>
      </c>
      <c r="F648" t="inlineStr">
        <is>
          <t>N/A</t>
        </is>
      </c>
      <c r="G648" s="26">
        <v>2581223994</v>
      </c>
      <c r="H648" s="26">
        <v>154873440</v>
      </c>
      <c r="I648" s="26">
        <v>0</v>
      </c>
      <c r="J648" s="26">
        <v>32</v>
      </c>
      <c r="K648" t="inlineStr">
        <is>
          <t>Non</t>
        </is>
      </c>
      <c r="L648">
        <f>SUBTOTAL(103,A648)</f>
        <v>1</v>
      </c>
    </row>
    <row r="649">
      <c r="A649" t="inlineStr">
        <is>
          <t>SOCIETE C205</t>
        </is>
      </c>
      <c r="B649" t="inlineStr">
        <is>
          <t>C205</t>
        </is>
      </c>
      <c r="C649" t="inlineStr">
        <is>
          <t>COMMERCIAL BANKING</t>
        </is>
      </c>
      <c r="D649" t="inlineStr">
        <is>
          <t>IA</t>
        </is>
      </c>
      <c r="E649" t="inlineStr">
        <is>
          <t>Stage 2</t>
        </is>
      </c>
      <c r="F649" t="inlineStr">
        <is>
          <t>N/A</t>
        </is>
      </c>
      <c r="G649" s="26">
        <v>2481650332</v>
      </c>
      <c r="H649" s="26">
        <v>148899020</v>
      </c>
      <c r="I649" s="26">
        <v>0</v>
      </c>
      <c r="J649" s="26">
        <v>70</v>
      </c>
      <c r="K649" t="inlineStr">
        <is>
          <t>Non</t>
        </is>
      </c>
      <c r="L649">
        <f>SUBTOTAL(103,A649)</f>
        <v>1</v>
      </c>
    </row>
    <row r="650">
      <c r="A650" t="inlineStr">
        <is>
          <t>SOCIETE C1072</t>
        </is>
      </c>
      <c r="B650" t="inlineStr">
        <is>
          <t>C1072</t>
        </is>
      </c>
      <c r="C650" t="inlineStr">
        <is>
          <t>CORPORATE BANKING</t>
        </is>
      </c>
      <c r="D650" t="inlineStr">
        <is>
          <t>IA</t>
        </is>
      </c>
      <c r="E650" t="inlineStr">
        <is>
          <t>Stage 2</t>
        </is>
      </c>
      <c r="F650" t="inlineStr">
        <is>
          <t>N/A</t>
        </is>
      </c>
      <c r="G650" s="26">
        <v>191259936</v>
      </c>
      <c r="H650" s="26">
        <v>11475596</v>
      </c>
      <c r="I650" s="26">
        <v>0</v>
      </c>
      <c r="J650" s="26">
        <v>104</v>
      </c>
      <c r="K650" t="inlineStr">
        <is>
          <t>Non</t>
        </is>
      </c>
      <c r="L650">
        <f>SUBTOTAL(103,A650)</f>
        <v>1</v>
      </c>
    </row>
    <row r="651">
      <c r="A651" t="inlineStr">
        <is>
          <t>SOCIETE C16</t>
        </is>
      </c>
      <c r="B651" t="inlineStr">
        <is>
          <t>C16</t>
        </is>
      </c>
      <c r="C651" t="inlineStr">
        <is>
          <t>CORPORATE BANKING</t>
        </is>
      </c>
      <c r="D651" t="inlineStr">
        <is>
          <t>IA</t>
        </is>
      </c>
      <c r="E651" t="inlineStr">
        <is>
          <t>Stage 2</t>
        </is>
      </c>
      <c r="F651" t="inlineStr">
        <is>
          <t>N/A</t>
        </is>
      </c>
      <c r="G651" s="26">
        <v>746177917</v>
      </c>
      <c r="H651" s="26">
        <v>44770675</v>
      </c>
      <c r="I651" s="26">
        <v>0</v>
      </c>
      <c r="J651" s="26">
        <v>296</v>
      </c>
      <c r="K651" t="inlineStr">
        <is>
          <t>Non</t>
        </is>
      </c>
      <c r="L651">
        <f>SUBTOTAL(103,A651)</f>
        <v>1</v>
      </c>
    </row>
    <row r="652">
      <c r="A652" t="inlineStr">
        <is>
          <t>SOCIETE C221</t>
        </is>
      </c>
      <c r="B652" t="inlineStr">
        <is>
          <t>C221</t>
        </is>
      </c>
      <c r="C652" t="inlineStr">
        <is>
          <t>CORPORATE BANKING</t>
        </is>
      </c>
      <c r="D652" t="inlineStr">
        <is>
          <t>I</t>
        </is>
      </c>
      <c r="E652" t="inlineStr">
        <is>
          <t>Stage 1</t>
        </is>
      </c>
      <c r="F652" t="inlineStr">
        <is>
          <t>N/A</t>
        </is>
      </c>
      <c r="G652" s="26">
        <v>744081280</v>
      </c>
      <c r="H652" s="26">
        <v>7440813</v>
      </c>
      <c r="I652" s="26">
        <v>0</v>
      </c>
      <c r="J652" s="26">
        <v>138</v>
      </c>
      <c r="K652" t="inlineStr">
        <is>
          <t>Non</t>
        </is>
      </c>
      <c r="L652">
        <f>SUBTOTAL(103,A652)</f>
        <v>1</v>
      </c>
    </row>
    <row r="653">
      <c r="A653" t="inlineStr">
        <is>
          <t>SOCIETE C2080</t>
        </is>
      </c>
      <c r="B653" t="inlineStr">
        <is>
          <t>C2080</t>
        </is>
      </c>
      <c r="C653" t="inlineStr">
        <is>
          <t>CORPORATE BANKING</t>
        </is>
      </c>
      <c r="D653" t="inlineStr">
        <is>
          <t>I</t>
        </is>
      </c>
      <c r="E653" t="inlineStr">
        <is>
          <t>Stage 1</t>
        </is>
      </c>
      <c r="F653" t="inlineStr">
        <is>
          <t>N/A</t>
        </is>
      </c>
      <c r="G653" s="26">
        <v>231863857</v>
      </c>
      <c r="H653" s="26">
        <v>2318639</v>
      </c>
      <c r="I653" s="26">
        <v>0</v>
      </c>
      <c r="J653" s="26">
        <v>28</v>
      </c>
      <c r="K653" t="inlineStr">
        <is>
          <t>Non</t>
        </is>
      </c>
      <c r="L653">
        <f>SUBTOTAL(103,A653)</f>
        <v>1</v>
      </c>
    </row>
    <row r="654">
      <c r="A654" t="inlineStr">
        <is>
          <t>SOCIETE C2038</t>
        </is>
      </c>
      <c r="B654" t="inlineStr">
        <is>
          <t>C2038</t>
        </is>
      </c>
      <c r="C654" t="inlineStr">
        <is>
          <t>PUBLIC SECTOR</t>
        </is>
      </c>
      <c r="D654" t="inlineStr">
        <is>
          <t>IA</t>
        </is>
      </c>
      <c r="E654" t="inlineStr">
        <is>
          <t>Stage 2</t>
        </is>
      </c>
      <c r="F654" t="inlineStr">
        <is>
          <t>N/A</t>
        </is>
      </c>
      <c r="G654" s="26">
        <v>725178087</v>
      </c>
      <c r="H654" s="26">
        <v>43510685</v>
      </c>
      <c r="I654" s="26">
        <v>0</v>
      </c>
      <c r="J654" s="26">
        <v>306</v>
      </c>
      <c r="K654" t="inlineStr">
        <is>
          <t>Non</t>
        </is>
      </c>
      <c r="L654">
        <f>SUBTOTAL(103,A654)</f>
        <v>1</v>
      </c>
    </row>
    <row r="655">
      <c r="A655" t="inlineStr">
        <is>
          <t>SOCIETE C1097</t>
        </is>
      </c>
      <c r="B655" t="inlineStr">
        <is>
          <t>C1097</t>
        </is>
      </c>
      <c r="C655" t="inlineStr">
        <is>
          <t>CORPORATE BANKING</t>
        </is>
      </c>
      <c r="D655" t="inlineStr">
        <is>
          <t>I</t>
        </is>
      </c>
      <c r="E655" t="inlineStr">
        <is>
          <t>Stage 1</t>
        </is>
      </c>
      <c r="F655" t="inlineStr">
        <is>
          <t>N/A</t>
        </is>
      </c>
      <c r="G655" s="26">
        <v>128121428</v>
      </c>
      <c r="H655" s="26">
        <v>1281214</v>
      </c>
      <c r="I655" s="26">
        <v>0</v>
      </c>
      <c r="J655" s="26">
        <v>70</v>
      </c>
      <c r="K655" t="inlineStr">
        <is>
          <t>Non</t>
        </is>
      </c>
      <c r="L655">
        <f>SUBTOTAL(103,A655)</f>
        <v>1</v>
      </c>
    </row>
    <row r="656">
      <c r="A656" t="inlineStr">
        <is>
          <t>SOCIETE C612</t>
        </is>
      </c>
      <c r="B656" t="inlineStr">
        <is>
          <t>C612</t>
        </is>
      </c>
      <c r="C656" t="inlineStr">
        <is>
          <t>CORPORATE BANKING</t>
        </is>
      </c>
      <c r="D656" t="inlineStr">
        <is>
          <t>I</t>
        </is>
      </c>
      <c r="E656" t="inlineStr">
        <is>
          <t>Stage 1</t>
        </is>
      </c>
      <c r="F656" t="inlineStr">
        <is>
          <t>N/A</t>
        </is>
      </c>
      <c r="G656" s="26">
        <v>1229639186</v>
      </c>
      <c r="H656" s="26">
        <v>12296392</v>
      </c>
      <c r="I656" s="26">
        <v>0</v>
      </c>
      <c r="J656" s="26">
        <v>36</v>
      </c>
      <c r="K656" t="inlineStr">
        <is>
          <t>Non</t>
        </is>
      </c>
      <c r="L656">
        <f>SUBTOTAL(103,A656)</f>
        <v>1</v>
      </c>
    </row>
    <row r="657">
      <c r="A657" t="inlineStr">
        <is>
          <t>SOCIETE C1101</t>
        </is>
      </c>
      <c r="B657" t="inlineStr">
        <is>
          <t>C1101</t>
        </is>
      </c>
      <c r="C657" t="inlineStr">
        <is>
          <t>CORPORATE BANKING</t>
        </is>
      </c>
      <c r="D657" t="inlineStr">
        <is>
          <t>I</t>
        </is>
      </c>
      <c r="E657" t="inlineStr">
        <is>
          <t>Stage 1</t>
        </is>
      </c>
      <c r="F657" t="inlineStr">
        <is>
          <t>N/A</t>
        </is>
      </c>
      <c r="G657" s="26">
        <v>649624877</v>
      </c>
      <c r="H657" s="26">
        <v>6496249</v>
      </c>
      <c r="I657" s="26">
        <v>100677592</v>
      </c>
      <c r="J657" s="26">
        <v>150</v>
      </c>
      <c r="K657" t="inlineStr">
        <is>
          <t>Non</t>
        </is>
      </c>
      <c r="L657">
        <f>SUBTOTAL(103,A657)</f>
        <v>1</v>
      </c>
    </row>
    <row r="658">
      <c r="A658" t="inlineStr">
        <is>
          <t>SOCIETE C1475</t>
        </is>
      </c>
      <c r="B658" t="inlineStr">
        <is>
          <t>C1475</t>
        </is>
      </c>
      <c r="C658" t="inlineStr">
        <is>
          <t>CORPORATE BANKING</t>
        </is>
      </c>
      <c r="D658" t="inlineStr">
        <is>
          <t>IA</t>
        </is>
      </c>
      <c r="E658" t="inlineStr">
        <is>
          <t>Stage 2</t>
        </is>
      </c>
      <c r="F658" t="inlineStr">
        <is>
          <t>N/A</t>
        </is>
      </c>
      <c r="G658" s="26">
        <v>21389293</v>
      </c>
      <c r="H658" s="26">
        <v>1283358</v>
      </c>
      <c r="I658" s="26">
        <v>1542528</v>
      </c>
      <c r="J658" s="26">
        <v>94</v>
      </c>
      <c r="K658" t="inlineStr">
        <is>
          <t>Non</t>
        </is>
      </c>
      <c r="L658">
        <f>SUBTOTAL(103,A658)</f>
        <v>1</v>
      </c>
    </row>
    <row r="659">
      <c r="A659" t="inlineStr">
        <is>
          <t>SOCIETE C2421</t>
        </is>
      </c>
      <c r="B659" t="inlineStr">
        <is>
          <t>C2421</t>
        </is>
      </c>
      <c r="C659" t="inlineStr">
        <is>
          <t>CORPORATE BANKING</t>
        </is>
      </c>
      <c r="D659" t="inlineStr">
        <is>
          <t>I</t>
        </is>
      </c>
      <c r="E659" t="inlineStr">
        <is>
          <t>Stage 1</t>
        </is>
      </c>
      <c r="F659" t="inlineStr">
        <is>
          <t>N/A</t>
        </is>
      </c>
      <c r="G659" s="26">
        <v>120004133</v>
      </c>
      <c r="H659" s="26">
        <v>1200041</v>
      </c>
      <c r="I659" s="26">
        <v>0</v>
      </c>
      <c r="J659" s="26">
        <v>105</v>
      </c>
      <c r="K659" t="inlineStr">
        <is>
          <t>Non</t>
        </is>
      </c>
      <c r="L659">
        <f>SUBTOTAL(103,A659)</f>
        <v>1</v>
      </c>
    </row>
    <row r="660">
      <c r="A660" t="inlineStr">
        <is>
          <t>SOCIETE C442</t>
        </is>
      </c>
      <c r="B660" t="inlineStr">
        <is>
          <t>C442</t>
        </is>
      </c>
      <c r="C660" t="inlineStr">
        <is>
          <t>PUBLIC SECTOR</t>
        </is>
      </c>
      <c r="D660" t="inlineStr">
        <is>
          <t>I</t>
        </is>
      </c>
      <c r="E660" t="inlineStr">
        <is>
          <t>Stage 1</t>
        </is>
      </c>
      <c r="F660" t="inlineStr">
        <is>
          <t>N/A</t>
        </is>
      </c>
      <c r="G660" s="26">
        <v>1140046160</v>
      </c>
      <c r="H660" s="26">
        <v>11400462</v>
      </c>
      <c r="I660" s="26">
        <v>0</v>
      </c>
      <c r="J660" s="26">
        <v>157</v>
      </c>
      <c r="K660" t="inlineStr">
        <is>
          <t>Non</t>
        </is>
      </c>
      <c r="L660">
        <f>SUBTOTAL(103,A660)</f>
        <v>1</v>
      </c>
    </row>
    <row r="661">
      <c r="A661" t="inlineStr">
        <is>
          <t>SOCIETE C981</t>
        </is>
      </c>
      <c r="B661" t="inlineStr">
        <is>
          <t>C981</t>
        </is>
      </c>
      <c r="C661" t="inlineStr">
        <is>
          <t>COMMERCIAL BANKING</t>
        </is>
      </c>
      <c r="D661" t="inlineStr">
        <is>
          <t>I</t>
        </is>
      </c>
      <c r="E661" t="inlineStr">
        <is>
          <t>Stage 1</t>
        </is>
      </c>
      <c r="F661" t="inlineStr">
        <is>
          <t>N/A</t>
        </is>
      </c>
      <c r="G661" s="26">
        <v>428898562</v>
      </c>
      <c r="H661" s="26">
        <v>4288986</v>
      </c>
      <c r="I661" s="26">
        <v>0</v>
      </c>
      <c r="J661" s="26">
        <v>201</v>
      </c>
      <c r="K661" t="inlineStr">
        <is>
          <t>Non</t>
        </is>
      </c>
      <c r="L661">
        <f>SUBTOTAL(103,A661)</f>
        <v>1</v>
      </c>
    </row>
    <row r="662">
      <c r="A662" t="inlineStr">
        <is>
          <t>SOCIETE C2022</t>
        </is>
      </c>
      <c r="B662" t="inlineStr">
        <is>
          <t>C2022</t>
        </is>
      </c>
      <c r="C662" t="inlineStr">
        <is>
          <t>CORPORATE BANKING</t>
        </is>
      </c>
      <c r="D662" t="inlineStr">
        <is>
          <t>I</t>
        </is>
      </c>
      <c r="E662" t="inlineStr">
        <is>
          <t>Stage 1</t>
        </is>
      </c>
      <c r="F662" t="inlineStr">
        <is>
          <t>N/A</t>
        </is>
      </c>
      <c r="G662" s="26">
        <v>210106725</v>
      </c>
      <c r="H662" s="26">
        <v>2101067</v>
      </c>
      <c r="I662" s="26">
        <v>11553524</v>
      </c>
      <c r="J662" s="26">
        <v>92</v>
      </c>
      <c r="K662" t="inlineStr">
        <is>
          <t>Non</t>
        </is>
      </c>
      <c r="L662">
        <f>SUBTOTAL(103,A662)</f>
        <v>1</v>
      </c>
    </row>
    <row r="663">
      <c r="A663" t="inlineStr">
        <is>
          <t>SOCIETE C1940</t>
        </is>
      </c>
      <c r="B663" t="inlineStr">
        <is>
          <t>C1940</t>
        </is>
      </c>
      <c r="C663" t="inlineStr">
        <is>
          <t>CORPORATE BANKING</t>
        </is>
      </c>
      <c r="D663" t="inlineStr">
        <is>
          <t>IA</t>
        </is>
      </c>
      <c r="E663" t="inlineStr">
        <is>
          <t>Stage 2</t>
        </is>
      </c>
      <c r="F663" t="inlineStr">
        <is>
          <t>N/A</t>
        </is>
      </c>
      <c r="G663" s="26">
        <v>1125118007</v>
      </c>
      <c r="H663" s="26">
        <v>67507080</v>
      </c>
      <c r="I663" s="26">
        <v>164142847</v>
      </c>
      <c r="J663" s="26">
        <v>28</v>
      </c>
      <c r="K663" t="inlineStr">
        <is>
          <t>Non</t>
        </is>
      </c>
      <c r="L663">
        <f>SUBTOTAL(103,A663)</f>
        <v>1</v>
      </c>
    </row>
    <row r="664">
      <c r="A664" t="inlineStr">
        <is>
          <t>SOCIETE C1762</t>
        </is>
      </c>
      <c r="B664" t="inlineStr">
        <is>
          <t>C1762</t>
        </is>
      </c>
      <c r="C664" t="inlineStr">
        <is>
          <t>CONSUMER BANKING</t>
        </is>
      </c>
      <c r="D664" t="inlineStr">
        <is>
          <t>II</t>
        </is>
      </c>
      <c r="E664" t="inlineStr">
        <is>
          <t>Stage 2</t>
        </is>
      </c>
      <c r="F664" t="inlineStr">
        <is>
          <t>N/A</t>
        </is>
      </c>
      <c r="G664" s="26">
        <v>1046718</v>
      </c>
      <c r="H664" s="26">
        <v>62803</v>
      </c>
      <c r="I664" s="26">
        <v>0</v>
      </c>
      <c r="J664" s="26">
        <v>135</v>
      </c>
      <c r="K664" t="inlineStr">
        <is>
          <t>Non</t>
        </is>
      </c>
      <c r="L664">
        <f>SUBTOTAL(103,A664)</f>
        <v>1</v>
      </c>
    </row>
    <row r="665">
      <c r="A665" t="inlineStr">
        <is>
          <t>SOCIETE C656</t>
        </is>
      </c>
      <c r="B665" t="inlineStr">
        <is>
          <t>C656</t>
        </is>
      </c>
      <c r="C665" t="inlineStr">
        <is>
          <t>CORPORATE BANKING</t>
        </is>
      </c>
      <c r="D665" t="inlineStr">
        <is>
          <t>IA</t>
        </is>
      </c>
      <c r="E665" t="inlineStr">
        <is>
          <t>Stage 2</t>
        </is>
      </c>
      <c r="F665" t="inlineStr">
        <is>
          <t>N/A</t>
        </is>
      </c>
      <c r="G665" s="26">
        <v>2025782</v>
      </c>
      <c r="H665" s="26">
        <v>121547</v>
      </c>
      <c r="I665" s="26">
        <v>0</v>
      </c>
      <c r="J665" s="26">
        <v>36</v>
      </c>
      <c r="K665" t="inlineStr">
        <is>
          <t>Non</t>
        </is>
      </c>
      <c r="L665">
        <f>SUBTOTAL(103,A665)</f>
        <v>1</v>
      </c>
    </row>
    <row r="666">
      <c r="A666" t="inlineStr">
        <is>
          <t>SOCIETE C1929</t>
        </is>
      </c>
      <c r="B666" t="inlineStr">
        <is>
          <t>C1929</t>
        </is>
      </c>
      <c r="C666" t="inlineStr">
        <is>
          <t>COMMERCIAL BANKING</t>
        </is>
      </c>
      <c r="D666" t="inlineStr">
        <is>
          <t>I</t>
        </is>
      </c>
      <c r="E666" t="inlineStr">
        <is>
          <t>Stage 1</t>
        </is>
      </c>
      <c r="F666" t="inlineStr">
        <is>
          <t>N/A</t>
        </is>
      </c>
      <c r="G666" s="26">
        <v>111069486</v>
      </c>
      <c r="H666" s="26">
        <v>1110695</v>
      </c>
      <c r="I666" s="26">
        <v>0</v>
      </c>
      <c r="J666" s="26">
        <v>33</v>
      </c>
      <c r="K666" t="inlineStr">
        <is>
          <t>Non</t>
        </is>
      </c>
      <c r="L666">
        <f>SUBTOTAL(103,A666)</f>
        <v>1</v>
      </c>
    </row>
    <row r="667">
      <c r="A667" t="inlineStr">
        <is>
          <t>SOCIETE C2286</t>
        </is>
      </c>
      <c r="B667" t="inlineStr">
        <is>
          <t>C2286</t>
        </is>
      </c>
      <c r="C667" t="inlineStr">
        <is>
          <t>PUBLIC SECTOR</t>
        </is>
      </c>
      <c r="D667" t="inlineStr">
        <is>
          <t>II</t>
        </is>
      </c>
      <c r="E667" t="inlineStr">
        <is>
          <t>Stage 2</t>
        </is>
      </c>
      <c r="F667" t="inlineStr">
        <is>
          <t>N/A</t>
        </is>
      </c>
      <c r="G667" s="26">
        <v>589558186</v>
      </c>
      <c r="H667" s="26">
        <v>35373491</v>
      </c>
      <c r="I667" s="26">
        <v>0</v>
      </c>
      <c r="J667" s="26">
        <v>54</v>
      </c>
      <c r="K667" t="inlineStr">
        <is>
          <t>Non</t>
        </is>
      </c>
      <c r="L667">
        <f>SUBTOTAL(103,A667)</f>
        <v>1</v>
      </c>
    </row>
    <row r="668">
      <c r="A668" t="inlineStr">
        <is>
          <t>SOCIETE C2168</t>
        </is>
      </c>
      <c r="B668" t="inlineStr">
        <is>
          <t>C2168</t>
        </is>
      </c>
      <c r="C668" t="inlineStr">
        <is>
          <t>CORPORATE BANKING</t>
        </is>
      </c>
      <c r="D668" t="inlineStr">
        <is>
          <t>IV</t>
        </is>
      </c>
      <c r="E668" t="inlineStr">
        <is>
          <t>Stage 3</t>
        </is>
      </c>
      <c r="F668" t="inlineStr">
        <is>
          <t>N/A</t>
        </is>
      </c>
      <c r="G668" s="26">
        <v>1004970</v>
      </c>
      <c r="H668" s="26">
        <v>552733</v>
      </c>
      <c r="I668" s="26">
        <v>0</v>
      </c>
      <c r="J668" s="26">
        <v>2</v>
      </c>
      <c r="K668" t="inlineStr">
        <is>
          <t>Oui</t>
        </is>
      </c>
      <c r="L668">
        <f>SUBTOTAL(103,A668)</f>
        <v>1</v>
      </c>
    </row>
    <row r="669">
      <c r="A669" t="inlineStr">
        <is>
          <t>SOCIETE C1856</t>
        </is>
      </c>
      <c r="B669" t="inlineStr">
        <is>
          <t>C1856</t>
        </is>
      </c>
      <c r="C669" t="inlineStr">
        <is>
          <t>CORPORATE BANKING</t>
        </is>
      </c>
      <c r="D669" t="inlineStr">
        <is>
          <t>V</t>
        </is>
      </c>
      <c r="E669" t="inlineStr">
        <is>
          <t>Stage 3</t>
        </is>
      </c>
      <c r="F669" t="inlineStr">
        <is>
          <t>N/A</t>
        </is>
      </c>
      <c r="G669" s="26">
        <v>554103918</v>
      </c>
      <c r="H669" s="26">
        <v>304757155</v>
      </c>
      <c r="I669" s="26">
        <v>38585647</v>
      </c>
      <c r="J669" s="26">
        <v>278</v>
      </c>
      <c r="K669" t="inlineStr">
        <is>
          <t>Oui</t>
        </is>
      </c>
      <c r="L669">
        <f>SUBTOTAL(103,A669)</f>
        <v>1</v>
      </c>
    </row>
    <row r="670">
      <c r="A670" t="inlineStr">
        <is>
          <t>SOCIETE C354</t>
        </is>
      </c>
      <c r="B670" t="inlineStr">
        <is>
          <t>C354</t>
        </is>
      </c>
      <c r="C670" t="inlineStr">
        <is>
          <t>COMMERCIAL BANKING</t>
        </is>
      </c>
      <c r="D670" t="inlineStr">
        <is>
          <t>V</t>
        </is>
      </c>
      <c r="E670" t="inlineStr">
        <is>
          <t>Stage 3</t>
        </is>
      </c>
      <c r="F670" t="inlineStr">
        <is>
          <t>N/A</t>
        </is>
      </c>
      <c r="G670" s="26">
        <v>1189593528</v>
      </c>
      <c r="H670" s="26">
        <v>654276440</v>
      </c>
      <c r="I670" s="26">
        <v>0</v>
      </c>
      <c r="J670" s="26">
        <v>225</v>
      </c>
      <c r="K670" t="inlineStr">
        <is>
          <t>Oui</t>
        </is>
      </c>
      <c r="L670">
        <f>SUBTOTAL(103,A670)</f>
        <v>1</v>
      </c>
    </row>
    <row r="671">
      <c r="A671" t="inlineStr">
        <is>
          <t>SOCIETE C1363</t>
        </is>
      </c>
      <c r="B671" t="inlineStr">
        <is>
          <t>C1363</t>
        </is>
      </c>
      <c r="C671" t="inlineStr">
        <is>
          <t>COMMERCIAL BANKING</t>
        </is>
      </c>
      <c r="D671" t="inlineStr">
        <is>
          <t>I</t>
        </is>
      </c>
      <c r="E671" t="inlineStr">
        <is>
          <t>Stage 1</t>
        </is>
      </c>
      <c r="F671" t="inlineStr">
        <is>
          <t>N/A</t>
        </is>
      </c>
      <c r="G671" s="26">
        <v>2079814</v>
      </c>
      <c r="H671" s="26">
        <v>20798</v>
      </c>
      <c r="I671" s="26">
        <v>368451</v>
      </c>
      <c r="J671" s="26">
        <v>104</v>
      </c>
      <c r="K671" t="inlineStr">
        <is>
          <t>Non</t>
        </is>
      </c>
      <c r="L671">
        <f>SUBTOTAL(103,A671)</f>
        <v>1</v>
      </c>
    </row>
    <row r="672">
      <c r="A672" t="inlineStr">
        <is>
          <t>SOCIETE C197</t>
        </is>
      </c>
      <c r="B672" t="inlineStr">
        <is>
          <t>C197</t>
        </is>
      </c>
      <c r="C672" t="inlineStr">
        <is>
          <t>PUBLIC SECTOR</t>
        </is>
      </c>
      <c r="D672" t="inlineStr">
        <is>
          <t>I</t>
        </is>
      </c>
      <c r="E672" t="inlineStr">
        <is>
          <t>Stage 1</t>
        </is>
      </c>
      <c r="F672" t="inlineStr">
        <is>
          <t>N/A</t>
        </is>
      </c>
      <c r="G672" s="26">
        <v>491625559</v>
      </c>
      <c r="H672" s="26">
        <v>4916256</v>
      </c>
      <c r="I672" s="26">
        <v>0</v>
      </c>
      <c r="J672" s="26">
        <v>30</v>
      </c>
      <c r="K672" t="inlineStr">
        <is>
          <t>Non</t>
        </is>
      </c>
      <c r="L672">
        <f>SUBTOTAL(103,A672)</f>
        <v>1</v>
      </c>
    </row>
    <row r="673">
      <c r="A673" t="inlineStr">
        <is>
          <t>SOCIETE C1294</t>
        </is>
      </c>
      <c r="B673" t="inlineStr">
        <is>
          <t>C1294</t>
        </is>
      </c>
      <c r="C673" t="inlineStr">
        <is>
          <t>CONSUMER BANKING</t>
        </is>
      </c>
      <c r="D673" t="inlineStr">
        <is>
          <t>I</t>
        </is>
      </c>
      <c r="E673" t="inlineStr">
        <is>
          <t>Stage 1</t>
        </is>
      </c>
      <c r="F673" t="inlineStr">
        <is>
          <t>N/A</t>
        </is>
      </c>
      <c r="G673" s="26">
        <v>417184531</v>
      </c>
      <c r="H673" s="26">
        <v>4171845</v>
      </c>
      <c r="I673" s="26">
        <v>1959287</v>
      </c>
      <c r="J673" s="26">
        <v>262</v>
      </c>
      <c r="K673" t="inlineStr">
        <is>
          <t>Non</t>
        </is>
      </c>
      <c r="L673">
        <f>SUBTOTAL(103,A673)</f>
        <v>1</v>
      </c>
    </row>
    <row r="674">
      <c r="A674" t="inlineStr">
        <is>
          <t>SOCIETE C938</t>
        </is>
      </c>
      <c r="B674" t="inlineStr">
        <is>
          <t>C938</t>
        </is>
      </c>
      <c r="C674" t="inlineStr">
        <is>
          <t>COMMERCIAL BANKING</t>
        </is>
      </c>
      <c r="D674" t="inlineStr">
        <is>
          <t>I</t>
        </is>
      </c>
      <c r="E674" t="inlineStr">
        <is>
          <t>Stage 1</t>
        </is>
      </c>
      <c r="F674" t="inlineStr">
        <is>
          <t>N/A</t>
        </is>
      </c>
      <c r="G674" s="26">
        <v>849280862</v>
      </c>
      <c r="H674" s="26">
        <v>8492809</v>
      </c>
      <c r="I674" s="26">
        <v>52967501</v>
      </c>
      <c r="J674" s="26">
        <v>9</v>
      </c>
      <c r="K674" t="inlineStr">
        <is>
          <t>Non</t>
        </is>
      </c>
      <c r="L674">
        <f>SUBTOTAL(103,A674)</f>
        <v>1</v>
      </c>
    </row>
    <row r="675">
      <c r="A675" t="inlineStr">
        <is>
          <t>SOCIETE C1527</t>
        </is>
      </c>
      <c r="B675" t="inlineStr">
        <is>
          <t>C1527</t>
        </is>
      </c>
      <c r="C675" t="inlineStr">
        <is>
          <t>CORPORATE BANKING</t>
        </is>
      </c>
      <c r="D675" t="inlineStr">
        <is>
          <t>V</t>
        </is>
      </c>
      <c r="E675" t="inlineStr">
        <is>
          <t>Stage 3</t>
        </is>
      </c>
      <c r="F675" t="inlineStr">
        <is>
          <t>N/A</t>
        </is>
      </c>
      <c r="G675" s="26">
        <v>390934854</v>
      </c>
      <c r="H675" s="26">
        <v>215014170</v>
      </c>
      <c r="I675" s="26">
        <v>31443973</v>
      </c>
      <c r="J675" s="26">
        <v>21</v>
      </c>
      <c r="K675" t="inlineStr">
        <is>
          <t>Oui</t>
        </is>
      </c>
      <c r="L675">
        <f>SUBTOTAL(103,A675)</f>
        <v>1</v>
      </c>
    </row>
    <row r="676">
      <c r="A676" t="inlineStr">
        <is>
          <t>SOCIETE C1565</t>
        </is>
      </c>
      <c r="B676" t="inlineStr">
        <is>
          <t>C1565</t>
        </is>
      </c>
      <c r="C676" t="inlineStr">
        <is>
          <t>CORPORATE BANKING</t>
        </is>
      </c>
      <c r="D676" t="inlineStr">
        <is>
          <t>III</t>
        </is>
      </c>
      <c r="E676" t="inlineStr">
        <is>
          <t>Stage 3</t>
        </is>
      </c>
      <c r="F676" t="inlineStr">
        <is>
          <t>N/A</t>
        </is>
      </c>
      <c r="G676" s="26">
        <v>1625357820</v>
      </c>
      <c r="H676" s="26">
        <v>893946801</v>
      </c>
      <c r="I676" s="26">
        <v>0</v>
      </c>
      <c r="J676" s="26">
        <v>97</v>
      </c>
      <c r="K676" t="inlineStr">
        <is>
          <t>Oui</t>
        </is>
      </c>
      <c r="L676">
        <f>SUBTOTAL(103,A676)</f>
        <v>1</v>
      </c>
    </row>
    <row r="677">
      <c r="A677" t="inlineStr">
        <is>
          <t>SOCIETE C735</t>
        </is>
      </c>
      <c r="B677" t="inlineStr">
        <is>
          <t>C735</t>
        </is>
      </c>
      <c r="C677" t="inlineStr">
        <is>
          <t>CORPORATE BANKING</t>
        </is>
      </c>
      <c r="D677" t="inlineStr">
        <is>
          <t>I</t>
        </is>
      </c>
      <c r="E677" t="inlineStr">
        <is>
          <t>Stage 1</t>
        </is>
      </c>
      <c r="F677" t="inlineStr">
        <is>
          <t>N/A</t>
        </is>
      </c>
      <c r="G677" s="26">
        <v>1498157886</v>
      </c>
      <c r="H677" s="26">
        <v>14981579</v>
      </c>
      <c r="I677" s="26">
        <v>0</v>
      </c>
      <c r="J677" s="26">
        <v>19</v>
      </c>
      <c r="K677" t="inlineStr">
        <is>
          <t>Non</t>
        </is>
      </c>
      <c r="L677">
        <f>SUBTOTAL(103,A677)</f>
        <v>1</v>
      </c>
    </row>
    <row r="678">
      <c r="A678" t="inlineStr">
        <is>
          <t>SOCIETE C1116</t>
        </is>
      </c>
      <c r="B678" t="inlineStr">
        <is>
          <t>C1116</t>
        </is>
      </c>
      <c r="C678" t="inlineStr">
        <is>
          <t>CORPORATE BANKING</t>
        </is>
      </c>
      <c r="D678" t="inlineStr">
        <is>
          <t>I</t>
        </is>
      </c>
      <c r="E678" t="inlineStr">
        <is>
          <t>Stage 1</t>
        </is>
      </c>
      <c r="F678" t="inlineStr">
        <is>
          <t>N/A</t>
        </is>
      </c>
      <c r="G678" s="26">
        <v>130743162</v>
      </c>
      <c r="H678" s="26">
        <v>1307432</v>
      </c>
      <c r="I678" s="26">
        <v>5162136</v>
      </c>
      <c r="J678" s="26">
        <v>245</v>
      </c>
      <c r="K678" t="inlineStr">
        <is>
          <t>Non</t>
        </is>
      </c>
      <c r="L678">
        <f>SUBTOTAL(103,A678)</f>
        <v>1</v>
      </c>
    </row>
    <row r="679">
      <c r="A679" t="inlineStr">
        <is>
          <t>SOCIETE C1596</t>
        </is>
      </c>
      <c r="B679" t="inlineStr">
        <is>
          <t>C1596</t>
        </is>
      </c>
      <c r="C679" t="inlineStr">
        <is>
          <t>CORPORATE BANKING</t>
        </is>
      </c>
      <c r="D679" t="inlineStr">
        <is>
          <t>I</t>
        </is>
      </c>
      <c r="E679" t="inlineStr">
        <is>
          <t>Stage 1</t>
        </is>
      </c>
      <c r="F679" t="inlineStr">
        <is>
          <t>N/A</t>
        </is>
      </c>
      <c r="G679" s="26">
        <v>478226922</v>
      </c>
      <c r="H679" s="26">
        <v>4782269</v>
      </c>
      <c r="I679" s="26">
        <v>0</v>
      </c>
      <c r="J679" s="26">
        <v>67</v>
      </c>
      <c r="K679" t="inlineStr">
        <is>
          <t>Non</t>
        </is>
      </c>
      <c r="L679">
        <f>SUBTOTAL(103,A679)</f>
        <v>1</v>
      </c>
    </row>
    <row r="680">
      <c r="A680" t="inlineStr">
        <is>
          <t>SOCIETE C936</t>
        </is>
      </c>
      <c r="B680" t="inlineStr">
        <is>
          <t>C936</t>
        </is>
      </c>
      <c r="C680" t="inlineStr">
        <is>
          <t>CORPORATE BANKING</t>
        </is>
      </c>
      <c r="D680" t="inlineStr">
        <is>
          <t>I</t>
        </is>
      </c>
      <c r="E680" t="inlineStr">
        <is>
          <t>Stage 1</t>
        </is>
      </c>
      <c r="F680" t="inlineStr">
        <is>
          <t>N/A</t>
        </is>
      </c>
      <c r="G680" s="26">
        <v>2797669386</v>
      </c>
      <c r="H680" s="26">
        <v>27976694</v>
      </c>
      <c r="I680" s="26">
        <v>0</v>
      </c>
      <c r="J680" s="26">
        <v>1</v>
      </c>
      <c r="K680" t="inlineStr">
        <is>
          <t>Non</t>
        </is>
      </c>
      <c r="L680">
        <f>SUBTOTAL(103,A680)</f>
        <v>1</v>
      </c>
    </row>
    <row r="681">
      <c r="A681" t="inlineStr">
        <is>
          <t>SOCIETE C2021</t>
        </is>
      </c>
      <c r="B681" t="inlineStr">
        <is>
          <t>C2021</t>
        </is>
      </c>
      <c r="C681" t="inlineStr">
        <is>
          <t>COMMERCIAL BANKING</t>
        </is>
      </c>
      <c r="D681" t="inlineStr">
        <is>
          <t>III</t>
        </is>
      </c>
      <c r="E681" t="inlineStr">
        <is>
          <t>Stage 3</t>
        </is>
      </c>
      <c r="F681" t="inlineStr">
        <is>
          <t>N/A</t>
        </is>
      </c>
      <c r="G681" s="26">
        <v>1106857595</v>
      </c>
      <c r="H681" s="26">
        <v>608771677</v>
      </c>
      <c r="I681" s="26">
        <v>0</v>
      </c>
      <c r="J681" s="26">
        <v>87</v>
      </c>
      <c r="K681" t="inlineStr">
        <is>
          <t>Oui</t>
        </is>
      </c>
      <c r="L681">
        <f>SUBTOTAL(103,A681)</f>
        <v>1</v>
      </c>
    </row>
    <row r="682">
      <c r="A682" t="inlineStr">
        <is>
          <t>SOCIETE C1469</t>
        </is>
      </c>
      <c r="B682" t="inlineStr">
        <is>
          <t>C1469</t>
        </is>
      </c>
      <c r="C682" t="inlineStr">
        <is>
          <t>PUBLIC SECTOR</t>
        </is>
      </c>
      <c r="D682" t="inlineStr">
        <is>
          <t>IV</t>
        </is>
      </c>
      <c r="E682" t="inlineStr">
        <is>
          <t>Stage 3</t>
        </is>
      </c>
      <c r="F682" t="inlineStr">
        <is>
          <t>N/A</t>
        </is>
      </c>
      <c r="G682" s="26">
        <v>1995415130</v>
      </c>
      <c r="H682" s="26">
        <v>1097478322</v>
      </c>
      <c r="I682" s="26">
        <v>0</v>
      </c>
      <c r="J682" s="26">
        <v>0</v>
      </c>
      <c r="K682" t="inlineStr">
        <is>
          <t>Oui</t>
        </is>
      </c>
      <c r="L682">
        <f>SUBTOTAL(103,A682)</f>
        <v>1</v>
      </c>
    </row>
    <row r="683">
      <c r="A683" t="inlineStr">
        <is>
          <t>SOCIETE C99</t>
        </is>
      </c>
      <c r="B683" t="inlineStr">
        <is>
          <t>C99</t>
        </is>
      </c>
      <c r="C683" t="inlineStr">
        <is>
          <t>CORPORATE BANKING</t>
        </is>
      </c>
      <c r="D683" t="inlineStr">
        <is>
          <t>IV</t>
        </is>
      </c>
      <c r="E683" t="inlineStr">
        <is>
          <t>Stage 3</t>
        </is>
      </c>
      <c r="F683" t="inlineStr">
        <is>
          <t>N/A</t>
        </is>
      </c>
      <c r="G683" s="26">
        <v>12627387</v>
      </c>
      <c r="H683" s="26">
        <v>6945063</v>
      </c>
      <c r="I683" s="26">
        <v>0</v>
      </c>
      <c r="J683" s="26">
        <v>142</v>
      </c>
      <c r="K683" t="inlineStr">
        <is>
          <t>Oui</t>
        </is>
      </c>
      <c r="L683">
        <f>SUBTOTAL(103,A683)</f>
        <v>1</v>
      </c>
    </row>
    <row r="684">
      <c r="A684" t="inlineStr">
        <is>
          <t>SOCIETE C1918</t>
        </is>
      </c>
      <c r="B684" t="inlineStr">
        <is>
          <t>C1918</t>
        </is>
      </c>
      <c r="C684" t="inlineStr">
        <is>
          <t>CORPORATE BANKING</t>
        </is>
      </c>
      <c r="D684" t="inlineStr">
        <is>
          <t>III</t>
        </is>
      </c>
      <c r="E684" t="inlineStr">
        <is>
          <t>Stage 3</t>
        </is>
      </c>
      <c r="F684" t="inlineStr">
        <is>
          <t>N/A</t>
        </is>
      </c>
      <c r="G684" s="26">
        <v>1212743191</v>
      </c>
      <c r="H684" s="26">
        <v>667008755</v>
      </c>
      <c r="I684" s="26">
        <v>0</v>
      </c>
      <c r="J684" s="26">
        <v>83</v>
      </c>
      <c r="K684" t="inlineStr">
        <is>
          <t>Oui</t>
        </is>
      </c>
      <c r="L684">
        <f>SUBTOTAL(103,A684)</f>
        <v>1</v>
      </c>
    </row>
    <row r="685">
      <c r="A685" t="inlineStr">
        <is>
          <t>SOCIETE C825</t>
        </is>
      </c>
      <c r="B685" t="inlineStr">
        <is>
          <t>C825</t>
        </is>
      </c>
      <c r="C685" t="inlineStr">
        <is>
          <t>CORPORATE BANKING</t>
        </is>
      </c>
      <c r="D685" t="inlineStr">
        <is>
          <t>III</t>
        </is>
      </c>
      <c r="E685" t="inlineStr">
        <is>
          <t>Stage 3</t>
        </is>
      </c>
      <c r="F685" t="inlineStr">
        <is>
          <t>N/A</t>
        </is>
      </c>
      <c r="G685" s="26">
        <v>1823475741</v>
      </c>
      <c r="H685" s="26">
        <v>1002911657</v>
      </c>
      <c r="I685" s="26">
        <v>0</v>
      </c>
      <c r="J685" s="26">
        <v>39</v>
      </c>
      <c r="K685" t="inlineStr">
        <is>
          <t>Oui</t>
        </is>
      </c>
      <c r="L685">
        <f>SUBTOTAL(103,A685)</f>
        <v>1</v>
      </c>
    </row>
    <row r="686">
      <c r="A686" t="inlineStr">
        <is>
          <t>SOCIETE C1539</t>
        </is>
      </c>
      <c r="B686" t="inlineStr">
        <is>
          <t>C1539</t>
        </is>
      </c>
      <c r="C686" t="inlineStr">
        <is>
          <t>CORPORATE BANKING</t>
        </is>
      </c>
      <c r="D686" t="inlineStr">
        <is>
          <t>IA</t>
        </is>
      </c>
      <c r="E686" t="inlineStr">
        <is>
          <t>Stage 2</t>
        </is>
      </c>
      <c r="F686" t="inlineStr">
        <is>
          <t>N/A</t>
        </is>
      </c>
      <c r="G686" s="26">
        <v>259730760</v>
      </c>
      <c r="H686" s="26">
        <v>15583846</v>
      </c>
      <c r="I686" s="26">
        <v>24192948</v>
      </c>
      <c r="J686" s="26">
        <v>157</v>
      </c>
      <c r="K686" t="inlineStr">
        <is>
          <t>Non</t>
        </is>
      </c>
      <c r="L686">
        <f>SUBTOTAL(103,A686)</f>
        <v>1</v>
      </c>
    </row>
    <row r="687">
      <c r="A687" t="inlineStr">
        <is>
          <t>SOCIETE C470</t>
        </is>
      </c>
      <c r="B687" t="inlineStr">
        <is>
          <t>C470</t>
        </is>
      </c>
      <c r="C687" t="inlineStr">
        <is>
          <t>CORPORATE BANKING</t>
        </is>
      </c>
      <c r="D687" t="inlineStr">
        <is>
          <t>V</t>
        </is>
      </c>
      <c r="E687" t="inlineStr">
        <is>
          <t>Stage 3</t>
        </is>
      </c>
      <c r="F687" t="inlineStr">
        <is>
          <t>N/A</t>
        </is>
      </c>
      <c r="G687" s="26">
        <v>2742087</v>
      </c>
      <c r="H687" s="26">
        <v>1508148</v>
      </c>
      <c r="I687" s="26">
        <v>0</v>
      </c>
      <c r="J687" s="26">
        <v>126</v>
      </c>
      <c r="K687" t="inlineStr">
        <is>
          <t>Oui</t>
        </is>
      </c>
      <c r="L687">
        <f>SUBTOTAL(103,A687)</f>
        <v>1</v>
      </c>
    </row>
    <row r="688">
      <c r="A688" t="inlineStr">
        <is>
          <t>SOCIETE C861</t>
        </is>
      </c>
      <c r="B688" t="inlineStr">
        <is>
          <t>C861</t>
        </is>
      </c>
      <c r="C688" t="inlineStr">
        <is>
          <t>CORPORATE BANKING</t>
        </is>
      </c>
      <c r="D688" t="inlineStr">
        <is>
          <t>I</t>
        </is>
      </c>
      <c r="E688" t="inlineStr">
        <is>
          <t>Stage 1</t>
        </is>
      </c>
      <c r="F688" t="inlineStr">
        <is>
          <t>N/A</t>
        </is>
      </c>
      <c r="G688" s="26">
        <v>1723894</v>
      </c>
      <c r="H688" s="26">
        <v>17239</v>
      </c>
      <c r="I688" s="26">
        <v>73201</v>
      </c>
      <c r="J688" s="26">
        <v>45</v>
      </c>
      <c r="K688" t="inlineStr">
        <is>
          <t>Non</t>
        </is>
      </c>
      <c r="L688">
        <f>SUBTOTAL(103,A688)</f>
        <v>1</v>
      </c>
    </row>
    <row r="689">
      <c r="A689" t="inlineStr">
        <is>
          <t>SOCIETE C2134</t>
        </is>
      </c>
      <c r="B689" t="inlineStr">
        <is>
          <t>C2134</t>
        </is>
      </c>
      <c r="C689" t="inlineStr">
        <is>
          <t>COMMERCIAL BANKING</t>
        </is>
      </c>
      <c r="D689" t="inlineStr">
        <is>
          <t>II</t>
        </is>
      </c>
      <c r="E689" t="inlineStr">
        <is>
          <t>Stage 2</t>
        </is>
      </c>
      <c r="F689" t="inlineStr">
        <is>
          <t>N/A</t>
        </is>
      </c>
      <c r="G689" s="26">
        <v>22271384</v>
      </c>
      <c r="H689" s="26">
        <v>1336283</v>
      </c>
      <c r="I689" s="26">
        <v>0</v>
      </c>
      <c r="J689" s="26">
        <v>28</v>
      </c>
      <c r="K689" t="inlineStr">
        <is>
          <t>Non</t>
        </is>
      </c>
      <c r="L689">
        <f>SUBTOTAL(103,A689)</f>
        <v>1</v>
      </c>
    </row>
    <row r="690">
      <c r="A690" t="inlineStr">
        <is>
          <t>SOCIETE C260</t>
        </is>
      </c>
      <c r="B690" t="inlineStr">
        <is>
          <t>C260</t>
        </is>
      </c>
      <c r="C690" t="inlineStr">
        <is>
          <t>COMMERCIAL BANKING</t>
        </is>
      </c>
      <c r="D690" t="inlineStr">
        <is>
          <t>IA</t>
        </is>
      </c>
      <c r="E690" t="inlineStr">
        <is>
          <t>Stage 2</t>
        </is>
      </c>
      <c r="F690" t="inlineStr">
        <is>
          <t>N/A</t>
        </is>
      </c>
      <c r="G690" s="26">
        <v>7638117</v>
      </c>
      <c r="H690" s="26">
        <v>458287</v>
      </c>
      <c r="I690" s="26">
        <v>223303</v>
      </c>
      <c r="J690" s="26">
        <v>108</v>
      </c>
      <c r="K690" t="inlineStr">
        <is>
          <t>Non</t>
        </is>
      </c>
      <c r="L690">
        <f>SUBTOTAL(103,A690)</f>
        <v>1</v>
      </c>
    </row>
    <row r="691">
      <c r="A691" t="inlineStr">
        <is>
          <t>SOCIETE C886</t>
        </is>
      </c>
      <c r="B691" t="inlineStr">
        <is>
          <t>C886</t>
        </is>
      </c>
      <c r="C691" t="inlineStr">
        <is>
          <t>CORPORATE BANKING</t>
        </is>
      </c>
      <c r="D691" t="inlineStr">
        <is>
          <t>IA</t>
        </is>
      </c>
      <c r="E691" t="inlineStr">
        <is>
          <t>Stage 2</t>
        </is>
      </c>
      <c r="F691" t="inlineStr">
        <is>
          <t>N/A</t>
        </is>
      </c>
      <c r="G691" s="26">
        <v>1359821373</v>
      </c>
      <c r="H691" s="26">
        <v>81589282</v>
      </c>
      <c r="I691" s="26">
        <v>0</v>
      </c>
      <c r="J691" s="26">
        <v>152</v>
      </c>
      <c r="K691" t="inlineStr">
        <is>
          <t>Non</t>
        </is>
      </c>
      <c r="L691">
        <f>SUBTOTAL(103,A691)</f>
        <v>1</v>
      </c>
    </row>
    <row r="692">
      <c r="A692" t="inlineStr">
        <is>
          <t>SOCIETE C1868</t>
        </is>
      </c>
      <c r="B692" t="inlineStr">
        <is>
          <t>C1868</t>
        </is>
      </c>
      <c r="C692" t="inlineStr">
        <is>
          <t>CORPORATE BANKING</t>
        </is>
      </c>
      <c r="D692" t="inlineStr">
        <is>
          <t>I</t>
        </is>
      </c>
      <c r="E692" t="inlineStr">
        <is>
          <t>Stage 1</t>
        </is>
      </c>
      <c r="F692" t="inlineStr">
        <is>
          <t>N/A</t>
        </is>
      </c>
      <c r="G692" s="26">
        <v>250348146</v>
      </c>
      <c r="H692" s="26">
        <v>2503481</v>
      </c>
      <c r="I692" s="26">
        <v>23669925</v>
      </c>
      <c r="J692" s="26">
        <v>108</v>
      </c>
      <c r="K692" t="inlineStr">
        <is>
          <t>Non</t>
        </is>
      </c>
      <c r="L692">
        <f>SUBTOTAL(103,A692)</f>
        <v>1</v>
      </c>
    </row>
    <row r="693">
      <c r="A693" t="inlineStr">
        <is>
          <t>SOCIETE C698</t>
        </is>
      </c>
      <c r="B693" t="inlineStr">
        <is>
          <t>C698</t>
        </is>
      </c>
      <c r="C693" t="inlineStr">
        <is>
          <t>CORPORATE BANKING</t>
        </is>
      </c>
      <c r="D693" t="inlineStr">
        <is>
          <t>IV</t>
        </is>
      </c>
      <c r="E693" t="inlineStr">
        <is>
          <t>Stage 3</t>
        </is>
      </c>
      <c r="F693" t="inlineStr">
        <is>
          <t>N/A</t>
        </is>
      </c>
      <c r="G693" s="26">
        <v>1449830113</v>
      </c>
      <c r="H693" s="26">
        <v>797406562</v>
      </c>
      <c r="I693" s="26">
        <v>0</v>
      </c>
      <c r="J693" s="26">
        <v>8</v>
      </c>
      <c r="K693" t="inlineStr">
        <is>
          <t>Oui</t>
        </is>
      </c>
      <c r="L693">
        <f>SUBTOTAL(103,A693)</f>
        <v>1</v>
      </c>
    </row>
    <row r="694">
      <c r="A694" t="inlineStr">
        <is>
          <t>SOCIETE C806</t>
        </is>
      </c>
      <c r="B694" t="inlineStr">
        <is>
          <t>C806</t>
        </is>
      </c>
      <c r="C694" t="inlineStr">
        <is>
          <t>CORPORATE BANKING</t>
        </is>
      </c>
      <c r="D694" t="inlineStr">
        <is>
          <t>I</t>
        </is>
      </c>
      <c r="E694" t="inlineStr">
        <is>
          <t>Stage 1</t>
        </is>
      </c>
      <c r="F694" t="inlineStr">
        <is>
          <t>N/A</t>
        </is>
      </c>
      <c r="G694" s="26">
        <v>1000184</v>
      </c>
      <c r="H694" s="26">
        <v>10002</v>
      </c>
      <c r="I694" s="26">
        <v>0</v>
      </c>
      <c r="J694" s="26">
        <v>4</v>
      </c>
      <c r="K694" t="inlineStr">
        <is>
          <t>Non</t>
        </is>
      </c>
      <c r="L694">
        <f>SUBTOTAL(103,A694)</f>
        <v>1</v>
      </c>
    </row>
    <row r="695">
      <c r="A695" t="inlineStr">
        <is>
          <t>SOCIETE C2424</t>
        </is>
      </c>
      <c r="B695" t="inlineStr">
        <is>
          <t>C2424</t>
        </is>
      </c>
      <c r="C695" t="inlineStr">
        <is>
          <t>CORPORATE BANKING</t>
        </is>
      </c>
      <c r="D695" t="inlineStr">
        <is>
          <t>IV</t>
        </is>
      </c>
      <c r="E695" t="inlineStr">
        <is>
          <t>Stage 3</t>
        </is>
      </c>
      <c r="F695" t="inlineStr">
        <is>
          <t>N/A</t>
        </is>
      </c>
      <c r="G695" s="26">
        <v>12273374</v>
      </c>
      <c r="H695" s="26">
        <v>6750356</v>
      </c>
      <c r="I695" s="26">
        <v>0</v>
      </c>
      <c r="J695" s="26">
        <v>202</v>
      </c>
      <c r="K695" t="inlineStr">
        <is>
          <t>Oui</t>
        </is>
      </c>
      <c r="L695">
        <f>SUBTOTAL(103,A695)</f>
        <v>1</v>
      </c>
    </row>
    <row r="696">
      <c r="A696" t="inlineStr">
        <is>
          <t>SOCIETE C2121</t>
        </is>
      </c>
      <c r="B696" t="inlineStr">
        <is>
          <t>C2121</t>
        </is>
      </c>
      <c r="C696" t="inlineStr">
        <is>
          <t>CONSUMER BANKING</t>
        </is>
      </c>
      <c r="D696" t="inlineStr">
        <is>
          <t>I</t>
        </is>
      </c>
      <c r="E696" t="inlineStr">
        <is>
          <t>Stage 1</t>
        </is>
      </c>
      <c r="F696" t="inlineStr">
        <is>
          <t>N/A</t>
        </is>
      </c>
      <c r="G696" s="26">
        <v>2592601223</v>
      </c>
      <c r="H696" s="26">
        <v>25926012</v>
      </c>
      <c r="I696" s="26">
        <v>330711658</v>
      </c>
      <c r="J696" s="26">
        <v>180</v>
      </c>
      <c r="K696" t="inlineStr">
        <is>
          <t>Non</t>
        </is>
      </c>
      <c r="L696">
        <f>SUBTOTAL(103,A696)</f>
        <v>1</v>
      </c>
    </row>
    <row r="697">
      <c r="A697" t="inlineStr">
        <is>
          <t>SOCIETE C2057</t>
        </is>
      </c>
      <c r="B697" t="inlineStr">
        <is>
          <t>C2057</t>
        </is>
      </c>
      <c r="C697" t="inlineStr">
        <is>
          <t>CONSUMER BANKING</t>
        </is>
      </c>
      <c r="D697" t="inlineStr">
        <is>
          <t>IA</t>
        </is>
      </c>
      <c r="E697" t="inlineStr">
        <is>
          <t>Stage 2</t>
        </is>
      </c>
      <c r="F697" t="inlineStr">
        <is>
          <t>N/A</t>
        </is>
      </c>
      <c r="G697" s="26">
        <v>264273510</v>
      </c>
      <c r="H697" s="26">
        <v>15856411</v>
      </c>
      <c r="I697" s="26">
        <v>0</v>
      </c>
      <c r="J697" s="26">
        <v>66</v>
      </c>
      <c r="K697" t="inlineStr">
        <is>
          <t>Non</t>
        </is>
      </c>
      <c r="L697">
        <f>SUBTOTAL(103,A697)</f>
        <v>1</v>
      </c>
    </row>
    <row r="698">
      <c r="A698" t="inlineStr">
        <is>
          <t>SOCIETE C2212</t>
        </is>
      </c>
      <c r="B698" t="inlineStr">
        <is>
          <t>C2212</t>
        </is>
      </c>
      <c r="C698" t="inlineStr">
        <is>
          <t>CONSUMER BANKING</t>
        </is>
      </c>
      <c r="D698" t="inlineStr">
        <is>
          <t>II</t>
        </is>
      </c>
      <c r="E698" t="inlineStr">
        <is>
          <t>Stage 2</t>
        </is>
      </c>
      <c r="F698" t="inlineStr">
        <is>
          <t>N/A</t>
        </is>
      </c>
      <c r="G698" s="26">
        <v>492075050</v>
      </c>
      <c r="H698" s="26">
        <v>29524503</v>
      </c>
      <c r="I698" s="26">
        <v>0</v>
      </c>
      <c r="J698" s="26">
        <v>29</v>
      </c>
      <c r="K698" t="inlineStr">
        <is>
          <t>Non</t>
        </is>
      </c>
      <c r="L698">
        <f>SUBTOTAL(103,A698)</f>
        <v>1</v>
      </c>
    </row>
    <row r="699">
      <c r="A699" t="inlineStr">
        <is>
          <t>SOCIETE C748</t>
        </is>
      </c>
      <c r="B699" t="inlineStr">
        <is>
          <t>C748</t>
        </is>
      </c>
      <c r="C699" t="inlineStr">
        <is>
          <t>CORPORATE BANKING</t>
        </is>
      </c>
      <c r="D699" t="inlineStr">
        <is>
          <t>I</t>
        </is>
      </c>
      <c r="E699" t="inlineStr">
        <is>
          <t>Stage 1</t>
        </is>
      </c>
      <c r="F699" t="inlineStr">
        <is>
          <t>N/A</t>
        </is>
      </c>
      <c r="G699" s="26">
        <v>439793728</v>
      </c>
      <c r="H699" s="26">
        <v>4397937</v>
      </c>
      <c r="I699" s="26">
        <v>0</v>
      </c>
      <c r="J699" s="26">
        <v>108</v>
      </c>
      <c r="K699" t="inlineStr">
        <is>
          <t>Non</t>
        </is>
      </c>
      <c r="L699">
        <f>SUBTOTAL(103,A699)</f>
        <v>1</v>
      </c>
    </row>
    <row r="700">
      <c r="A700" t="inlineStr">
        <is>
          <t>SOCIETE C1256</t>
        </is>
      </c>
      <c r="B700" t="inlineStr">
        <is>
          <t>C1256</t>
        </is>
      </c>
      <c r="C700" t="inlineStr">
        <is>
          <t>COMMERCIAL BANKING</t>
        </is>
      </c>
      <c r="D700" t="inlineStr">
        <is>
          <t>IA</t>
        </is>
      </c>
      <c r="E700" t="inlineStr">
        <is>
          <t>Stage 2</t>
        </is>
      </c>
      <c r="F700" t="inlineStr">
        <is>
          <t>N/A</t>
        </is>
      </c>
      <c r="G700" s="26">
        <v>441014312</v>
      </c>
      <c r="H700" s="26">
        <v>26460859</v>
      </c>
      <c r="I700" s="26">
        <v>53726542</v>
      </c>
      <c r="J700" s="26">
        <v>149</v>
      </c>
      <c r="K700" t="inlineStr">
        <is>
          <t>Non</t>
        </is>
      </c>
      <c r="L700">
        <f>SUBTOTAL(103,A700)</f>
        <v>1</v>
      </c>
    </row>
    <row r="701">
      <c r="A701" t="inlineStr">
        <is>
          <t>SOCIETE C568</t>
        </is>
      </c>
      <c r="B701" t="inlineStr">
        <is>
          <t>C568</t>
        </is>
      </c>
      <c r="C701" t="inlineStr">
        <is>
          <t>CONSUMER BANKING</t>
        </is>
      </c>
      <c r="D701" t="inlineStr">
        <is>
          <t>I</t>
        </is>
      </c>
      <c r="E701" t="inlineStr">
        <is>
          <t>Stage 1</t>
        </is>
      </c>
      <c r="F701" t="inlineStr">
        <is>
          <t>N/A</t>
        </is>
      </c>
      <c r="G701" s="26">
        <v>302399158</v>
      </c>
      <c r="H701" s="26">
        <v>3023992</v>
      </c>
      <c r="I701" s="26">
        <v>0</v>
      </c>
      <c r="J701" s="26">
        <v>215</v>
      </c>
      <c r="K701" t="inlineStr">
        <is>
          <t>Non</t>
        </is>
      </c>
      <c r="L701">
        <f>SUBTOTAL(103,A701)</f>
        <v>1</v>
      </c>
    </row>
    <row r="702">
      <c r="A702" t="inlineStr">
        <is>
          <t>SOCIETE C356</t>
        </is>
      </c>
      <c r="B702" t="inlineStr">
        <is>
          <t>C356</t>
        </is>
      </c>
      <c r="C702" t="inlineStr">
        <is>
          <t>PUBLIC SECTOR</t>
        </is>
      </c>
      <c r="D702" t="inlineStr">
        <is>
          <t>IA</t>
        </is>
      </c>
      <c r="E702" t="inlineStr">
        <is>
          <t>Stage 2</t>
        </is>
      </c>
      <c r="F702" t="inlineStr">
        <is>
          <t>N/A</t>
        </is>
      </c>
      <c r="G702" s="26">
        <v>1680775</v>
      </c>
      <c r="H702" s="26">
        <v>100847</v>
      </c>
      <c r="I702" s="26">
        <v>0</v>
      </c>
      <c r="J702" s="26">
        <v>177</v>
      </c>
      <c r="K702" t="inlineStr">
        <is>
          <t>Non</t>
        </is>
      </c>
      <c r="L702">
        <f>SUBTOTAL(103,A702)</f>
        <v>1</v>
      </c>
    </row>
    <row r="703">
      <c r="A703" t="inlineStr">
        <is>
          <t>SOCIETE C1891</t>
        </is>
      </c>
      <c r="B703" t="inlineStr">
        <is>
          <t>C1891</t>
        </is>
      </c>
      <c r="C703" t="inlineStr">
        <is>
          <t>CORPORATE BANKING</t>
        </is>
      </c>
      <c r="D703" t="inlineStr">
        <is>
          <t>V</t>
        </is>
      </c>
      <c r="E703" t="inlineStr">
        <is>
          <t>Stage 3</t>
        </is>
      </c>
      <c r="F703" t="inlineStr">
        <is>
          <t>N/A</t>
        </is>
      </c>
      <c r="G703" s="26">
        <v>850291888</v>
      </c>
      <c r="H703" s="26">
        <v>467660538</v>
      </c>
      <c r="I703" s="26">
        <v>0</v>
      </c>
      <c r="J703" s="26">
        <v>96</v>
      </c>
      <c r="K703" t="inlineStr">
        <is>
          <t>Oui</t>
        </is>
      </c>
      <c r="L703">
        <f>SUBTOTAL(103,A703)</f>
        <v>1</v>
      </c>
    </row>
    <row r="704">
      <c r="A704" t="inlineStr">
        <is>
          <t>SOCIETE C2283</t>
        </is>
      </c>
      <c r="B704" t="inlineStr">
        <is>
          <t>C2283</t>
        </is>
      </c>
      <c r="C704" t="inlineStr">
        <is>
          <t>COMMERCIAL BANKING</t>
        </is>
      </c>
      <c r="D704" t="inlineStr">
        <is>
          <t>II</t>
        </is>
      </c>
      <c r="E704" t="inlineStr">
        <is>
          <t>Stage 2</t>
        </is>
      </c>
      <c r="F704" t="inlineStr">
        <is>
          <t>N/A</t>
        </is>
      </c>
      <c r="G704" s="26">
        <v>1002259</v>
      </c>
      <c r="H704" s="26">
        <v>60136</v>
      </c>
      <c r="I704" s="26">
        <v>0</v>
      </c>
      <c r="J704" s="26">
        <v>52</v>
      </c>
      <c r="K704" t="inlineStr">
        <is>
          <t>Non</t>
        </is>
      </c>
      <c r="L704">
        <f>SUBTOTAL(103,A704)</f>
        <v>1</v>
      </c>
    </row>
    <row r="705">
      <c r="A705" t="inlineStr">
        <is>
          <t>SOCIETE C1366</t>
        </is>
      </c>
      <c r="B705" t="inlineStr">
        <is>
          <t>C1366</t>
        </is>
      </c>
      <c r="C705" t="inlineStr">
        <is>
          <t>PUBLIC SECTOR</t>
        </is>
      </c>
      <c r="D705" t="inlineStr">
        <is>
          <t>III</t>
        </is>
      </c>
      <c r="E705" t="inlineStr">
        <is>
          <t>Stage 3</t>
        </is>
      </c>
      <c r="F705" t="inlineStr">
        <is>
          <t>N/A</t>
        </is>
      </c>
      <c r="G705" s="26">
        <v>5589174</v>
      </c>
      <c r="H705" s="26">
        <v>3074046</v>
      </c>
      <c r="I705" s="26">
        <v>848356</v>
      </c>
      <c r="J705" s="26">
        <v>101</v>
      </c>
      <c r="K705" t="inlineStr">
        <is>
          <t>Oui</t>
        </is>
      </c>
      <c r="L705">
        <f>SUBTOTAL(103,A705)</f>
        <v>1</v>
      </c>
    </row>
    <row r="706">
      <c r="A706" t="inlineStr">
        <is>
          <t>SOCIETE C2024</t>
        </is>
      </c>
      <c r="B706" t="inlineStr">
        <is>
          <t>C2024</t>
        </is>
      </c>
      <c r="C706" t="inlineStr">
        <is>
          <t>CORPORATE BANKING</t>
        </is>
      </c>
      <c r="D706" t="inlineStr">
        <is>
          <t>III</t>
        </is>
      </c>
      <c r="E706" t="inlineStr">
        <is>
          <t>Stage 3</t>
        </is>
      </c>
      <c r="F706" t="inlineStr">
        <is>
          <t>N/A</t>
        </is>
      </c>
      <c r="G706" s="26">
        <v>75744496</v>
      </c>
      <c r="H706" s="26">
        <v>41659473</v>
      </c>
      <c r="I706" s="26">
        <v>0</v>
      </c>
      <c r="J706" s="26">
        <v>61</v>
      </c>
      <c r="K706" t="inlineStr">
        <is>
          <t>Oui</t>
        </is>
      </c>
      <c r="L706">
        <f>SUBTOTAL(103,A706)</f>
        <v>1</v>
      </c>
    </row>
    <row r="707">
      <c r="A707" t="inlineStr">
        <is>
          <t>SOCIETE C548</t>
        </is>
      </c>
      <c r="B707" t="inlineStr">
        <is>
          <t>C548</t>
        </is>
      </c>
      <c r="C707" t="inlineStr">
        <is>
          <t>CONSUMER BANKING</t>
        </is>
      </c>
      <c r="D707" t="inlineStr">
        <is>
          <t>I</t>
        </is>
      </c>
      <c r="E707" t="inlineStr">
        <is>
          <t>Stage 1</t>
        </is>
      </c>
      <c r="F707" t="inlineStr">
        <is>
          <t>N/A</t>
        </is>
      </c>
      <c r="G707" s="26">
        <v>1460383752</v>
      </c>
      <c r="H707" s="26">
        <v>14603838</v>
      </c>
      <c r="I707" s="26">
        <v>0</v>
      </c>
      <c r="J707" s="26">
        <v>69</v>
      </c>
      <c r="K707" t="inlineStr">
        <is>
          <t>Non</t>
        </is>
      </c>
      <c r="L707">
        <f>SUBTOTAL(103,A707)</f>
        <v>1</v>
      </c>
    </row>
    <row r="708">
      <c r="A708" t="inlineStr">
        <is>
          <t>SOCIETE C2065</t>
        </is>
      </c>
      <c r="B708" t="inlineStr">
        <is>
          <t>C2065</t>
        </is>
      </c>
      <c r="C708" t="inlineStr">
        <is>
          <t>COMMERCIAL BANKING</t>
        </is>
      </c>
      <c r="D708" t="inlineStr">
        <is>
          <t>IA</t>
        </is>
      </c>
      <c r="E708" t="inlineStr">
        <is>
          <t>Stage 2</t>
        </is>
      </c>
      <c r="F708" t="inlineStr">
        <is>
          <t>N/A</t>
        </is>
      </c>
      <c r="G708" s="26">
        <v>1292882473</v>
      </c>
      <c r="H708" s="26">
        <v>77572948</v>
      </c>
      <c r="I708" s="26">
        <v>0</v>
      </c>
      <c r="J708" s="26">
        <v>197</v>
      </c>
      <c r="K708" t="inlineStr">
        <is>
          <t>Non</t>
        </is>
      </c>
      <c r="L708">
        <f>SUBTOTAL(103,A708)</f>
        <v>1</v>
      </c>
    </row>
    <row r="709">
      <c r="A709" t="inlineStr">
        <is>
          <t>SOCIETE C1894</t>
        </is>
      </c>
      <c r="B709" t="inlineStr">
        <is>
          <t>C1894</t>
        </is>
      </c>
      <c r="C709" t="inlineStr">
        <is>
          <t>COMMERCIAL BANKING</t>
        </is>
      </c>
      <c r="D709" t="inlineStr">
        <is>
          <t>I</t>
        </is>
      </c>
      <c r="E709" t="inlineStr">
        <is>
          <t>Stage 1</t>
        </is>
      </c>
      <c r="F709" t="inlineStr">
        <is>
          <t>N/A</t>
        </is>
      </c>
      <c r="G709" s="26">
        <v>692656482</v>
      </c>
      <c r="H709" s="26">
        <v>6926565</v>
      </c>
      <c r="I709" s="26">
        <v>0</v>
      </c>
      <c r="J709" s="26">
        <v>39</v>
      </c>
      <c r="K709" t="inlineStr">
        <is>
          <t>Non</t>
        </is>
      </c>
      <c r="L709">
        <f>SUBTOTAL(103,A709)</f>
        <v>1</v>
      </c>
    </row>
    <row r="710">
      <c r="A710" t="inlineStr">
        <is>
          <t>SOCIETE C1089</t>
        </is>
      </c>
      <c r="B710" t="inlineStr">
        <is>
          <t>C1089</t>
        </is>
      </c>
      <c r="C710" t="inlineStr">
        <is>
          <t>CORPORATE BANKING</t>
        </is>
      </c>
      <c r="D710" t="inlineStr">
        <is>
          <t>I</t>
        </is>
      </c>
      <c r="E710" t="inlineStr">
        <is>
          <t>Stage 1</t>
        </is>
      </c>
      <c r="F710" t="inlineStr">
        <is>
          <t>N/A</t>
        </is>
      </c>
      <c r="G710" s="26">
        <v>988977964</v>
      </c>
      <c r="H710" s="26">
        <v>9889780</v>
      </c>
      <c r="I710" s="26">
        <v>0</v>
      </c>
      <c r="J710" s="26">
        <v>13</v>
      </c>
      <c r="K710" t="inlineStr">
        <is>
          <t>Non</t>
        </is>
      </c>
      <c r="L710">
        <f>SUBTOTAL(103,A710)</f>
        <v>1</v>
      </c>
    </row>
    <row r="711">
      <c r="A711" t="inlineStr">
        <is>
          <t>SOCIETE C1562</t>
        </is>
      </c>
      <c r="B711" t="inlineStr">
        <is>
          <t>C1562</t>
        </is>
      </c>
      <c r="C711" t="inlineStr">
        <is>
          <t>CONSUMER BANKING</t>
        </is>
      </c>
      <c r="D711" t="inlineStr">
        <is>
          <t>I</t>
        </is>
      </c>
      <c r="E711" t="inlineStr">
        <is>
          <t>Stage 1</t>
        </is>
      </c>
      <c r="F711" t="inlineStr">
        <is>
          <t>N/A</t>
        </is>
      </c>
      <c r="G711" s="26">
        <v>1236556712</v>
      </c>
      <c r="H711" s="26">
        <v>12365567</v>
      </c>
      <c r="I711" s="26">
        <v>0</v>
      </c>
      <c r="J711" s="26">
        <v>99</v>
      </c>
      <c r="K711" t="inlineStr">
        <is>
          <t>Non</t>
        </is>
      </c>
      <c r="L711">
        <f>SUBTOTAL(103,A711)</f>
        <v>1</v>
      </c>
    </row>
    <row r="712">
      <c r="A712" t="inlineStr">
        <is>
          <t>SOCIETE C455</t>
        </is>
      </c>
      <c r="B712" t="inlineStr">
        <is>
          <t>C455</t>
        </is>
      </c>
      <c r="C712" t="inlineStr">
        <is>
          <t>COMMERCIAL BANKING</t>
        </is>
      </c>
      <c r="D712" t="inlineStr">
        <is>
          <t>IV</t>
        </is>
      </c>
      <c r="E712" t="inlineStr">
        <is>
          <t>Stage 3</t>
        </is>
      </c>
      <c r="F712" t="inlineStr">
        <is>
          <t>N/A</t>
        </is>
      </c>
      <c r="G712" s="26">
        <v>1149056262</v>
      </c>
      <c r="H712" s="26">
        <v>631980944</v>
      </c>
      <c r="I712" s="26">
        <v>0</v>
      </c>
      <c r="J712" s="26">
        <v>31</v>
      </c>
      <c r="K712" t="inlineStr">
        <is>
          <t>Oui</t>
        </is>
      </c>
      <c r="L712">
        <f>SUBTOTAL(103,A712)</f>
        <v>1</v>
      </c>
    </row>
    <row r="713">
      <c r="A713" t="inlineStr">
        <is>
          <t>SOCIETE C1341</t>
        </is>
      </c>
      <c r="B713" t="inlineStr">
        <is>
          <t>C1341</t>
        </is>
      </c>
      <c r="C713" t="inlineStr">
        <is>
          <t>CORPORATE BANKING</t>
        </is>
      </c>
      <c r="D713" t="inlineStr">
        <is>
          <t>I</t>
        </is>
      </c>
      <c r="E713" t="inlineStr">
        <is>
          <t>Stage 1</t>
        </is>
      </c>
      <c r="F713" t="inlineStr">
        <is>
          <t>N/A</t>
        </is>
      </c>
      <c r="G713" s="26">
        <v>542869951</v>
      </c>
      <c r="H713" s="26">
        <v>5428700</v>
      </c>
      <c r="I713" s="26">
        <v>2287584</v>
      </c>
      <c r="J713" s="26">
        <v>38</v>
      </c>
      <c r="K713" t="inlineStr">
        <is>
          <t>Non</t>
        </is>
      </c>
      <c r="L713">
        <f>SUBTOTAL(103,A713)</f>
        <v>1</v>
      </c>
    </row>
    <row r="714">
      <c r="A714" t="inlineStr">
        <is>
          <t>SOCIETE C1096</t>
        </is>
      </c>
      <c r="B714" t="inlineStr">
        <is>
          <t>C1096</t>
        </is>
      </c>
      <c r="C714" t="inlineStr">
        <is>
          <t>CORPORATE BANKING</t>
        </is>
      </c>
      <c r="D714" t="inlineStr">
        <is>
          <t>V</t>
        </is>
      </c>
      <c r="E714" t="inlineStr">
        <is>
          <t>Stage 3</t>
        </is>
      </c>
      <c r="F714" t="inlineStr">
        <is>
          <t>N/A</t>
        </is>
      </c>
      <c r="G714" s="26">
        <v>1817069</v>
      </c>
      <c r="H714" s="26">
        <v>999388</v>
      </c>
      <c r="I714" s="26">
        <v>0</v>
      </c>
      <c r="J714" s="26">
        <v>205</v>
      </c>
      <c r="K714" t="inlineStr">
        <is>
          <t>Oui</t>
        </is>
      </c>
      <c r="L714">
        <f>SUBTOTAL(103,A714)</f>
        <v>1</v>
      </c>
    </row>
    <row r="715">
      <c r="A715" t="inlineStr">
        <is>
          <t>SOCIETE C1247</t>
        </is>
      </c>
      <c r="B715" t="inlineStr">
        <is>
          <t>C1247</t>
        </is>
      </c>
      <c r="C715" t="inlineStr">
        <is>
          <t>CORPORATE BANKING</t>
        </is>
      </c>
      <c r="D715" t="inlineStr">
        <is>
          <t>I</t>
        </is>
      </c>
      <c r="E715" t="inlineStr">
        <is>
          <t>Stage 1</t>
        </is>
      </c>
      <c r="F715" t="inlineStr">
        <is>
          <t>N/A</t>
        </is>
      </c>
      <c r="G715" s="26">
        <v>2629519811</v>
      </c>
      <c r="H715" s="26">
        <v>26295198</v>
      </c>
      <c r="I715" s="26">
        <v>0</v>
      </c>
      <c r="J715" s="26">
        <v>261</v>
      </c>
      <c r="K715" t="inlineStr">
        <is>
          <t>Non</t>
        </is>
      </c>
      <c r="L715">
        <f>SUBTOTAL(103,A715)</f>
        <v>1</v>
      </c>
    </row>
    <row r="716">
      <c r="A716" t="inlineStr">
        <is>
          <t>SOCIETE C2022</t>
        </is>
      </c>
      <c r="B716" t="inlineStr">
        <is>
          <t>C2022</t>
        </is>
      </c>
      <c r="C716" t="inlineStr">
        <is>
          <t>CORPORATE BANKING</t>
        </is>
      </c>
      <c r="D716" t="inlineStr">
        <is>
          <t>IV</t>
        </is>
      </c>
      <c r="E716" t="inlineStr">
        <is>
          <t>Stage 3</t>
        </is>
      </c>
      <c r="F716" t="inlineStr">
        <is>
          <t>N/A</t>
        </is>
      </c>
      <c r="G716" s="26">
        <v>1067641</v>
      </c>
      <c r="H716" s="26">
        <v>587202</v>
      </c>
      <c r="I716" s="26">
        <v>208255</v>
      </c>
      <c r="J716" s="26">
        <v>344</v>
      </c>
      <c r="K716" t="inlineStr">
        <is>
          <t>Oui</t>
        </is>
      </c>
      <c r="L716">
        <f>SUBTOTAL(103,A716)</f>
        <v>1</v>
      </c>
    </row>
    <row r="717">
      <c r="A717" t="inlineStr">
        <is>
          <t>SOCIETE C364</t>
        </is>
      </c>
      <c r="B717" t="inlineStr">
        <is>
          <t>C364</t>
        </is>
      </c>
      <c r="C717" t="inlineStr">
        <is>
          <t>CORPORATE BANKING</t>
        </is>
      </c>
      <c r="D717" t="inlineStr">
        <is>
          <t>IA</t>
        </is>
      </c>
      <c r="E717" t="inlineStr">
        <is>
          <t>Stage 2</t>
        </is>
      </c>
      <c r="F717" t="inlineStr">
        <is>
          <t>N/A</t>
        </is>
      </c>
      <c r="G717" s="26">
        <v>16270759</v>
      </c>
      <c r="H717" s="26">
        <v>976246</v>
      </c>
      <c r="I717" s="26">
        <v>2453474</v>
      </c>
      <c r="J717" s="26">
        <v>265</v>
      </c>
      <c r="K717" t="inlineStr">
        <is>
          <t>Non</t>
        </is>
      </c>
      <c r="L717">
        <f>SUBTOTAL(103,A717)</f>
        <v>1</v>
      </c>
    </row>
    <row r="718">
      <c r="A718" t="inlineStr">
        <is>
          <t>SOCIETE C1803</t>
        </is>
      </c>
      <c r="B718" t="inlineStr">
        <is>
          <t>C1803</t>
        </is>
      </c>
      <c r="C718" t="inlineStr">
        <is>
          <t>CORPORATE BANKING</t>
        </is>
      </c>
      <c r="D718" t="inlineStr">
        <is>
          <t>IV</t>
        </is>
      </c>
      <c r="E718" t="inlineStr">
        <is>
          <t>Stage 3</t>
        </is>
      </c>
      <c r="F718" t="inlineStr">
        <is>
          <t>N/A</t>
        </is>
      </c>
      <c r="G718" s="26">
        <v>251571315</v>
      </c>
      <c r="H718" s="26">
        <v>138364223</v>
      </c>
      <c r="I718" s="26">
        <v>0</v>
      </c>
      <c r="J718" s="26">
        <v>163</v>
      </c>
      <c r="K718" t="inlineStr">
        <is>
          <t>Oui</t>
        </is>
      </c>
      <c r="L718">
        <f>SUBTOTAL(103,A718)</f>
        <v>1</v>
      </c>
    </row>
    <row r="719">
      <c r="A719" t="inlineStr">
        <is>
          <t>SOCIETE C1414</t>
        </is>
      </c>
      <c r="B719" t="inlineStr">
        <is>
          <t>C1414</t>
        </is>
      </c>
      <c r="C719" t="inlineStr">
        <is>
          <t>CORPORATE BANKING</t>
        </is>
      </c>
      <c r="D719" t="inlineStr">
        <is>
          <t>I</t>
        </is>
      </c>
      <c r="E719" t="inlineStr">
        <is>
          <t>Stage 1</t>
        </is>
      </c>
      <c r="F719" t="inlineStr">
        <is>
          <t>N/A</t>
        </is>
      </c>
      <c r="G719" s="26">
        <v>10528835</v>
      </c>
      <c r="H719" s="26">
        <v>105288</v>
      </c>
      <c r="I719" s="26">
        <v>0</v>
      </c>
      <c r="J719" s="26">
        <v>37</v>
      </c>
      <c r="K719" t="inlineStr">
        <is>
          <t>Non</t>
        </is>
      </c>
      <c r="L719">
        <f>SUBTOTAL(103,A719)</f>
        <v>1</v>
      </c>
    </row>
    <row r="720">
      <c r="A720" t="inlineStr">
        <is>
          <t>SOCIETE C765</t>
        </is>
      </c>
      <c r="B720" t="inlineStr">
        <is>
          <t>C765</t>
        </is>
      </c>
      <c r="C720" t="inlineStr">
        <is>
          <t>CORPORATE BANKING</t>
        </is>
      </c>
      <c r="D720" t="inlineStr">
        <is>
          <t>V</t>
        </is>
      </c>
      <c r="E720" t="inlineStr">
        <is>
          <t>Stage 3</t>
        </is>
      </c>
      <c r="F720" t="inlineStr">
        <is>
          <t>N/A</t>
        </is>
      </c>
      <c r="G720" s="26">
        <v>20869548</v>
      </c>
      <c r="H720" s="26">
        <v>11478251</v>
      </c>
      <c r="I720" s="26">
        <v>0</v>
      </c>
      <c r="J720" s="26">
        <v>22</v>
      </c>
      <c r="K720" t="inlineStr">
        <is>
          <t>Oui</t>
        </is>
      </c>
      <c r="L720">
        <f>SUBTOTAL(103,A720)</f>
        <v>1</v>
      </c>
    </row>
    <row r="721">
      <c r="A721" t="inlineStr">
        <is>
          <t>SOCIETE C1714</t>
        </is>
      </c>
      <c r="B721" t="inlineStr">
        <is>
          <t>C1714</t>
        </is>
      </c>
      <c r="C721" t="inlineStr">
        <is>
          <t>PUBLIC SECTOR</t>
        </is>
      </c>
      <c r="D721" t="inlineStr">
        <is>
          <t>I</t>
        </is>
      </c>
      <c r="E721" t="inlineStr">
        <is>
          <t>Stage 1</t>
        </is>
      </c>
      <c r="F721" t="inlineStr">
        <is>
          <t>N/A</t>
        </is>
      </c>
      <c r="G721" s="26">
        <v>91848491</v>
      </c>
      <c r="H721" s="26">
        <v>918485</v>
      </c>
      <c r="I721" s="26">
        <v>0</v>
      </c>
      <c r="J721" s="26">
        <v>312</v>
      </c>
      <c r="K721" t="inlineStr">
        <is>
          <t>Non</t>
        </is>
      </c>
      <c r="L721">
        <f>SUBTOTAL(103,A721)</f>
        <v>1</v>
      </c>
    </row>
    <row r="722">
      <c r="A722" t="inlineStr">
        <is>
          <t>SOCIETE C1953</t>
        </is>
      </c>
      <c r="B722" t="inlineStr">
        <is>
          <t>C1953</t>
        </is>
      </c>
      <c r="C722" t="inlineStr">
        <is>
          <t>COMMERCIAL BANKING</t>
        </is>
      </c>
      <c r="D722" t="inlineStr">
        <is>
          <t>IA</t>
        </is>
      </c>
      <c r="E722" t="inlineStr">
        <is>
          <t>Stage 2</t>
        </is>
      </c>
      <c r="F722" t="inlineStr">
        <is>
          <t>N/A</t>
        </is>
      </c>
      <c r="G722" s="26">
        <v>148257296</v>
      </c>
      <c r="H722" s="26">
        <v>8895438</v>
      </c>
      <c r="I722" s="26">
        <v>0</v>
      </c>
      <c r="J722" s="26">
        <v>215</v>
      </c>
      <c r="K722" t="inlineStr">
        <is>
          <t>Non</t>
        </is>
      </c>
      <c r="L722">
        <f>SUBTOTAL(103,A722)</f>
        <v>1</v>
      </c>
    </row>
    <row r="723">
      <c r="A723" t="inlineStr">
        <is>
          <t>SOCIETE C48</t>
        </is>
      </c>
      <c r="B723" t="inlineStr">
        <is>
          <t>C48</t>
        </is>
      </c>
      <c r="C723" t="inlineStr">
        <is>
          <t>CORPORATE BANKING</t>
        </is>
      </c>
      <c r="D723" t="inlineStr">
        <is>
          <t>IA</t>
        </is>
      </c>
      <c r="E723" t="inlineStr">
        <is>
          <t>Stage 2</t>
        </is>
      </c>
      <c r="F723" t="inlineStr">
        <is>
          <t>N/A</t>
        </is>
      </c>
      <c r="G723" s="26">
        <v>4685381</v>
      </c>
      <c r="H723" s="26">
        <v>281123</v>
      </c>
      <c r="I723" s="26">
        <v>0</v>
      </c>
      <c r="J723" s="26">
        <v>61</v>
      </c>
      <c r="K723" t="inlineStr">
        <is>
          <t>Non</t>
        </is>
      </c>
      <c r="L723">
        <f>SUBTOTAL(103,A723)</f>
        <v>1</v>
      </c>
    </row>
    <row r="724">
      <c r="A724" t="inlineStr">
        <is>
          <t>SOCIETE C1247</t>
        </is>
      </c>
      <c r="B724" t="inlineStr">
        <is>
          <t>C1247</t>
        </is>
      </c>
      <c r="C724" t="inlineStr">
        <is>
          <t>CONSUMER BANKING</t>
        </is>
      </c>
      <c r="D724" t="inlineStr">
        <is>
          <t>I</t>
        </is>
      </c>
      <c r="E724" t="inlineStr">
        <is>
          <t>Stage 1</t>
        </is>
      </c>
      <c r="F724" t="inlineStr">
        <is>
          <t>N/A</t>
        </is>
      </c>
      <c r="G724" s="26">
        <v>466975286</v>
      </c>
      <c r="H724" s="26">
        <v>4669753</v>
      </c>
      <c r="I724" s="26">
        <v>92706614</v>
      </c>
      <c r="J724" s="26">
        <v>13</v>
      </c>
      <c r="K724" t="inlineStr">
        <is>
          <t>Non</t>
        </is>
      </c>
      <c r="L724">
        <f>SUBTOTAL(103,A724)</f>
        <v>1</v>
      </c>
    </row>
    <row r="725">
      <c r="A725" t="inlineStr">
        <is>
          <t>SOCIETE C563</t>
        </is>
      </c>
      <c r="B725" t="inlineStr">
        <is>
          <t>C563</t>
        </is>
      </c>
      <c r="C725" t="inlineStr">
        <is>
          <t>CORPORATE BANKING</t>
        </is>
      </c>
      <c r="D725" t="inlineStr">
        <is>
          <t>I</t>
        </is>
      </c>
      <c r="E725" t="inlineStr">
        <is>
          <t>Stage 1</t>
        </is>
      </c>
      <c r="F725" t="inlineStr">
        <is>
          <t>N/A</t>
        </is>
      </c>
      <c r="G725" s="26">
        <v>1022233252</v>
      </c>
      <c r="H725" s="26">
        <v>10222333</v>
      </c>
      <c r="I725" s="26">
        <v>139395543</v>
      </c>
      <c r="J725" s="26">
        <v>109</v>
      </c>
      <c r="K725" t="inlineStr">
        <is>
          <t>Non</t>
        </is>
      </c>
      <c r="L725">
        <f>SUBTOTAL(103,A725)</f>
        <v>1</v>
      </c>
    </row>
    <row r="726">
      <c r="A726" t="inlineStr">
        <is>
          <t>SOCIETE C74</t>
        </is>
      </c>
      <c r="B726" t="inlineStr">
        <is>
          <t>C74</t>
        </is>
      </c>
      <c r="C726" t="inlineStr">
        <is>
          <t>CONSUMER BANKING</t>
        </is>
      </c>
      <c r="D726" t="inlineStr">
        <is>
          <t>I</t>
        </is>
      </c>
      <c r="E726" t="inlineStr">
        <is>
          <t>Stage 1</t>
        </is>
      </c>
      <c r="F726" t="inlineStr">
        <is>
          <t>N/A</t>
        </is>
      </c>
      <c r="G726" s="26">
        <v>1651969700</v>
      </c>
      <c r="H726" s="26">
        <v>16519697</v>
      </c>
      <c r="I726" s="26">
        <v>202772518</v>
      </c>
      <c r="J726" s="26">
        <v>339</v>
      </c>
      <c r="K726" t="inlineStr">
        <is>
          <t>Non</t>
        </is>
      </c>
      <c r="L726">
        <f>SUBTOTAL(103,A726)</f>
        <v>1</v>
      </c>
    </row>
    <row r="727">
      <c r="A727" t="inlineStr">
        <is>
          <t>SOCIETE C552</t>
        </is>
      </c>
      <c r="B727" t="inlineStr">
        <is>
          <t>C552</t>
        </is>
      </c>
      <c r="C727" t="inlineStr">
        <is>
          <t>CORPORATE BANKING</t>
        </is>
      </c>
      <c r="D727" t="inlineStr">
        <is>
          <t>I</t>
        </is>
      </c>
      <c r="E727" t="inlineStr">
        <is>
          <t>Stage 1</t>
        </is>
      </c>
      <c r="F727" t="inlineStr">
        <is>
          <t>N/A</t>
        </is>
      </c>
      <c r="G727" s="26">
        <v>636744380</v>
      </c>
      <c r="H727" s="26">
        <v>6367444</v>
      </c>
      <c r="I727" s="26">
        <v>0</v>
      </c>
      <c r="J727" s="26">
        <v>68</v>
      </c>
      <c r="K727" t="inlineStr">
        <is>
          <t>Non</t>
        </is>
      </c>
      <c r="L727">
        <f>SUBTOTAL(103,A727)</f>
        <v>1</v>
      </c>
    </row>
    <row r="728">
      <c r="A728" t="inlineStr">
        <is>
          <t>SOCIETE C256</t>
        </is>
      </c>
      <c r="B728" t="inlineStr">
        <is>
          <t>C256</t>
        </is>
      </c>
      <c r="C728" t="inlineStr">
        <is>
          <t>COMMERCIAL BANKING</t>
        </is>
      </c>
      <c r="D728" t="inlineStr">
        <is>
          <t>V</t>
        </is>
      </c>
      <c r="E728" t="inlineStr">
        <is>
          <t>Stage 3</t>
        </is>
      </c>
      <c r="F728" t="inlineStr">
        <is>
          <t>N/A</t>
        </is>
      </c>
      <c r="G728" s="26">
        <v>2779301</v>
      </c>
      <c r="H728" s="26">
        <v>1528616</v>
      </c>
      <c r="I728" s="26">
        <v>0</v>
      </c>
      <c r="J728" s="26">
        <v>63</v>
      </c>
      <c r="K728" t="inlineStr">
        <is>
          <t>Oui</t>
        </is>
      </c>
      <c r="L728">
        <f>SUBTOTAL(103,A728)</f>
        <v>1</v>
      </c>
    </row>
    <row r="729">
      <c r="A729" t="inlineStr">
        <is>
          <t>SOCIETE C2433</t>
        </is>
      </c>
      <c r="B729" t="inlineStr">
        <is>
          <t>C2433</t>
        </is>
      </c>
      <c r="C729" t="inlineStr">
        <is>
          <t>CORPORATE BANKING</t>
        </is>
      </c>
      <c r="D729" t="inlineStr">
        <is>
          <t>III</t>
        </is>
      </c>
      <c r="E729" t="inlineStr">
        <is>
          <t>Stage 3</t>
        </is>
      </c>
      <c r="F729" t="inlineStr">
        <is>
          <t>N/A</t>
        </is>
      </c>
      <c r="G729" s="26">
        <v>1784063769</v>
      </c>
      <c r="H729" s="26">
        <v>981235073</v>
      </c>
      <c r="I729" s="26">
        <v>0</v>
      </c>
      <c r="J729" s="26">
        <v>29</v>
      </c>
      <c r="K729" t="inlineStr">
        <is>
          <t>Oui</t>
        </is>
      </c>
      <c r="L729">
        <f>SUBTOTAL(103,A729)</f>
        <v>1</v>
      </c>
    </row>
    <row r="730">
      <c r="A730" t="inlineStr">
        <is>
          <t>SOCIETE C1065</t>
        </is>
      </c>
      <c r="B730" t="inlineStr">
        <is>
          <t>C1065</t>
        </is>
      </c>
      <c r="C730" t="inlineStr">
        <is>
          <t>CONSUMER BANKING</t>
        </is>
      </c>
      <c r="D730" t="inlineStr">
        <is>
          <t>IV</t>
        </is>
      </c>
      <c r="E730" t="inlineStr">
        <is>
          <t>Stage 3</t>
        </is>
      </c>
      <c r="F730" t="inlineStr">
        <is>
          <t>N/A</t>
        </is>
      </c>
      <c r="G730" s="26">
        <v>233475260</v>
      </c>
      <c r="H730" s="26">
        <v>128411393</v>
      </c>
      <c r="I730" s="26">
        <v>46248188</v>
      </c>
      <c r="J730" s="26">
        <v>28</v>
      </c>
      <c r="K730" t="inlineStr">
        <is>
          <t>Oui</t>
        </is>
      </c>
      <c r="L730">
        <f>SUBTOTAL(103,A730)</f>
        <v>1</v>
      </c>
    </row>
    <row r="731">
      <c r="A731" t="inlineStr">
        <is>
          <t>SOCIETE C856</t>
        </is>
      </c>
      <c r="B731" t="inlineStr">
        <is>
          <t>C856</t>
        </is>
      </c>
      <c r="C731" t="inlineStr">
        <is>
          <t>CORPORATE BANKING</t>
        </is>
      </c>
      <c r="D731" t="inlineStr">
        <is>
          <t>I</t>
        </is>
      </c>
      <c r="E731" t="inlineStr">
        <is>
          <t>Stage 1</t>
        </is>
      </c>
      <c r="F731" t="inlineStr">
        <is>
          <t>N/A</t>
        </is>
      </c>
      <c r="G731" s="26">
        <v>1214961056</v>
      </c>
      <c r="H731" s="26">
        <v>12149611</v>
      </c>
      <c r="I731" s="26">
        <v>166467389</v>
      </c>
      <c r="J731" s="26">
        <v>2</v>
      </c>
      <c r="K731" t="inlineStr">
        <is>
          <t>Non</t>
        </is>
      </c>
      <c r="L731">
        <f>SUBTOTAL(103,A731)</f>
        <v>1</v>
      </c>
    </row>
    <row r="732">
      <c r="A732" t="inlineStr">
        <is>
          <t>SOCIETE C1351</t>
        </is>
      </c>
      <c r="B732" t="inlineStr">
        <is>
          <t>C1351</t>
        </is>
      </c>
      <c r="C732" t="inlineStr">
        <is>
          <t>CONSUMER BANKING</t>
        </is>
      </c>
      <c r="D732" t="inlineStr">
        <is>
          <t>I</t>
        </is>
      </c>
      <c r="E732" t="inlineStr">
        <is>
          <t>Stage 1</t>
        </is>
      </c>
      <c r="F732" t="inlineStr">
        <is>
          <t>N/A</t>
        </is>
      </c>
      <c r="G732" s="26">
        <v>943994106</v>
      </c>
      <c r="H732" s="26">
        <v>9439941</v>
      </c>
      <c r="I732" s="26">
        <v>0</v>
      </c>
      <c r="J732" s="26">
        <v>273</v>
      </c>
      <c r="K732" t="inlineStr">
        <is>
          <t>Non</t>
        </is>
      </c>
      <c r="L732">
        <f>SUBTOTAL(103,A732)</f>
        <v>1</v>
      </c>
    </row>
    <row r="733">
      <c r="A733" t="inlineStr">
        <is>
          <t>SOCIETE C1519</t>
        </is>
      </c>
      <c r="B733" t="inlineStr">
        <is>
          <t>C1519</t>
        </is>
      </c>
      <c r="C733" t="inlineStr">
        <is>
          <t>CORPORATE BANKING</t>
        </is>
      </c>
      <c r="D733" t="inlineStr">
        <is>
          <t>I</t>
        </is>
      </c>
      <c r="E733" t="inlineStr">
        <is>
          <t>Stage 1</t>
        </is>
      </c>
      <c r="F733" t="inlineStr">
        <is>
          <t>N/A</t>
        </is>
      </c>
      <c r="G733" s="26">
        <v>57083200</v>
      </c>
      <c r="H733" s="26">
        <v>570832</v>
      </c>
      <c r="I733" s="26">
        <v>0</v>
      </c>
      <c r="J733" s="26">
        <v>27</v>
      </c>
      <c r="K733" t="inlineStr">
        <is>
          <t>Non</t>
        </is>
      </c>
      <c r="L733">
        <f>SUBTOTAL(103,A733)</f>
        <v>1</v>
      </c>
    </row>
    <row r="734">
      <c r="A734" t="inlineStr">
        <is>
          <t>SOCIETE C1604</t>
        </is>
      </c>
      <c r="B734" t="inlineStr">
        <is>
          <t>C1604</t>
        </is>
      </c>
      <c r="C734" t="inlineStr">
        <is>
          <t>COMMERCIAL BANKING</t>
        </is>
      </c>
      <c r="D734" t="inlineStr">
        <is>
          <t>III</t>
        </is>
      </c>
      <c r="E734" t="inlineStr">
        <is>
          <t>Stage 3</t>
        </is>
      </c>
      <c r="F734" t="inlineStr">
        <is>
          <t>N/A</t>
        </is>
      </c>
      <c r="G734" s="26">
        <v>43184275</v>
      </c>
      <c r="H734" s="26">
        <v>23751351</v>
      </c>
      <c r="I734" s="26">
        <v>2801735</v>
      </c>
      <c r="J734" s="26">
        <v>28</v>
      </c>
      <c r="K734" t="inlineStr">
        <is>
          <t>Oui</t>
        </is>
      </c>
      <c r="L734">
        <f>SUBTOTAL(103,A734)</f>
        <v>1</v>
      </c>
    </row>
    <row r="735">
      <c r="A735" t="inlineStr">
        <is>
          <t>SOCIETE C1076</t>
        </is>
      </c>
      <c r="B735" t="inlineStr">
        <is>
          <t>C1076</t>
        </is>
      </c>
      <c r="C735" t="inlineStr">
        <is>
          <t>CORPORATE BANKING</t>
        </is>
      </c>
      <c r="D735" t="inlineStr">
        <is>
          <t>IV</t>
        </is>
      </c>
      <c r="E735" t="inlineStr">
        <is>
          <t>Stage 3</t>
        </is>
      </c>
      <c r="F735" t="inlineStr">
        <is>
          <t>N/A</t>
        </is>
      </c>
      <c r="G735" s="26">
        <v>20347739</v>
      </c>
      <c r="H735" s="26">
        <v>11191257</v>
      </c>
      <c r="I735" s="26">
        <v>0</v>
      </c>
      <c r="J735" s="26">
        <v>25</v>
      </c>
      <c r="K735" t="inlineStr">
        <is>
          <t>Oui</t>
        </is>
      </c>
      <c r="L735">
        <f>SUBTOTAL(103,A735)</f>
        <v>1</v>
      </c>
    </row>
    <row r="736">
      <c r="A736" t="inlineStr">
        <is>
          <t>SOCIETE C1357</t>
        </is>
      </c>
      <c r="B736" t="inlineStr">
        <is>
          <t>C1357</t>
        </is>
      </c>
      <c r="C736" t="inlineStr">
        <is>
          <t>CORPORATE BANKING</t>
        </is>
      </c>
      <c r="D736" t="inlineStr">
        <is>
          <t>IA</t>
        </is>
      </c>
      <c r="E736" t="inlineStr">
        <is>
          <t>Stage 2</t>
        </is>
      </c>
      <c r="F736" t="inlineStr">
        <is>
          <t>N/A</t>
        </is>
      </c>
      <c r="G736" s="26">
        <v>1175896943</v>
      </c>
      <c r="H736" s="26">
        <v>70553817</v>
      </c>
      <c r="I736" s="26">
        <v>197582366</v>
      </c>
      <c r="J736" s="26">
        <v>9</v>
      </c>
      <c r="K736" t="inlineStr">
        <is>
          <t>Non</t>
        </is>
      </c>
      <c r="L736">
        <f>SUBTOTAL(103,A736)</f>
        <v>1</v>
      </c>
    </row>
    <row r="737">
      <c r="A737" t="inlineStr">
        <is>
          <t>SOCIETE C139</t>
        </is>
      </c>
      <c r="B737" t="inlineStr">
        <is>
          <t>C139</t>
        </is>
      </c>
      <c r="C737" t="inlineStr">
        <is>
          <t>PUBLIC SECTOR</t>
        </is>
      </c>
      <c r="D737" t="inlineStr">
        <is>
          <t>II</t>
        </is>
      </c>
      <c r="E737" t="inlineStr">
        <is>
          <t>Stage 2</t>
        </is>
      </c>
      <c r="F737" t="inlineStr">
        <is>
          <t>N/A</t>
        </is>
      </c>
      <c r="G737" s="26">
        <v>953311817</v>
      </c>
      <c r="H737" s="26">
        <v>57198709</v>
      </c>
      <c r="I737" s="26">
        <v>141957756</v>
      </c>
      <c r="J737" s="26">
        <v>117</v>
      </c>
      <c r="K737" t="inlineStr">
        <is>
          <t>Non</t>
        </is>
      </c>
      <c r="L737">
        <f>SUBTOTAL(103,A737)</f>
        <v>1</v>
      </c>
    </row>
    <row r="738">
      <c r="A738" t="inlineStr">
        <is>
          <t>SOCIETE C2430</t>
        </is>
      </c>
      <c r="B738" t="inlineStr">
        <is>
          <t>C2430</t>
        </is>
      </c>
      <c r="C738" t="inlineStr">
        <is>
          <t>CORPORATE BANKING</t>
        </is>
      </c>
      <c r="D738" t="inlineStr">
        <is>
          <t>IA</t>
        </is>
      </c>
      <c r="E738" t="inlineStr">
        <is>
          <t>Stage 2</t>
        </is>
      </c>
      <c r="F738" t="inlineStr">
        <is>
          <t>N/A</t>
        </is>
      </c>
      <c r="G738" s="26">
        <v>1578457</v>
      </c>
      <c r="H738" s="26">
        <v>94707</v>
      </c>
      <c r="I738" s="26">
        <v>0</v>
      </c>
      <c r="J738" s="26">
        <v>38</v>
      </c>
      <c r="K738" t="inlineStr">
        <is>
          <t>Non</t>
        </is>
      </c>
      <c r="L738">
        <f>SUBTOTAL(103,A738)</f>
        <v>1</v>
      </c>
    </row>
    <row r="739">
      <c r="A739" t="inlineStr">
        <is>
          <t>SOCIETE C149</t>
        </is>
      </c>
      <c r="B739" t="inlineStr">
        <is>
          <t>C149</t>
        </is>
      </c>
      <c r="C739" t="inlineStr">
        <is>
          <t>CORPORATE BANKING</t>
        </is>
      </c>
      <c r="D739" t="inlineStr">
        <is>
          <t>IA</t>
        </is>
      </c>
      <c r="E739" t="inlineStr">
        <is>
          <t>Stage 2</t>
        </is>
      </c>
      <c r="F739" t="inlineStr">
        <is>
          <t>N/A</t>
        </is>
      </c>
      <c r="G739" s="26">
        <v>2224093568</v>
      </c>
      <c r="H739" s="26">
        <v>133445614</v>
      </c>
      <c r="I739" s="26">
        <v>0</v>
      </c>
      <c r="J739" s="26">
        <v>243</v>
      </c>
      <c r="K739" t="inlineStr">
        <is>
          <t>Non</t>
        </is>
      </c>
      <c r="L739">
        <f>SUBTOTAL(103,A739)</f>
        <v>1</v>
      </c>
    </row>
    <row r="740">
      <c r="A740" t="inlineStr">
        <is>
          <t>SOCIETE C1036</t>
        </is>
      </c>
      <c r="B740" t="inlineStr">
        <is>
          <t>C1036</t>
        </is>
      </c>
      <c r="C740" t="inlineStr">
        <is>
          <t>CORPORATE BANKING</t>
        </is>
      </c>
      <c r="D740" t="inlineStr">
        <is>
          <t>I</t>
        </is>
      </c>
      <c r="E740" t="inlineStr">
        <is>
          <t>Stage 1</t>
        </is>
      </c>
      <c r="F740" t="inlineStr">
        <is>
          <t>N/A</t>
        </is>
      </c>
      <c r="G740" s="26">
        <v>1321615</v>
      </c>
      <c r="H740" s="26">
        <v>13216</v>
      </c>
      <c r="I740" s="26">
        <v>0</v>
      </c>
      <c r="J740" s="26">
        <v>58</v>
      </c>
      <c r="K740" t="inlineStr">
        <is>
          <t>Non</t>
        </is>
      </c>
      <c r="L740">
        <f>SUBTOTAL(103,A740)</f>
        <v>1</v>
      </c>
    </row>
    <row r="741">
      <c r="A741" t="inlineStr">
        <is>
          <t>SOCIETE C1707</t>
        </is>
      </c>
      <c r="B741" t="inlineStr">
        <is>
          <t>C1707</t>
        </is>
      </c>
      <c r="C741" t="inlineStr">
        <is>
          <t>CORPORATE BANKING</t>
        </is>
      </c>
      <c r="D741" t="inlineStr">
        <is>
          <t>IV</t>
        </is>
      </c>
      <c r="E741" t="inlineStr">
        <is>
          <t>Stage 3</t>
        </is>
      </c>
      <c r="F741" t="inlineStr">
        <is>
          <t>N/A</t>
        </is>
      </c>
      <c r="G741" s="26">
        <v>415345451</v>
      </c>
      <c r="H741" s="26">
        <v>228439998</v>
      </c>
      <c r="I741" s="26">
        <v>0</v>
      </c>
      <c r="J741" s="26">
        <v>61</v>
      </c>
      <c r="K741" t="inlineStr">
        <is>
          <t>Oui</t>
        </is>
      </c>
      <c r="L741">
        <f>SUBTOTAL(103,A741)</f>
        <v>1</v>
      </c>
    </row>
    <row r="742">
      <c r="A742" t="inlineStr">
        <is>
          <t>SOCIETE C1011</t>
        </is>
      </c>
      <c r="B742" t="inlineStr">
        <is>
          <t>C1011</t>
        </is>
      </c>
      <c r="C742" t="inlineStr">
        <is>
          <t>COMMERCIAL BANKING</t>
        </is>
      </c>
      <c r="D742" t="inlineStr">
        <is>
          <t>I</t>
        </is>
      </c>
      <c r="E742" t="inlineStr">
        <is>
          <t>Stage 1</t>
        </is>
      </c>
      <c r="F742" t="inlineStr">
        <is>
          <t>N/A</t>
        </is>
      </c>
      <c r="G742" s="26">
        <v>1869986690</v>
      </c>
      <c r="H742" s="26">
        <v>18699867</v>
      </c>
      <c r="I742" s="26">
        <v>52656038</v>
      </c>
      <c r="J742" s="26">
        <v>119</v>
      </c>
      <c r="K742" t="inlineStr">
        <is>
          <t>Non</t>
        </is>
      </c>
      <c r="L742">
        <f>SUBTOTAL(103,A742)</f>
        <v>1</v>
      </c>
    </row>
    <row r="743">
      <c r="A743" t="inlineStr">
        <is>
          <t>SOCIETE C511</t>
        </is>
      </c>
      <c r="B743" t="inlineStr">
        <is>
          <t>C511</t>
        </is>
      </c>
      <c r="C743" t="inlineStr">
        <is>
          <t>COMMERCIAL BANKING</t>
        </is>
      </c>
      <c r="D743" t="inlineStr">
        <is>
          <t>V</t>
        </is>
      </c>
      <c r="E743" t="inlineStr">
        <is>
          <t>Stage 3</t>
        </is>
      </c>
      <c r="F743" t="inlineStr">
        <is>
          <t>N/A</t>
        </is>
      </c>
      <c r="G743" s="26">
        <v>1193654</v>
      </c>
      <c r="H743" s="26">
        <v>656510</v>
      </c>
      <c r="I743" s="26">
        <v>0</v>
      </c>
      <c r="J743" s="26">
        <v>12</v>
      </c>
      <c r="K743" t="inlineStr">
        <is>
          <t>Oui</t>
        </is>
      </c>
      <c r="L743">
        <f>SUBTOTAL(103,A743)</f>
        <v>1</v>
      </c>
    </row>
    <row r="744">
      <c r="A744" t="inlineStr">
        <is>
          <t>SOCIETE C304</t>
        </is>
      </c>
      <c r="B744" t="inlineStr">
        <is>
          <t>C304</t>
        </is>
      </c>
      <c r="C744" t="inlineStr">
        <is>
          <t>CORPORATE BANKING</t>
        </is>
      </c>
      <c r="D744" t="inlineStr">
        <is>
          <t>III</t>
        </is>
      </c>
      <c r="E744" t="inlineStr">
        <is>
          <t>Stage 3</t>
        </is>
      </c>
      <c r="F744" t="inlineStr">
        <is>
          <t>N/A</t>
        </is>
      </c>
      <c r="G744" s="26">
        <v>11815720</v>
      </c>
      <c r="H744" s="26">
        <v>6498646</v>
      </c>
      <c r="I744" s="26">
        <v>0</v>
      </c>
      <c r="J744" s="26">
        <v>88</v>
      </c>
      <c r="K744" t="inlineStr">
        <is>
          <t>Oui</t>
        </is>
      </c>
      <c r="L744">
        <f>SUBTOTAL(103,A744)</f>
        <v>1</v>
      </c>
    </row>
    <row r="745">
      <c r="A745" t="inlineStr">
        <is>
          <t>SOCIETE C1566</t>
        </is>
      </c>
      <c r="B745" t="inlineStr">
        <is>
          <t>C1566</t>
        </is>
      </c>
      <c r="C745" t="inlineStr">
        <is>
          <t>COMMERCIAL BANKING</t>
        </is>
      </c>
      <c r="D745" t="inlineStr">
        <is>
          <t>II</t>
        </is>
      </c>
      <c r="E745" t="inlineStr">
        <is>
          <t>Stage 2</t>
        </is>
      </c>
      <c r="F745" t="inlineStr">
        <is>
          <t>N/A</t>
        </is>
      </c>
      <c r="G745" s="26">
        <v>1648398</v>
      </c>
      <c r="H745" s="26">
        <v>98904</v>
      </c>
      <c r="I745" s="26">
        <v>0</v>
      </c>
      <c r="J745" s="26">
        <v>110</v>
      </c>
      <c r="K745" t="inlineStr">
        <is>
          <t>Non</t>
        </is>
      </c>
      <c r="L745">
        <f>SUBTOTAL(103,A745)</f>
        <v>1</v>
      </c>
    </row>
    <row r="746">
      <c r="A746" t="inlineStr">
        <is>
          <t>SOCIETE C620</t>
        </is>
      </c>
      <c r="B746" t="inlineStr">
        <is>
          <t>C620</t>
        </is>
      </c>
      <c r="C746" t="inlineStr">
        <is>
          <t>CONSUMER BANKING</t>
        </is>
      </c>
      <c r="D746" t="inlineStr">
        <is>
          <t>IA</t>
        </is>
      </c>
      <c r="E746" t="inlineStr">
        <is>
          <t>Stage 2</t>
        </is>
      </c>
      <c r="F746" t="inlineStr">
        <is>
          <t>N/A</t>
        </is>
      </c>
      <c r="G746" s="26">
        <v>11505563</v>
      </c>
      <c r="H746" s="26">
        <v>690334</v>
      </c>
      <c r="I746" s="26">
        <v>744975</v>
      </c>
      <c r="J746" s="26">
        <v>44</v>
      </c>
      <c r="K746" t="inlineStr">
        <is>
          <t>Non</t>
        </is>
      </c>
      <c r="L746">
        <f>SUBTOTAL(103,A746)</f>
        <v>1</v>
      </c>
    </row>
    <row r="747">
      <c r="A747" t="inlineStr">
        <is>
          <t>SOCIETE C2414</t>
        </is>
      </c>
      <c r="B747" t="inlineStr">
        <is>
          <t>C2414</t>
        </is>
      </c>
      <c r="C747" t="inlineStr">
        <is>
          <t>CORPORATE BANKING</t>
        </is>
      </c>
      <c r="D747" t="inlineStr">
        <is>
          <t>IV</t>
        </is>
      </c>
      <c r="E747" t="inlineStr">
        <is>
          <t>Stage 3</t>
        </is>
      </c>
      <c r="F747" t="inlineStr">
        <is>
          <t>N/A</t>
        </is>
      </c>
      <c r="G747" s="26">
        <v>212945242</v>
      </c>
      <c r="H747" s="26">
        <v>117119883</v>
      </c>
      <c r="I747" s="26">
        <v>0</v>
      </c>
      <c r="J747" s="26">
        <v>6</v>
      </c>
      <c r="K747" t="inlineStr">
        <is>
          <t>Oui</t>
        </is>
      </c>
      <c r="L747">
        <f>SUBTOTAL(103,A747)</f>
        <v>1</v>
      </c>
    </row>
    <row r="748">
      <c r="A748" t="inlineStr">
        <is>
          <t>SOCIETE C1169</t>
        </is>
      </c>
      <c r="B748" t="inlineStr">
        <is>
          <t>C1169</t>
        </is>
      </c>
      <c r="C748" t="inlineStr">
        <is>
          <t>CONSUMER BANKING</t>
        </is>
      </c>
      <c r="D748" t="inlineStr">
        <is>
          <t>I</t>
        </is>
      </c>
      <c r="E748" t="inlineStr">
        <is>
          <t>Stage 1</t>
        </is>
      </c>
      <c r="F748" t="inlineStr">
        <is>
          <t>N/A</t>
        </is>
      </c>
      <c r="G748" s="26">
        <v>1084072280</v>
      </c>
      <c r="H748" s="26">
        <v>10840723</v>
      </c>
      <c r="I748" s="26">
        <v>207430087</v>
      </c>
      <c r="J748" s="26">
        <v>209</v>
      </c>
      <c r="K748" t="inlineStr">
        <is>
          <t>Non</t>
        </is>
      </c>
      <c r="L748">
        <f>SUBTOTAL(103,A748)</f>
        <v>1</v>
      </c>
    </row>
    <row r="749">
      <c r="A749" t="inlineStr">
        <is>
          <t>SOCIETE C554</t>
        </is>
      </c>
      <c r="B749" t="inlineStr">
        <is>
          <t>C554</t>
        </is>
      </c>
      <c r="C749" t="inlineStr">
        <is>
          <t>CORPORATE BANKING</t>
        </is>
      </c>
      <c r="D749" t="inlineStr">
        <is>
          <t>II</t>
        </is>
      </c>
      <c r="E749" t="inlineStr">
        <is>
          <t>Stage 2</t>
        </is>
      </c>
      <c r="F749" t="inlineStr">
        <is>
          <t>N/A</t>
        </is>
      </c>
      <c r="G749" s="26">
        <v>1790980651</v>
      </c>
      <c r="H749" s="26">
        <v>107458839</v>
      </c>
      <c r="I749" s="26">
        <v>0</v>
      </c>
      <c r="J749" s="26">
        <v>0</v>
      </c>
      <c r="K749" t="inlineStr">
        <is>
          <t>Non</t>
        </is>
      </c>
      <c r="L749">
        <f>SUBTOTAL(103,A749)</f>
        <v>1</v>
      </c>
    </row>
    <row r="750">
      <c r="A750" t="inlineStr">
        <is>
          <t>SOCIETE C2234</t>
        </is>
      </c>
      <c r="B750" t="inlineStr">
        <is>
          <t>C2234</t>
        </is>
      </c>
      <c r="C750" t="inlineStr">
        <is>
          <t>CONSUMER BANKING</t>
        </is>
      </c>
      <c r="D750" t="inlineStr">
        <is>
          <t>V</t>
        </is>
      </c>
      <c r="E750" t="inlineStr">
        <is>
          <t>Stage 3</t>
        </is>
      </c>
      <c r="F750" t="inlineStr">
        <is>
          <t>N/A</t>
        </is>
      </c>
      <c r="G750" s="26">
        <v>102331450</v>
      </c>
      <c r="H750" s="26">
        <v>56282297</v>
      </c>
      <c r="I750" s="26">
        <v>0</v>
      </c>
      <c r="J750" s="26">
        <v>8</v>
      </c>
      <c r="K750" t="inlineStr">
        <is>
          <t>Oui</t>
        </is>
      </c>
      <c r="L750">
        <f>SUBTOTAL(103,A750)</f>
        <v>1</v>
      </c>
    </row>
    <row r="751">
      <c r="A751" t="inlineStr">
        <is>
          <t>SOCIETE C370</t>
        </is>
      </c>
      <c r="B751" t="inlineStr">
        <is>
          <t>C370</t>
        </is>
      </c>
      <c r="C751" t="inlineStr">
        <is>
          <t>CORPORATE BANKING</t>
        </is>
      </c>
      <c r="D751" t="inlineStr">
        <is>
          <t>I</t>
        </is>
      </c>
      <c r="E751" t="inlineStr">
        <is>
          <t>Stage 1</t>
        </is>
      </c>
      <c r="F751" t="inlineStr">
        <is>
          <t>N/A</t>
        </is>
      </c>
      <c r="G751" s="26">
        <v>11102105</v>
      </c>
      <c r="H751" s="26">
        <v>111021</v>
      </c>
      <c r="I751" s="26">
        <v>0</v>
      </c>
      <c r="J751" s="26">
        <v>161</v>
      </c>
      <c r="K751" t="inlineStr">
        <is>
          <t>Non</t>
        </is>
      </c>
      <c r="L751">
        <f>SUBTOTAL(103,A751)</f>
        <v>1</v>
      </c>
    </row>
    <row r="752">
      <c r="A752" t="inlineStr">
        <is>
          <t>SOCIETE C1541</t>
        </is>
      </c>
      <c r="B752" t="inlineStr">
        <is>
          <t>C1541</t>
        </is>
      </c>
      <c r="C752" t="inlineStr">
        <is>
          <t>PUBLIC SECTOR</t>
        </is>
      </c>
      <c r="D752" t="inlineStr">
        <is>
          <t>II</t>
        </is>
      </c>
      <c r="E752" t="inlineStr">
        <is>
          <t>Stage 2</t>
        </is>
      </c>
      <c r="F752" t="inlineStr">
        <is>
          <t>N/A</t>
        </is>
      </c>
      <c r="G752" s="26">
        <v>1314929068</v>
      </c>
      <c r="H752" s="26">
        <v>78895744</v>
      </c>
      <c r="I752" s="26">
        <v>0</v>
      </c>
      <c r="J752" s="26">
        <v>49</v>
      </c>
      <c r="K752" t="inlineStr">
        <is>
          <t>Non</t>
        </is>
      </c>
      <c r="L752">
        <f>SUBTOTAL(103,A752)</f>
        <v>1</v>
      </c>
    </row>
    <row r="753">
      <c r="A753" t="inlineStr">
        <is>
          <t>SOCIETE C1992</t>
        </is>
      </c>
      <c r="B753" t="inlineStr">
        <is>
          <t>C1992</t>
        </is>
      </c>
      <c r="C753" t="inlineStr">
        <is>
          <t>SME</t>
        </is>
      </c>
      <c r="D753" t="inlineStr">
        <is>
          <t>IV</t>
        </is>
      </c>
      <c r="E753" t="inlineStr">
        <is>
          <t>Stage 3</t>
        </is>
      </c>
      <c r="F753" t="inlineStr">
        <is>
          <t>N/A</t>
        </is>
      </c>
      <c r="G753" s="26">
        <v>1602052375</v>
      </c>
      <c r="H753" s="26">
        <v>881128806</v>
      </c>
      <c r="I753" s="26">
        <v>0</v>
      </c>
      <c r="J753" s="26">
        <v>309</v>
      </c>
      <c r="K753" t="inlineStr">
        <is>
          <t>Oui</t>
        </is>
      </c>
      <c r="L753">
        <f>SUBTOTAL(103,A753)</f>
        <v>1</v>
      </c>
    </row>
    <row r="754">
      <c r="A754" t="inlineStr">
        <is>
          <t>SOCIETE C1585</t>
        </is>
      </c>
      <c r="B754" t="inlineStr">
        <is>
          <t>C1585</t>
        </is>
      </c>
      <c r="C754" t="inlineStr">
        <is>
          <t>CORPORATE BANKING</t>
        </is>
      </c>
      <c r="D754" t="inlineStr">
        <is>
          <t>IA</t>
        </is>
      </c>
      <c r="E754" t="inlineStr">
        <is>
          <t>Stage 2</t>
        </is>
      </c>
      <c r="F754" t="inlineStr">
        <is>
          <t>N/A</t>
        </is>
      </c>
      <c r="G754" s="26">
        <v>19420512</v>
      </c>
      <c r="H754" s="26">
        <v>1165231</v>
      </c>
      <c r="I754" s="26">
        <v>91174</v>
      </c>
      <c r="J754" s="26">
        <v>193</v>
      </c>
      <c r="K754" t="inlineStr">
        <is>
          <t>Non</t>
        </is>
      </c>
      <c r="L754">
        <f>SUBTOTAL(103,A754)</f>
        <v>1</v>
      </c>
    </row>
    <row r="755">
      <c r="A755" t="inlineStr">
        <is>
          <t>SOCIETE C62</t>
        </is>
      </c>
      <c r="B755" t="inlineStr">
        <is>
          <t>C62</t>
        </is>
      </c>
      <c r="C755" t="inlineStr">
        <is>
          <t>SME</t>
        </is>
      </c>
      <c r="D755" t="inlineStr">
        <is>
          <t>IA</t>
        </is>
      </c>
      <c r="E755" t="inlineStr">
        <is>
          <t>Stage 2</t>
        </is>
      </c>
      <c r="F755" t="inlineStr">
        <is>
          <t>N/A</t>
        </is>
      </c>
      <c r="G755" s="26">
        <v>245512722</v>
      </c>
      <c r="H755" s="26">
        <v>14730763</v>
      </c>
      <c r="I755" s="26">
        <v>8813024</v>
      </c>
      <c r="J755" s="26">
        <v>91</v>
      </c>
      <c r="K755" t="inlineStr">
        <is>
          <t>Non</t>
        </is>
      </c>
      <c r="L755">
        <f>SUBTOTAL(103,A755)</f>
        <v>1</v>
      </c>
    </row>
    <row r="756">
      <c r="A756" t="inlineStr">
        <is>
          <t>SOCIETE C1110</t>
        </is>
      </c>
      <c r="B756" t="inlineStr">
        <is>
          <t>C1110</t>
        </is>
      </c>
      <c r="C756" t="inlineStr">
        <is>
          <t>COMMERCIAL BANKING</t>
        </is>
      </c>
      <c r="D756" t="inlineStr">
        <is>
          <t>I</t>
        </is>
      </c>
      <c r="E756" t="inlineStr">
        <is>
          <t>Stage 1</t>
        </is>
      </c>
      <c r="F756" t="inlineStr">
        <is>
          <t>N/A</t>
        </is>
      </c>
      <c r="G756" s="26">
        <v>1107858859</v>
      </c>
      <c r="H756" s="26">
        <v>11078589</v>
      </c>
      <c r="I756" s="26">
        <v>0</v>
      </c>
      <c r="J756" s="26">
        <v>84</v>
      </c>
      <c r="K756" t="inlineStr">
        <is>
          <t>Non</t>
        </is>
      </c>
      <c r="L756">
        <f>SUBTOTAL(103,A756)</f>
        <v>1</v>
      </c>
    </row>
    <row r="757">
      <c r="A757" t="inlineStr">
        <is>
          <t>SOCIETE C1693</t>
        </is>
      </c>
      <c r="B757" t="inlineStr">
        <is>
          <t>C1693</t>
        </is>
      </c>
      <c r="C757" t="inlineStr">
        <is>
          <t>COMMERCIAL BANKING</t>
        </is>
      </c>
      <c r="D757" t="inlineStr">
        <is>
          <t>IA</t>
        </is>
      </c>
      <c r="E757" t="inlineStr">
        <is>
          <t>Stage 2</t>
        </is>
      </c>
      <c r="F757" t="inlineStr">
        <is>
          <t>N/A</t>
        </is>
      </c>
      <c r="G757" s="26">
        <v>210821178</v>
      </c>
      <c r="H757" s="26">
        <v>12649271</v>
      </c>
      <c r="I757" s="26">
        <v>10913578</v>
      </c>
      <c r="J757" s="26">
        <v>58</v>
      </c>
      <c r="K757" t="inlineStr">
        <is>
          <t>Non</t>
        </is>
      </c>
      <c r="L757">
        <f>SUBTOTAL(103,A757)</f>
        <v>1</v>
      </c>
    </row>
    <row r="758">
      <c r="A758" t="inlineStr">
        <is>
          <t>SOCIETE C1837</t>
        </is>
      </c>
      <c r="B758" t="inlineStr">
        <is>
          <t>C1837</t>
        </is>
      </c>
      <c r="C758" t="inlineStr">
        <is>
          <t>CORPORATE BANKING</t>
        </is>
      </c>
      <c r="D758" t="inlineStr">
        <is>
          <t>IA</t>
        </is>
      </c>
      <c r="E758" t="inlineStr">
        <is>
          <t>Stage 2</t>
        </is>
      </c>
      <c r="F758" t="inlineStr">
        <is>
          <t>N/A</t>
        </is>
      </c>
      <c r="G758" s="26">
        <v>29600059</v>
      </c>
      <c r="H758" s="26">
        <v>1776004</v>
      </c>
      <c r="I758" s="26">
        <v>0</v>
      </c>
      <c r="J758" s="26">
        <v>69</v>
      </c>
      <c r="K758" t="inlineStr">
        <is>
          <t>Non</t>
        </is>
      </c>
      <c r="L758">
        <f>SUBTOTAL(103,A758)</f>
        <v>1</v>
      </c>
    </row>
    <row r="759">
      <c r="A759" t="inlineStr">
        <is>
          <t>SOCIETE C253</t>
        </is>
      </c>
      <c r="B759" t="inlineStr">
        <is>
          <t>C253</t>
        </is>
      </c>
      <c r="C759" t="inlineStr">
        <is>
          <t>COMMERCIAL BANKING</t>
        </is>
      </c>
      <c r="D759" t="inlineStr">
        <is>
          <t>III</t>
        </is>
      </c>
      <c r="E759" t="inlineStr">
        <is>
          <t>Stage 3</t>
        </is>
      </c>
      <c r="F759" t="inlineStr">
        <is>
          <t>N/A</t>
        </is>
      </c>
      <c r="G759" s="26">
        <v>795933548</v>
      </c>
      <c r="H759" s="26">
        <v>437763451</v>
      </c>
      <c r="I759" s="26">
        <v>0</v>
      </c>
      <c r="J759" s="26">
        <v>95</v>
      </c>
      <c r="K759" t="inlineStr">
        <is>
          <t>Oui</t>
        </is>
      </c>
      <c r="L759">
        <f>SUBTOTAL(103,A759)</f>
        <v>1</v>
      </c>
    </row>
    <row r="760">
      <c r="A760" t="inlineStr">
        <is>
          <t>SOCIETE C2173</t>
        </is>
      </c>
      <c r="B760" t="inlineStr">
        <is>
          <t>C2173</t>
        </is>
      </c>
      <c r="C760" t="inlineStr">
        <is>
          <t>CORPORATE BANKING</t>
        </is>
      </c>
      <c r="D760" t="inlineStr">
        <is>
          <t>IA</t>
        </is>
      </c>
      <c r="E760" t="inlineStr">
        <is>
          <t>Stage 2</t>
        </is>
      </c>
      <c r="F760" t="inlineStr">
        <is>
          <t>N/A</t>
        </is>
      </c>
      <c r="G760" s="26">
        <v>1443441658</v>
      </c>
      <c r="H760" s="26">
        <v>86606499</v>
      </c>
      <c r="I760" s="26">
        <v>0</v>
      </c>
      <c r="J760" s="26">
        <v>65</v>
      </c>
      <c r="K760" t="inlineStr">
        <is>
          <t>Non</t>
        </is>
      </c>
      <c r="L760">
        <f>SUBTOTAL(103,A760)</f>
        <v>1</v>
      </c>
    </row>
    <row r="761">
      <c r="A761" t="inlineStr">
        <is>
          <t>SOCIETE C1858</t>
        </is>
      </c>
      <c r="B761" t="inlineStr">
        <is>
          <t>C1858</t>
        </is>
      </c>
      <c r="C761" t="inlineStr">
        <is>
          <t>CORPORATE BANKING</t>
        </is>
      </c>
      <c r="D761" t="inlineStr">
        <is>
          <t>II</t>
        </is>
      </c>
      <c r="E761" t="inlineStr">
        <is>
          <t>Stage 2</t>
        </is>
      </c>
      <c r="F761" t="inlineStr">
        <is>
          <t>N/A</t>
        </is>
      </c>
      <c r="G761" s="26">
        <v>1084190</v>
      </c>
      <c r="H761" s="26">
        <v>65051</v>
      </c>
      <c r="I761" s="26">
        <v>0</v>
      </c>
      <c r="J761" s="26">
        <v>38</v>
      </c>
      <c r="K761" t="inlineStr">
        <is>
          <t>Non</t>
        </is>
      </c>
      <c r="L761">
        <f>SUBTOTAL(103,A761)</f>
        <v>1</v>
      </c>
    </row>
    <row r="762">
      <c r="A762" t="inlineStr">
        <is>
          <t>SOCIETE C411</t>
        </is>
      </c>
      <c r="B762" t="inlineStr">
        <is>
          <t>C411</t>
        </is>
      </c>
      <c r="C762" t="inlineStr">
        <is>
          <t>CORPORATE BANKING</t>
        </is>
      </c>
      <c r="D762" t="inlineStr">
        <is>
          <t>IA</t>
        </is>
      </c>
      <c r="E762" t="inlineStr">
        <is>
          <t>Stage 2</t>
        </is>
      </c>
      <c r="F762" t="inlineStr">
        <is>
          <t>N/A</t>
        </is>
      </c>
      <c r="G762" s="26">
        <v>251514372</v>
      </c>
      <c r="H762" s="26">
        <v>15090862</v>
      </c>
      <c r="I762" s="26">
        <v>38679235</v>
      </c>
      <c r="J762" s="26">
        <v>119</v>
      </c>
      <c r="K762" t="inlineStr">
        <is>
          <t>Non</t>
        </is>
      </c>
      <c r="L762">
        <f>SUBTOTAL(103,A762)</f>
        <v>1</v>
      </c>
    </row>
    <row r="763">
      <c r="A763" t="inlineStr">
        <is>
          <t>SOCIETE C954</t>
        </is>
      </c>
      <c r="B763" t="inlineStr">
        <is>
          <t>C954</t>
        </is>
      </c>
      <c r="C763" t="inlineStr">
        <is>
          <t>SME</t>
        </is>
      </c>
      <c r="D763" t="inlineStr">
        <is>
          <t>I</t>
        </is>
      </c>
      <c r="E763" t="inlineStr">
        <is>
          <t>Stage 1</t>
        </is>
      </c>
      <c r="F763" t="inlineStr">
        <is>
          <t>N/A</t>
        </is>
      </c>
      <c r="G763" s="26">
        <v>2594376</v>
      </c>
      <c r="H763" s="26">
        <v>25944</v>
      </c>
      <c r="I763" s="26">
        <v>0</v>
      </c>
      <c r="J763" s="26">
        <v>10</v>
      </c>
      <c r="K763" t="inlineStr">
        <is>
          <t>Non</t>
        </is>
      </c>
      <c r="L763">
        <f>SUBTOTAL(103,A763)</f>
        <v>1</v>
      </c>
    </row>
    <row r="764">
      <c r="A764" t="inlineStr">
        <is>
          <t>SOCIETE C1649</t>
        </is>
      </c>
      <c r="B764" t="inlineStr">
        <is>
          <t>C1649</t>
        </is>
      </c>
      <c r="C764" t="inlineStr">
        <is>
          <t>CORPORATE BANKING</t>
        </is>
      </c>
      <c r="D764" t="inlineStr">
        <is>
          <t>I</t>
        </is>
      </c>
      <c r="E764" t="inlineStr">
        <is>
          <t>Stage 1</t>
        </is>
      </c>
      <c r="F764" t="inlineStr">
        <is>
          <t>N/A</t>
        </is>
      </c>
      <c r="G764" s="26">
        <v>21180001</v>
      </c>
      <c r="H764" s="26">
        <v>211800</v>
      </c>
      <c r="I764" s="26">
        <v>0</v>
      </c>
      <c r="J764" s="26">
        <v>219</v>
      </c>
      <c r="K764" t="inlineStr">
        <is>
          <t>Non</t>
        </is>
      </c>
      <c r="L764">
        <f>SUBTOTAL(103,A764)</f>
        <v>1</v>
      </c>
    </row>
    <row r="765">
      <c r="A765" t="inlineStr">
        <is>
          <t>SOCIETE C1984</t>
        </is>
      </c>
      <c r="B765" t="inlineStr">
        <is>
          <t>C1984</t>
        </is>
      </c>
      <c r="C765" t="inlineStr">
        <is>
          <t>PUBLIC SECTOR</t>
        </is>
      </c>
      <c r="D765" t="inlineStr">
        <is>
          <t>I</t>
        </is>
      </c>
      <c r="E765" t="inlineStr">
        <is>
          <t>Stage 1</t>
        </is>
      </c>
      <c r="F765" t="inlineStr">
        <is>
          <t>N/A</t>
        </is>
      </c>
      <c r="G765" s="26">
        <v>157415328</v>
      </c>
      <c r="H765" s="26">
        <v>1574153</v>
      </c>
      <c r="I765" s="26">
        <v>0</v>
      </c>
      <c r="J765" s="26">
        <v>157</v>
      </c>
      <c r="K765" t="inlineStr">
        <is>
          <t>Non</t>
        </is>
      </c>
      <c r="L765">
        <f>SUBTOTAL(103,A765)</f>
        <v>1</v>
      </c>
    </row>
    <row r="766">
      <c r="A766" t="inlineStr">
        <is>
          <t>SOCIETE C1447</t>
        </is>
      </c>
      <c r="B766" t="inlineStr">
        <is>
          <t>C1447</t>
        </is>
      </c>
      <c r="C766" t="inlineStr">
        <is>
          <t>CORPORATE BANKING</t>
        </is>
      </c>
      <c r="D766" t="inlineStr">
        <is>
          <t>IA</t>
        </is>
      </c>
      <c r="E766" t="inlineStr">
        <is>
          <t>Stage 2</t>
        </is>
      </c>
      <c r="F766" t="inlineStr">
        <is>
          <t>N/A</t>
        </is>
      </c>
      <c r="G766" s="26">
        <v>22824059</v>
      </c>
      <c r="H766" s="26">
        <v>1369444</v>
      </c>
      <c r="I766" s="26">
        <v>0</v>
      </c>
      <c r="J766" s="26">
        <v>55</v>
      </c>
      <c r="K766" t="inlineStr">
        <is>
          <t>Non</t>
        </is>
      </c>
      <c r="L766">
        <f>SUBTOTAL(103,A766)</f>
        <v>1</v>
      </c>
    </row>
    <row r="767">
      <c r="A767" t="inlineStr">
        <is>
          <t>SOCIETE C147</t>
        </is>
      </c>
      <c r="B767" t="inlineStr">
        <is>
          <t>C147</t>
        </is>
      </c>
      <c r="C767" t="inlineStr">
        <is>
          <t>CONSUMER BANKING</t>
        </is>
      </c>
      <c r="D767" t="inlineStr">
        <is>
          <t>I</t>
        </is>
      </c>
      <c r="E767" t="inlineStr">
        <is>
          <t>Stage 1</t>
        </is>
      </c>
      <c r="F767" t="inlineStr">
        <is>
          <t>N/A</t>
        </is>
      </c>
      <c r="G767" s="26">
        <v>683695742</v>
      </c>
      <c r="H767" s="26">
        <v>6836957</v>
      </c>
      <c r="I767" s="26">
        <v>0</v>
      </c>
      <c r="J767" s="26">
        <v>4</v>
      </c>
      <c r="K767" t="inlineStr">
        <is>
          <t>Non</t>
        </is>
      </c>
      <c r="L767">
        <f>SUBTOTAL(103,A767)</f>
        <v>1</v>
      </c>
    </row>
    <row r="768">
      <c r="A768" t="inlineStr">
        <is>
          <t>SOCIETE C1424</t>
        </is>
      </c>
      <c r="B768" t="inlineStr">
        <is>
          <t>C1424</t>
        </is>
      </c>
      <c r="C768" t="inlineStr">
        <is>
          <t>CORPORATE BANKING</t>
        </is>
      </c>
      <c r="D768" t="inlineStr">
        <is>
          <t>I</t>
        </is>
      </c>
      <c r="E768" t="inlineStr">
        <is>
          <t>Stage 1</t>
        </is>
      </c>
      <c r="F768" t="inlineStr">
        <is>
          <t>N/A</t>
        </is>
      </c>
      <c r="G768" s="26">
        <v>119295586</v>
      </c>
      <c r="H768" s="26">
        <v>1192956</v>
      </c>
      <c r="I768" s="26">
        <v>0</v>
      </c>
      <c r="J768" s="26">
        <v>73</v>
      </c>
      <c r="K768" t="inlineStr">
        <is>
          <t>Non</t>
        </is>
      </c>
      <c r="L768">
        <f>SUBTOTAL(103,A768)</f>
        <v>1</v>
      </c>
    </row>
    <row r="769">
      <c r="A769" t="inlineStr">
        <is>
          <t>SOCIETE C100</t>
        </is>
      </c>
      <c r="B769" t="inlineStr">
        <is>
          <t>C100</t>
        </is>
      </c>
      <c r="C769" t="inlineStr">
        <is>
          <t>CONSUMER BANKING</t>
        </is>
      </c>
      <c r="D769" t="inlineStr">
        <is>
          <t>IA</t>
        </is>
      </c>
      <c r="E769" t="inlineStr">
        <is>
          <t>Stage 2</t>
        </is>
      </c>
      <c r="F769" t="inlineStr">
        <is>
          <t>N/A</t>
        </is>
      </c>
      <c r="G769" s="26">
        <v>96576946</v>
      </c>
      <c r="H769" s="26">
        <v>5794617</v>
      </c>
      <c r="I769" s="26">
        <v>11972160</v>
      </c>
      <c r="J769" s="26">
        <v>70</v>
      </c>
      <c r="K769" t="inlineStr">
        <is>
          <t>Non</t>
        </is>
      </c>
      <c r="L769">
        <f>SUBTOTAL(103,A769)</f>
        <v>1</v>
      </c>
    </row>
    <row r="770">
      <c r="A770" t="inlineStr">
        <is>
          <t>SOCIETE C908</t>
        </is>
      </c>
      <c r="B770" t="inlineStr">
        <is>
          <t>C908</t>
        </is>
      </c>
      <c r="C770" t="inlineStr">
        <is>
          <t>COMMERCIAL BANKING</t>
        </is>
      </c>
      <c r="D770" t="inlineStr">
        <is>
          <t>IA</t>
        </is>
      </c>
      <c r="E770" t="inlineStr">
        <is>
          <t>Stage 2</t>
        </is>
      </c>
      <c r="F770" t="inlineStr">
        <is>
          <t>N/A</t>
        </is>
      </c>
      <c r="G770" s="26">
        <v>2279939856</v>
      </c>
      <c r="H770" s="26">
        <v>136796391</v>
      </c>
      <c r="I770" s="26">
        <v>318605217</v>
      </c>
      <c r="J770" s="26">
        <v>63</v>
      </c>
      <c r="K770" t="inlineStr">
        <is>
          <t>Non</t>
        </is>
      </c>
      <c r="L770">
        <f>SUBTOTAL(103,A770)</f>
        <v>1</v>
      </c>
    </row>
    <row r="771">
      <c r="A771" t="inlineStr">
        <is>
          <t>SOCIETE C1964</t>
        </is>
      </c>
      <c r="B771" t="inlineStr">
        <is>
          <t>C1964</t>
        </is>
      </c>
      <c r="C771" t="inlineStr">
        <is>
          <t>PUBLIC SECTOR</t>
        </is>
      </c>
      <c r="D771" t="inlineStr">
        <is>
          <t>II</t>
        </is>
      </c>
      <c r="E771" t="inlineStr">
        <is>
          <t>Stage 2</t>
        </is>
      </c>
      <c r="F771" t="inlineStr">
        <is>
          <t>N/A</t>
        </is>
      </c>
      <c r="G771" s="26">
        <v>1156865277</v>
      </c>
      <c r="H771" s="26">
        <v>69411917</v>
      </c>
      <c r="I771" s="26">
        <v>151170251</v>
      </c>
      <c r="J771" s="26">
        <v>7</v>
      </c>
      <c r="K771" t="inlineStr">
        <is>
          <t>Non</t>
        </is>
      </c>
      <c r="L771">
        <f>SUBTOTAL(103,A771)</f>
        <v>1</v>
      </c>
    </row>
    <row r="772">
      <c r="A772" t="inlineStr">
        <is>
          <t>SOCIETE C10</t>
        </is>
      </c>
      <c r="B772" t="inlineStr">
        <is>
          <t>C10</t>
        </is>
      </c>
      <c r="C772" t="inlineStr">
        <is>
          <t>COMMERCIAL BANKING</t>
        </is>
      </c>
      <c r="D772" t="inlineStr">
        <is>
          <t>IA</t>
        </is>
      </c>
      <c r="E772" t="inlineStr">
        <is>
          <t>Stage 2</t>
        </is>
      </c>
      <c r="F772" t="inlineStr">
        <is>
          <t>N/A</t>
        </is>
      </c>
      <c r="G772" s="26">
        <v>93277170</v>
      </c>
      <c r="H772" s="26">
        <v>5596630</v>
      </c>
      <c r="I772" s="26">
        <v>0</v>
      </c>
      <c r="J772" s="26">
        <v>30</v>
      </c>
      <c r="K772" t="inlineStr">
        <is>
          <t>Non</t>
        </is>
      </c>
      <c r="L772">
        <f>SUBTOTAL(103,A772)</f>
        <v>1</v>
      </c>
    </row>
    <row r="773">
      <c r="A773" t="inlineStr">
        <is>
          <t>SOCIETE C345</t>
        </is>
      </c>
      <c r="B773" t="inlineStr">
        <is>
          <t>C345</t>
        </is>
      </c>
      <c r="C773" t="inlineStr">
        <is>
          <t>CONSUMER BANKING</t>
        </is>
      </c>
      <c r="D773" t="inlineStr">
        <is>
          <t>IA</t>
        </is>
      </c>
      <c r="E773" t="inlineStr">
        <is>
          <t>Stage 2</t>
        </is>
      </c>
      <c r="F773" t="inlineStr">
        <is>
          <t>N/A</t>
        </is>
      </c>
      <c r="G773" s="26">
        <v>308681236</v>
      </c>
      <c r="H773" s="26">
        <v>18520874</v>
      </c>
      <c r="I773" s="26">
        <v>43856909</v>
      </c>
      <c r="J773" s="26">
        <v>133</v>
      </c>
      <c r="K773" t="inlineStr">
        <is>
          <t>Non</t>
        </is>
      </c>
      <c r="L773">
        <f>SUBTOTAL(103,A773)</f>
        <v>1</v>
      </c>
    </row>
    <row r="774">
      <c r="A774" t="inlineStr">
        <is>
          <t>SOCIETE C1905</t>
        </is>
      </c>
      <c r="B774" t="inlineStr">
        <is>
          <t>C1905</t>
        </is>
      </c>
      <c r="C774" t="inlineStr">
        <is>
          <t>CORPORATE BANKING</t>
        </is>
      </c>
      <c r="D774" t="inlineStr">
        <is>
          <t>IV</t>
        </is>
      </c>
      <c r="E774" t="inlineStr">
        <is>
          <t>Stage 3</t>
        </is>
      </c>
      <c r="F774" t="inlineStr">
        <is>
          <t>N/A</t>
        </is>
      </c>
      <c r="G774" s="26">
        <v>528493472</v>
      </c>
      <c r="H774" s="26">
        <v>290671410</v>
      </c>
      <c r="I774" s="26">
        <v>0</v>
      </c>
      <c r="J774" s="26">
        <v>92</v>
      </c>
      <c r="K774" t="inlineStr">
        <is>
          <t>Oui</t>
        </is>
      </c>
      <c r="L774">
        <f>SUBTOTAL(103,A774)</f>
        <v>1</v>
      </c>
    </row>
    <row r="775">
      <c r="A775" t="inlineStr">
        <is>
          <t>SOCIETE C1333</t>
        </is>
      </c>
      <c r="B775" t="inlineStr">
        <is>
          <t>C1333</t>
        </is>
      </c>
      <c r="C775" t="inlineStr">
        <is>
          <t>CORPORATE BANKING</t>
        </is>
      </c>
      <c r="D775" t="inlineStr">
        <is>
          <t>IV</t>
        </is>
      </c>
      <c r="E775" t="inlineStr">
        <is>
          <t>Stage 3</t>
        </is>
      </c>
      <c r="F775" t="inlineStr">
        <is>
          <t>N/A</t>
        </is>
      </c>
      <c r="G775" s="26">
        <v>205401339</v>
      </c>
      <c r="H775" s="26">
        <v>112970736</v>
      </c>
      <c r="I775" s="26">
        <v>0</v>
      </c>
      <c r="J775" s="26">
        <v>162</v>
      </c>
      <c r="K775" t="inlineStr">
        <is>
          <t>Oui</t>
        </is>
      </c>
      <c r="L775">
        <f>SUBTOTAL(103,A775)</f>
        <v>1</v>
      </c>
    </row>
    <row r="776">
      <c r="A776" t="inlineStr">
        <is>
          <t>SOCIETE C1063</t>
        </is>
      </c>
      <c r="B776" t="inlineStr">
        <is>
          <t>C1063</t>
        </is>
      </c>
      <c r="C776" t="inlineStr">
        <is>
          <t>PUBLIC SECTOR</t>
        </is>
      </c>
      <c r="D776" t="inlineStr">
        <is>
          <t>IV</t>
        </is>
      </c>
      <c r="E776" t="inlineStr">
        <is>
          <t>Stage 3</t>
        </is>
      </c>
      <c r="F776" t="inlineStr">
        <is>
          <t>N/A</t>
        </is>
      </c>
      <c r="G776" s="26">
        <v>250825529</v>
      </c>
      <c r="H776" s="26">
        <v>137954041</v>
      </c>
      <c r="I776" s="26">
        <v>32464090</v>
      </c>
      <c r="J776" s="26">
        <v>144</v>
      </c>
      <c r="K776" t="inlineStr">
        <is>
          <t>Oui</t>
        </is>
      </c>
      <c r="L776">
        <f>SUBTOTAL(103,A776)</f>
        <v>1</v>
      </c>
    </row>
    <row r="777">
      <c r="A777" t="inlineStr">
        <is>
          <t>SOCIETE C2078</t>
        </is>
      </c>
      <c r="B777" t="inlineStr">
        <is>
          <t>C2078</t>
        </is>
      </c>
      <c r="C777" t="inlineStr">
        <is>
          <t>COMMERCIAL BANKING</t>
        </is>
      </c>
      <c r="D777" t="inlineStr">
        <is>
          <t>I</t>
        </is>
      </c>
      <c r="E777" t="inlineStr">
        <is>
          <t>Stage 1</t>
        </is>
      </c>
      <c r="F777" t="inlineStr">
        <is>
          <t>N/A</t>
        </is>
      </c>
      <c r="G777" s="26">
        <v>101268570</v>
      </c>
      <c r="H777" s="26">
        <v>1012686</v>
      </c>
      <c r="I777" s="26">
        <v>0</v>
      </c>
      <c r="J777" s="26">
        <v>390</v>
      </c>
      <c r="K777" t="inlineStr">
        <is>
          <t>Non</t>
        </is>
      </c>
      <c r="L777">
        <f>SUBTOTAL(103,A777)</f>
        <v>1</v>
      </c>
    </row>
    <row r="778">
      <c r="A778" t="inlineStr">
        <is>
          <t>SOCIETE C1436</t>
        </is>
      </c>
      <c r="B778" t="inlineStr">
        <is>
          <t>C1436</t>
        </is>
      </c>
      <c r="C778" t="inlineStr">
        <is>
          <t>CORPORATE BANKING</t>
        </is>
      </c>
      <c r="D778" t="inlineStr">
        <is>
          <t>I</t>
        </is>
      </c>
      <c r="E778" t="inlineStr">
        <is>
          <t>Stage 1</t>
        </is>
      </c>
      <c r="F778" t="inlineStr">
        <is>
          <t>N/A</t>
        </is>
      </c>
      <c r="G778" s="26">
        <v>1016651</v>
      </c>
      <c r="H778" s="26">
        <v>10167</v>
      </c>
      <c r="I778" s="26">
        <v>0</v>
      </c>
      <c r="J778" s="26">
        <v>18</v>
      </c>
      <c r="K778" t="inlineStr">
        <is>
          <t>Non</t>
        </is>
      </c>
      <c r="L778">
        <f>SUBTOTAL(103,A778)</f>
        <v>1</v>
      </c>
    </row>
    <row r="779">
      <c r="A779" t="inlineStr">
        <is>
          <t>SOCIETE C760</t>
        </is>
      </c>
      <c r="B779" t="inlineStr">
        <is>
          <t>C760</t>
        </is>
      </c>
      <c r="C779" t="inlineStr">
        <is>
          <t>CORPORATE BANKING</t>
        </is>
      </c>
      <c r="D779" t="inlineStr">
        <is>
          <t>V</t>
        </is>
      </c>
      <c r="E779" t="inlineStr">
        <is>
          <t>Stage 3</t>
        </is>
      </c>
      <c r="F779" t="inlineStr">
        <is>
          <t>N/A</t>
        </is>
      </c>
      <c r="G779" s="26">
        <v>656567619</v>
      </c>
      <c r="H779" s="26">
        <v>361112190</v>
      </c>
      <c r="I779" s="26">
        <v>0</v>
      </c>
      <c r="J779" s="26">
        <v>25</v>
      </c>
      <c r="K779" t="inlineStr">
        <is>
          <t>Oui</t>
        </is>
      </c>
      <c r="L779">
        <f>SUBTOTAL(103,A779)</f>
        <v>1</v>
      </c>
    </row>
    <row r="780">
      <c r="A780" t="inlineStr">
        <is>
          <t>SOCIETE C1986</t>
        </is>
      </c>
      <c r="B780" t="inlineStr">
        <is>
          <t>C1986</t>
        </is>
      </c>
      <c r="C780" t="inlineStr">
        <is>
          <t>SME</t>
        </is>
      </c>
      <c r="D780" t="inlineStr">
        <is>
          <t>I</t>
        </is>
      </c>
      <c r="E780" t="inlineStr">
        <is>
          <t>Stage 1</t>
        </is>
      </c>
      <c r="F780" t="inlineStr">
        <is>
          <t>N/A</t>
        </is>
      </c>
      <c r="G780" s="26">
        <v>2076941153</v>
      </c>
      <c r="H780" s="26">
        <v>20769412</v>
      </c>
      <c r="I780" s="26">
        <v>283528773</v>
      </c>
      <c r="J780" s="26">
        <v>103</v>
      </c>
      <c r="K780" t="inlineStr">
        <is>
          <t>Non</t>
        </is>
      </c>
      <c r="L780">
        <f>SUBTOTAL(103,A780)</f>
        <v>1</v>
      </c>
    </row>
    <row r="781">
      <c r="A781" t="inlineStr">
        <is>
          <t>SOCIETE C2406</t>
        </is>
      </c>
      <c r="B781" t="inlineStr">
        <is>
          <t>C2406</t>
        </is>
      </c>
      <c r="C781" t="inlineStr">
        <is>
          <t>CORPORATE BANKING</t>
        </is>
      </c>
      <c r="D781" t="inlineStr">
        <is>
          <t>IA</t>
        </is>
      </c>
      <c r="E781" t="inlineStr">
        <is>
          <t>Stage 2</t>
        </is>
      </c>
      <c r="F781" t="inlineStr">
        <is>
          <t>N/A</t>
        </is>
      </c>
      <c r="G781" s="26">
        <v>1377163</v>
      </c>
      <c r="H781" s="26">
        <v>82630</v>
      </c>
      <c r="I781" s="26">
        <v>0</v>
      </c>
      <c r="J781" s="26">
        <v>95</v>
      </c>
      <c r="K781" t="inlineStr">
        <is>
          <t>Non</t>
        </is>
      </c>
      <c r="L781">
        <f>SUBTOTAL(103,A781)</f>
        <v>1</v>
      </c>
    </row>
    <row r="782">
      <c r="A782" t="inlineStr">
        <is>
          <t>SOCIETE C876</t>
        </is>
      </c>
      <c r="B782" t="inlineStr">
        <is>
          <t>C876</t>
        </is>
      </c>
      <c r="C782" t="inlineStr">
        <is>
          <t>SME</t>
        </is>
      </c>
      <c r="D782" t="inlineStr">
        <is>
          <t>III</t>
        </is>
      </c>
      <c r="E782" t="inlineStr">
        <is>
          <t>Stage 3</t>
        </is>
      </c>
      <c r="F782" t="inlineStr">
        <is>
          <t>N/A</t>
        </is>
      </c>
      <c r="G782" s="26">
        <v>13291163</v>
      </c>
      <c r="H782" s="26">
        <v>7310140</v>
      </c>
      <c r="I782" s="26">
        <v>0</v>
      </c>
      <c r="J782" s="26">
        <v>38</v>
      </c>
      <c r="K782" t="inlineStr">
        <is>
          <t>Oui</t>
        </is>
      </c>
      <c r="L782">
        <f>SUBTOTAL(103,A782)</f>
        <v>1</v>
      </c>
    </row>
    <row r="783">
      <c r="A783" t="inlineStr">
        <is>
          <t>SOCIETE C56</t>
        </is>
      </c>
      <c r="B783" t="inlineStr">
        <is>
          <t>C56</t>
        </is>
      </c>
      <c r="C783" t="inlineStr">
        <is>
          <t>PUBLIC SECTOR</t>
        </is>
      </c>
      <c r="D783" t="inlineStr">
        <is>
          <t>I</t>
        </is>
      </c>
      <c r="E783" t="inlineStr">
        <is>
          <t>Stage 1</t>
        </is>
      </c>
      <c r="F783" t="inlineStr">
        <is>
          <t>N/A</t>
        </is>
      </c>
      <c r="G783" s="26">
        <v>3607847</v>
      </c>
      <c r="H783" s="26">
        <v>36078</v>
      </c>
      <c r="I783" s="26">
        <v>461225</v>
      </c>
      <c r="J783" s="26">
        <v>40</v>
      </c>
      <c r="K783" t="inlineStr">
        <is>
          <t>Non</t>
        </is>
      </c>
      <c r="L783">
        <f>SUBTOTAL(103,A783)</f>
        <v>1</v>
      </c>
    </row>
    <row r="784">
      <c r="A784" t="inlineStr">
        <is>
          <t>SOCIETE C1504</t>
        </is>
      </c>
      <c r="B784" t="inlineStr">
        <is>
          <t>C1504</t>
        </is>
      </c>
      <c r="C784" t="inlineStr">
        <is>
          <t>COMMERCIAL BANKING</t>
        </is>
      </c>
      <c r="D784" t="inlineStr">
        <is>
          <t>I</t>
        </is>
      </c>
      <c r="E784" t="inlineStr">
        <is>
          <t>Stage 1</t>
        </is>
      </c>
      <c r="F784" t="inlineStr">
        <is>
          <t>N/A</t>
        </is>
      </c>
      <c r="G784" s="26">
        <v>309087761</v>
      </c>
      <c r="H784" s="26">
        <v>3090878</v>
      </c>
      <c r="I784" s="26">
        <v>49624455</v>
      </c>
      <c r="J784" s="26">
        <v>259</v>
      </c>
      <c r="K784" t="inlineStr">
        <is>
          <t>Non</t>
        </is>
      </c>
      <c r="L784">
        <f>SUBTOTAL(103,A784)</f>
        <v>1</v>
      </c>
    </row>
    <row r="785">
      <c r="A785" t="inlineStr">
        <is>
          <t>SOCIETE C298</t>
        </is>
      </c>
      <c r="B785" t="inlineStr">
        <is>
          <t>C298</t>
        </is>
      </c>
      <c r="C785" t="inlineStr">
        <is>
          <t>COMMERCIAL BANKING</t>
        </is>
      </c>
      <c r="D785" t="inlineStr">
        <is>
          <t>II</t>
        </is>
      </c>
      <c r="E785" t="inlineStr">
        <is>
          <t>Stage 2</t>
        </is>
      </c>
      <c r="F785" t="inlineStr">
        <is>
          <t>N/A</t>
        </is>
      </c>
      <c r="G785" s="26">
        <v>3303921</v>
      </c>
      <c r="H785" s="26">
        <v>198235</v>
      </c>
      <c r="I785" s="26">
        <v>0</v>
      </c>
      <c r="J785" s="26">
        <v>158</v>
      </c>
      <c r="K785" t="inlineStr">
        <is>
          <t>Non</t>
        </is>
      </c>
      <c r="L785">
        <f>SUBTOTAL(103,A785)</f>
        <v>1</v>
      </c>
    </row>
    <row r="786">
      <c r="A786" t="inlineStr">
        <is>
          <t>SOCIETE C1752</t>
        </is>
      </c>
      <c r="B786" t="inlineStr">
        <is>
          <t>C1752</t>
        </is>
      </c>
      <c r="C786" t="inlineStr">
        <is>
          <t>PUBLIC SECTOR</t>
        </is>
      </c>
      <c r="D786" t="inlineStr">
        <is>
          <t>I</t>
        </is>
      </c>
      <c r="E786" t="inlineStr">
        <is>
          <t>Stage 1</t>
        </is>
      </c>
      <c r="F786" t="inlineStr">
        <is>
          <t>N/A</t>
        </is>
      </c>
      <c r="G786" s="26">
        <v>471196955</v>
      </c>
      <c r="H786" s="26">
        <v>4711970</v>
      </c>
      <c r="I786" s="26">
        <v>60119428</v>
      </c>
      <c r="J786" s="26">
        <v>75</v>
      </c>
      <c r="K786" t="inlineStr">
        <is>
          <t>Non</t>
        </is>
      </c>
      <c r="L786">
        <f>SUBTOTAL(103,A786)</f>
        <v>1</v>
      </c>
    </row>
    <row r="787">
      <c r="A787" t="inlineStr">
        <is>
          <t>SOCIETE C493</t>
        </is>
      </c>
      <c r="B787" t="inlineStr">
        <is>
          <t>C493</t>
        </is>
      </c>
      <c r="C787" t="inlineStr">
        <is>
          <t>CONSUMER BANKING</t>
        </is>
      </c>
      <c r="D787" t="inlineStr">
        <is>
          <t>II</t>
        </is>
      </c>
      <c r="E787" t="inlineStr">
        <is>
          <t>Stage 2</t>
        </is>
      </c>
      <c r="F787" t="inlineStr">
        <is>
          <t>N/A</t>
        </is>
      </c>
      <c r="G787" s="26">
        <v>105857742</v>
      </c>
      <c r="H787" s="26">
        <v>6351465</v>
      </c>
      <c r="I787" s="26">
        <v>0</v>
      </c>
      <c r="J787" s="26">
        <v>103</v>
      </c>
      <c r="K787" t="inlineStr">
        <is>
          <t>Non</t>
        </is>
      </c>
      <c r="L787">
        <f>SUBTOTAL(103,A787)</f>
        <v>1</v>
      </c>
    </row>
    <row r="788">
      <c r="A788" t="inlineStr">
        <is>
          <t>SOCIETE C166</t>
        </is>
      </c>
      <c r="B788" t="inlineStr">
        <is>
          <t>C166</t>
        </is>
      </c>
      <c r="C788" t="inlineStr">
        <is>
          <t>CORPORATE BANKING</t>
        </is>
      </c>
      <c r="D788" t="inlineStr">
        <is>
          <t>IA</t>
        </is>
      </c>
      <c r="E788" t="inlineStr">
        <is>
          <t>Stage 2</t>
        </is>
      </c>
      <c r="F788" t="inlineStr">
        <is>
          <t>N/A</t>
        </is>
      </c>
      <c r="G788" s="26">
        <v>398186968</v>
      </c>
      <c r="H788" s="26">
        <v>23891218</v>
      </c>
      <c r="I788" s="26">
        <v>0</v>
      </c>
      <c r="J788" s="26">
        <v>235</v>
      </c>
      <c r="K788" t="inlineStr">
        <is>
          <t>Non</t>
        </is>
      </c>
      <c r="L788">
        <f>SUBTOTAL(103,A788)</f>
        <v>1</v>
      </c>
    </row>
    <row r="789">
      <c r="A789" t="inlineStr">
        <is>
          <t>SOCIETE C776</t>
        </is>
      </c>
      <c r="B789" t="inlineStr">
        <is>
          <t>C776</t>
        </is>
      </c>
      <c r="C789" t="inlineStr">
        <is>
          <t>PUBLIC SECTOR</t>
        </is>
      </c>
      <c r="D789" t="inlineStr">
        <is>
          <t>I</t>
        </is>
      </c>
      <c r="E789" t="inlineStr">
        <is>
          <t>Stage 1</t>
        </is>
      </c>
      <c r="F789" t="inlineStr">
        <is>
          <t>N/A</t>
        </is>
      </c>
      <c r="G789" s="26">
        <v>2337912005</v>
      </c>
      <c r="H789" s="26">
        <v>23379120</v>
      </c>
      <c r="I789" s="26">
        <v>0</v>
      </c>
      <c r="J789" s="26">
        <v>111</v>
      </c>
      <c r="K789" t="inlineStr">
        <is>
          <t>Non</t>
        </is>
      </c>
      <c r="L789">
        <f>SUBTOTAL(103,A789)</f>
        <v>1</v>
      </c>
    </row>
    <row r="790">
      <c r="A790" t="inlineStr">
        <is>
          <t>SOCIETE C636</t>
        </is>
      </c>
      <c r="B790" t="inlineStr">
        <is>
          <t>C636</t>
        </is>
      </c>
      <c r="C790" t="inlineStr">
        <is>
          <t>COMMERCIAL BANKING</t>
        </is>
      </c>
      <c r="D790" t="inlineStr">
        <is>
          <t>II</t>
        </is>
      </c>
      <c r="E790" t="inlineStr">
        <is>
          <t>Stage 2</t>
        </is>
      </c>
      <c r="F790" t="inlineStr">
        <is>
          <t>N/A</t>
        </is>
      </c>
      <c r="G790" s="26">
        <v>890981281</v>
      </c>
      <c r="H790" s="26">
        <v>53458877</v>
      </c>
      <c r="I790" s="26">
        <v>0</v>
      </c>
      <c r="J790" s="26">
        <v>117</v>
      </c>
      <c r="K790" t="inlineStr">
        <is>
          <t>Non</t>
        </is>
      </c>
      <c r="L790">
        <f>SUBTOTAL(103,A790)</f>
        <v>1</v>
      </c>
    </row>
    <row r="791">
      <c r="A791" t="inlineStr">
        <is>
          <t>SOCIETE C1324</t>
        </is>
      </c>
      <c r="B791" t="inlineStr">
        <is>
          <t>C1324</t>
        </is>
      </c>
      <c r="C791" t="inlineStr">
        <is>
          <t>PUBLIC SECTOR</t>
        </is>
      </c>
      <c r="D791" t="inlineStr">
        <is>
          <t>I</t>
        </is>
      </c>
      <c r="E791" t="inlineStr">
        <is>
          <t>Stage 1</t>
        </is>
      </c>
      <c r="F791" t="inlineStr">
        <is>
          <t>N/A</t>
        </is>
      </c>
      <c r="G791" s="26">
        <v>291459493</v>
      </c>
      <c r="H791" s="26">
        <v>2914595</v>
      </c>
      <c r="I791" s="26">
        <v>0</v>
      </c>
      <c r="J791" s="26">
        <v>153</v>
      </c>
      <c r="K791" t="inlineStr">
        <is>
          <t>Non</t>
        </is>
      </c>
      <c r="L791">
        <f>SUBTOTAL(103,A791)</f>
        <v>1</v>
      </c>
    </row>
    <row r="792">
      <c r="A792" t="inlineStr">
        <is>
          <t>SOCIETE C2018</t>
        </is>
      </c>
      <c r="B792" t="inlineStr">
        <is>
          <t>C2018</t>
        </is>
      </c>
      <c r="C792" t="inlineStr">
        <is>
          <t>CONSUMER BANKING</t>
        </is>
      </c>
      <c r="D792" t="inlineStr">
        <is>
          <t>V</t>
        </is>
      </c>
      <c r="E792" t="inlineStr">
        <is>
          <t>Stage 3</t>
        </is>
      </c>
      <c r="F792" t="inlineStr">
        <is>
          <t>N/A</t>
        </is>
      </c>
      <c r="G792" s="26">
        <v>44227406</v>
      </c>
      <c r="H792" s="26">
        <v>24325074</v>
      </c>
      <c r="I792" s="26">
        <v>0</v>
      </c>
      <c r="J792" s="26">
        <v>56</v>
      </c>
      <c r="K792" t="inlineStr">
        <is>
          <t>Oui</t>
        </is>
      </c>
      <c r="L792">
        <f>SUBTOTAL(103,A792)</f>
        <v>1</v>
      </c>
    </row>
    <row r="793">
      <c r="A793" t="inlineStr">
        <is>
          <t>SOCIETE C2258</t>
        </is>
      </c>
      <c r="B793" t="inlineStr">
        <is>
          <t>C2258</t>
        </is>
      </c>
      <c r="C793" t="inlineStr">
        <is>
          <t>COMMERCIAL BANKING</t>
        </is>
      </c>
      <c r="D793" t="inlineStr">
        <is>
          <t>III</t>
        </is>
      </c>
      <c r="E793" t="inlineStr">
        <is>
          <t>Stage 3</t>
        </is>
      </c>
      <c r="F793" t="inlineStr">
        <is>
          <t>N/A</t>
        </is>
      </c>
      <c r="G793" s="26">
        <v>33422307</v>
      </c>
      <c r="H793" s="26">
        <v>18382269</v>
      </c>
      <c r="I793" s="26">
        <v>153506</v>
      </c>
      <c r="J793" s="26">
        <v>31</v>
      </c>
      <c r="K793" t="inlineStr">
        <is>
          <t>Oui</t>
        </is>
      </c>
      <c r="L793">
        <f>SUBTOTAL(103,A793)</f>
        <v>1</v>
      </c>
    </row>
    <row r="794">
      <c r="A794" t="inlineStr">
        <is>
          <t>SOCIETE C156</t>
        </is>
      </c>
      <c r="B794" t="inlineStr">
        <is>
          <t>C156</t>
        </is>
      </c>
      <c r="C794" t="inlineStr">
        <is>
          <t>CORPORATE BANKING</t>
        </is>
      </c>
      <c r="D794" t="inlineStr">
        <is>
          <t>III</t>
        </is>
      </c>
      <c r="E794" t="inlineStr">
        <is>
          <t>Stage 3</t>
        </is>
      </c>
      <c r="F794" t="inlineStr">
        <is>
          <t>N/A</t>
        </is>
      </c>
      <c r="G794" s="26">
        <v>3657125</v>
      </c>
      <c r="H794" s="26">
        <v>2011419</v>
      </c>
      <c r="I794" s="26">
        <v>161484</v>
      </c>
      <c r="J794" s="26">
        <v>125</v>
      </c>
      <c r="K794" t="inlineStr">
        <is>
          <t>Oui</t>
        </is>
      </c>
      <c r="L794">
        <f>SUBTOTAL(103,A794)</f>
        <v>1</v>
      </c>
    </row>
    <row r="795">
      <c r="A795" t="inlineStr">
        <is>
          <t>SOCIETE C304</t>
        </is>
      </c>
      <c r="B795" t="inlineStr">
        <is>
          <t>C304</t>
        </is>
      </c>
      <c r="C795" t="inlineStr">
        <is>
          <t>PUBLIC SECTOR</t>
        </is>
      </c>
      <c r="D795" t="inlineStr">
        <is>
          <t>II</t>
        </is>
      </c>
      <c r="E795" t="inlineStr">
        <is>
          <t>Stage 2</t>
        </is>
      </c>
      <c r="F795" t="inlineStr">
        <is>
          <t>N/A</t>
        </is>
      </c>
      <c r="G795" s="26">
        <v>585446914</v>
      </c>
      <c r="H795" s="26">
        <v>35126815</v>
      </c>
      <c r="I795" s="26">
        <v>90514227</v>
      </c>
      <c r="J795" s="26">
        <v>114</v>
      </c>
      <c r="K795" t="inlineStr">
        <is>
          <t>Non</t>
        </is>
      </c>
      <c r="L795">
        <f>SUBTOTAL(103,A795)</f>
        <v>1</v>
      </c>
    </row>
    <row r="796">
      <c r="A796" t="inlineStr">
        <is>
          <t>SOCIETE C1235</t>
        </is>
      </c>
      <c r="B796" t="inlineStr">
        <is>
          <t>C1235</t>
        </is>
      </c>
      <c r="C796" t="inlineStr">
        <is>
          <t>CONSUMER BANKING</t>
        </is>
      </c>
      <c r="D796" t="inlineStr">
        <is>
          <t>I</t>
        </is>
      </c>
      <c r="E796" t="inlineStr">
        <is>
          <t>Stage 1</t>
        </is>
      </c>
      <c r="F796" t="inlineStr">
        <is>
          <t>N/A</t>
        </is>
      </c>
      <c r="G796" s="26">
        <v>3664201</v>
      </c>
      <c r="H796" s="26">
        <v>36642</v>
      </c>
      <c r="I796" s="26">
        <v>0</v>
      </c>
      <c r="J796" s="26">
        <v>25</v>
      </c>
      <c r="K796" t="inlineStr">
        <is>
          <t>Non</t>
        </is>
      </c>
      <c r="L796">
        <f>SUBTOTAL(103,A796)</f>
        <v>1</v>
      </c>
    </row>
    <row r="797">
      <c r="A797" t="inlineStr">
        <is>
          <t>SOCIETE C1618</t>
        </is>
      </c>
      <c r="B797" t="inlineStr">
        <is>
          <t>C1618</t>
        </is>
      </c>
      <c r="C797" t="inlineStr">
        <is>
          <t>SME</t>
        </is>
      </c>
      <c r="D797" t="inlineStr">
        <is>
          <t>I</t>
        </is>
      </c>
      <c r="E797" t="inlineStr">
        <is>
          <t>Stage 1</t>
        </is>
      </c>
      <c r="F797" t="inlineStr">
        <is>
          <t>N/A</t>
        </is>
      </c>
      <c r="G797" s="26">
        <v>1433531845</v>
      </c>
      <c r="H797" s="26">
        <v>14335318</v>
      </c>
      <c r="I797" s="26">
        <v>0</v>
      </c>
      <c r="J797" s="26">
        <v>60</v>
      </c>
      <c r="K797" t="inlineStr">
        <is>
          <t>Non</t>
        </is>
      </c>
      <c r="L797">
        <f>SUBTOTAL(103,A797)</f>
        <v>1</v>
      </c>
    </row>
    <row r="798">
      <c r="A798" t="inlineStr">
        <is>
          <t>SOCIETE C726</t>
        </is>
      </c>
      <c r="B798" t="inlineStr">
        <is>
          <t>C726</t>
        </is>
      </c>
      <c r="C798" t="inlineStr">
        <is>
          <t>CORPORATE BANKING</t>
        </is>
      </c>
      <c r="D798" t="inlineStr">
        <is>
          <t>V</t>
        </is>
      </c>
      <c r="E798" t="inlineStr">
        <is>
          <t>Stage 3</t>
        </is>
      </c>
      <c r="F798" t="inlineStr">
        <is>
          <t>N/A</t>
        </is>
      </c>
      <c r="G798" s="26">
        <v>587639514</v>
      </c>
      <c r="H798" s="26">
        <v>323201733</v>
      </c>
      <c r="I798" s="26">
        <v>0</v>
      </c>
      <c r="J798" s="26">
        <v>34</v>
      </c>
      <c r="K798" t="inlineStr">
        <is>
          <t>Oui</t>
        </is>
      </c>
      <c r="L798">
        <f>SUBTOTAL(103,A798)</f>
        <v>1</v>
      </c>
    </row>
    <row r="799">
      <c r="A799" t="inlineStr">
        <is>
          <t>SOCIETE C281</t>
        </is>
      </c>
      <c r="B799" t="inlineStr">
        <is>
          <t>C281</t>
        </is>
      </c>
      <c r="C799" t="inlineStr">
        <is>
          <t>CONSUMER BANKING</t>
        </is>
      </c>
      <c r="D799" t="inlineStr">
        <is>
          <t>I</t>
        </is>
      </c>
      <c r="E799" t="inlineStr">
        <is>
          <t>Stage 1</t>
        </is>
      </c>
      <c r="F799" t="inlineStr">
        <is>
          <t>N/A</t>
        </is>
      </c>
      <c r="G799" s="26">
        <v>17191345</v>
      </c>
      <c r="H799" s="26">
        <v>171913</v>
      </c>
      <c r="I799" s="26">
        <v>0</v>
      </c>
      <c r="J799" s="26">
        <v>5</v>
      </c>
      <c r="K799" t="inlineStr">
        <is>
          <t>Non</t>
        </is>
      </c>
      <c r="L799">
        <f>SUBTOTAL(103,A799)</f>
        <v>1</v>
      </c>
    </row>
    <row r="800">
      <c r="A800" t="inlineStr">
        <is>
          <t>SOCIETE C1003</t>
        </is>
      </c>
      <c r="B800" t="inlineStr">
        <is>
          <t>C1003</t>
        </is>
      </c>
      <c r="C800" t="inlineStr">
        <is>
          <t>CORPORATE BANKING</t>
        </is>
      </c>
      <c r="D800" t="inlineStr">
        <is>
          <t>II</t>
        </is>
      </c>
      <c r="E800" t="inlineStr">
        <is>
          <t>Stage 2</t>
        </is>
      </c>
      <c r="F800" t="inlineStr">
        <is>
          <t>N/A</t>
        </is>
      </c>
      <c r="G800" s="26">
        <v>684962488</v>
      </c>
      <c r="H800" s="26">
        <v>41097749</v>
      </c>
      <c r="I800" s="26">
        <v>0</v>
      </c>
      <c r="J800" s="26">
        <v>55</v>
      </c>
      <c r="K800" t="inlineStr">
        <is>
          <t>Non</t>
        </is>
      </c>
      <c r="L800">
        <f>SUBTOTAL(103,A800)</f>
        <v>1</v>
      </c>
    </row>
    <row r="801">
      <c r="A801" t="inlineStr">
        <is>
          <t>SOCIETE C425</t>
        </is>
      </c>
      <c r="B801" t="inlineStr">
        <is>
          <t>C425</t>
        </is>
      </c>
      <c r="C801" t="inlineStr">
        <is>
          <t>CONSUMER BANKING</t>
        </is>
      </c>
      <c r="D801" t="inlineStr">
        <is>
          <t>IA</t>
        </is>
      </c>
      <c r="E801" t="inlineStr">
        <is>
          <t>Stage 2</t>
        </is>
      </c>
      <c r="F801" t="inlineStr">
        <is>
          <t>N/A</t>
        </is>
      </c>
      <c r="G801" s="26">
        <v>3618336</v>
      </c>
      <c r="H801" s="26">
        <v>217100</v>
      </c>
      <c r="I801" s="26">
        <v>0</v>
      </c>
      <c r="J801" s="26">
        <v>42</v>
      </c>
      <c r="K801" t="inlineStr">
        <is>
          <t>Non</t>
        </is>
      </c>
      <c r="L801">
        <f>SUBTOTAL(103,A801)</f>
        <v>1</v>
      </c>
    </row>
    <row r="802">
      <c r="A802" t="inlineStr">
        <is>
          <t>SOCIETE C531</t>
        </is>
      </c>
      <c r="B802" t="inlineStr">
        <is>
          <t>C531</t>
        </is>
      </c>
      <c r="C802" t="inlineStr">
        <is>
          <t>COMMERCIAL BANKING</t>
        </is>
      </c>
      <c r="D802" t="inlineStr">
        <is>
          <t>IA</t>
        </is>
      </c>
      <c r="E802" t="inlineStr">
        <is>
          <t>Stage 2</t>
        </is>
      </c>
      <c r="F802" t="inlineStr">
        <is>
          <t>N/A</t>
        </is>
      </c>
      <c r="G802" s="26">
        <v>827516425</v>
      </c>
      <c r="H802" s="26">
        <v>49650985</v>
      </c>
      <c r="I802" s="26">
        <v>0</v>
      </c>
      <c r="J802" s="26">
        <v>149</v>
      </c>
      <c r="K802" t="inlineStr">
        <is>
          <t>Non</t>
        </is>
      </c>
      <c r="L802">
        <f>SUBTOTAL(103,A802)</f>
        <v>1</v>
      </c>
    </row>
    <row r="803">
      <c r="A803" t="inlineStr">
        <is>
          <t>SOCIETE C1110</t>
        </is>
      </c>
      <c r="B803" t="inlineStr">
        <is>
          <t>C1110</t>
        </is>
      </c>
      <c r="C803" t="inlineStr">
        <is>
          <t>INSTITUTIONAL</t>
        </is>
      </c>
      <c r="D803" t="inlineStr">
        <is>
          <t>IA</t>
        </is>
      </c>
      <c r="E803" t="inlineStr">
        <is>
          <t>Stage 2</t>
        </is>
      </c>
      <c r="F803" t="inlineStr">
        <is>
          <t>N/A</t>
        </is>
      </c>
      <c r="G803" s="26">
        <v>20740239</v>
      </c>
      <c r="H803" s="26">
        <v>1244414</v>
      </c>
      <c r="I803" s="26">
        <v>0</v>
      </c>
      <c r="J803" s="26">
        <v>91</v>
      </c>
      <c r="K803" t="inlineStr">
        <is>
          <t>Non</t>
        </is>
      </c>
      <c r="L803">
        <f>SUBTOTAL(103,A803)</f>
        <v>1</v>
      </c>
    </row>
    <row r="804">
      <c r="A804" t="inlineStr">
        <is>
          <t>SOCIETE C224</t>
        </is>
      </c>
      <c r="B804" t="inlineStr">
        <is>
          <t>C224</t>
        </is>
      </c>
      <c r="C804" t="inlineStr">
        <is>
          <t>CORPORATE BANKING</t>
        </is>
      </c>
      <c r="D804" t="inlineStr">
        <is>
          <t>I</t>
        </is>
      </c>
      <c r="E804" t="inlineStr">
        <is>
          <t>Stage 1</t>
        </is>
      </c>
      <c r="F804" t="inlineStr">
        <is>
          <t>N/A</t>
        </is>
      </c>
      <c r="G804" s="26">
        <v>26345771</v>
      </c>
      <c r="H804" s="26">
        <v>263458</v>
      </c>
      <c r="I804" s="26">
        <v>0</v>
      </c>
      <c r="J804" s="26">
        <v>146</v>
      </c>
      <c r="K804" t="inlineStr">
        <is>
          <t>Non</t>
        </is>
      </c>
      <c r="L804">
        <f>SUBTOTAL(103,A804)</f>
        <v>1</v>
      </c>
    </row>
    <row r="805">
      <c r="A805" t="inlineStr">
        <is>
          <t>SOCIETE C1677</t>
        </is>
      </c>
      <c r="B805" t="inlineStr">
        <is>
          <t>C1677</t>
        </is>
      </c>
      <c r="C805" t="inlineStr">
        <is>
          <t>CONSUMER BANKING</t>
        </is>
      </c>
      <c r="D805" t="inlineStr">
        <is>
          <t>I</t>
        </is>
      </c>
      <c r="E805" t="inlineStr">
        <is>
          <t>Stage 1</t>
        </is>
      </c>
      <c r="F805" t="inlineStr">
        <is>
          <t>N/A</t>
        </is>
      </c>
      <c r="G805" s="26">
        <v>2745514049</v>
      </c>
      <c r="H805" s="26">
        <v>27455140</v>
      </c>
      <c r="I805" s="26">
        <v>0</v>
      </c>
      <c r="J805" s="26">
        <v>354</v>
      </c>
      <c r="K805" t="inlineStr">
        <is>
          <t>Non</t>
        </is>
      </c>
      <c r="L805">
        <f>SUBTOTAL(103,A805)</f>
        <v>1</v>
      </c>
    </row>
    <row r="806">
      <c r="A806" t="inlineStr">
        <is>
          <t>SOCIETE C592</t>
        </is>
      </c>
      <c r="B806" t="inlineStr">
        <is>
          <t>C592</t>
        </is>
      </c>
      <c r="C806" t="inlineStr">
        <is>
          <t>CORPORATE BANKING</t>
        </is>
      </c>
      <c r="D806" t="inlineStr">
        <is>
          <t>IV</t>
        </is>
      </c>
      <c r="E806" t="inlineStr">
        <is>
          <t>Stage 3</t>
        </is>
      </c>
      <c r="F806" t="inlineStr">
        <is>
          <t>N/A</t>
        </is>
      </c>
      <c r="G806" s="26">
        <v>4301620</v>
      </c>
      <c r="H806" s="26">
        <v>2365891</v>
      </c>
      <c r="I806" s="26">
        <v>0</v>
      </c>
      <c r="J806" s="26">
        <v>60</v>
      </c>
      <c r="K806" t="inlineStr">
        <is>
          <t>Oui</t>
        </is>
      </c>
      <c r="L806">
        <f>SUBTOTAL(103,A806)</f>
        <v>1</v>
      </c>
    </row>
    <row r="807">
      <c r="A807" t="inlineStr">
        <is>
          <t>SOCIETE C1394</t>
        </is>
      </c>
      <c r="B807" t="inlineStr">
        <is>
          <t>C1394</t>
        </is>
      </c>
      <c r="C807" t="inlineStr">
        <is>
          <t>COMMERCIAL BANKING</t>
        </is>
      </c>
      <c r="D807" t="inlineStr">
        <is>
          <t>IV</t>
        </is>
      </c>
      <c r="E807" t="inlineStr">
        <is>
          <t>Stage 3</t>
        </is>
      </c>
      <c r="F807" t="inlineStr">
        <is>
          <t>N/A</t>
        </is>
      </c>
      <c r="G807" s="26">
        <v>2105036543</v>
      </c>
      <c r="H807" s="26">
        <v>1157770099</v>
      </c>
      <c r="I807" s="26">
        <v>42146756</v>
      </c>
      <c r="J807" s="26">
        <v>59</v>
      </c>
      <c r="K807" t="inlineStr">
        <is>
          <t>Oui</t>
        </is>
      </c>
      <c r="L807">
        <f>SUBTOTAL(103,A807)</f>
        <v>1</v>
      </c>
    </row>
    <row r="808">
      <c r="A808" t="inlineStr">
        <is>
          <t>SOCIETE C1818</t>
        </is>
      </c>
      <c r="B808" t="inlineStr">
        <is>
          <t>C1818</t>
        </is>
      </c>
      <c r="C808" t="inlineStr">
        <is>
          <t>CORPORATE BANKING</t>
        </is>
      </c>
      <c r="D808" t="inlineStr">
        <is>
          <t>IA</t>
        </is>
      </c>
      <c r="E808" t="inlineStr">
        <is>
          <t>Stage 2</t>
        </is>
      </c>
      <c r="F808" t="inlineStr">
        <is>
          <t>N/A</t>
        </is>
      </c>
      <c r="G808" s="26">
        <v>326933874</v>
      </c>
      <c r="H808" s="26">
        <v>19616032</v>
      </c>
      <c r="I808" s="26">
        <v>55265474</v>
      </c>
      <c r="J808" s="26">
        <v>101</v>
      </c>
      <c r="K808" t="inlineStr">
        <is>
          <t>Non</t>
        </is>
      </c>
      <c r="L808">
        <f>SUBTOTAL(103,A808)</f>
        <v>1</v>
      </c>
    </row>
    <row r="809">
      <c r="A809" t="inlineStr">
        <is>
          <t>SOCIETE C1243</t>
        </is>
      </c>
      <c r="B809" t="inlineStr">
        <is>
          <t>C1243</t>
        </is>
      </c>
      <c r="C809" t="inlineStr">
        <is>
          <t>PUBLIC SECTOR</t>
        </is>
      </c>
      <c r="D809" t="inlineStr">
        <is>
          <t>V</t>
        </is>
      </c>
      <c r="E809" t="inlineStr">
        <is>
          <t>Stage 3</t>
        </is>
      </c>
      <c r="F809" t="inlineStr">
        <is>
          <t>N/A</t>
        </is>
      </c>
      <c r="G809" s="26">
        <v>24218204</v>
      </c>
      <c r="H809" s="26">
        <v>13320012</v>
      </c>
      <c r="I809" s="26">
        <v>0</v>
      </c>
      <c r="J809" s="26">
        <v>19</v>
      </c>
      <c r="K809" t="inlineStr">
        <is>
          <t>Oui</t>
        </is>
      </c>
      <c r="L809">
        <f>SUBTOTAL(103,A809)</f>
        <v>1</v>
      </c>
    </row>
    <row r="810">
      <c r="A810" t="inlineStr">
        <is>
          <t>SOCIETE C1537</t>
        </is>
      </c>
      <c r="B810" t="inlineStr">
        <is>
          <t>C1537</t>
        </is>
      </c>
      <c r="C810" t="inlineStr">
        <is>
          <t>PUBLIC SECTOR</t>
        </is>
      </c>
      <c r="D810" t="inlineStr">
        <is>
          <t>I</t>
        </is>
      </c>
      <c r="E810" t="inlineStr">
        <is>
          <t>Stage 1</t>
        </is>
      </c>
      <c r="F810" t="inlineStr">
        <is>
          <t>N/A</t>
        </is>
      </c>
      <c r="G810" s="26">
        <v>4235724</v>
      </c>
      <c r="H810" s="26">
        <v>42357</v>
      </c>
      <c r="I810" s="26">
        <v>0</v>
      </c>
      <c r="J810" s="26">
        <v>142</v>
      </c>
      <c r="K810" t="inlineStr">
        <is>
          <t>Non</t>
        </is>
      </c>
      <c r="L810">
        <f>SUBTOTAL(103,A810)</f>
        <v>1</v>
      </c>
    </row>
    <row r="811">
      <c r="A811" t="inlineStr">
        <is>
          <t>SOCIETE C47</t>
        </is>
      </c>
      <c r="B811" t="inlineStr">
        <is>
          <t>C47</t>
        </is>
      </c>
      <c r="C811" t="inlineStr">
        <is>
          <t>COMMERCIAL BANKING</t>
        </is>
      </c>
      <c r="D811" t="inlineStr">
        <is>
          <t>II</t>
        </is>
      </c>
      <c r="E811" t="inlineStr">
        <is>
          <t>Stage 2</t>
        </is>
      </c>
      <c r="F811" t="inlineStr">
        <is>
          <t>N/A</t>
        </is>
      </c>
      <c r="G811" s="26">
        <v>189865872</v>
      </c>
      <c r="H811" s="26">
        <v>11391952</v>
      </c>
      <c r="I811" s="26">
        <v>0</v>
      </c>
      <c r="J811" s="26">
        <v>201</v>
      </c>
      <c r="K811" t="inlineStr">
        <is>
          <t>Non</t>
        </is>
      </c>
      <c r="L811">
        <f>SUBTOTAL(103,A811)</f>
        <v>1</v>
      </c>
    </row>
    <row r="812">
      <c r="A812" t="inlineStr">
        <is>
          <t>SOCIETE C1376</t>
        </is>
      </c>
      <c r="B812" t="inlineStr">
        <is>
          <t>C1376</t>
        </is>
      </c>
      <c r="C812" t="inlineStr">
        <is>
          <t>CORPORATE BANKING</t>
        </is>
      </c>
      <c r="D812" t="inlineStr">
        <is>
          <t>II</t>
        </is>
      </c>
      <c r="E812" t="inlineStr">
        <is>
          <t>Stage 2</t>
        </is>
      </c>
      <c r="F812" t="inlineStr">
        <is>
          <t>N/A</t>
        </is>
      </c>
      <c r="G812" s="26">
        <v>1549353700</v>
      </c>
      <c r="H812" s="26">
        <v>92961222</v>
      </c>
      <c r="I812" s="26">
        <v>0</v>
      </c>
      <c r="J812" s="26">
        <v>147</v>
      </c>
      <c r="K812" t="inlineStr">
        <is>
          <t>Non</t>
        </is>
      </c>
      <c r="L812">
        <f>SUBTOTAL(103,A812)</f>
        <v>1</v>
      </c>
    </row>
    <row r="813">
      <c r="A813" t="inlineStr">
        <is>
          <t>SOCIETE C1779</t>
        </is>
      </c>
      <c r="B813" t="inlineStr">
        <is>
          <t>C1779</t>
        </is>
      </c>
      <c r="C813" t="inlineStr">
        <is>
          <t>CONSUMER BANKING</t>
        </is>
      </c>
      <c r="D813" t="inlineStr">
        <is>
          <t>II</t>
        </is>
      </c>
      <c r="E813" t="inlineStr">
        <is>
          <t>Stage 2</t>
        </is>
      </c>
      <c r="F813" t="inlineStr">
        <is>
          <t>N/A</t>
        </is>
      </c>
      <c r="G813" s="26">
        <v>1258948155</v>
      </c>
      <c r="H813" s="26">
        <v>75536889</v>
      </c>
      <c r="I813" s="26">
        <v>0</v>
      </c>
      <c r="J813" s="26">
        <v>60</v>
      </c>
      <c r="K813" t="inlineStr">
        <is>
          <t>Non</t>
        </is>
      </c>
      <c r="L813">
        <f>SUBTOTAL(103,A813)</f>
        <v>1</v>
      </c>
    </row>
    <row r="814">
      <c r="A814" t="inlineStr">
        <is>
          <t>SOCIETE C1410</t>
        </is>
      </c>
      <c r="B814" t="inlineStr">
        <is>
          <t>C1410</t>
        </is>
      </c>
      <c r="C814" t="inlineStr">
        <is>
          <t>SME</t>
        </is>
      </c>
      <c r="D814" t="inlineStr">
        <is>
          <t>II</t>
        </is>
      </c>
      <c r="E814" t="inlineStr">
        <is>
          <t>Stage 2</t>
        </is>
      </c>
      <c r="F814" t="inlineStr">
        <is>
          <t>N/A</t>
        </is>
      </c>
      <c r="G814" s="26">
        <v>274311485</v>
      </c>
      <c r="H814" s="26">
        <v>16458689</v>
      </c>
      <c r="I814" s="26">
        <v>0</v>
      </c>
      <c r="J814" s="26">
        <v>145</v>
      </c>
      <c r="K814" t="inlineStr">
        <is>
          <t>Non</t>
        </is>
      </c>
      <c r="L814">
        <f>SUBTOTAL(103,A814)</f>
        <v>1</v>
      </c>
    </row>
    <row r="815">
      <c r="A815" t="inlineStr">
        <is>
          <t>SOCIETE C2375</t>
        </is>
      </c>
      <c r="B815" t="inlineStr">
        <is>
          <t>C2375</t>
        </is>
      </c>
      <c r="C815" t="inlineStr">
        <is>
          <t>INSTITUTIONAL</t>
        </is>
      </c>
      <c r="D815" t="inlineStr">
        <is>
          <t>II</t>
        </is>
      </c>
      <c r="E815" t="inlineStr">
        <is>
          <t>Stage 2</t>
        </is>
      </c>
      <c r="F815" t="inlineStr">
        <is>
          <t>N/A</t>
        </is>
      </c>
      <c r="G815" s="26">
        <v>1003682</v>
      </c>
      <c r="H815" s="26">
        <v>60221</v>
      </c>
      <c r="I815" s="26">
        <v>0</v>
      </c>
      <c r="J815" s="26">
        <v>1</v>
      </c>
      <c r="K815" t="inlineStr">
        <is>
          <t>Non</t>
        </is>
      </c>
      <c r="L815">
        <f>SUBTOTAL(103,A815)</f>
        <v>1</v>
      </c>
    </row>
    <row r="816">
      <c r="A816" t="inlineStr">
        <is>
          <t>SOCIETE C1328</t>
        </is>
      </c>
      <c r="B816" t="inlineStr">
        <is>
          <t>C1328</t>
        </is>
      </c>
      <c r="C816" t="inlineStr">
        <is>
          <t>CONSUMER BANKING</t>
        </is>
      </c>
      <c r="D816" t="inlineStr">
        <is>
          <t>II</t>
        </is>
      </c>
      <c r="E816" t="inlineStr">
        <is>
          <t>Stage 2</t>
        </is>
      </c>
      <c r="F816" t="inlineStr">
        <is>
          <t>N/A</t>
        </is>
      </c>
      <c r="G816" s="26">
        <v>1538004844</v>
      </c>
      <c r="H816" s="26">
        <v>92280291</v>
      </c>
      <c r="I816" s="26">
        <v>0</v>
      </c>
      <c r="J816" s="26">
        <v>19</v>
      </c>
      <c r="K816" t="inlineStr">
        <is>
          <t>Non</t>
        </is>
      </c>
      <c r="L816">
        <f>SUBTOTAL(103,A816)</f>
        <v>1</v>
      </c>
    </row>
    <row r="817">
      <c r="A817" t="inlineStr">
        <is>
          <t>SOCIETE C2049</t>
        </is>
      </c>
      <c r="B817" t="inlineStr">
        <is>
          <t>C2049</t>
        </is>
      </c>
      <c r="C817" t="inlineStr">
        <is>
          <t>COMMERCIAL BANKING</t>
        </is>
      </c>
      <c r="D817" t="inlineStr">
        <is>
          <t>IV</t>
        </is>
      </c>
      <c r="E817" t="inlineStr">
        <is>
          <t>Stage 3</t>
        </is>
      </c>
      <c r="F817" t="inlineStr">
        <is>
          <t>N/A</t>
        </is>
      </c>
      <c r="G817" s="26">
        <v>7608299</v>
      </c>
      <c r="H817" s="26">
        <v>4184564</v>
      </c>
      <c r="I817" s="26">
        <v>1268665</v>
      </c>
      <c r="J817" s="26">
        <v>184</v>
      </c>
      <c r="K817" t="inlineStr">
        <is>
          <t>Oui</t>
        </is>
      </c>
      <c r="L817">
        <f>SUBTOTAL(103,A817)</f>
        <v>1</v>
      </c>
    </row>
    <row r="818">
      <c r="A818" t="inlineStr">
        <is>
          <t>SOCIETE C1416</t>
        </is>
      </c>
      <c r="B818" t="inlineStr">
        <is>
          <t>C1416</t>
        </is>
      </c>
      <c r="C818" t="inlineStr">
        <is>
          <t>CONSUMER BANKING</t>
        </is>
      </c>
      <c r="D818" t="inlineStr">
        <is>
          <t>I</t>
        </is>
      </c>
      <c r="E818" t="inlineStr">
        <is>
          <t>Stage 1</t>
        </is>
      </c>
      <c r="F818" t="inlineStr">
        <is>
          <t>N/A</t>
        </is>
      </c>
      <c r="G818" s="26">
        <v>477115974</v>
      </c>
      <c r="H818" s="26">
        <v>4771160</v>
      </c>
      <c r="I818" s="26">
        <v>0</v>
      </c>
      <c r="J818" s="26">
        <v>79</v>
      </c>
      <c r="K818" t="inlineStr">
        <is>
          <t>Non</t>
        </is>
      </c>
      <c r="L818">
        <f>SUBTOTAL(103,A818)</f>
        <v>1</v>
      </c>
    </row>
    <row r="819">
      <c r="A819" t="inlineStr">
        <is>
          <t>SOCIETE C778</t>
        </is>
      </c>
      <c r="B819" t="inlineStr">
        <is>
          <t>C778</t>
        </is>
      </c>
      <c r="C819" t="inlineStr">
        <is>
          <t>PUBLIC SECTOR</t>
        </is>
      </c>
      <c r="D819" t="inlineStr">
        <is>
          <t>IV</t>
        </is>
      </c>
      <c r="E819" t="inlineStr">
        <is>
          <t>Stage 3</t>
        </is>
      </c>
      <c r="F819" t="inlineStr">
        <is>
          <t>N/A</t>
        </is>
      </c>
      <c r="G819" s="26">
        <v>2942645202</v>
      </c>
      <c r="H819" s="26">
        <v>1618454861</v>
      </c>
      <c r="I819" s="26">
        <v>0</v>
      </c>
      <c r="J819" s="26">
        <v>199</v>
      </c>
      <c r="K819" t="inlineStr">
        <is>
          <t>Oui</t>
        </is>
      </c>
      <c r="L819">
        <f>SUBTOTAL(103,A819)</f>
        <v>1</v>
      </c>
    </row>
    <row r="820">
      <c r="A820" t="inlineStr">
        <is>
          <t>SOCIETE C1250</t>
        </is>
      </c>
      <c r="B820" t="inlineStr">
        <is>
          <t>C1250</t>
        </is>
      </c>
      <c r="C820" t="inlineStr">
        <is>
          <t>CONSUMER BANKING</t>
        </is>
      </c>
      <c r="D820" t="inlineStr">
        <is>
          <t>I</t>
        </is>
      </c>
      <c r="E820" t="inlineStr">
        <is>
          <t>Stage 1</t>
        </is>
      </c>
      <c r="F820" t="inlineStr">
        <is>
          <t>N/A</t>
        </is>
      </c>
      <c r="G820" s="26">
        <v>1198094261</v>
      </c>
      <c r="H820" s="26">
        <v>11980943</v>
      </c>
      <c r="I820" s="26">
        <v>0</v>
      </c>
      <c r="J820" s="26">
        <v>206</v>
      </c>
      <c r="K820" t="inlineStr">
        <is>
          <t>Non</t>
        </is>
      </c>
      <c r="L820">
        <f>SUBTOTAL(103,A820)</f>
        <v>1</v>
      </c>
    </row>
    <row r="821">
      <c r="A821" t="inlineStr">
        <is>
          <t>SOCIETE C1230</t>
        </is>
      </c>
      <c r="B821" t="inlineStr">
        <is>
          <t>C1230</t>
        </is>
      </c>
      <c r="C821" t="inlineStr">
        <is>
          <t>CORPORATE BANKING</t>
        </is>
      </c>
      <c r="D821" t="inlineStr">
        <is>
          <t>I</t>
        </is>
      </c>
      <c r="E821" t="inlineStr">
        <is>
          <t>Stage 1</t>
        </is>
      </c>
      <c r="F821" t="inlineStr">
        <is>
          <t>N/A</t>
        </is>
      </c>
      <c r="G821" s="26">
        <v>4274610</v>
      </c>
      <c r="H821" s="26">
        <v>42746</v>
      </c>
      <c r="I821" s="26">
        <v>0</v>
      </c>
      <c r="J821" s="26">
        <v>121</v>
      </c>
      <c r="K821" t="inlineStr">
        <is>
          <t>Non</t>
        </is>
      </c>
      <c r="L821">
        <f>SUBTOTAL(103,A821)</f>
        <v>1</v>
      </c>
    </row>
    <row r="822">
      <c r="A822" t="inlineStr">
        <is>
          <t>SOCIETE C418</t>
        </is>
      </c>
      <c r="B822" t="inlineStr">
        <is>
          <t>C418</t>
        </is>
      </c>
      <c r="C822" t="inlineStr">
        <is>
          <t>PUBLIC SECTOR</t>
        </is>
      </c>
      <c r="D822" t="inlineStr">
        <is>
          <t>V</t>
        </is>
      </c>
      <c r="E822" t="inlineStr">
        <is>
          <t>Stage 3</t>
        </is>
      </c>
      <c r="F822" t="inlineStr">
        <is>
          <t>N/A</t>
        </is>
      </c>
      <c r="G822" s="26">
        <v>32444530</v>
      </c>
      <c r="H822" s="26">
        <v>17844492</v>
      </c>
      <c r="I822" s="26">
        <v>0</v>
      </c>
      <c r="J822" s="26">
        <v>13</v>
      </c>
      <c r="K822" t="inlineStr">
        <is>
          <t>Oui</t>
        </is>
      </c>
      <c r="L822">
        <f>SUBTOTAL(103,A822)</f>
        <v>1</v>
      </c>
    </row>
    <row r="823">
      <c r="A823" t="inlineStr">
        <is>
          <t>SOCIETE C994</t>
        </is>
      </c>
      <c r="B823" t="inlineStr">
        <is>
          <t>C994</t>
        </is>
      </c>
      <c r="C823" t="inlineStr">
        <is>
          <t>CONSUMER BANKING</t>
        </is>
      </c>
      <c r="D823" t="inlineStr">
        <is>
          <t>V</t>
        </is>
      </c>
      <c r="E823" t="inlineStr">
        <is>
          <t>Stage 3</t>
        </is>
      </c>
      <c r="F823" t="inlineStr">
        <is>
          <t>N/A</t>
        </is>
      </c>
      <c r="G823" s="26">
        <v>1613875</v>
      </c>
      <c r="H823" s="26">
        <v>887631</v>
      </c>
      <c r="I823" s="26">
        <v>304488</v>
      </c>
      <c r="J823" s="26">
        <v>117</v>
      </c>
      <c r="K823" t="inlineStr">
        <is>
          <t>Oui</t>
        </is>
      </c>
      <c r="L823">
        <f>SUBTOTAL(103,A823)</f>
        <v>1</v>
      </c>
    </row>
    <row r="824">
      <c r="A824" t="inlineStr">
        <is>
          <t>SOCIETE C84</t>
        </is>
      </c>
      <c r="B824" t="inlineStr">
        <is>
          <t>C84</t>
        </is>
      </c>
      <c r="C824" t="inlineStr">
        <is>
          <t>PUBLIC SECTOR</t>
        </is>
      </c>
      <c r="D824" t="inlineStr">
        <is>
          <t>I</t>
        </is>
      </c>
      <c r="E824" t="inlineStr">
        <is>
          <t>Stage 1</t>
        </is>
      </c>
      <c r="F824" t="inlineStr">
        <is>
          <t>N/A</t>
        </is>
      </c>
      <c r="G824" s="26">
        <v>743858533</v>
      </c>
      <c r="H824" s="26">
        <v>7438585</v>
      </c>
      <c r="I824" s="26">
        <v>58210382</v>
      </c>
      <c r="J824" s="26">
        <v>50</v>
      </c>
      <c r="K824" t="inlineStr">
        <is>
          <t>Non</t>
        </is>
      </c>
      <c r="L824">
        <f>SUBTOTAL(103,A824)</f>
        <v>1</v>
      </c>
    </row>
    <row r="825">
      <c r="A825" t="inlineStr">
        <is>
          <t>SOCIETE C1946</t>
        </is>
      </c>
      <c r="B825" t="inlineStr">
        <is>
          <t>C1946</t>
        </is>
      </c>
      <c r="C825" t="inlineStr">
        <is>
          <t>CONSUMER BANKING</t>
        </is>
      </c>
      <c r="D825" t="inlineStr">
        <is>
          <t>IA</t>
        </is>
      </c>
      <c r="E825" t="inlineStr">
        <is>
          <t>Stage 2</t>
        </is>
      </c>
      <c r="F825" t="inlineStr">
        <is>
          <t>N/A</t>
        </is>
      </c>
      <c r="G825" s="26">
        <v>1016384368</v>
      </c>
      <c r="H825" s="26">
        <v>60983062</v>
      </c>
      <c r="I825" s="26">
        <v>30047854</v>
      </c>
      <c r="J825" s="26">
        <v>127</v>
      </c>
      <c r="K825" t="inlineStr">
        <is>
          <t>Non</t>
        </is>
      </c>
      <c r="L825">
        <f>SUBTOTAL(103,A825)</f>
        <v>1</v>
      </c>
    </row>
    <row r="826">
      <c r="A826" t="inlineStr">
        <is>
          <t>SOCIETE C2459</t>
        </is>
      </c>
      <c r="B826" t="inlineStr">
        <is>
          <t>C2459</t>
        </is>
      </c>
      <c r="C826" t="inlineStr">
        <is>
          <t>CORPORATE BANKING</t>
        </is>
      </c>
      <c r="D826" t="inlineStr">
        <is>
          <t>II</t>
        </is>
      </c>
      <c r="E826" t="inlineStr">
        <is>
          <t>Stage 2</t>
        </is>
      </c>
      <c r="F826" t="inlineStr">
        <is>
          <t>N/A</t>
        </is>
      </c>
      <c r="G826" s="26">
        <v>49336895</v>
      </c>
      <c r="H826" s="26">
        <v>2960214</v>
      </c>
      <c r="I826" s="26">
        <v>5803220</v>
      </c>
      <c r="J826" s="26">
        <v>187</v>
      </c>
      <c r="K826" t="inlineStr">
        <is>
          <t>Non</t>
        </is>
      </c>
      <c r="L826">
        <f>SUBTOTAL(103,A826)</f>
        <v>1</v>
      </c>
    </row>
    <row r="827">
      <c r="A827" t="inlineStr">
        <is>
          <t>SOCIETE C1489</t>
        </is>
      </c>
      <c r="B827" t="inlineStr">
        <is>
          <t>C1489</t>
        </is>
      </c>
      <c r="C827" t="inlineStr">
        <is>
          <t>COMMERCIAL BANKING</t>
        </is>
      </c>
      <c r="D827" t="inlineStr">
        <is>
          <t>III</t>
        </is>
      </c>
      <c r="E827" t="inlineStr">
        <is>
          <t>Stage 3</t>
        </is>
      </c>
      <c r="F827" t="inlineStr">
        <is>
          <t>N/A</t>
        </is>
      </c>
      <c r="G827" s="26">
        <v>1054248145</v>
      </c>
      <c r="H827" s="26">
        <v>579836480</v>
      </c>
      <c r="I827" s="26">
        <v>0</v>
      </c>
      <c r="J827" s="26">
        <v>293</v>
      </c>
      <c r="K827" t="inlineStr">
        <is>
          <t>Oui</t>
        </is>
      </c>
      <c r="L827">
        <f>SUBTOTAL(103,A827)</f>
        <v>1</v>
      </c>
    </row>
    <row r="828">
      <c r="A828" t="inlineStr">
        <is>
          <t>SOCIETE C2275</t>
        </is>
      </c>
      <c r="B828" t="inlineStr">
        <is>
          <t>C2275</t>
        </is>
      </c>
      <c r="C828" t="inlineStr">
        <is>
          <t>CORPORATE BANKING</t>
        </is>
      </c>
      <c r="D828" t="inlineStr">
        <is>
          <t>I</t>
        </is>
      </c>
      <c r="E828" t="inlineStr">
        <is>
          <t>Stage 1</t>
        </is>
      </c>
      <c r="F828" t="inlineStr">
        <is>
          <t>N/A</t>
        </is>
      </c>
      <c r="G828" s="26">
        <v>738566042</v>
      </c>
      <c r="H828" s="26">
        <v>7385660</v>
      </c>
      <c r="I828" s="26">
        <v>0</v>
      </c>
      <c r="J828" s="26">
        <v>36</v>
      </c>
      <c r="K828" t="inlineStr">
        <is>
          <t>Non</t>
        </is>
      </c>
      <c r="L828">
        <f>SUBTOTAL(103,A828)</f>
        <v>1</v>
      </c>
    </row>
    <row r="829">
      <c r="A829" t="inlineStr">
        <is>
          <t>SOCIETE C47</t>
        </is>
      </c>
      <c r="B829" t="inlineStr">
        <is>
          <t>C47</t>
        </is>
      </c>
      <c r="C829" t="inlineStr">
        <is>
          <t>COMMERCIAL BANKING</t>
        </is>
      </c>
      <c r="D829" t="inlineStr">
        <is>
          <t>III</t>
        </is>
      </c>
      <c r="E829" t="inlineStr">
        <is>
          <t>Stage 3</t>
        </is>
      </c>
      <c r="F829" t="inlineStr">
        <is>
          <t>N/A</t>
        </is>
      </c>
      <c r="G829" s="26">
        <v>579510031</v>
      </c>
      <c r="H829" s="26">
        <v>318730517</v>
      </c>
      <c r="I829" s="26">
        <v>0</v>
      </c>
      <c r="J829" s="26">
        <v>147</v>
      </c>
      <c r="K829" t="inlineStr">
        <is>
          <t>Oui</t>
        </is>
      </c>
      <c r="L829">
        <f>SUBTOTAL(103,A829)</f>
        <v>1</v>
      </c>
    </row>
    <row r="830">
      <c r="A830" t="inlineStr">
        <is>
          <t>SOCIETE C93</t>
        </is>
      </c>
      <c r="B830" t="inlineStr">
        <is>
          <t>C93</t>
        </is>
      </c>
      <c r="C830" t="inlineStr">
        <is>
          <t>PUBLIC SECTOR</t>
        </is>
      </c>
      <c r="D830" t="inlineStr">
        <is>
          <t>IV</t>
        </is>
      </c>
      <c r="E830" t="inlineStr">
        <is>
          <t>Stage 3</t>
        </is>
      </c>
      <c r="F830" t="inlineStr">
        <is>
          <t>N/A</t>
        </is>
      </c>
      <c r="G830" s="26">
        <v>1415091831</v>
      </c>
      <c r="H830" s="26">
        <v>778300507</v>
      </c>
      <c r="I830" s="26">
        <v>105217884</v>
      </c>
      <c r="J830" s="26">
        <v>0</v>
      </c>
      <c r="K830" t="inlineStr">
        <is>
          <t>Oui</t>
        </is>
      </c>
      <c r="L830">
        <f>SUBTOTAL(103,A830)</f>
        <v>1</v>
      </c>
    </row>
    <row r="831">
      <c r="A831" t="inlineStr">
        <is>
          <t>SOCIETE C2437</t>
        </is>
      </c>
      <c r="B831" t="inlineStr">
        <is>
          <t>C2437</t>
        </is>
      </c>
      <c r="C831" t="inlineStr">
        <is>
          <t>CORPORATE BANKING</t>
        </is>
      </c>
      <c r="D831" t="inlineStr">
        <is>
          <t>IA</t>
        </is>
      </c>
      <c r="E831" t="inlineStr">
        <is>
          <t>Stage 2</t>
        </is>
      </c>
      <c r="F831" t="inlineStr">
        <is>
          <t>N/A</t>
        </is>
      </c>
      <c r="G831" s="26">
        <v>1096748357</v>
      </c>
      <c r="H831" s="26">
        <v>65804901</v>
      </c>
      <c r="I831" s="26">
        <v>0</v>
      </c>
      <c r="J831" s="26">
        <v>94</v>
      </c>
      <c r="K831" t="inlineStr">
        <is>
          <t>Non</t>
        </is>
      </c>
      <c r="L831">
        <f>SUBTOTAL(103,A831)</f>
        <v>1</v>
      </c>
    </row>
    <row r="832">
      <c r="A832" t="inlineStr">
        <is>
          <t>SOCIETE C2326</t>
        </is>
      </c>
      <c r="B832" t="inlineStr">
        <is>
          <t>C2326</t>
        </is>
      </c>
      <c r="C832" t="inlineStr">
        <is>
          <t>CORPORATE BANKING</t>
        </is>
      </c>
      <c r="D832" t="inlineStr">
        <is>
          <t>II</t>
        </is>
      </c>
      <c r="E832" t="inlineStr">
        <is>
          <t>Stage 2</t>
        </is>
      </c>
      <c r="F832" t="inlineStr">
        <is>
          <t>N/A</t>
        </is>
      </c>
      <c r="G832" s="26">
        <v>2074485438</v>
      </c>
      <c r="H832" s="26">
        <v>124469126</v>
      </c>
      <c r="I832" s="26">
        <v>0</v>
      </c>
      <c r="J832" s="26">
        <v>7</v>
      </c>
      <c r="K832" t="inlineStr">
        <is>
          <t>Non</t>
        </is>
      </c>
      <c r="L832">
        <f>SUBTOTAL(103,A832)</f>
        <v>1</v>
      </c>
    </row>
    <row r="833">
      <c r="A833" t="inlineStr">
        <is>
          <t>SOCIETE C2287</t>
        </is>
      </c>
      <c r="B833" t="inlineStr">
        <is>
          <t>C2287</t>
        </is>
      </c>
      <c r="C833" t="inlineStr">
        <is>
          <t>INSTITUTIONAL</t>
        </is>
      </c>
      <c r="D833" t="inlineStr">
        <is>
          <t>I</t>
        </is>
      </c>
      <c r="E833" t="inlineStr">
        <is>
          <t>Stage 1</t>
        </is>
      </c>
      <c r="F833" t="inlineStr">
        <is>
          <t>N/A</t>
        </is>
      </c>
      <c r="G833" s="26">
        <v>2149458063</v>
      </c>
      <c r="H833" s="26">
        <v>21494581</v>
      </c>
      <c r="I833" s="26">
        <v>0</v>
      </c>
      <c r="J833" s="26">
        <v>101</v>
      </c>
      <c r="K833" t="inlineStr">
        <is>
          <t>Non</t>
        </is>
      </c>
      <c r="L833">
        <f>SUBTOTAL(103,A833)</f>
        <v>1</v>
      </c>
    </row>
    <row r="834">
      <c r="A834" t="inlineStr">
        <is>
          <t>SOCIETE C941</t>
        </is>
      </c>
      <c r="B834" t="inlineStr">
        <is>
          <t>C941</t>
        </is>
      </c>
      <c r="C834" t="inlineStr">
        <is>
          <t>CORPORATE BANKING</t>
        </is>
      </c>
      <c r="D834" t="inlineStr">
        <is>
          <t>I</t>
        </is>
      </c>
      <c r="E834" t="inlineStr">
        <is>
          <t>Stage 1</t>
        </is>
      </c>
      <c r="F834" t="inlineStr">
        <is>
          <t>N/A</t>
        </is>
      </c>
      <c r="G834" s="26">
        <v>26152714</v>
      </c>
      <c r="H834" s="26">
        <v>261527</v>
      </c>
      <c r="I834" s="26">
        <v>0</v>
      </c>
      <c r="J834" s="26">
        <v>2</v>
      </c>
      <c r="K834" t="inlineStr">
        <is>
          <t>Non</t>
        </is>
      </c>
      <c r="L834">
        <f>SUBTOTAL(103,A834)</f>
        <v>1</v>
      </c>
    </row>
    <row r="835">
      <c r="A835" t="inlineStr">
        <is>
          <t>SOCIETE C611</t>
        </is>
      </c>
      <c r="B835" t="inlineStr">
        <is>
          <t>C611</t>
        </is>
      </c>
      <c r="C835" t="inlineStr">
        <is>
          <t>PUBLIC SECTOR</t>
        </is>
      </c>
      <c r="D835" t="inlineStr">
        <is>
          <t>I</t>
        </is>
      </c>
      <c r="E835" t="inlineStr">
        <is>
          <t>Stage 1</t>
        </is>
      </c>
      <c r="F835" t="inlineStr">
        <is>
          <t>N/A</t>
        </is>
      </c>
      <c r="G835" s="26">
        <v>12789393</v>
      </c>
      <c r="H835" s="26">
        <v>127894</v>
      </c>
      <c r="I835" s="26">
        <v>0</v>
      </c>
      <c r="J835" s="26">
        <v>176</v>
      </c>
      <c r="K835" t="inlineStr">
        <is>
          <t>Non</t>
        </is>
      </c>
      <c r="L835">
        <f>SUBTOTAL(103,A835)</f>
        <v>1</v>
      </c>
    </row>
    <row r="836">
      <c r="A836" t="inlineStr">
        <is>
          <t>SOCIETE C377</t>
        </is>
      </c>
      <c r="B836" t="inlineStr">
        <is>
          <t>C377</t>
        </is>
      </c>
      <c r="C836" t="inlineStr">
        <is>
          <t>COMMERCIAL BANKING</t>
        </is>
      </c>
      <c r="D836" t="inlineStr">
        <is>
          <t>I</t>
        </is>
      </c>
      <c r="E836" t="inlineStr">
        <is>
          <t>Stage 1</t>
        </is>
      </c>
      <c r="F836" t="inlineStr">
        <is>
          <t>N/A</t>
        </is>
      </c>
      <c r="G836" s="26">
        <v>2395427092</v>
      </c>
      <c r="H836" s="26">
        <v>23954271</v>
      </c>
      <c r="I836" s="26">
        <v>462133184</v>
      </c>
      <c r="J836" s="26">
        <v>29</v>
      </c>
      <c r="K836" t="inlineStr">
        <is>
          <t>Non</t>
        </is>
      </c>
      <c r="L836">
        <f>SUBTOTAL(103,A836)</f>
        <v>1</v>
      </c>
    </row>
    <row r="837">
      <c r="A837" t="inlineStr">
        <is>
          <t>SOCIETE C788</t>
        </is>
      </c>
      <c r="B837" t="inlineStr">
        <is>
          <t>C788</t>
        </is>
      </c>
      <c r="C837" t="inlineStr">
        <is>
          <t>COMMERCIAL BANKING</t>
        </is>
      </c>
      <c r="D837" t="inlineStr">
        <is>
          <t>I</t>
        </is>
      </c>
      <c r="E837" t="inlineStr">
        <is>
          <t>Stage 1</t>
        </is>
      </c>
      <c r="F837" t="inlineStr">
        <is>
          <t>N/A</t>
        </is>
      </c>
      <c r="G837" s="26">
        <v>2055033170</v>
      </c>
      <c r="H837" s="26">
        <v>20550332</v>
      </c>
      <c r="I837" s="26">
        <v>0</v>
      </c>
      <c r="J837" s="26">
        <v>235</v>
      </c>
      <c r="K837" t="inlineStr">
        <is>
          <t>Non</t>
        </is>
      </c>
      <c r="L837">
        <f>SUBTOTAL(103,A837)</f>
        <v>1</v>
      </c>
    </row>
    <row r="838">
      <c r="A838" t="inlineStr">
        <is>
          <t>SOCIETE C2413</t>
        </is>
      </c>
      <c r="B838" t="inlineStr">
        <is>
          <t>C2413</t>
        </is>
      </c>
      <c r="C838" t="inlineStr">
        <is>
          <t>CORPORATE BANKING</t>
        </is>
      </c>
      <c r="D838" t="inlineStr">
        <is>
          <t>V</t>
        </is>
      </c>
      <c r="E838" t="inlineStr">
        <is>
          <t>Stage 3</t>
        </is>
      </c>
      <c r="F838" t="inlineStr">
        <is>
          <t>N/A</t>
        </is>
      </c>
      <c r="G838" s="26">
        <v>13478782</v>
      </c>
      <c r="H838" s="26">
        <v>7413330</v>
      </c>
      <c r="I838" s="26">
        <v>2280781</v>
      </c>
      <c r="J838" s="26">
        <v>114</v>
      </c>
      <c r="K838" t="inlineStr">
        <is>
          <t>Oui</t>
        </is>
      </c>
      <c r="L838">
        <f>SUBTOTAL(103,A838)</f>
        <v>1</v>
      </c>
    </row>
    <row r="839">
      <c r="A839" t="inlineStr">
        <is>
          <t>SOCIETE C1319</t>
        </is>
      </c>
      <c r="B839" t="inlineStr">
        <is>
          <t>C1319</t>
        </is>
      </c>
      <c r="C839" t="inlineStr">
        <is>
          <t>CORPORATE BANKING</t>
        </is>
      </c>
      <c r="D839" t="inlineStr">
        <is>
          <t>I</t>
        </is>
      </c>
      <c r="E839" t="inlineStr">
        <is>
          <t>Stage 1</t>
        </is>
      </c>
      <c r="F839" t="inlineStr">
        <is>
          <t>N/A</t>
        </is>
      </c>
      <c r="G839" s="26">
        <v>276263738</v>
      </c>
      <c r="H839" s="26">
        <v>2762637</v>
      </c>
      <c r="I839" s="26">
        <v>9876445</v>
      </c>
      <c r="J839" s="26">
        <v>95</v>
      </c>
      <c r="K839" t="inlineStr">
        <is>
          <t>Non</t>
        </is>
      </c>
      <c r="L839">
        <f>SUBTOTAL(103,A839)</f>
        <v>1</v>
      </c>
    </row>
    <row r="840">
      <c r="A840" t="inlineStr">
        <is>
          <t>SOCIETE C631</t>
        </is>
      </c>
      <c r="B840" t="inlineStr">
        <is>
          <t>C631</t>
        </is>
      </c>
      <c r="C840" t="inlineStr">
        <is>
          <t>CORPORATE BANKING</t>
        </is>
      </c>
      <c r="D840" t="inlineStr">
        <is>
          <t>IA</t>
        </is>
      </c>
      <c r="E840" t="inlineStr">
        <is>
          <t>Stage 2</t>
        </is>
      </c>
      <c r="F840" t="inlineStr">
        <is>
          <t>N/A</t>
        </is>
      </c>
      <c r="G840" s="26">
        <v>107471993</v>
      </c>
      <c r="H840" s="26">
        <v>6448320</v>
      </c>
      <c r="I840" s="26">
        <v>15959082</v>
      </c>
      <c r="J840" s="26">
        <v>282</v>
      </c>
      <c r="K840" t="inlineStr">
        <is>
          <t>Non</t>
        </is>
      </c>
      <c r="L840">
        <f>SUBTOTAL(103,A840)</f>
        <v>1</v>
      </c>
    </row>
    <row r="841">
      <c r="A841" t="inlineStr">
        <is>
          <t>SOCIETE C1014</t>
        </is>
      </c>
      <c r="B841" t="inlineStr">
        <is>
          <t>C1014</t>
        </is>
      </c>
      <c r="C841" t="inlineStr">
        <is>
          <t>COMMERCIAL BANKING</t>
        </is>
      </c>
      <c r="D841" t="inlineStr">
        <is>
          <t>I</t>
        </is>
      </c>
      <c r="E841" t="inlineStr">
        <is>
          <t>Stage 1</t>
        </is>
      </c>
      <c r="F841" t="inlineStr">
        <is>
          <t>N/A</t>
        </is>
      </c>
      <c r="G841" s="26">
        <v>89820202</v>
      </c>
      <c r="H841" s="26">
        <v>898202</v>
      </c>
      <c r="I841" s="26">
        <v>0</v>
      </c>
      <c r="J841" s="26">
        <v>198</v>
      </c>
      <c r="K841" t="inlineStr">
        <is>
          <t>Non</t>
        </is>
      </c>
      <c r="L841">
        <f>SUBTOTAL(103,A841)</f>
        <v>1</v>
      </c>
    </row>
    <row r="842">
      <c r="A842" t="inlineStr">
        <is>
          <t>SOCIETE C2156</t>
        </is>
      </c>
      <c r="B842" t="inlineStr">
        <is>
          <t>C2156</t>
        </is>
      </c>
      <c r="C842" t="inlineStr">
        <is>
          <t>CORPORATE BANKING</t>
        </is>
      </c>
      <c r="D842" t="inlineStr">
        <is>
          <t>II</t>
        </is>
      </c>
      <c r="E842" t="inlineStr">
        <is>
          <t>Stage 2</t>
        </is>
      </c>
      <c r="F842" t="inlineStr">
        <is>
          <t>N/A</t>
        </is>
      </c>
      <c r="G842" s="26">
        <v>847088211</v>
      </c>
      <c r="H842" s="26">
        <v>50825293</v>
      </c>
      <c r="I842" s="26">
        <v>78632409</v>
      </c>
      <c r="J842" s="26">
        <v>20</v>
      </c>
      <c r="K842" t="inlineStr">
        <is>
          <t>Non</t>
        </is>
      </c>
      <c r="L842">
        <f>SUBTOTAL(103,A842)</f>
        <v>1</v>
      </c>
    </row>
    <row r="843">
      <c r="A843" t="inlineStr">
        <is>
          <t>SOCIETE C2346</t>
        </is>
      </c>
      <c r="B843" t="inlineStr">
        <is>
          <t>C2346</t>
        </is>
      </c>
      <c r="C843" t="inlineStr">
        <is>
          <t>CORPORATE BANKING</t>
        </is>
      </c>
      <c r="D843" t="inlineStr">
        <is>
          <t>II</t>
        </is>
      </c>
      <c r="E843" t="inlineStr">
        <is>
          <t>Stage 2</t>
        </is>
      </c>
      <c r="F843" t="inlineStr">
        <is>
          <t>N/A</t>
        </is>
      </c>
      <c r="G843" s="26">
        <v>333464771</v>
      </c>
      <c r="H843" s="26">
        <v>20007886</v>
      </c>
      <c r="I843" s="26">
        <v>0</v>
      </c>
      <c r="J843" s="26">
        <v>90</v>
      </c>
      <c r="K843" t="inlineStr">
        <is>
          <t>Non</t>
        </is>
      </c>
      <c r="L843">
        <f>SUBTOTAL(103,A843)</f>
        <v>1</v>
      </c>
    </row>
    <row r="844">
      <c r="A844" t="inlineStr">
        <is>
          <t>SOCIETE C1809</t>
        </is>
      </c>
      <c r="B844" t="inlineStr">
        <is>
          <t>C1809</t>
        </is>
      </c>
      <c r="C844" t="inlineStr">
        <is>
          <t>PUBLIC SECTOR</t>
        </is>
      </c>
      <c r="D844" t="inlineStr">
        <is>
          <t>IA</t>
        </is>
      </c>
      <c r="E844" t="inlineStr">
        <is>
          <t>Stage 2</t>
        </is>
      </c>
      <c r="F844" t="inlineStr">
        <is>
          <t>N/A</t>
        </is>
      </c>
      <c r="G844" s="26">
        <v>203725666</v>
      </c>
      <c r="H844" s="26">
        <v>12223540</v>
      </c>
      <c r="I844" s="26">
        <v>16814507</v>
      </c>
      <c r="J844" s="26">
        <v>84</v>
      </c>
      <c r="K844" t="inlineStr">
        <is>
          <t>Non</t>
        </is>
      </c>
      <c r="L844">
        <f>SUBTOTAL(103,A844)</f>
        <v>1</v>
      </c>
    </row>
    <row r="845">
      <c r="A845" t="inlineStr">
        <is>
          <t>SOCIETE C841</t>
        </is>
      </c>
      <c r="B845" t="inlineStr">
        <is>
          <t>C841</t>
        </is>
      </c>
      <c r="C845" t="inlineStr">
        <is>
          <t>CORPORATE BANKING</t>
        </is>
      </c>
      <c r="D845" t="inlineStr">
        <is>
          <t>I</t>
        </is>
      </c>
      <c r="E845" t="inlineStr">
        <is>
          <t>Stage 1</t>
        </is>
      </c>
      <c r="F845" t="inlineStr">
        <is>
          <t>N/A</t>
        </is>
      </c>
      <c r="G845" s="26">
        <v>72748963</v>
      </c>
      <c r="H845" s="26">
        <v>727490</v>
      </c>
      <c r="I845" s="26">
        <v>0</v>
      </c>
      <c r="J845" s="26">
        <v>7</v>
      </c>
      <c r="K845" t="inlineStr">
        <is>
          <t>Non</t>
        </is>
      </c>
      <c r="L845">
        <f>SUBTOTAL(103,A845)</f>
        <v>1</v>
      </c>
    </row>
    <row r="846">
      <c r="A846" t="inlineStr">
        <is>
          <t>SOCIETE C2290</t>
        </is>
      </c>
      <c r="B846" t="inlineStr">
        <is>
          <t>C2290</t>
        </is>
      </c>
      <c r="C846" t="inlineStr">
        <is>
          <t>PUBLIC SECTOR</t>
        </is>
      </c>
      <c r="D846" t="inlineStr">
        <is>
          <t>IA</t>
        </is>
      </c>
      <c r="E846" t="inlineStr">
        <is>
          <t>Stage 2</t>
        </is>
      </c>
      <c r="F846" t="inlineStr">
        <is>
          <t>N/A</t>
        </is>
      </c>
      <c r="G846" s="26">
        <v>1002215</v>
      </c>
      <c r="H846" s="26">
        <v>60133</v>
      </c>
      <c r="I846" s="26">
        <v>17412</v>
      </c>
      <c r="J846" s="26">
        <v>22</v>
      </c>
      <c r="K846" t="inlineStr">
        <is>
          <t>Non</t>
        </is>
      </c>
      <c r="L846">
        <f>SUBTOTAL(103,A846)</f>
        <v>1</v>
      </c>
    </row>
    <row r="847">
      <c r="A847" t="inlineStr">
        <is>
          <t>SOCIETE C691</t>
        </is>
      </c>
      <c r="B847" t="inlineStr">
        <is>
          <t>C691</t>
        </is>
      </c>
      <c r="C847" t="inlineStr">
        <is>
          <t>PUBLIC SECTOR</t>
        </is>
      </c>
      <c r="D847" t="inlineStr">
        <is>
          <t>I</t>
        </is>
      </c>
      <c r="E847" t="inlineStr">
        <is>
          <t>Stage 1</t>
        </is>
      </c>
      <c r="F847" t="inlineStr">
        <is>
          <t>N/A</t>
        </is>
      </c>
      <c r="G847" s="26">
        <v>1469364130</v>
      </c>
      <c r="H847" s="26">
        <v>14693641</v>
      </c>
      <c r="I847" s="26">
        <v>0</v>
      </c>
      <c r="J847" s="26">
        <v>148</v>
      </c>
      <c r="K847" t="inlineStr">
        <is>
          <t>Non</t>
        </is>
      </c>
      <c r="L847">
        <f>SUBTOTAL(103,A847)</f>
        <v>1</v>
      </c>
    </row>
    <row r="848">
      <c r="A848" t="inlineStr">
        <is>
          <t>SOCIETE C2145</t>
        </is>
      </c>
      <c r="B848" t="inlineStr">
        <is>
          <t>C2145</t>
        </is>
      </c>
      <c r="C848" t="inlineStr">
        <is>
          <t>CORPORATE BANKING</t>
        </is>
      </c>
      <c r="D848" t="inlineStr">
        <is>
          <t>I</t>
        </is>
      </c>
      <c r="E848" t="inlineStr">
        <is>
          <t>Stage 1</t>
        </is>
      </c>
      <c r="F848" t="inlineStr">
        <is>
          <t>N/A</t>
        </is>
      </c>
      <c r="G848" s="26">
        <v>2143010720</v>
      </c>
      <c r="H848" s="26">
        <v>21430107</v>
      </c>
      <c r="I848" s="26">
        <v>300604702</v>
      </c>
      <c r="J848" s="26">
        <v>174</v>
      </c>
      <c r="K848" t="inlineStr">
        <is>
          <t>Non</t>
        </is>
      </c>
      <c r="L848">
        <f>SUBTOTAL(103,A848)</f>
        <v>1</v>
      </c>
    </row>
    <row r="849">
      <c r="A849" t="inlineStr">
        <is>
          <t>SOCIETE C2175</t>
        </is>
      </c>
      <c r="B849" t="inlineStr">
        <is>
          <t>C2175</t>
        </is>
      </c>
      <c r="C849" t="inlineStr">
        <is>
          <t>CONSUMER BANKING</t>
        </is>
      </c>
      <c r="D849" t="inlineStr">
        <is>
          <t>V</t>
        </is>
      </c>
      <c r="E849" t="inlineStr">
        <is>
          <t>Stage 3</t>
        </is>
      </c>
      <c r="F849" t="inlineStr">
        <is>
          <t>N/A</t>
        </is>
      </c>
      <c r="G849" s="26">
        <v>681464906</v>
      </c>
      <c r="H849" s="26">
        <v>374805698</v>
      </c>
      <c r="I849" s="26">
        <v>0</v>
      </c>
      <c r="J849" s="26">
        <v>25</v>
      </c>
      <c r="K849" t="inlineStr">
        <is>
          <t>Oui</t>
        </is>
      </c>
      <c r="L849">
        <f>SUBTOTAL(103,A849)</f>
        <v>1</v>
      </c>
    </row>
    <row r="850">
      <c r="A850" t="inlineStr">
        <is>
          <t>SOCIETE C28</t>
        </is>
      </c>
      <c r="B850" t="inlineStr">
        <is>
          <t>C28</t>
        </is>
      </c>
      <c r="C850" t="inlineStr">
        <is>
          <t>CORPORATE BANKING</t>
        </is>
      </c>
      <c r="D850" t="inlineStr">
        <is>
          <t>II</t>
        </is>
      </c>
      <c r="E850" t="inlineStr">
        <is>
          <t>Stage 2</t>
        </is>
      </c>
      <c r="F850" t="inlineStr">
        <is>
          <t>N/A</t>
        </is>
      </c>
      <c r="G850" s="26">
        <v>2481616871</v>
      </c>
      <c r="H850" s="26">
        <v>148897012</v>
      </c>
      <c r="I850" s="26">
        <v>0</v>
      </c>
      <c r="J850" s="26">
        <v>32</v>
      </c>
      <c r="K850" t="inlineStr">
        <is>
          <t>Non</t>
        </is>
      </c>
      <c r="L850">
        <f>SUBTOTAL(103,A850)</f>
        <v>1</v>
      </c>
    </row>
    <row r="851">
      <c r="A851" t="inlineStr">
        <is>
          <t>SOCIETE C1832</t>
        </is>
      </c>
      <c r="B851" t="inlineStr">
        <is>
          <t>C1832</t>
        </is>
      </c>
      <c r="C851" t="inlineStr">
        <is>
          <t>CORPORATE BANKING</t>
        </is>
      </c>
      <c r="D851" t="inlineStr">
        <is>
          <t>I</t>
        </is>
      </c>
      <c r="E851" t="inlineStr">
        <is>
          <t>Stage 1</t>
        </is>
      </c>
      <c r="F851" t="inlineStr">
        <is>
          <t>N/A</t>
        </is>
      </c>
      <c r="G851" s="26">
        <v>257450101</v>
      </c>
      <c r="H851" s="26">
        <v>2574501</v>
      </c>
      <c r="I851" s="26">
        <v>46016780</v>
      </c>
      <c r="J851" s="26">
        <v>185</v>
      </c>
      <c r="K851" t="inlineStr">
        <is>
          <t>Non</t>
        </is>
      </c>
      <c r="L851">
        <f>SUBTOTAL(103,A851)</f>
        <v>1</v>
      </c>
    </row>
    <row r="852">
      <c r="A852" t="inlineStr">
        <is>
          <t>SOCIETE C1485</t>
        </is>
      </c>
      <c r="B852" t="inlineStr">
        <is>
          <t>C1485</t>
        </is>
      </c>
      <c r="C852" t="inlineStr">
        <is>
          <t>COMMERCIAL BANKING</t>
        </is>
      </c>
      <c r="D852" t="inlineStr">
        <is>
          <t>III</t>
        </is>
      </c>
      <c r="E852" t="inlineStr">
        <is>
          <t>Stage 3</t>
        </is>
      </c>
      <c r="F852" t="inlineStr">
        <is>
          <t>N/A</t>
        </is>
      </c>
      <c r="G852" s="26">
        <v>1550058001</v>
      </c>
      <c r="H852" s="26">
        <v>852531900</v>
      </c>
      <c r="I852" s="26">
        <v>0</v>
      </c>
      <c r="J852" s="26">
        <v>114</v>
      </c>
      <c r="K852" t="inlineStr">
        <is>
          <t>Oui</t>
        </is>
      </c>
      <c r="L852">
        <f>SUBTOTAL(103,A852)</f>
        <v>1</v>
      </c>
    </row>
    <row r="853">
      <c r="A853" t="inlineStr">
        <is>
          <t>SOCIETE C2231</t>
        </is>
      </c>
      <c r="B853" t="inlineStr">
        <is>
          <t>C2231</t>
        </is>
      </c>
      <c r="C853" t="inlineStr">
        <is>
          <t>COMMERCIAL BANKING</t>
        </is>
      </c>
      <c r="D853" t="inlineStr">
        <is>
          <t>I</t>
        </is>
      </c>
      <c r="E853" t="inlineStr">
        <is>
          <t>Stage 1</t>
        </is>
      </c>
      <c r="F853" t="inlineStr">
        <is>
          <t>N/A</t>
        </is>
      </c>
      <c r="G853" s="26">
        <v>23624020</v>
      </c>
      <c r="H853" s="26">
        <v>236240</v>
      </c>
      <c r="I853" s="26">
        <v>0</v>
      </c>
      <c r="J853" s="26">
        <v>312</v>
      </c>
      <c r="K853" t="inlineStr">
        <is>
          <t>Non</t>
        </is>
      </c>
      <c r="L853">
        <f>SUBTOTAL(103,A853)</f>
        <v>1</v>
      </c>
    </row>
    <row r="854">
      <c r="A854" t="inlineStr">
        <is>
          <t>SOCIETE C497</t>
        </is>
      </c>
      <c r="B854" t="inlineStr">
        <is>
          <t>C497</t>
        </is>
      </c>
      <c r="C854" t="inlineStr">
        <is>
          <t>CORPORATE BANKING</t>
        </is>
      </c>
      <c r="D854" t="inlineStr">
        <is>
          <t>IV</t>
        </is>
      </c>
      <c r="E854" t="inlineStr">
        <is>
          <t>Stage 3</t>
        </is>
      </c>
      <c r="F854" t="inlineStr">
        <is>
          <t>N/A</t>
        </is>
      </c>
      <c r="G854" s="26">
        <v>327113309</v>
      </c>
      <c r="H854" s="26">
        <v>179912320</v>
      </c>
      <c r="I854" s="26">
        <v>0</v>
      </c>
      <c r="J854" s="26">
        <v>69</v>
      </c>
      <c r="K854" t="inlineStr">
        <is>
          <t>Oui</t>
        </is>
      </c>
      <c r="L854">
        <f>SUBTOTAL(103,A854)</f>
        <v>1</v>
      </c>
    </row>
    <row r="855">
      <c r="A855" t="inlineStr">
        <is>
          <t>SOCIETE C891</t>
        </is>
      </c>
      <c r="B855" t="inlineStr">
        <is>
          <t>C891</t>
        </is>
      </c>
      <c r="C855" t="inlineStr">
        <is>
          <t>CORPORATE BANKING</t>
        </is>
      </c>
      <c r="D855" t="inlineStr">
        <is>
          <t>I</t>
        </is>
      </c>
      <c r="E855" t="inlineStr">
        <is>
          <t>Stage 1</t>
        </is>
      </c>
      <c r="F855" t="inlineStr">
        <is>
          <t>N/A</t>
        </is>
      </c>
      <c r="G855" s="26">
        <v>2327069157</v>
      </c>
      <c r="H855" s="26">
        <v>23270692</v>
      </c>
      <c r="I855" s="26">
        <v>0</v>
      </c>
      <c r="J855" s="26">
        <v>297</v>
      </c>
      <c r="K855" t="inlineStr">
        <is>
          <t>Non</t>
        </is>
      </c>
      <c r="L855">
        <f>SUBTOTAL(103,A855)</f>
        <v>1</v>
      </c>
    </row>
    <row r="856">
      <c r="A856" t="inlineStr">
        <is>
          <t>SOCIETE C1389</t>
        </is>
      </c>
      <c r="B856" t="inlineStr">
        <is>
          <t>C1389</t>
        </is>
      </c>
      <c r="C856" t="inlineStr">
        <is>
          <t>SME</t>
        </is>
      </c>
      <c r="D856" t="inlineStr">
        <is>
          <t>IA</t>
        </is>
      </c>
      <c r="E856" t="inlineStr">
        <is>
          <t>Stage 2</t>
        </is>
      </c>
      <c r="F856" t="inlineStr">
        <is>
          <t>N/A</t>
        </is>
      </c>
      <c r="G856" s="26">
        <v>45145411</v>
      </c>
      <c r="H856" s="26">
        <v>2708725</v>
      </c>
      <c r="I856" s="26">
        <v>0</v>
      </c>
      <c r="J856" s="26">
        <v>24</v>
      </c>
      <c r="K856" t="inlineStr">
        <is>
          <t>Non</t>
        </is>
      </c>
      <c r="L856">
        <f>SUBTOTAL(103,A856)</f>
        <v>1</v>
      </c>
    </row>
    <row r="857">
      <c r="A857" t="inlineStr">
        <is>
          <t>SOCIETE C282</t>
        </is>
      </c>
      <c r="B857" t="inlineStr">
        <is>
          <t>C282</t>
        </is>
      </c>
      <c r="C857" t="inlineStr">
        <is>
          <t>COMMERCIAL BANKING</t>
        </is>
      </c>
      <c r="D857" t="inlineStr">
        <is>
          <t>I</t>
        </is>
      </c>
      <c r="E857" t="inlineStr">
        <is>
          <t>Stage 1</t>
        </is>
      </c>
      <c r="F857" t="inlineStr">
        <is>
          <t>N/A</t>
        </is>
      </c>
      <c r="G857" s="26">
        <v>88124912</v>
      </c>
      <c r="H857" s="26">
        <v>881249</v>
      </c>
      <c r="I857" s="26">
        <v>12741490</v>
      </c>
      <c r="J857" s="26">
        <v>7</v>
      </c>
      <c r="K857" t="inlineStr">
        <is>
          <t>Non</t>
        </is>
      </c>
      <c r="L857">
        <f>SUBTOTAL(103,A857)</f>
        <v>1</v>
      </c>
    </row>
    <row r="858">
      <c r="A858" t="inlineStr">
        <is>
          <t>SOCIETE C2161</t>
        </is>
      </c>
      <c r="B858" t="inlineStr">
        <is>
          <t>C2161</t>
        </is>
      </c>
      <c r="C858" t="inlineStr">
        <is>
          <t>CORPORATE BANKING</t>
        </is>
      </c>
      <c r="D858" t="inlineStr">
        <is>
          <t>I</t>
        </is>
      </c>
      <c r="E858" t="inlineStr">
        <is>
          <t>Stage 1</t>
        </is>
      </c>
      <c r="F858" t="inlineStr">
        <is>
          <t>N/A</t>
        </is>
      </c>
      <c r="G858" s="26">
        <v>3110845</v>
      </c>
      <c r="H858" s="26">
        <v>31108</v>
      </c>
      <c r="I858" s="26">
        <v>0</v>
      </c>
      <c r="J858" s="26">
        <v>1</v>
      </c>
      <c r="K858" t="inlineStr">
        <is>
          <t>Non</t>
        </is>
      </c>
      <c r="L858">
        <f>SUBTOTAL(103,A858)</f>
        <v>1</v>
      </c>
    </row>
    <row r="859">
      <c r="A859" t="inlineStr">
        <is>
          <t>SOCIETE C1368</t>
        </is>
      </c>
      <c r="B859" t="inlineStr">
        <is>
          <t>C1368</t>
        </is>
      </c>
      <c r="C859" t="inlineStr">
        <is>
          <t>COMMERCIAL BANKING</t>
        </is>
      </c>
      <c r="D859" t="inlineStr">
        <is>
          <t>II</t>
        </is>
      </c>
      <c r="E859" t="inlineStr">
        <is>
          <t>Stage 2</t>
        </is>
      </c>
      <c r="F859" t="inlineStr">
        <is>
          <t>N/A</t>
        </is>
      </c>
      <c r="G859" s="26">
        <v>198688422</v>
      </c>
      <c r="H859" s="26">
        <v>11921305</v>
      </c>
      <c r="I859" s="26">
        <v>0</v>
      </c>
      <c r="J859" s="26">
        <v>109</v>
      </c>
      <c r="K859" t="inlineStr">
        <is>
          <t>Non</t>
        </is>
      </c>
      <c r="L859">
        <f>SUBTOTAL(103,A859)</f>
        <v>1</v>
      </c>
    </row>
    <row r="860">
      <c r="A860" t="inlineStr">
        <is>
          <t>SOCIETE C318</t>
        </is>
      </c>
      <c r="B860" t="inlineStr">
        <is>
          <t>C318</t>
        </is>
      </c>
      <c r="C860" t="inlineStr">
        <is>
          <t>CORPORATE BANKING</t>
        </is>
      </c>
      <c r="D860" t="inlineStr">
        <is>
          <t>I</t>
        </is>
      </c>
      <c r="E860" t="inlineStr">
        <is>
          <t>Stage 1</t>
        </is>
      </c>
      <c r="F860" t="inlineStr">
        <is>
          <t>N/A</t>
        </is>
      </c>
      <c r="G860" s="26">
        <v>682313154</v>
      </c>
      <c r="H860" s="26">
        <v>6823132</v>
      </c>
      <c r="I860" s="26">
        <v>0</v>
      </c>
      <c r="J860" s="26">
        <v>277</v>
      </c>
      <c r="K860" t="inlineStr">
        <is>
          <t>Non</t>
        </is>
      </c>
      <c r="L860">
        <f>SUBTOTAL(103,A860)</f>
        <v>1</v>
      </c>
    </row>
    <row r="861">
      <c r="A861" t="inlineStr">
        <is>
          <t>SOCIETE C1296</t>
        </is>
      </c>
      <c r="B861" t="inlineStr">
        <is>
          <t>C1296</t>
        </is>
      </c>
      <c r="C861" t="inlineStr">
        <is>
          <t>CORPORATE BANKING</t>
        </is>
      </c>
      <c r="D861" t="inlineStr">
        <is>
          <t>I</t>
        </is>
      </c>
      <c r="E861" t="inlineStr">
        <is>
          <t>Stage 1</t>
        </is>
      </c>
      <c r="F861" t="inlineStr">
        <is>
          <t>N/A</t>
        </is>
      </c>
      <c r="G861" s="26">
        <v>719112961</v>
      </c>
      <c r="H861" s="26">
        <v>7191130</v>
      </c>
      <c r="I861" s="26">
        <v>0</v>
      </c>
      <c r="J861" s="26">
        <v>36</v>
      </c>
      <c r="K861" t="inlineStr">
        <is>
          <t>Non</t>
        </is>
      </c>
      <c r="L861">
        <f>SUBTOTAL(103,A861)</f>
        <v>1</v>
      </c>
    </row>
    <row r="862">
      <c r="A862" t="inlineStr">
        <is>
          <t>SOCIETE C1302</t>
        </is>
      </c>
      <c r="B862" t="inlineStr">
        <is>
          <t>C1302</t>
        </is>
      </c>
      <c r="C862" t="inlineStr">
        <is>
          <t>PUBLIC SECTOR</t>
        </is>
      </c>
      <c r="D862" t="inlineStr">
        <is>
          <t>IA</t>
        </is>
      </c>
      <c r="E862" t="inlineStr">
        <is>
          <t>Stage 2</t>
        </is>
      </c>
      <c r="F862" t="inlineStr">
        <is>
          <t>N/A</t>
        </is>
      </c>
      <c r="G862" s="26">
        <v>186287274</v>
      </c>
      <c r="H862" s="26">
        <v>11177236</v>
      </c>
      <c r="I862" s="26">
        <v>33690305</v>
      </c>
      <c r="J862" s="26">
        <v>149</v>
      </c>
      <c r="K862" t="inlineStr">
        <is>
          <t>Non</t>
        </is>
      </c>
      <c r="L862">
        <f>SUBTOTAL(103,A862)</f>
        <v>1</v>
      </c>
    </row>
    <row r="863">
      <c r="A863" t="inlineStr">
        <is>
          <t>SOCIETE C2468</t>
        </is>
      </c>
      <c r="B863" t="inlineStr">
        <is>
          <t>C2468</t>
        </is>
      </c>
      <c r="C863" t="inlineStr">
        <is>
          <t>COMMERCIAL BANKING</t>
        </is>
      </c>
      <c r="D863" t="inlineStr">
        <is>
          <t>IA</t>
        </is>
      </c>
      <c r="E863" t="inlineStr">
        <is>
          <t>Stage 2</t>
        </is>
      </c>
      <c r="F863" t="inlineStr">
        <is>
          <t>N/A</t>
        </is>
      </c>
      <c r="G863" s="26">
        <v>406862737</v>
      </c>
      <c r="H863" s="26">
        <v>24411764</v>
      </c>
      <c r="I863" s="26">
        <v>59473999</v>
      </c>
      <c r="J863" s="26">
        <v>168</v>
      </c>
      <c r="K863" t="inlineStr">
        <is>
          <t>Non</t>
        </is>
      </c>
      <c r="L863">
        <f>SUBTOTAL(103,A863)</f>
        <v>1</v>
      </c>
    </row>
    <row r="864">
      <c r="A864" t="inlineStr">
        <is>
          <t>SOCIETE C2058</t>
        </is>
      </c>
      <c r="B864" t="inlineStr">
        <is>
          <t>C2058</t>
        </is>
      </c>
      <c r="C864" t="inlineStr">
        <is>
          <t>CORPORATE BANKING</t>
        </is>
      </c>
      <c r="D864" t="inlineStr">
        <is>
          <t>I</t>
        </is>
      </c>
      <c r="E864" t="inlineStr">
        <is>
          <t>Stage 1</t>
        </is>
      </c>
      <c r="F864" t="inlineStr">
        <is>
          <t>N/A</t>
        </is>
      </c>
      <c r="G864" s="26">
        <v>1990994</v>
      </c>
      <c r="H864" s="26">
        <v>19910</v>
      </c>
      <c r="I864" s="26">
        <v>0</v>
      </c>
      <c r="J864" s="26">
        <v>78</v>
      </c>
      <c r="K864" t="inlineStr">
        <is>
          <t>Non</t>
        </is>
      </c>
      <c r="L864">
        <f>SUBTOTAL(103,A864)</f>
        <v>1</v>
      </c>
    </row>
    <row r="865">
      <c r="A865" t="inlineStr">
        <is>
          <t>SOCIETE C723</t>
        </is>
      </c>
      <c r="B865" t="inlineStr">
        <is>
          <t>C723</t>
        </is>
      </c>
      <c r="C865" t="inlineStr">
        <is>
          <t>CORPORATE BANKING</t>
        </is>
      </c>
      <c r="D865" t="inlineStr">
        <is>
          <t>III</t>
        </is>
      </c>
      <c r="E865" t="inlineStr">
        <is>
          <t>Stage 3</t>
        </is>
      </c>
      <c r="F865" t="inlineStr">
        <is>
          <t>N/A</t>
        </is>
      </c>
      <c r="G865" s="26">
        <v>5336206</v>
      </c>
      <c r="H865" s="26">
        <v>2934913</v>
      </c>
      <c r="I865" s="26">
        <v>615232</v>
      </c>
      <c r="J865" s="26">
        <v>120</v>
      </c>
      <c r="K865" t="inlineStr">
        <is>
          <t>Oui</t>
        </is>
      </c>
      <c r="L865">
        <f>SUBTOTAL(103,A865)</f>
        <v>1</v>
      </c>
    </row>
    <row r="866">
      <c r="A866" t="inlineStr">
        <is>
          <t>SOCIETE C2137</t>
        </is>
      </c>
      <c r="B866" t="inlineStr">
        <is>
          <t>C2137</t>
        </is>
      </c>
      <c r="C866" t="inlineStr">
        <is>
          <t>CORPORATE BANKING</t>
        </is>
      </c>
      <c r="D866" t="inlineStr">
        <is>
          <t>IV</t>
        </is>
      </c>
      <c r="E866" t="inlineStr">
        <is>
          <t>Stage 3</t>
        </is>
      </c>
      <c r="F866" t="inlineStr">
        <is>
          <t>N/A</t>
        </is>
      </c>
      <c r="G866" s="26">
        <v>1338132</v>
      </c>
      <c r="H866" s="26">
        <v>735973</v>
      </c>
      <c r="I866" s="26">
        <v>0</v>
      </c>
      <c r="J866" s="26">
        <v>1</v>
      </c>
      <c r="K866" t="inlineStr">
        <is>
          <t>Oui</t>
        </is>
      </c>
      <c r="L866">
        <f>SUBTOTAL(103,A866)</f>
        <v>1</v>
      </c>
    </row>
    <row r="867">
      <c r="A867" t="inlineStr">
        <is>
          <t>SOCIETE C1147</t>
        </is>
      </c>
      <c r="B867" t="inlineStr">
        <is>
          <t>C1147</t>
        </is>
      </c>
      <c r="C867" t="inlineStr">
        <is>
          <t>CORPORATE BANKING</t>
        </is>
      </c>
      <c r="D867" t="inlineStr">
        <is>
          <t>I</t>
        </is>
      </c>
      <c r="E867" t="inlineStr">
        <is>
          <t>Stage 1</t>
        </is>
      </c>
      <c r="F867" t="inlineStr">
        <is>
          <t>N/A</t>
        </is>
      </c>
      <c r="G867" s="26">
        <v>2492694790</v>
      </c>
      <c r="H867" s="26">
        <v>24926948</v>
      </c>
      <c r="I867" s="26">
        <v>0</v>
      </c>
      <c r="J867" s="26">
        <v>144</v>
      </c>
      <c r="K867" t="inlineStr">
        <is>
          <t>Non</t>
        </is>
      </c>
      <c r="L867">
        <f>SUBTOTAL(103,A867)</f>
        <v>1</v>
      </c>
    </row>
    <row r="868">
      <c r="A868" t="inlineStr">
        <is>
          <t>SOCIETE C118</t>
        </is>
      </c>
      <c r="B868" t="inlineStr">
        <is>
          <t>C118</t>
        </is>
      </c>
      <c r="C868" t="inlineStr">
        <is>
          <t>COMMERCIAL BANKING</t>
        </is>
      </c>
      <c r="D868" t="inlineStr">
        <is>
          <t>IA</t>
        </is>
      </c>
      <c r="E868" t="inlineStr">
        <is>
          <t>Stage 2</t>
        </is>
      </c>
      <c r="F868" t="inlineStr">
        <is>
          <t>N/A</t>
        </is>
      </c>
      <c r="G868" s="26">
        <v>218212052</v>
      </c>
      <c r="H868" s="26">
        <v>13092723</v>
      </c>
      <c r="I868" s="26">
        <v>0</v>
      </c>
      <c r="J868" s="26">
        <v>110</v>
      </c>
      <c r="K868" t="inlineStr">
        <is>
          <t>Non</t>
        </is>
      </c>
      <c r="L868">
        <f>SUBTOTAL(103,A868)</f>
        <v>1</v>
      </c>
    </row>
    <row r="869">
      <c r="A869" t="inlineStr">
        <is>
          <t>SOCIETE C1680</t>
        </is>
      </c>
      <c r="B869" t="inlineStr">
        <is>
          <t>C1680</t>
        </is>
      </c>
      <c r="C869" t="inlineStr">
        <is>
          <t>CORPORATE BANKING</t>
        </is>
      </c>
      <c r="D869" t="inlineStr">
        <is>
          <t>IV</t>
        </is>
      </c>
      <c r="E869" t="inlineStr">
        <is>
          <t>Stage 3</t>
        </is>
      </c>
      <c r="F869" t="inlineStr">
        <is>
          <t>N/A</t>
        </is>
      </c>
      <c r="G869" s="26">
        <v>174030145</v>
      </c>
      <c r="H869" s="26">
        <v>95716580</v>
      </c>
      <c r="I869" s="26">
        <v>0</v>
      </c>
      <c r="J869" s="26">
        <v>1</v>
      </c>
      <c r="K869" t="inlineStr">
        <is>
          <t>Oui</t>
        </is>
      </c>
      <c r="L869">
        <f>SUBTOTAL(103,A869)</f>
        <v>1</v>
      </c>
    </row>
    <row r="870">
      <c r="A870" t="inlineStr">
        <is>
          <t>SOCIETE C2038</t>
        </is>
      </c>
      <c r="B870" t="inlineStr">
        <is>
          <t>C2038</t>
        </is>
      </c>
      <c r="C870" t="inlineStr">
        <is>
          <t>CORPORATE BANKING</t>
        </is>
      </c>
      <c r="D870" t="inlineStr">
        <is>
          <t>I</t>
        </is>
      </c>
      <c r="E870" t="inlineStr">
        <is>
          <t>Stage 1</t>
        </is>
      </c>
      <c r="F870" t="inlineStr">
        <is>
          <t>N/A</t>
        </is>
      </c>
      <c r="G870" s="26">
        <v>3920998</v>
      </c>
      <c r="H870" s="26">
        <v>39210</v>
      </c>
      <c r="I870" s="26">
        <v>0</v>
      </c>
      <c r="J870" s="26">
        <v>6</v>
      </c>
      <c r="K870" t="inlineStr">
        <is>
          <t>Non</t>
        </is>
      </c>
      <c r="L870">
        <f>SUBTOTAL(103,A870)</f>
        <v>1</v>
      </c>
    </row>
    <row r="871">
      <c r="A871" t="inlineStr">
        <is>
          <t>SOCIETE C1491</t>
        </is>
      </c>
      <c r="B871" t="inlineStr">
        <is>
          <t>C1491</t>
        </is>
      </c>
      <c r="C871" t="inlineStr">
        <is>
          <t>CONSUMER BANKING</t>
        </is>
      </c>
      <c r="D871" t="inlineStr">
        <is>
          <t>IA</t>
        </is>
      </c>
      <c r="E871" t="inlineStr">
        <is>
          <t>Stage 2</t>
        </is>
      </c>
      <c r="F871" t="inlineStr">
        <is>
          <t>N/A</t>
        </is>
      </c>
      <c r="G871" s="26">
        <v>4501655</v>
      </c>
      <c r="H871" s="26">
        <v>270099</v>
      </c>
      <c r="I871" s="26">
        <v>461771</v>
      </c>
      <c r="J871" s="26">
        <v>30</v>
      </c>
      <c r="K871" t="inlineStr">
        <is>
          <t>Non</t>
        </is>
      </c>
      <c r="L871">
        <f>SUBTOTAL(103,A871)</f>
        <v>1</v>
      </c>
    </row>
    <row r="872">
      <c r="A872" t="inlineStr">
        <is>
          <t>SOCIETE C209</t>
        </is>
      </c>
      <c r="B872" t="inlineStr">
        <is>
          <t>C209</t>
        </is>
      </c>
      <c r="C872" t="inlineStr">
        <is>
          <t>CORPORATE BANKING</t>
        </is>
      </c>
      <c r="D872" t="inlineStr">
        <is>
          <t>IA</t>
        </is>
      </c>
      <c r="E872" t="inlineStr">
        <is>
          <t>Stage 2</t>
        </is>
      </c>
      <c r="F872" t="inlineStr">
        <is>
          <t>N/A</t>
        </is>
      </c>
      <c r="G872" s="26">
        <v>242511082</v>
      </c>
      <c r="H872" s="26">
        <v>14550665</v>
      </c>
      <c r="I872" s="26">
        <v>0</v>
      </c>
      <c r="J872" s="26">
        <v>11</v>
      </c>
      <c r="K872" t="inlineStr">
        <is>
          <t>Non</t>
        </is>
      </c>
      <c r="L872">
        <f>SUBTOTAL(103,A872)</f>
        <v>1</v>
      </c>
    </row>
    <row r="873">
      <c r="A873" t="inlineStr">
        <is>
          <t>SOCIETE C954</t>
        </is>
      </c>
      <c r="B873" t="inlineStr">
        <is>
          <t>C954</t>
        </is>
      </c>
      <c r="C873" t="inlineStr">
        <is>
          <t>CORPORATE BANKING</t>
        </is>
      </c>
      <c r="D873" t="inlineStr">
        <is>
          <t>IA</t>
        </is>
      </c>
      <c r="E873" t="inlineStr">
        <is>
          <t>Stage 2</t>
        </is>
      </c>
      <c r="F873" t="inlineStr">
        <is>
          <t>N/A</t>
        </is>
      </c>
      <c r="G873" s="26">
        <v>30663810</v>
      </c>
      <c r="H873" s="26">
        <v>1839829</v>
      </c>
      <c r="I873" s="26">
        <v>1684921</v>
      </c>
      <c r="J873" s="26">
        <v>45</v>
      </c>
      <c r="K873" t="inlineStr">
        <is>
          <t>Non</t>
        </is>
      </c>
      <c r="L873">
        <f>SUBTOTAL(103,A873)</f>
        <v>1</v>
      </c>
    </row>
    <row r="874">
      <c r="A874" t="inlineStr">
        <is>
          <t>SOCIETE C1700</t>
        </is>
      </c>
      <c r="B874" t="inlineStr">
        <is>
          <t>C1700</t>
        </is>
      </c>
      <c r="C874" t="inlineStr">
        <is>
          <t>CORPORATE BANKING</t>
        </is>
      </c>
      <c r="D874" t="inlineStr">
        <is>
          <t>I</t>
        </is>
      </c>
      <c r="E874" t="inlineStr">
        <is>
          <t>Stage 1</t>
        </is>
      </c>
      <c r="F874" t="inlineStr">
        <is>
          <t>N/A</t>
        </is>
      </c>
      <c r="G874" s="26">
        <v>20445305</v>
      </c>
      <c r="H874" s="26">
        <v>204453</v>
      </c>
      <c r="I874" s="26">
        <v>0</v>
      </c>
      <c r="J874" s="26">
        <v>235</v>
      </c>
      <c r="K874" t="inlineStr">
        <is>
          <t>Non</t>
        </is>
      </c>
      <c r="L874">
        <f>SUBTOTAL(103,A874)</f>
        <v>1</v>
      </c>
    </row>
    <row r="875">
      <c r="A875" t="inlineStr">
        <is>
          <t>SOCIETE C2342</t>
        </is>
      </c>
      <c r="B875" t="inlineStr">
        <is>
          <t>C2342</t>
        </is>
      </c>
      <c r="C875" t="inlineStr">
        <is>
          <t>SME</t>
        </is>
      </c>
      <c r="D875" t="inlineStr">
        <is>
          <t>I</t>
        </is>
      </c>
      <c r="E875" t="inlineStr">
        <is>
          <t>Stage 1</t>
        </is>
      </c>
      <c r="F875" t="inlineStr">
        <is>
          <t>N/A</t>
        </is>
      </c>
      <c r="G875" s="26">
        <v>353626589</v>
      </c>
      <c r="H875" s="26">
        <v>3536266</v>
      </c>
      <c r="I875" s="26">
        <v>51565188</v>
      </c>
      <c r="J875" s="26">
        <v>0</v>
      </c>
      <c r="K875" t="inlineStr">
        <is>
          <t>Non</t>
        </is>
      </c>
      <c r="L875">
        <f>SUBTOTAL(103,A875)</f>
        <v>1</v>
      </c>
    </row>
    <row r="876">
      <c r="A876" t="inlineStr">
        <is>
          <t>SOCIETE C2175</t>
        </is>
      </c>
      <c r="B876" t="inlineStr">
        <is>
          <t>C2175</t>
        </is>
      </c>
      <c r="C876" t="inlineStr">
        <is>
          <t>CORPORATE BANKING</t>
        </is>
      </c>
      <c r="D876" t="inlineStr">
        <is>
          <t>IA</t>
        </is>
      </c>
      <c r="E876" t="inlineStr">
        <is>
          <t>Stage 2</t>
        </is>
      </c>
      <c r="F876" t="inlineStr">
        <is>
          <t>N/A</t>
        </is>
      </c>
      <c r="G876" s="26">
        <v>5808147</v>
      </c>
      <c r="H876" s="26">
        <v>348489</v>
      </c>
      <c r="I876" s="26">
        <v>0</v>
      </c>
      <c r="J876" s="26">
        <v>40</v>
      </c>
      <c r="K876" t="inlineStr">
        <is>
          <t>Non</t>
        </is>
      </c>
      <c r="L876">
        <f>SUBTOTAL(103,A876)</f>
        <v>1</v>
      </c>
    </row>
    <row r="877">
      <c r="A877" t="inlineStr">
        <is>
          <t>SOCIETE C497</t>
        </is>
      </c>
      <c r="B877" t="inlineStr">
        <is>
          <t>C497</t>
        </is>
      </c>
      <c r="C877" t="inlineStr">
        <is>
          <t>CONSUMER BANKING</t>
        </is>
      </c>
      <c r="D877" t="inlineStr">
        <is>
          <t>IA</t>
        </is>
      </c>
      <c r="E877" t="inlineStr">
        <is>
          <t>Stage 2</t>
        </is>
      </c>
      <c r="F877" t="inlineStr">
        <is>
          <t>N/A</t>
        </is>
      </c>
      <c r="G877" s="26">
        <v>1382885</v>
      </c>
      <c r="H877" s="26">
        <v>82973</v>
      </c>
      <c r="I877" s="26">
        <v>0</v>
      </c>
      <c r="J877" s="26">
        <v>93</v>
      </c>
      <c r="K877" t="inlineStr">
        <is>
          <t>Non</t>
        </is>
      </c>
      <c r="L877">
        <f>SUBTOTAL(103,A877)</f>
        <v>1</v>
      </c>
    </row>
    <row r="878">
      <c r="A878" t="inlineStr">
        <is>
          <t>SOCIETE C2134</t>
        </is>
      </c>
      <c r="B878" t="inlineStr">
        <is>
          <t>C2134</t>
        </is>
      </c>
      <c r="C878" t="inlineStr">
        <is>
          <t>CORPORATE BANKING</t>
        </is>
      </c>
      <c r="D878" t="inlineStr">
        <is>
          <t>I</t>
        </is>
      </c>
      <c r="E878" t="inlineStr">
        <is>
          <t>Stage 1</t>
        </is>
      </c>
      <c r="F878" t="inlineStr">
        <is>
          <t>N/A</t>
        </is>
      </c>
      <c r="G878" s="26">
        <v>2902944016</v>
      </c>
      <c r="H878" s="26">
        <v>29029440</v>
      </c>
      <c r="I878" s="26">
        <v>0</v>
      </c>
      <c r="J878" s="26">
        <v>113</v>
      </c>
      <c r="K878" t="inlineStr">
        <is>
          <t>Non</t>
        </is>
      </c>
      <c r="L878">
        <f>SUBTOTAL(103,A878)</f>
        <v>1</v>
      </c>
    </row>
    <row r="879">
      <c r="A879" t="inlineStr">
        <is>
          <t>SOCIETE C1316</t>
        </is>
      </c>
      <c r="B879" t="inlineStr">
        <is>
          <t>C1316</t>
        </is>
      </c>
      <c r="C879" t="inlineStr">
        <is>
          <t>CONSUMER BANKING</t>
        </is>
      </c>
      <c r="D879" t="inlineStr">
        <is>
          <t>V</t>
        </is>
      </c>
      <c r="E879" t="inlineStr">
        <is>
          <t>Stage 3</t>
        </is>
      </c>
      <c r="F879" t="inlineStr">
        <is>
          <t>N/A</t>
        </is>
      </c>
      <c r="G879" s="26">
        <v>1973040172</v>
      </c>
      <c r="H879" s="26">
        <v>1085172095</v>
      </c>
      <c r="I879" s="26">
        <v>0</v>
      </c>
      <c r="J879" s="26">
        <v>109</v>
      </c>
      <c r="K879" t="inlineStr">
        <is>
          <t>Oui</t>
        </is>
      </c>
      <c r="L879">
        <f>SUBTOTAL(103,A879)</f>
        <v>1</v>
      </c>
    </row>
    <row r="880">
      <c r="A880" t="inlineStr">
        <is>
          <t>SOCIETE C746</t>
        </is>
      </c>
      <c r="B880" t="inlineStr">
        <is>
          <t>C746</t>
        </is>
      </c>
      <c r="C880" t="inlineStr">
        <is>
          <t>CORPORATE BANKING</t>
        </is>
      </c>
      <c r="D880" t="inlineStr">
        <is>
          <t>I</t>
        </is>
      </c>
      <c r="E880" t="inlineStr">
        <is>
          <t>Stage 1</t>
        </is>
      </c>
      <c r="F880" t="inlineStr">
        <is>
          <t>N/A</t>
        </is>
      </c>
      <c r="G880" s="26">
        <v>355733092</v>
      </c>
      <c r="H880" s="26">
        <v>3557331</v>
      </c>
      <c r="I880" s="26">
        <v>20330458</v>
      </c>
      <c r="J880" s="26">
        <v>112</v>
      </c>
      <c r="K880" t="inlineStr">
        <is>
          <t>Non</t>
        </is>
      </c>
      <c r="L880">
        <f>SUBTOTAL(103,A880)</f>
        <v>1</v>
      </c>
    </row>
    <row r="881">
      <c r="A881" t="inlineStr">
        <is>
          <t>SOCIETE C208</t>
        </is>
      </c>
      <c r="B881" t="inlineStr">
        <is>
          <t>C208</t>
        </is>
      </c>
      <c r="C881" t="inlineStr">
        <is>
          <t>CONSUMER BANKING</t>
        </is>
      </c>
      <c r="D881" t="inlineStr">
        <is>
          <t>I</t>
        </is>
      </c>
      <c r="E881" t="inlineStr">
        <is>
          <t>Stage 1</t>
        </is>
      </c>
      <c r="F881" t="inlineStr">
        <is>
          <t>N/A</t>
        </is>
      </c>
      <c r="G881" s="26">
        <v>1071682</v>
      </c>
      <c r="H881" s="26">
        <v>10717</v>
      </c>
      <c r="I881" s="26">
        <v>0</v>
      </c>
      <c r="J881" s="26">
        <v>209</v>
      </c>
      <c r="K881" t="inlineStr">
        <is>
          <t>Non</t>
        </is>
      </c>
      <c r="L881">
        <f>SUBTOTAL(103,A881)</f>
        <v>1</v>
      </c>
    </row>
    <row r="882">
      <c r="A882" t="inlineStr">
        <is>
          <t>SOCIETE C1316</t>
        </is>
      </c>
      <c r="B882" t="inlineStr">
        <is>
          <t>C1316</t>
        </is>
      </c>
      <c r="C882" t="inlineStr">
        <is>
          <t>COMMERCIAL BANKING</t>
        </is>
      </c>
      <c r="D882" t="inlineStr">
        <is>
          <t>I</t>
        </is>
      </c>
      <c r="E882" t="inlineStr">
        <is>
          <t>Stage 1</t>
        </is>
      </c>
      <c r="F882" t="inlineStr">
        <is>
          <t>N/A</t>
        </is>
      </c>
      <c r="G882" s="26">
        <v>106852897</v>
      </c>
      <c r="H882" s="26">
        <v>1068529</v>
      </c>
      <c r="I882" s="26">
        <v>0</v>
      </c>
      <c r="J882" s="26">
        <v>4</v>
      </c>
      <c r="K882" t="inlineStr">
        <is>
          <t>Non</t>
        </is>
      </c>
      <c r="L882">
        <f>SUBTOTAL(103,A882)</f>
        <v>1</v>
      </c>
    </row>
    <row r="883">
      <c r="A883" t="inlineStr">
        <is>
          <t>SOCIETE C2264</t>
        </is>
      </c>
      <c r="B883" t="inlineStr">
        <is>
          <t>C2264</t>
        </is>
      </c>
      <c r="C883" t="inlineStr">
        <is>
          <t>PUBLIC SECTOR</t>
        </is>
      </c>
      <c r="D883" t="inlineStr">
        <is>
          <t>I</t>
        </is>
      </c>
      <c r="E883" t="inlineStr">
        <is>
          <t>Stage 1</t>
        </is>
      </c>
      <c r="F883" t="inlineStr">
        <is>
          <t>N/A</t>
        </is>
      </c>
      <c r="G883" s="26">
        <v>352723884</v>
      </c>
      <c r="H883" s="26">
        <v>3527239</v>
      </c>
      <c r="I883" s="26">
        <v>0</v>
      </c>
      <c r="J883" s="26">
        <v>153</v>
      </c>
      <c r="K883" t="inlineStr">
        <is>
          <t>Non</t>
        </is>
      </c>
      <c r="L883">
        <f>SUBTOTAL(103,A883)</f>
        <v>1</v>
      </c>
    </row>
    <row r="884">
      <c r="A884" t="inlineStr">
        <is>
          <t>SOCIETE C152</t>
        </is>
      </c>
      <c r="B884" t="inlineStr">
        <is>
          <t>C152</t>
        </is>
      </c>
      <c r="C884" t="inlineStr">
        <is>
          <t>CORPORATE BANKING</t>
        </is>
      </c>
      <c r="D884" t="inlineStr">
        <is>
          <t>II</t>
        </is>
      </c>
      <c r="E884" t="inlineStr">
        <is>
          <t>Stage 2</t>
        </is>
      </c>
      <c r="F884" t="inlineStr">
        <is>
          <t>N/A</t>
        </is>
      </c>
      <c r="G884" s="26">
        <v>2394924933</v>
      </c>
      <c r="H884" s="26">
        <v>143695496</v>
      </c>
      <c r="I884" s="26">
        <v>0</v>
      </c>
      <c r="J884" s="26">
        <v>42</v>
      </c>
      <c r="K884" t="inlineStr">
        <is>
          <t>Non</t>
        </is>
      </c>
      <c r="L884">
        <f>SUBTOTAL(103,A884)</f>
        <v>1</v>
      </c>
    </row>
    <row r="885">
      <c r="A885" t="inlineStr">
        <is>
          <t>SOCIETE C866</t>
        </is>
      </c>
      <c r="B885" t="inlineStr">
        <is>
          <t>C866</t>
        </is>
      </c>
      <c r="C885" t="inlineStr">
        <is>
          <t>COMMERCIAL BANKING</t>
        </is>
      </c>
      <c r="D885" t="inlineStr">
        <is>
          <t>II</t>
        </is>
      </c>
      <c r="E885" t="inlineStr">
        <is>
          <t>Stage 2</t>
        </is>
      </c>
      <c r="F885" t="inlineStr">
        <is>
          <t>N/A</t>
        </is>
      </c>
      <c r="G885" s="26">
        <v>1261540322</v>
      </c>
      <c r="H885" s="26">
        <v>75692419</v>
      </c>
      <c r="I885" s="26">
        <v>36884086</v>
      </c>
      <c r="J885" s="26">
        <v>262</v>
      </c>
      <c r="K885" t="inlineStr">
        <is>
          <t>Non</t>
        </is>
      </c>
      <c r="L885">
        <f>SUBTOTAL(103,A885)</f>
        <v>1</v>
      </c>
    </row>
    <row r="886">
      <c r="A886" t="inlineStr">
        <is>
          <t>SOCIETE C2213</t>
        </is>
      </c>
      <c r="B886" t="inlineStr">
        <is>
          <t>C2213</t>
        </is>
      </c>
      <c r="C886" t="inlineStr">
        <is>
          <t>COMMERCIAL BANKING</t>
        </is>
      </c>
      <c r="D886" t="inlineStr">
        <is>
          <t>IV</t>
        </is>
      </c>
      <c r="E886" t="inlineStr">
        <is>
          <t>Stage 3</t>
        </is>
      </c>
      <c r="F886" t="inlineStr">
        <is>
          <t>N/A</t>
        </is>
      </c>
      <c r="G886" s="26">
        <v>29990654</v>
      </c>
      <c r="H886" s="26">
        <v>16494860</v>
      </c>
      <c r="I886" s="26">
        <v>0</v>
      </c>
      <c r="J886" s="26">
        <v>28</v>
      </c>
      <c r="K886" t="inlineStr">
        <is>
          <t>Oui</t>
        </is>
      </c>
      <c r="L886">
        <f>SUBTOTAL(103,A886)</f>
        <v>1</v>
      </c>
    </row>
    <row r="887">
      <c r="A887" t="inlineStr">
        <is>
          <t>SOCIETE C783</t>
        </is>
      </c>
      <c r="B887" t="inlineStr">
        <is>
          <t>C783</t>
        </is>
      </c>
      <c r="C887" t="inlineStr">
        <is>
          <t>CORPORATE BANKING</t>
        </is>
      </c>
      <c r="D887" t="inlineStr">
        <is>
          <t>I</t>
        </is>
      </c>
      <c r="E887" t="inlineStr">
        <is>
          <t>Stage 1</t>
        </is>
      </c>
      <c r="F887" t="inlineStr">
        <is>
          <t>N/A</t>
        </is>
      </c>
      <c r="G887" s="26">
        <v>1172189</v>
      </c>
      <c r="H887" s="26">
        <v>11722</v>
      </c>
      <c r="I887" s="26">
        <v>0</v>
      </c>
      <c r="J887" s="26">
        <v>18</v>
      </c>
      <c r="K887" t="inlineStr">
        <is>
          <t>Non</t>
        </is>
      </c>
      <c r="L887">
        <f>SUBTOTAL(103,A887)</f>
        <v>1</v>
      </c>
    </row>
    <row r="888">
      <c r="A888" t="inlineStr">
        <is>
          <t>SOCIETE C553</t>
        </is>
      </c>
      <c r="B888" t="inlineStr">
        <is>
          <t>C553</t>
        </is>
      </c>
      <c r="C888" t="inlineStr">
        <is>
          <t>COMMERCIAL BANKING</t>
        </is>
      </c>
      <c r="D888" t="inlineStr">
        <is>
          <t>IV</t>
        </is>
      </c>
      <c r="E888" t="inlineStr">
        <is>
          <t>Stage 3</t>
        </is>
      </c>
      <c r="F888" t="inlineStr">
        <is>
          <t>N/A</t>
        </is>
      </c>
      <c r="G888" s="26">
        <v>171765789</v>
      </c>
      <c r="H888" s="26">
        <v>94471184</v>
      </c>
      <c r="I888" s="26">
        <v>0</v>
      </c>
      <c r="J888" s="26">
        <v>60</v>
      </c>
      <c r="K888" t="inlineStr">
        <is>
          <t>Oui</t>
        </is>
      </c>
      <c r="L888">
        <f>SUBTOTAL(103,A888)</f>
        <v>1</v>
      </c>
    </row>
    <row r="889">
      <c r="A889" t="inlineStr">
        <is>
          <t>SOCIETE C114</t>
        </is>
      </c>
      <c r="B889" t="inlineStr">
        <is>
          <t>C114</t>
        </is>
      </c>
      <c r="C889" t="inlineStr">
        <is>
          <t>INSTITUTIONAL</t>
        </is>
      </c>
      <c r="D889" t="inlineStr">
        <is>
          <t>II</t>
        </is>
      </c>
      <c r="E889" t="inlineStr">
        <is>
          <t>Stage 2</t>
        </is>
      </c>
      <c r="F889" t="inlineStr">
        <is>
          <t>N/A</t>
        </is>
      </c>
      <c r="G889" s="26">
        <v>761954529</v>
      </c>
      <c r="H889" s="26">
        <v>45717272</v>
      </c>
      <c r="I889" s="26">
        <v>119335231</v>
      </c>
      <c r="J889" s="26">
        <v>41</v>
      </c>
      <c r="K889" t="inlineStr">
        <is>
          <t>Non</t>
        </is>
      </c>
      <c r="L889">
        <f>SUBTOTAL(103,A889)</f>
        <v>1</v>
      </c>
    </row>
    <row r="890">
      <c r="A890" t="inlineStr">
        <is>
          <t>SOCIETE C1882</t>
        </is>
      </c>
      <c r="B890" t="inlineStr">
        <is>
          <t>C1882</t>
        </is>
      </c>
      <c r="C890" t="inlineStr">
        <is>
          <t>CONSUMER BANKING</t>
        </is>
      </c>
      <c r="D890" t="inlineStr">
        <is>
          <t>I</t>
        </is>
      </c>
      <c r="E890" t="inlineStr">
        <is>
          <t>Stage 1</t>
        </is>
      </c>
      <c r="F890" t="inlineStr">
        <is>
          <t>N/A</t>
        </is>
      </c>
      <c r="G890" s="26">
        <v>195750719</v>
      </c>
      <c r="H890" s="26">
        <v>1957507</v>
      </c>
      <c r="I890" s="26">
        <v>0</v>
      </c>
      <c r="J890" s="26">
        <v>7</v>
      </c>
      <c r="K890" t="inlineStr">
        <is>
          <t>Non</t>
        </is>
      </c>
      <c r="L890">
        <f>SUBTOTAL(103,A890)</f>
        <v>1</v>
      </c>
    </row>
    <row r="891">
      <c r="A891" t="inlineStr">
        <is>
          <t>SOCIETE C2170</t>
        </is>
      </c>
      <c r="B891" t="inlineStr">
        <is>
          <t>C2170</t>
        </is>
      </c>
      <c r="C891" t="inlineStr">
        <is>
          <t>CORPORATE BANKING</t>
        </is>
      </c>
      <c r="D891" t="inlineStr">
        <is>
          <t>I</t>
        </is>
      </c>
      <c r="E891" t="inlineStr">
        <is>
          <t>Stage 1</t>
        </is>
      </c>
      <c r="F891" t="inlineStr">
        <is>
          <t>N/A</t>
        </is>
      </c>
      <c r="G891" s="26">
        <v>188331860</v>
      </c>
      <c r="H891" s="26">
        <v>1883319</v>
      </c>
      <c r="I891" s="26">
        <v>0</v>
      </c>
      <c r="J891" s="26">
        <v>94</v>
      </c>
      <c r="K891" t="inlineStr">
        <is>
          <t>Non</t>
        </is>
      </c>
      <c r="L891">
        <f>SUBTOTAL(103,A891)</f>
        <v>1</v>
      </c>
    </row>
    <row r="892">
      <c r="A892" t="inlineStr">
        <is>
          <t>SOCIETE C859</t>
        </is>
      </c>
      <c r="B892" t="inlineStr">
        <is>
          <t>C859</t>
        </is>
      </c>
      <c r="C892" t="inlineStr">
        <is>
          <t>CORPORATE BANKING</t>
        </is>
      </c>
      <c r="D892" t="inlineStr">
        <is>
          <t>IA</t>
        </is>
      </c>
      <c r="E892" t="inlineStr">
        <is>
          <t>Stage 2</t>
        </is>
      </c>
      <c r="F892" t="inlineStr">
        <is>
          <t>N/A</t>
        </is>
      </c>
      <c r="G892" s="26">
        <v>78076728</v>
      </c>
      <c r="H892" s="26">
        <v>4684604</v>
      </c>
      <c r="I892" s="26">
        <v>0</v>
      </c>
      <c r="J892" s="26">
        <v>7</v>
      </c>
      <c r="K892" t="inlineStr">
        <is>
          <t>Non</t>
        </is>
      </c>
      <c r="L892">
        <f>SUBTOTAL(103,A892)</f>
        <v>1</v>
      </c>
    </row>
    <row r="893">
      <c r="A893" t="inlineStr">
        <is>
          <t>SOCIETE C1532</t>
        </is>
      </c>
      <c r="B893" t="inlineStr">
        <is>
          <t>C1532</t>
        </is>
      </c>
      <c r="C893" t="inlineStr">
        <is>
          <t>PUBLIC SECTOR</t>
        </is>
      </c>
      <c r="D893" t="inlineStr">
        <is>
          <t>III</t>
        </is>
      </c>
      <c r="E893" t="inlineStr">
        <is>
          <t>Stage 3</t>
        </is>
      </c>
      <c r="F893" t="inlineStr">
        <is>
          <t>N/A</t>
        </is>
      </c>
      <c r="G893" s="26">
        <v>198519480</v>
      </c>
      <c r="H893" s="26">
        <v>109185714</v>
      </c>
      <c r="I893" s="26">
        <v>0</v>
      </c>
      <c r="J893" s="26">
        <v>160</v>
      </c>
      <c r="K893" t="inlineStr">
        <is>
          <t>Oui</t>
        </is>
      </c>
      <c r="L893">
        <f>SUBTOTAL(103,A893)</f>
        <v>1</v>
      </c>
    </row>
    <row r="894">
      <c r="A894" t="inlineStr">
        <is>
          <t>SOCIETE C2267</t>
        </is>
      </c>
      <c r="B894" t="inlineStr">
        <is>
          <t>C2267</t>
        </is>
      </c>
      <c r="C894" t="inlineStr">
        <is>
          <t>COMMERCIAL BANKING</t>
        </is>
      </c>
      <c r="D894" t="inlineStr">
        <is>
          <t>IV</t>
        </is>
      </c>
      <c r="E894" t="inlineStr">
        <is>
          <t>Stage 3</t>
        </is>
      </c>
      <c r="F894" t="inlineStr">
        <is>
          <t>N/A</t>
        </is>
      </c>
      <c r="G894" s="26">
        <v>2878638</v>
      </c>
      <c r="H894" s="26">
        <v>1583251</v>
      </c>
      <c r="I894" s="26">
        <v>96193</v>
      </c>
      <c r="J894" s="26">
        <v>48</v>
      </c>
      <c r="K894" t="inlineStr">
        <is>
          <t>Oui</t>
        </is>
      </c>
      <c r="L894">
        <f>SUBTOTAL(103,A894)</f>
        <v>1</v>
      </c>
    </row>
    <row r="895">
      <c r="A895" t="inlineStr">
        <is>
          <t>SOCIETE C1427</t>
        </is>
      </c>
      <c r="B895" t="inlineStr">
        <is>
          <t>C1427</t>
        </is>
      </c>
      <c r="C895" t="inlineStr">
        <is>
          <t>CORPORATE BANKING</t>
        </is>
      </c>
      <c r="D895" t="inlineStr">
        <is>
          <t>IA</t>
        </is>
      </c>
      <c r="E895" t="inlineStr">
        <is>
          <t>Stage 2</t>
        </is>
      </c>
      <c r="F895" t="inlineStr">
        <is>
          <t>N/A</t>
        </is>
      </c>
      <c r="G895" s="26">
        <v>2246758315</v>
      </c>
      <c r="H895" s="26">
        <v>134805499</v>
      </c>
      <c r="I895" s="26">
        <v>71321386</v>
      </c>
      <c r="J895" s="26">
        <v>158</v>
      </c>
      <c r="K895" t="inlineStr">
        <is>
          <t>Non</t>
        </is>
      </c>
      <c r="L895">
        <f>SUBTOTAL(103,A895)</f>
        <v>1</v>
      </c>
    </row>
    <row r="896">
      <c r="A896" t="inlineStr">
        <is>
          <t>SOCIETE C28</t>
        </is>
      </c>
      <c r="B896" t="inlineStr">
        <is>
          <t>C28</t>
        </is>
      </c>
      <c r="C896" t="inlineStr">
        <is>
          <t>COMMERCIAL BANKING</t>
        </is>
      </c>
      <c r="D896" t="inlineStr">
        <is>
          <t>III</t>
        </is>
      </c>
      <c r="E896" t="inlineStr">
        <is>
          <t>Stage 3</t>
        </is>
      </c>
      <c r="F896" t="inlineStr">
        <is>
          <t>N/A</t>
        </is>
      </c>
      <c r="G896" s="26">
        <v>224785583</v>
      </c>
      <c r="H896" s="26">
        <v>123632071</v>
      </c>
      <c r="I896" s="26">
        <v>20552092</v>
      </c>
      <c r="J896" s="26">
        <v>107</v>
      </c>
      <c r="K896" t="inlineStr">
        <is>
          <t>Oui</t>
        </is>
      </c>
      <c r="L896">
        <f>SUBTOTAL(103,A896)</f>
        <v>1</v>
      </c>
    </row>
    <row r="897">
      <c r="A897" t="inlineStr">
        <is>
          <t>SOCIETE C1232</t>
        </is>
      </c>
      <c r="B897" t="inlineStr">
        <is>
          <t>C1232</t>
        </is>
      </c>
      <c r="C897" t="inlineStr">
        <is>
          <t>CORPORATE BANKING</t>
        </is>
      </c>
      <c r="D897" t="inlineStr">
        <is>
          <t>III</t>
        </is>
      </c>
      <c r="E897" t="inlineStr">
        <is>
          <t>Stage 3</t>
        </is>
      </c>
      <c r="F897" t="inlineStr">
        <is>
          <t>N/A</t>
        </is>
      </c>
      <c r="G897" s="26">
        <v>2640885</v>
      </c>
      <c r="H897" s="26">
        <v>1452487</v>
      </c>
      <c r="I897" s="26">
        <v>362007</v>
      </c>
      <c r="J897" s="26">
        <v>126</v>
      </c>
      <c r="K897" t="inlineStr">
        <is>
          <t>Oui</t>
        </is>
      </c>
      <c r="L897">
        <f>SUBTOTAL(103,A897)</f>
        <v>1</v>
      </c>
    </row>
    <row r="898">
      <c r="A898" t="inlineStr">
        <is>
          <t>SOCIETE C597</t>
        </is>
      </c>
      <c r="B898" t="inlineStr">
        <is>
          <t>C597</t>
        </is>
      </c>
      <c r="C898" t="inlineStr">
        <is>
          <t>COMMERCIAL BANKING</t>
        </is>
      </c>
      <c r="D898" t="inlineStr">
        <is>
          <t>IV</t>
        </is>
      </c>
      <c r="E898" t="inlineStr">
        <is>
          <t>Stage 3</t>
        </is>
      </c>
      <c r="F898" t="inlineStr">
        <is>
          <t>N/A</t>
        </is>
      </c>
      <c r="G898" s="26">
        <v>280942775</v>
      </c>
      <c r="H898" s="26">
        <v>154518526</v>
      </c>
      <c r="I898" s="26">
        <v>174200</v>
      </c>
      <c r="J898" s="26">
        <v>8</v>
      </c>
      <c r="K898" t="inlineStr">
        <is>
          <t>Oui</t>
        </is>
      </c>
      <c r="L898">
        <f>SUBTOTAL(103,A898)</f>
        <v>1</v>
      </c>
    </row>
    <row r="899">
      <c r="A899" t="inlineStr">
        <is>
          <t>SOCIETE C1106</t>
        </is>
      </c>
      <c r="B899" t="inlineStr">
        <is>
          <t>C1106</t>
        </is>
      </c>
      <c r="C899" t="inlineStr">
        <is>
          <t>CORPORATE BANKING</t>
        </is>
      </c>
      <c r="D899" t="inlineStr">
        <is>
          <t>IA</t>
        </is>
      </c>
      <c r="E899" t="inlineStr">
        <is>
          <t>Stage 2</t>
        </is>
      </c>
      <c r="F899" t="inlineStr">
        <is>
          <t>N/A</t>
        </is>
      </c>
      <c r="G899" s="26">
        <v>1612100</v>
      </c>
      <c r="H899" s="26">
        <v>96726</v>
      </c>
      <c r="I899" s="26">
        <v>117959</v>
      </c>
      <c r="J899" s="26">
        <v>295</v>
      </c>
      <c r="K899" t="inlineStr">
        <is>
          <t>Non</t>
        </is>
      </c>
      <c r="L899">
        <f>SUBTOTAL(103,A899)</f>
        <v>1</v>
      </c>
    </row>
    <row r="900">
      <c r="A900" t="inlineStr">
        <is>
          <t>SOCIETE C1098</t>
        </is>
      </c>
      <c r="B900" t="inlineStr">
        <is>
          <t>C1098</t>
        </is>
      </c>
      <c r="C900" t="inlineStr">
        <is>
          <t>CORPORATE BANKING</t>
        </is>
      </c>
      <c r="D900" t="inlineStr">
        <is>
          <t>V</t>
        </is>
      </c>
      <c r="E900" t="inlineStr">
        <is>
          <t>Stage 3</t>
        </is>
      </c>
      <c r="F900" t="inlineStr">
        <is>
          <t>N/A</t>
        </is>
      </c>
      <c r="G900" s="26">
        <v>2174209653</v>
      </c>
      <c r="H900" s="26">
        <v>1195815309</v>
      </c>
      <c r="I900" s="26">
        <v>16543075</v>
      </c>
      <c r="J900" s="26">
        <v>115</v>
      </c>
      <c r="K900" t="inlineStr">
        <is>
          <t>Oui</t>
        </is>
      </c>
      <c r="L900">
        <f>SUBTOTAL(103,A900)</f>
        <v>1</v>
      </c>
    </row>
    <row r="901">
      <c r="A901" t="inlineStr">
        <is>
          <t>SOCIETE C2039</t>
        </is>
      </c>
      <c r="B901" t="inlineStr">
        <is>
          <t>C2039</t>
        </is>
      </c>
      <c r="C901" t="inlineStr">
        <is>
          <t>PUBLIC SECTOR</t>
        </is>
      </c>
      <c r="D901" t="inlineStr">
        <is>
          <t>I</t>
        </is>
      </c>
      <c r="E901" t="inlineStr">
        <is>
          <t>Stage 1</t>
        </is>
      </c>
      <c r="F901" t="inlineStr">
        <is>
          <t>N/A</t>
        </is>
      </c>
      <c r="G901" s="26">
        <v>16202248</v>
      </c>
      <c r="H901" s="26">
        <v>162022</v>
      </c>
      <c r="I901" s="26">
        <v>1598967</v>
      </c>
      <c r="J901" s="26">
        <v>42</v>
      </c>
      <c r="K901" t="inlineStr">
        <is>
          <t>Non</t>
        </is>
      </c>
      <c r="L901">
        <f>SUBTOTAL(103,A901)</f>
        <v>1</v>
      </c>
    </row>
    <row r="902">
      <c r="A902" t="inlineStr">
        <is>
          <t>SOCIETE C554</t>
        </is>
      </c>
      <c r="B902" t="inlineStr">
        <is>
          <t>C554</t>
        </is>
      </c>
      <c r="C902" t="inlineStr">
        <is>
          <t>CORPORATE BANKING</t>
        </is>
      </c>
      <c r="D902" t="inlineStr">
        <is>
          <t>II</t>
        </is>
      </c>
      <c r="E902" t="inlineStr">
        <is>
          <t>Stage 2</t>
        </is>
      </c>
      <c r="F902" t="inlineStr">
        <is>
          <t>N/A</t>
        </is>
      </c>
      <c r="G902" s="26">
        <v>140185374</v>
      </c>
      <c r="H902" s="26">
        <v>8411122</v>
      </c>
      <c r="I902" s="26">
        <v>0</v>
      </c>
      <c r="J902" s="26">
        <v>215</v>
      </c>
      <c r="K902" t="inlineStr">
        <is>
          <t>Non</t>
        </is>
      </c>
      <c r="L902">
        <f>SUBTOTAL(103,A902)</f>
        <v>1</v>
      </c>
    </row>
    <row r="903">
      <c r="A903" t="inlineStr">
        <is>
          <t>SOCIETE C814</t>
        </is>
      </c>
      <c r="B903" t="inlineStr">
        <is>
          <t>C814</t>
        </is>
      </c>
      <c r="C903" t="inlineStr">
        <is>
          <t>COMMERCIAL BANKING</t>
        </is>
      </c>
      <c r="D903" t="inlineStr">
        <is>
          <t>I</t>
        </is>
      </c>
      <c r="E903" t="inlineStr">
        <is>
          <t>Stage 1</t>
        </is>
      </c>
      <c r="F903" t="inlineStr">
        <is>
          <t>N/A</t>
        </is>
      </c>
      <c r="G903" s="26">
        <v>93504534</v>
      </c>
      <c r="H903" s="26">
        <v>935045</v>
      </c>
      <c r="I903" s="26">
        <v>0</v>
      </c>
      <c r="J903" s="26">
        <v>79</v>
      </c>
      <c r="K903" t="inlineStr">
        <is>
          <t>Non</t>
        </is>
      </c>
      <c r="L903">
        <f>SUBTOTAL(103,A903)</f>
        <v>1</v>
      </c>
    </row>
    <row r="904">
      <c r="A904" t="inlineStr">
        <is>
          <t>SOCIETE C2095</t>
        </is>
      </c>
      <c r="B904" t="inlineStr">
        <is>
          <t>C2095</t>
        </is>
      </c>
      <c r="C904" t="inlineStr">
        <is>
          <t>CORPORATE BANKING</t>
        </is>
      </c>
      <c r="D904" t="inlineStr">
        <is>
          <t>IV</t>
        </is>
      </c>
      <c r="E904" t="inlineStr">
        <is>
          <t>Stage 3</t>
        </is>
      </c>
      <c r="F904" t="inlineStr">
        <is>
          <t>N/A</t>
        </is>
      </c>
      <c r="G904" s="26">
        <v>1562929781</v>
      </c>
      <c r="H904" s="26">
        <v>859611380</v>
      </c>
      <c r="I904" s="26">
        <v>0</v>
      </c>
      <c r="J904" s="26">
        <v>16</v>
      </c>
      <c r="K904" t="inlineStr">
        <is>
          <t>Oui</t>
        </is>
      </c>
      <c r="L904">
        <f>SUBTOTAL(103,A904)</f>
        <v>1</v>
      </c>
    </row>
    <row r="905">
      <c r="A905" t="inlineStr">
        <is>
          <t>SOCIETE C1899</t>
        </is>
      </c>
      <c r="B905" t="inlineStr">
        <is>
          <t>C1899</t>
        </is>
      </c>
      <c r="C905" t="inlineStr">
        <is>
          <t>COMMERCIAL BANKING</t>
        </is>
      </c>
      <c r="D905" t="inlineStr">
        <is>
          <t>I</t>
        </is>
      </c>
      <c r="E905" t="inlineStr">
        <is>
          <t>Stage 1</t>
        </is>
      </c>
      <c r="F905" t="inlineStr">
        <is>
          <t>N/A</t>
        </is>
      </c>
      <c r="G905" s="26">
        <v>1261063689</v>
      </c>
      <c r="H905" s="26">
        <v>12610637</v>
      </c>
      <c r="I905" s="26">
        <v>115445953</v>
      </c>
      <c r="J905" s="26">
        <v>8</v>
      </c>
      <c r="K905" t="inlineStr">
        <is>
          <t>Non</t>
        </is>
      </c>
      <c r="L905">
        <f>SUBTOTAL(103,A905)</f>
        <v>1</v>
      </c>
    </row>
    <row r="906">
      <c r="A906" t="inlineStr">
        <is>
          <t>SOCIETE C404</t>
        </is>
      </c>
      <c r="B906" t="inlineStr">
        <is>
          <t>C404</t>
        </is>
      </c>
      <c r="C906" t="inlineStr">
        <is>
          <t>PUBLIC SECTOR</t>
        </is>
      </c>
      <c r="D906" t="inlineStr">
        <is>
          <t>I</t>
        </is>
      </c>
      <c r="E906" t="inlineStr">
        <is>
          <t>Stage 1</t>
        </is>
      </c>
      <c r="F906" t="inlineStr">
        <is>
          <t>N/A</t>
        </is>
      </c>
      <c r="G906" s="26">
        <v>11030257</v>
      </c>
      <c r="H906" s="26">
        <v>110303</v>
      </c>
      <c r="I906" s="26">
        <v>0</v>
      </c>
      <c r="J906" s="26">
        <v>196</v>
      </c>
      <c r="K906" t="inlineStr">
        <is>
          <t>Non</t>
        </is>
      </c>
      <c r="L906">
        <f>SUBTOTAL(103,A906)</f>
        <v>1</v>
      </c>
    </row>
    <row r="907">
      <c r="A907" t="inlineStr">
        <is>
          <t>SOCIETE C1188</t>
        </is>
      </c>
      <c r="B907" t="inlineStr">
        <is>
          <t>C1188</t>
        </is>
      </c>
      <c r="C907" t="inlineStr">
        <is>
          <t>CORPORATE BANKING</t>
        </is>
      </c>
      <c r="D907" t="inlineStr">
        <is>
          <t>I</t>
        </is>
      </c>
      <c r="E907" t="inlineStr">
        <is>
          <t>Stage 1</t>
        </is>
      </c>
      <c r="F907" t="inlineStr">
        <is>
          <t>N/A</t>
        </is>
      </c>
      <c r="G907" s="26">
        <v>1633142660</v>
      </c>
      <c r="H907" s="26">
        <v>16331427</v>
      </c>
      <c r="I907" s="26">
        <v>0</v>
      </c>
      <c r="J907" s="26">
        <v>166</v>
      </c>
      <c r="K907" t="inlineStr">
        <is>
          <t>Non</t>
        </is>
      </c>
      <c r="L907">
        <f>SUBTOTAL(103,A907)</f>
        <v>1</v>
      </c>
    </row>
    <row r="908">
      <c r="A908" t="inlineStr">
        <is>
          <t>SOCIETE C760</t>
        </is>
      </c>
      <c r="B908" t="inlineStr">
        <is>
          <t>C760</t>
        </is>
      </c>
      <c r="C908" t="inlineStr">
        <is>
          <t>COMMERCIAL BANKING</t>
        </is>
      </c>
      <c r="D908" t="inlineStr">
        <is>
          <t>I</t>
        </is>
      </c>
      <c r="E908" t="inlineStr">
        <is>
          <t>Stage 1</t>
        </is>
      </c>
      <c r="F908" t="inlineStr">
        <is>
          <t>N/A</t>
        </is>
      </c>
      <c r="G908" s="26">
        <v>875129290</v>
      </c>
      <c r="H908" s="26">
        <v>8751293</v>
      </c>
      <c r="I908" s="26">
        <v>0</v>
      </c>
      <c r="J908" s="26">
        <v>14</v>
      </c>
      <c r="K908" t="inlineStr">
        <is>
          <t>Non</t>
        </is>
      </c>
      <c r="L908">
        <f>SUBTOTAL(103,A908)</f>
        <v>1</v>
      </c>
    </row>
    <row r="909">
      <c r="A909" t="inlineStr">
        <is>
          <t>SOCIETE C1064</t>
        </is>
      </c>
      <c r="B909" t="inlineStr">
        <is>
          <t>C1064</t>
        </is>
      </c>
      <c r="C909" t="inlineStr">
        <is>
          <t>CORPORATE BANKING</t>
        </is>
      </c>
      <c r="D909" t="inlineStr">
        <is>
          <t>V</t>
        </is>
      </c>
      <c r="E909" t="inlineStr">
        <is>
          <t>Stage 3</t>
        </is>
      </c>
      <c r="F909" t="inlineStr">
        <is>
          <t>N/A</t>
        </is>
      </c>
      <c r="G909" s="26">
        <v>41819881</v>
      </c>
      <c r="H909" s="26">
        <v>23000935</v>
      </c>
      <c r="I909" s="26">
        <v>4444765</v>
      </c>
      <c r="J909" s="26">
        <v>93</v>
      </c>
      <c r="K909" t="inlineStr">
        <is>
          <t>Oui</t>
        </is>
      </c>
      <c r="L909">
        <f>SUBTOTAL(103,A909)</f>
        <v>1</v>
      </c>
    </row>
    <row r="910">
      <c r="A910" t="inlineStr">
        <is>
          <t>SOCIETE C1165</t>
        </is>
      </c>
      <c r="B910" t="inlineStr">
        <is>
          <t>C1165</t>
        </is>
      </c>
      <c r="C910" t="inlineStr">
        <is>
          <t>CONSUMER BANKING</t>
        </is>
      </c>
      <c r="D910" t="inlineStr">
        <is>
          <t>V</t>
        </is>
      </c>
      <c r="E910" t="inlineStr">
        <is>
          <t>Stage 3</t>
        </is>
      </c>
      <c r="F910" t="inlineStr">
        <is>
          <t>N/A</t>
        </is>
      </c>
      <c r="G910" s="26">
        <v>194689896</v>
      </c>
      <c r="H910" s="26">
        <v>107079443</v>
      </c>
      <c r="I910" s="26">
        <v>0</v>
      </c>
      <c r="J910" s="26">
        <v>10</v>
      </c>
      <c r="K910" t="inlineStr">
        <is>
          <t>Oui</t>
        </is>
      </c>
      <c r="L910">
        <f>SUBTOTAL(103,A910)</f>
        <v>1</v>
      </c>
    </row>
    <row r="911">
      <c r="A911" t="inlineStr">
        <is>
          <t>SOCIETE C1910</t>
        </is>
      </c>
      <c r="B911" t="inlineStr">
        <is>
          <t>C1910</t>
        </is>
      </c>
      <c r="C911" t="inlineStr">
        <is>
          <t>CORPORATE BANKING</t>
        </is>
      </c>
      <c r="D911" t="inlineStr">
        <is>
          <t>I</t>
        </is>
      </c>
      <c r="E911" t="inlineStr">
        <is>
          <t>Stage 1</t>
        </is>
      </c>
      <c r="F911" t="inlineStr">
        <is>
          <t>N/A</t>
        </is>
      </c>
      <c r="G911" s="26">
        <v>2132720303</v>
      </c>
      <c r="H911" s="26">
        <v>21327203</v>
      </c>
      <c r="I911" s="26">
        <v>0</v>
      </c>
      <c r="J911" s="26">
        <v>68</v>
      </c>
      <c r="K911" t="inlineStr">
        <is>
          <t>Non</t>
        </is>
      </c>
      <c r="L911">
        <f>SUBTOTAL(103,A911)</f>
        <v>1</v>
      </c>
    </row>
    <row r="912">
      <c r="A912" t="inlineStr">
        <is>
          <t>SOCIETE C1598</t>
        </is>
      </c>
      <c r="B912" t="inlineStr">
        <is>
          <t>C1598</t>
        </is>
      </c>
      <c r="C912" t="inlineStr">
        <is>
          <t>SME</t>
        </is>
      </c>
      <c r="D912" t="inlineStr">
        <is>
          <t>I</t>
        </is>
      </c>
      <c r="E912" t="inlineStr">
        <is>
          <t>Stage 1</t>
        </is>
      </c>
      <c r="F912" t="inlineStr">
        <is>
          <t>N/A</t>
        </is>
      </c>
      <c r="G912" s="26">
        <v>2566359871</v>
      </c>
      <c r="H912" s="26">
        <v>25663599</v>
      </c>
      <c r="I912" s="26">
        <v>0</v>
      </c>
      <c r="J912" s="26">
        <v>154</v>
      </c>
      <c r="K912" t="inlineStr">
        <is>
          <t>Non</t>
        </is>
      </c>
      <c r="L912">
        <f>SUBTOTAL(103,A912)</f>
        <v>1</v>
      </c>
    </row>
    <row r="913">
      <c r="A913" t="inlineStr">
        <is>
          <t>SOCIETE C525</t>
        </is>
      </c>
      <c r="B913" t="inlineStr">
        <is>
          <t>C525</t>
        </is>
      </c>
      <c r="C913" t="inlineStr">
        <is>
          <t>CORPORATE BANKING</t>
        </is>
      </c>
      <c r="D913" t="inlineStr">
        <is>
          <t>I</t>
        </is>
      </c>
      <c r="E913" t="inlineStr">
        <is>
          <t>Stage 1</t>
        </is>
      </c>
      <c r="F913" t="inlineStr">
        <is>
          <t>N/A</t>
        </is>
      </c>
      <c r="G913" s="26">
        <v>55056292</v>
      </c>
      <c r="H913" s="26">
        <v>550563</v>
      </c>
      <c r="I913" s="26">
        <v>0</v>
      </c>
      <c r="J913" s="26">
        <v>132</v>
      </c>
      <c r="K913" t="inlineStr">
        <is>
          <t>Non</t>
        </is>
      </c>
      <c r="L913">
        <f>SUBTOTAL(103,A913)</f>
        <v>1</v>
      </c>
    </row>
    <row r="914">
      <c r="A914" t="inlineStr">
        <is>
          <t>SOCIETE C1667</t>
        </is>
      </c>
      <c r="B914" t="inlineStr">
        <is>
          <t>C1667</t>
        </is>
      </c>
      <c r="C914" t="inlineStr">
        <is>
          <t>CONSUMER BANKING</t>
        </is>
      </c>
      <c r="D914" t="inlineStr">
        <is>
          <t>IA</t>
        </is>
      </c>
      <c r="E914" t="inlineStr">
        <is>
          <t>Stage 2</t>
        </is>
      </c>
      <c r="F914" t="inlineStr">
        <is>
          <t>N/A</t>
        </is>
      </c>
      <c r="G914" s="26">
        <v>1287954301</v>
      </c>
      <c r="H914" s="26">
        <v>77277258</v>
      </c>
      <c r="I914" s="26">
        <v>0</v>
      </c>
      <c r="J914" s="26">
        <v>268</v>
      </c>
      <c r="K914" t="inlineStr">
        <is>
          <t>Non</t>
        </is>
      </c>
      <c r="L914">
        <f>SUBTOTAL(103,A914)</f>
        <v>1</v>
      </c>
    </row>
    <row r="915">
      <c r="A915" t="inlineStr">
        <is>
          <t>SOCIETE C1784</t>
        </is>
      </c>
      <c r="B915" t="inlineStr">
        <is>
          <t>C1784</t>
        </is>
      </c>
      <c r="C915" t="inlineStr">
        <is>
          <t>CORPORATE BANKING</t>
        </is>
      </c>
      <c r="D915" t="inlineStr">
        <is>
          <t>III</t>
        </is>
      </c>
      <c r="E915" t="inlineStr">
        <is>
          <t>Stage 3</t>
        </is>
      </c>
      <c r="F915" t="inlineStr">
        <is>
          <t>N/A</t>
        </is>
      </c>
      <c r="G915" s="26">
        <v>2046889979</v>
      </c>
      <c r="H915" s="26">
        <v>1125789489</v>
      </c>
      <c r="I915" s="26">
        <v>0</v>
      </c>
      <c r="J915" s="26">
        <v>1</v>
      </c>
      <c r="K915" t="inlineStr">
        <is>
          <t>Oui</t>
        </is>
      </c>
      <c r="L915">
        <f>SUBTOTAL(103,A915)</f>
        <v>1</v>
      </c>
    </row>
    <row r="916">
      <c r="A916" t="inlineStr">
        <is>
          <t>SOCIETE C1510</t>
        </is>
      </c>
      <c r="B916" t="inlineStr">
        <is>
          <t>C1510</t>
        </is>
      </c>
      <c r="C916" t="inlineStr">
        <is>
          <t>COMMERCIAL BANKING</t>
        </is>
      </c>
      <c r="D916" t="inlineStr">
        <is>
          <t>IA</t>
        </is>
      </c>
      <c r="E916" t="inlineStr">
        <is>
          <t>Stage 2</t>
        </is>
      </c>
      <c r="F916" t="inlineStr">
        <is>
          <t>N/A</t>
        </is>
      </c>
      <c r="G916" s="26">
        <v>2942800039</v>
      </c>
      <c r="H916" s="26">
        <v>176568002</v>
      </c>
      <c r="I916" s="26">
        <v>271942310</v>
      </c>
      <c r="J916" s="26">
        <v>29</v>
      </c>
      <c r="K916" t="inlineStr">
        <is>
          <t>Non</t>
        </is>
      </c>
      <c r="L916">
        <f>SUBTOTAL(103,A916)</f>
        <v>1</v>
      </c>
    </row>
    <row r="917">
      <c r="A917" t="inlineStr">
        <is>
          <t>SOCIETE C2312</t>
        </is>
      </c>
      <c r="B917" t="inlineStr">
        <is>
          <t>C2312</t>
        </is>
      </c>
      <c r="C917" t="inlineStr">
        <is>
          <t>CORPORATE BANKING</t>
        </is>
      </c>
      <c r="D917" t="inlineStr">
        <is>
          <t>I</t>
        </is>
      </c>
      <c r="E917" t="inlineStr">
        <is>
          <t>Stage 1</t>
        </is>
      </c>
      <c r="F917" t="inlineStr">
        <is>
          <t>N/A</t>
        </is>
      </c>
      <c r="G917" s="26">
        <v>2360933063</v>
      </c>
      <c r="H917" s="26">
        <v>23609331</v>
      </c>
      <c r="I917" s="26">
        <v>0</v>
      </c>
      <c r="J917" s="26">
        <v>25</v>
      </c>
      <c r="K917" t="inlineStr">
        <is>
          <t>Non</t>
        </is>
      </c>
      <c r="L917">
        <f>SUBTOTAL(103,A917)</f>
        <v>1</v>
      </c>
    </row>
    <row r="918">
      <c r="A918" t="inlineStr">
        <is>
          <t>SOCIETE C58</t>
        </is>
      </c>
      <c r="B918" t="inlineStr">
        <is>
          <t>C58</t>
        </is>
      </c>
      <c r="C918" t="inlineStr">
        <is>
          <t>CORPORATE BANKING</t>
        </is>
      </c>
      <c r="D918" t="inlineStr">
        <is>
          <t>I</t>
        </is>
      </c>
      <c r="E918" t="inlineStr">
        <is>
          <t>Stage 1</t>
        </is>
      </c>
      <c r="F918" t="inlineStr">
        <is>
          <t>N/A</t>
        </is>
      </c>
      <c r="G918" s="26">
        <v>821141579</v>
      </c>
      <c r="H918" s="26">
        <v>8211416</v>
      </c>
      <c r="I918" s="26">
        <v>0</v>
      </c>
      <c r="J918" s="26">
        <v>91</v>
      </c>
      <c r="K918" t="inlineStr">
        <is>
          <t>Non</t>
        </is>
      </c>
      <c r="L918">
        <f>SUBTOTAL(103,A918)</f>
        <v>1</v>
      </c>
    </row>
    <row r="919">
      <c r="A919" t="inlineStr">
        <is>
          <t>SOCIETE C1225</t>
        </is>
      </c>
      <c r="B919" t="inlineStr">
        <is>
          <t>C1225</t>
        </is>
      </c>
      <c r="C919" t="inlineStr">
        <is>
          <t>PUBLIC SECTOR</t>
        </is>
      </c>
      <c r="D919" t="inlineStr">
        <is>
          <t>I</t>
        </is>
      </c>
      <c r="E919" t="inlineStr">
        <is>
          <t>Stage 1</t>
        </is>
      </c>
      <c r="F919" t="inlineStr">
        <is>
          <t>N/A</t>
        </is>
      </c>
      <c r="G919" s="26">
        <v>1667286006</v>
      </c>
      <c r="H919" s="26">
        <v>16672860</v>
      </c>
      <c r="I919" s="26">
        <v>0</v>
      </c>
      <c r="J919" s="26">
        <v>143</v>
      </c>
      <c r="K919" t="inlineStr">
        <is>
          <t>Non</t>
        </is>
      </c>
      <c r="L919">
        <f>SUBTOTAL(103,A919)</f>
        <v>1</v>
      </c>
    </row>
    <row r="920">
      <c r="A920" t="inlineStr">
        <is>
          <t>SOCIETE C550</t>
        </is>
      </c>
      <c r="B920" t="inlineStr">
        <is>
          <t>C550</t>
        </is>
      </c>
      <c r="C920" t="inlineStr">
        <is>
          <t>CORPORATE BANKING</t>
        </is>
      </c>
      <c r="D920" t="inlineStr">
        <is>
          <t>I</t>
        </is>
      </c>
      <c r="E920" t="inlineStr">
        <is>
          <t>Stage 1</t>
        </is>
      </c>
      <c r="F920" t="inlineStr">
        <is>
          <t>N/A</t>
        </is>
      </c>
      <c r="G920" s="26">
        <v>32292248</v>
      </c>
      <c r="H920" s="26">
        <v>322922</v>
      </c>
      <c r="I920" s="26">
        <v>0</v>
      </c>
      <c r="J920" s="26">
        <v>37</v>
      </c>
      <c r="K920" t="inlineStr">
        <is>
          <t>Non</t>
        </is>
      </c>
      <c r="L920">
        <f>SUBTOTAL(103,A920)</f>
        <v>1</v>
      </c>
    </row>
    <row r="921">
      <c r="A921" t="inlineStr">
        <is>
          <t>SOCIETE C949</t>
        </is>
      </c>
      <c r="B921" t="inlineStr">
        <is>
          <t>C949</t>
        </is>
      </c>
      <c r="C921" t="inlineStr">
        <is>
          <t>CORPORATE BANKING</t>
        </is>
      </c>
      <c r="D921" t="inlineStr">
        <is>
          <t>III</t>
        </is>
      </c>
      <c r="E921" t="inlineStr">
        <is>
          <t>Stage 3</t>
        </is>
      </c>
      <c r="F921" t="inlineStr">
        <is>
          <t>N/A</t>
        </is>
      </c>
      <c r="G921" s="26">
        <v>2636901</v>
      </c>
      <c r="H921" s="26">
        <v>1450296</v>
      </c>
      <c r="I921" s="26">
        <v>287880</v>
      </c>
      <c r="J921" s="26">
        <v>131</v>
      </c>
      <c r="K921" t="inlineStr">
        <is>
          <t>Oui</t>
        </is>
      </c>
      <c r="L921">
        <f>SUBTOTAL(103,A921)</f>
        <v>1</v>
      </c>
    </row>
    <row r="922">
      <c r="A922" t="inlineStr">
        <is>
          <t>SOCIETE C436</t>
        </is>
      </c>
      <c r="B922" t="inlineStr">
        <is>
          <t>C436</t>
        </is>
      </c>
      <c r="C922" t="inlineStr">
        <is>
          <t>COMMERCIAL BANKING</t>
        </is>
      </c>
      <c r="D922" t="inlineStr">
        <is>
          <t>I</t>
        </is>
      </c>
      <c r="E922" t="inlineStr">
        <is>
          <t>Stage 1</t>
        </is>
      </c>
      <c r="F922" t="inlineStr">
        <is>
          <t>N/A</t>
        </is>
      </c>
      <c r="G922" s="26">
        <v>472985279</v>
      </c>
      <c r="H922" s="26">
        <v>4729853</v>
      </c>
      <c r="I922" s="26">
        <v>11387381</v>
      </c>
      <c r="J922" s="26">
        <v>26</v>
      </c>
      <c r="K922" t="inlineStr">
        <is>
          <t>Non</t>
        </is>
      </c>
      <c r="L922">
        <f>SUBTOTAL(103,A922)</f>
        <v>1</v>
      </c>
    </row>
    <row r="923">
      <c r="A923" t="inlineStr">
        <is>
          <t>SOCIETE C1415</t>
        </is>
      </c>
      <c r="B923" t="inlineStr">
        <is>
          <t>C1415</t>
        </is>
      </c>
      <c r="C923" t="inlineStr">
        <is>
          <t>CONSUMER BANKING</t>
        </is>
      </c>
      <c r="D923" t="inlineStr">
        <is>
          <t>IA</t>
        </is>
      </c>
      <c r="E923" t="inlineStr">
        <is>
          <t>Stage 2</t>
        </is>
      </c>
      <c r="F923" t="inlineStr">
        <is>
          <t>N/A</t>
        </is>
      </c>
      <c r="G923" s="26">
        <v>2928532420</v>
      </c>
      <c r="H923" s="26">
        <v>175711945</v>
      </c>
      <c r="I923" s="26">
        <v>0</v>
      </c>
      <c r="J923" s="26">
        <v>55</v>
      </c>
      <c r="K923" t="inlineStr">
        <is>
          <t>Non</t>
        </is>
      </c>
      <c r="L923">
        <f>SUBTOTAL(103,A923)</f>
        <v>1</v>
      </c>
    </row>
    <row r="924">
      <c r="A924" t="inlineStr">
        <is>
          <t>SOCIETE C2230</t>
        </is>
      </c>
      <c r="B924" t="inlineStr">
        <is>
          <t>C2230</t>
        </is>
      </c>
      <c r="C924" t="inlineStr">
        <is>
          <t>CORPORATE BANKING</t>
        </is>
      </c>
      <c r="D924" t="inlineStr">
        <is>
          <t>IA</t>
        </is>
      </c>
      <c r="E924" t="inlineStr">
        <is>
          <t>Stage 2</t>
        </is>
      </c>
      <c r="F924" t="inlineStr">
        <is>
          <t>N/A</t>
        </is>
      </c>
      <c r="G924" s="26">
        <v>118140671</v>
      </c>
      <c r="H924" s="26">
        <v>7088440</v>
      </c>
      <c r="I924" s="26">
        <v>21955687</v>
      </c>
      <c r="J924" s="26">
        <v>68</v>
      </c>
      <c r="K924" t="inlineStr">
        <is>
          <t>Non</t>
        </is>
      </c>
      <c r="L924">
        <f>SUBTOTAL(103,A924)</f>
        <v>1</v>
      </c>
    </row>
    <row r="925">
      <c r="A925" t="inlineStr">
        <is>
          <t>SOCIETE C2132</t>
        </is>
      </c>
      <c r="B925" t="inlineStr">
        <is>
          <t>C2132</t>
        </is>
      </c>
      <c r="C925" t="inlineStr">
        <is>
          <t>COMMERCIAL BANKING</t>
        </is>
      </c>
      <c r="D925" t="inlineStr">
        <is>
          <t>IV</t>
        </is>
      </c>
      <c r="E925" t="inlineStr">
        <is>
          <t>Stage 3</t>
        </is>
      </c>
      <c r="F925" t="inlineStr">
        <is>
          <t>N/A</t>
        </is>
      </c>
      <c r="G925" s="26">
        <v>185980550</v>
      </c>
      <c r="H925" s="26">
        <v>102289303</v>
      </c>
      <c r="I925" s="26">
        <v>0</v>
      </c>
      <c r="J925" s="26">
        <v>57</v>
      </c>
      <c r="K925" t="inlineStr">
        <is>
          <t>Oui</t>
        </is>
      </c>
      <c r="L925">
        <f>SUBTOTAL(103,A925)</f>
        <v>1</v>
      </c>
    </row>
    <row r="926">
      <c r="A926" t="inlineStr">
        <is>
          <t>SOCIETE C1951</t>
        </is>
      </c>
      <c r="B926" t="inlineStr">
        <is>
          <t>C1951</t>
        </is>
      </c>
      <c r="C926" t="inlineStr">
        <is>
          <t>SME</t>
        </is>
      </c>
      <c r="D926" t="inlineStr">
        <is>
          <t>IA</t>
        </is>
      </c>
      <c r="E926" t="inlineStr">
        <is>
          <t>Stage 2</t>
        </is>
      </c>
      <c r="F926" t="inlineStr">
        <is>
          <t>N/A</t>
        </is>
      </c>
      <c r="G926" s="26">
        <v>2894533625</v>
      </c>
      <c r="H926" s="26">
        <v>173672018</v>
      </c>
      <c r="I926" s="26">
        <v>0</v>
      </c>
      <c r="J926" s="26">
        <v>51</v>
      </c>
      <c r="K926" t="inlineStr">
        <is>
          <t>Non</t>
        </is>
      </c>
      <c r="L926">
        <f>SUBTOTAL(103,A926)</f>
        <v>1</v>
      </c>
    </row>
    <row r="927">
      <c r="A927" t="inlineStr">
        <is>
          <t>SOCIETE C1711</t>
        </is>
      </c>
      <c r="B927" t="inlineStr">
        <is>
          <t>C1711</t>
        </is>
      </c>
      <c r="C927" t="inlineStr">
        <is>
          <t>COMMERCIAL BANKING</t>
        </is>
      </c>
      <c r="D927" t="inlineStr">
        <is>
          <t>II</t>
        </is>
      </c>
      <c r="E927" t="inlineStr">
        <is>
          <t>Stage 2</t>
        </is>
      </c>
      <c r="F927" t="inlineStr">
        <is>
          <t>N/A</t>
        </is>
      </c>
      <c r="G927" s="26">
        <v>660730118</v>
      </c>
      <c r="H927" s="26">
        <v>39643807</v>
      </c>
      <c r="I927" s="26">
        <v>0</v>
      </c>
      <c r="J927" s="26">
        <v>79</v>
      </c>
      <c r="K927" t="inlineStr">
        <is>
          <t>Non</t>
        </is>
      </c>
      <c r="L927">
        <f>SUBTOTAL(103,A927)</f>
        <v>1</v>
      </c>
    </row>
    <row r="928">
      <c r="A928" t="inlineStr">
        <is>
          <t>SOCIETE C761</t>
        </is>
      </c>
      <c r="B928" t="inlineStr">
        <is>
          <t>C761</t>
        </is>
      </c>
      <c r="C928" t="inlineStr">
        <is>
          <t>CORPORATE BANKING</t>
        </is>
      </c>
      <c r="D928" t="inlineStr">
        <is>
          <t>I</t>
        </is>
      </c>
      <c r="E928" t="inlineStr">
        <is>
          <t>Stage 1</t>
        </is>
      </c>
      <c r="F928" t="inlineStr">
        <is>
          <t>N/A</t>
        </is>
      </c>
      <c r="G928" s="26">
        <v>2274016</v>
      </c>
      <c r="H928" s="26">
        <v>22740</v>
      </c>
      <c r="I928" s="26">
        <v>0</v>
      </c>
      <c r="J928" s="26">
        <v>86</v>
      </c>
      <c r="K928" t="inlineStr">
        <is>
          <t>Non</t>
        </is>
      </c>
      <c r="L928">
        <f>SUBTOTAL(103,A928)</f>
        <v>1</v>
      </c>
    </row>
    <row r="929">
      <c r="A929" t="inlineStr">
        <is>
          <t>SOCIETE C2127</t>
        </is>
      </c>
      <c r="B929" t="inlineStr">
        <is>
          <t>C2127</t>
        </is>
      </c>
      <c r="C929" t="inlineStr">
        <is>
          <t>CORPORATE BANKING</t>
        </is>
      </c>
      <c r="D929" t="inlineStr">
        <is>
          <t>I</t>
        </is>
      </c>
      <c r="E929" t="inlineStr">
        <is>
          <t>Stage 1</t>
        </is>
      </c>
      <c r="F929" t="inlineStr">
        <is>
          <t>N/A</t>
        </is>
      </c>
      <c r="G929" s="26">
        <v>793671276</v>
      </c>
      <c r="H929" s="26">
        <v>7936713</v>
      </c>
      <c r="I929" s="26">
        <v>0</v>
      </c>
      <c r="J929" s="26">
        <v>264</v>
      </c>
      <c r="K929" t="inlineStr">
        <is>
          <t>Non</t>
        </is>
      </c>
      <c r="L929">
        <f>SUBTOTAL(103,A929)</f>
        <v>1</v>
      </c>
    </row>
    <row r="930">
      <c r="A930" t="inlineStr">
        <is>
          <t>SOCIETE C115</t>
        </is>
      </c>
      <c r="B930" t="inlineStr">
        <is>
          <t>C115</t>
        </is>
      </c>
      <c r="C930" t="inlineStr">
        <is>
          <t>CORPORATE BANKING</t>
        </is>
      </c>
      <c r="D930" t="inlineStr">
        <is>
          <t>I</t>
        </is>
      </c>
      <c r="E930" t="inlineStr">
        <is>
          <t>Stage 1</t>
        </is>
      </c>
      <c r="F930" t="inlineStr">
        <is>
          <t>N/A</t>
        </is>
      </c>
      <c r="G930" s="26">
        <v>121635764</v>
      </c>
      <c r="H930" s="26">
        <v>1216358</v>
      </c>
      <c r="I930" s="26">
        <v>0</v>
      </c>
      <c r="J930" s="26">
        <v>2</v>
      </c>
      <c r="K930" t="inlineStr">
        <is>
          <t>Non</t>
        </is>
      </c>
      <c r="L930">
        <f>SUBTOTAL(103,A930)</f>
        <v>1</v>
      </c>
    </row>
    <row r="931">
      <c r="A931" t="inlineStr">
        <is>
          <t>SOCIETE C165</t>
        </is>
      </c>
      <c r="B931" t="inlineStr">
        <is>
          <t>C165</t>
        </is>
      </c>
      <c r="C931" t="inlineStr">
        <is>
          <t>CORPORATE BANKING</t>
        </is>
      </c>
      <c r="D931" t="inlineStr">
        <is>
          <t>V</t>
        </is>
      </c>
      <c r="E931" t="inlineStr">
        <is>
          <t>Stage 3</t>
        </is>
      </c>
      <c r="F931" t="inlineStr">
        <is>
          <t>N/A</t>
        </is>
      </c>
      <c r="G931" s="26">
        <v>31603209</v>
      </c>
      <c r="H931" s="26">
        <v>17381765</v>
      </c>
      <c r="I931" s="26">
        <v>0</v>
      </c>
      <c r="J931" s="26">
        <v>153</v>
      </c>
      <c r="K931" t="inlineStr">
        <is>
          <t>Oui</t>
        </is>
      </c>
      <c r="L931">
        <f>SUBTOTAL(103,A931)</f>
        <v>1</v>
      </c>
    </row>
    <row r="932">
      <c r="A932" t="inlineStr">
        <is>
          <t>SOCIETE C586</t>
        </is>
      </c>
      <c r="B932" t="inlineStr">
        <is>
          <t>C586</t>
        </is>
      </c>
      <c r="C932" t="inlineStr">
        <is>
          <t>PUBLIC SECTOR</t>
        </is>
      </c>
      <c r="D932" t="inlineStr">
        <is>
          <t>IA</t>
        </is>
      </c>
      <c r="E932" t="inlineStr">
        <is>
          <t>Stage 2</t>
        </is>
      </c>
      <c r="F932" t="inlineStr">
        <is>
          <t>N/A</t>
        </is>
      </c>
      <c r="G932" s="26">
        <v>988160691</v>
      </c>
      <c r="H932" s="26">
        <v>59289641</v>
      </c>
      <c r="I932" s="26">
        <v>163492877</v>
      </c>
      <c r="J932" s="26">
        <v>164</v>
      </c>
      <c r="K932" t="inlineStr">
        <is>
          <t>Non</t>
        </is>
      </c>
      <c r="L932">
        <f>SUBTOTAL(103,A932)</f>
        <v>1</v>
      </c>
    </row>
    <row r="933">
      <c r="A933" t="inlineStr">
        <is>
          <t>SOCIETE C389</t>
        </is>
      </c>
      <c r="B933" t="inlineStr">
        <is>
          <t>C389</t>
        </is>
      </c>
      <c r="C933" t="inlineStr">
        <is>
          <t>CORPORATE BANKING</t>
        </is>
      </c>
      <c r="D933" t="inlineStr">
        <is>
          <t>I</t>
        </is>
      </c>
      <c r="E933" t="inlineStr">
        <is>
          <t>Stage 1</t>
        </is>
      </c>
      <c r="F933" t="inlineStr">
        <is>
          <t>N/A</t>
        </is>
      </c>
      <c r="G933" s="26">
        <v>854315303</v>
      </c>
      <c r="H933" s="26">
        <v>8543153</v>
      </c>
      <c r="I933" s="26">
        <v>0</v>
      </c>
      <c r="J933" s="26">
        <v>110</v>
      </c>
      <c r="K933" t="inlineStr">
        <is>
          <t>Non</t>
        </is>
      </c>
      <c r="L933">
        <f>SUBTOTAL(103,A933)</f>
        <v>1</v>
      </c>
    </row>
    <row r="934">
      <c r="A934" t="inlineStr">
        <is>
          <t>SOCIETE C1331</t>
        </is>
      </c>
      <c r="B934" t="inlineStr">
        <is>
          <t>C1331</t>
        </is>
      </c>
      <c r="C934" t="inlineStr">
        <is>
          <t>CORPORATE BANKING</t>
        </is>
      </c>
      <c r="D934" t="inlineStr">
        <is>
          <t>I</t>
        </is>
      </c>
      <c r="E934" t="inlineStr">
        <is>
          <t>Stage 1</t>
        </is>
      </c>
      <c r="F934" t="inlineStr">
        <is>
          <t>N/A</t>
        </is>
      </c>
      <c r="G934" s="26">
        <v>673067624</v>
      </c>
      <c r="H934" s="26">
        <v>6730676</v>
      </c>
      <c r="I934" s="26">
        <v>47553249</v>
      </c>
      <c r="J934" s="26">
        <v>16</v>
      </c>
      <c r="K934" t="inlineStr">
        <is>
          <t>Non</t>
        </is>
      </c>
      <c r="L934">
        <f>SUBTOTAL(103,A934)</f>
        <v>1</v>
      </c>
    </row>
    <row r="935">
      <c r="A935" t="inlineStr">
        <is>
          <t>SOCIETE C840</t>
        </is>
      </c>
      <c r="B935" t="inlineStr">
        <is>
          <t>C840</t>
        </is>
      </c>
      <c r="C935" t="inlineStr">
        <is>
          <t>PUBLIC SECTOR</t>
        </is>
      </c>
      <c r="D935" t="inlineStr">
        <is>
          <t>IA</t>
        </is>
      </c>
      <c r="E935" t="inlineStr">
        <is>
          <t>Stage 2</t>
        </is>
      </c>
      <c r="F935" t="inlineStr">
        <is>
          <t>N/A</t>
        </is>
      </c>
      <c r="G935" s="26">
        <v>29662724</v>
      </c>
      <c r="H935" s="26">
        <v>1779763</v>
      </c>
      <c r="I935" s="26">
        <v>5388664</v>
      </c>
      <c r="J935" s="26">
        <v>61</v>
      </c>
      <c r="K935" t="inlineStr">
        <is>
          <t>Non</t>
        </is>
      </c>
      <c r="L935">
        <f>SUBTOTAL(103,A935)</f>
        <v>1</v>
      </c>
    </row>
    <row r="936">
      <c r="A936" t="inlineStr">
        <is>
          <t>SOCIETE C2407</t>
        </is>
      </c>
      <c r="B936" t="inlineStr">
        <is>
          <t>C2407</t>
        </is>
      </c>
      <c r="C936" t="inlineStr">
        <is>
          <t>CORPORATE BANKING</t>
        </is>
      </c>
      <c r="D936" t="inlineStr">
        <is>
          <t>I</t>
        </is>
      </c>
      <c r="E936" t="inlineStr">
        <is>
          <t>Stage 1</t>
        </is>
      </c>
      <c r="F936" t="inlineStr">
        <is>
          <t>N/A</t>
        </is>
      </c>
      <c r="G936" s="26">
        <v>2644485276</v>
      </c>
      <c r="H936" s="26">
        <v>26444853</v>
      </c>
      <c r="I936" s="26">
        <v>0</v>
      </c>
      <c r="J936" s="26">
        <v>73</v>
      </c>
      <c r="K936" t="inlineStr">
        <is>
          <t>Non</t>
        </is>
      </c>
      <c r="L936">
        <f>SUBTOTAL(103,A936)</f>
        <v>1</v>
      </c>
    </row>
    <row r="937">
      <c r="A937" t="inlineStr">
        <is>
          <t>SOCIETE C973</t>
        </is>
      </c>
      <c r="B937" t="inlineStr">
        <is>
          <t>C973</t>
        </is>
      </c>
      <c r="C937" t="inlineStr">
        <is>
          <t>CONSUMER BANKING</t>
        </is>
      </c>
      <c r="D937" t="inlineStr">
        <is>
          <t>V</t>
        </is>
      </c>
      <c r="E937" t="inlineStr">
        <is>
          <t>Stage 3</t>
        </is>
      </c>
      <c r="F937" t="inlineStr">
        <is>
          <t>N/A</t>
        </is>
      </c>
      <c r="G937" s="26">
        <v>53603914</v>
      </c>
      <c r="H937" s="26">
        <v>29482153</v>
      </c>
      <c r="I937" s="26">
        <v>0</v>
      </c>
      <c r="J937" s="26">
        <v>257</v>
      </c>
      <c r="K937" t="inlineStr">
        <is>
          <t>Oui</t>
        </is>
      </c>
      <c r="L937">
        <f>SUBTOTAL(103,A937)</f>
        <v>1</v>
      </c>
    </row>
    <row r="938">
      <c r="A938" t="inlineStr">
        <is>
          <t>SOCIETE C1551</t>
        </is>
      </c>
      <c r="B938" t="inlineStr">
        <is>
          <t>C1551</t>
        </is>
      </c>
      <c r="C938" t="inlineStr">
        <is>
          <t>COMMERCIAL BANKING</t>
        </is>
      </c>
      <c r="D938" t="inlineStr">
        <is>
          <t>II</t>
        </is>
      </c>
      <c r="E938" t="inlineStr">
        <is>
          <t>Stage 2</t>
        </is>
      </c>
      <c r="F938" t="inlineStr">
        <is>
          <t>N/A</t>
        </is>
      </c>
      <c r="G938" s="26">
        <v>5969428</v>
      </c>
      <c r="H938" s="26">
        <v>358166</v>
      </c>
      <c r="I938" s="26">
        <v>269815</v>
      </c>
      <c r="J938" s="26">
        <v>119</v>
      </c>
      <c r="K938" t="inlineStr">
        <is>
          <t>Non</t>
        </is>
      </c>
      <c r="L938">
        <f>SUBTOTAL(103,A938)</f>
        <v>1</v>
      </c>
    </row>
    <row r="939">
      <c r="A939" t="inlineStr">
        <is>
          <t>SOCIETE C1797</t>
        </is>
      </c>
      <c r="B939" t="inlineStr">
        <is>
          <t>C1797</t>
        </is>
      </c>
      <c r="C939" t="inlineStr">
        <is>
          <t>COMMERCIAL BANKING</t>
        </is>
      </c>
      <c r="D939" t="inlineStr">
        <is>
          <t>IA</t>
        </is>
      </c>
      <c r="E939" t="inlineStr">
        <is>
          <t>Stage 2</t>
        </is>
      </c>
      <c r="F939" t="inlineStr">
        <is>
          <t>N/A</t>
        </is>
      </c>
      <c r="G939" s="26">
        <v>176766067</v>
      </c>
      <c r="H939" s="26">
        <v>10605964</v>
      </c>
      <c r="I939" s="26">
        <v>23689975</v>
      </c>
      <c r="J939" s="26">
        <v>86</v>
      </c>
      <c r="K939" t="inlineStr">
        <is>
          <t>Non</t>
        </is>
      </c>
      <c r="L939">
        <f>SUBTOTAL(103,A939)</f>
        <v>1</v>
      </c>
    </row>
    <row r="940">
      <c r="A940" t="inlineStr">
        <is>
          <t>SOCIETE C483</t>
        </is>
      </c>
      <c r="B940" t="inlineStr">
        <is>
          <t>C483</t>
        </is>
      </c>
      <c r="C940" t="inlineStr">
        <is>
          <t>PUBLIC SECTOR</t>
        </is>
      </c>
      <c r="D940" t="inlineStr">
        <is>
          <t>IA</t>
        </is>
      </c>
      <c r="E940" t="inlineStr">
        <is>
          <t>Stage 2</t>
        </is>
      </c>
      <c r="F940" t="inlineStr">
        <is>
          <t>N/A</t>
        </is>
      </c>
      <c r="G940" s="26">
        <v>23017923</v>
      </c>
      <c r="H940" s="26">
        <v>1381075</v>
      </c>
      <c r="I940" s="26">
        <v>0</v>
      </c>
      <c r="J940" s="26">
        <v>276</v>
      </c>
      <c r="K940" t="inlineStr">
        <is>
          <t>Non</t>
        </is>
      </c>
      <c r="L940">
        <f>SUBTOTAL(103,A940)</f>
        <v>1</v>
      </c>
    </row>
    <row r="941">
      <c r="A941" t="inlineStr">
        <is>
          <t>SOCIETE C2105</t>
        </is>
      </c>
      <c r="B941" t="inlineStr">
        <is>
          <t>C2105</t>
        </is>
      </c>
      <c r="C941" t="inlineStr">
        <is>
          <t>CORPORATE BANKING</t>
        </is>
      </c>
      <c r="D941" t="inlineStr">
        <is>
          <t>I</t>
        </is>
      </c>
      <c r="E941" t="inlineStr">
        <is>
          <t>Stage 1</t>
        </is>
      </c>
      <c r="F941" t="inlineStr">
        <is>
          <t>N/A</t>
        </is>
      </c>
      <c r="G941" s="26">
        <v>61225989</v>
      </c>
      <c r="H941" s="26">
        <v>612260</v>
      </c>
      <c r="I941" s="26">
        <v>5287300</v>
      </c>
      <c r="J941" s="26">
        <v>7</v>
      </c>
      <c r="K941" t="inlineStr">
        <is>
          <t>Non</t>
        </is>
      </c>
      <c r="L941">
        <f>SUBTOTAL(103,A941)</f>
        <v>1</v>
      </c>
    </row>
    <row r="942">
      <c r="A942" t="inlineStr">
        <is>
          <t>SOCIETE C1387</t>
        </is>
      </c>
      <c r="B942" t="inlineStr">
        <is>
          <t>C1387</t>
        </is>
      </c>
      <c r="C942" t="inlineStr">
        <is>
          <t>SME</t>
        </is>
      </c>
      <c r="D942" t="inlineStr">
        <is>
          <t>II</t>
        </is>
      </c>
      <c r="E942" t="inlineStr">
        <is>
          <t>Stage 2</t>
        </is>
      </c>
      <c r="F942" t="inlineStr">
        <is>
          <t>N/A</t>
        </is>
      </c>
      <c r="G942" s="26">
        <v>2205506976</v>
      </c>
      <c r="H942" s="26">
        <v>132330419</v>
      </c>
      <c r="I942" s="26">
        <v>409869606</v>
      </c>
      <c r="J942" s="26">
        <v>114</v>
      </c>
      <c r="K942" t="inlineStr">
        <is>
          <t>Non</t>
        </is>
      </c>
      <c r="L942">
        <f>SUBTOTAL(103,A942)</f>
        <v>1</v>
      </c>
    </row>
    <row r="943">
      <c r="A943" t="inlineStr">
        <is>
          <t>SOCIETE C304</t>
        </is>
      </c>
      <c r="B943" t="inlineStr">
        <is>
          <t>C304</t>
        </is>
      </c>
      <c r="C943" t="inlineStr">
        <is>
          <t>COMMERCIAL BANKING</t>
        </is>
      </c>
      <c r="D943" t="inlineStr">
        <is>
          <t>IA</t>
        </is>
      </c>
      <c r="E943" t="inlineStr">
        <is>
          <t>Stage 2</t>
        </is>
      </c>
      <c r="F943" t="inlineStr">
        <is>
          <t>N/A</t>
        </is>
      </c>
      <c r="G943" s="26">
        <v>340830429</v>
      </c>
      <c r="H943" s="26">
        <v>20449826</v>
      </c>
      <c r="I943" s="26">
        <v>0</v>
      </c>
      <c r="J943" s="26">
        <v>82</v>
      </c>
      <c r="K943" t="inlineStr">
        <is>
          <t>Non</t>
        </is>
      </c>
      <c r="L943">
        <f>SUBTOTAL(103,A943)</f>
        <v>1</v>
      </c>
    </row>
    <row r="944">
      <c r="A944" t="inlineStr">
        <is>
          <t>SOCIETE C1680</t>
        </is>
      </c>
      <c r="B944" t="inlineStr">
        <is>
          <t>C1680</t>
        </is>
      </c>
      <c r="C944" t="inlineStr">
        <is>
          <t>CONSUMER BANKING</t>
        </is>
      </c>
      <c r="D944" t="inlineStr">
        <is>
          <t>I</t>
        </is>
      </c>
      <c r="E944" t="inlineStr">
        <is>
          <t>Stage 1</t>
        </is>
      </c>
      <c r="F944" t="inlineStr">
        <is>
          <t>N/A</t>
        </is>
      </c>
      <c r="G944" s="26">
        <v>2404432947</v>
      </c>
      <c r="H944" s="26">
        <v>24044329</v>
      </c>
      <c r="I944" s="26">
        <v>105486380</v>
      </c>
      <c r="J944" s="26">
        <v>165</v>
      </c>
      <c r="K944" t="inlineStr">
        <is>
          <t>Non</t>
        </is>
      </c>
      <c r="L944">
        <f>SUBTOTAL(103,A944)</f>
        <v>1</v>
      </c>
    </row>
    <row r="945">
      <c r="A945" t="inlineStr">
        <is>
          <t>SOCIETE C2340</t>
        </is>
      </c>
      <c r="B945" t="inlineStr">
        <is>
          <t>C2340</t>
        </is>
      </c>
      <c r="C945" t="inlineStr">
        <is>
          <t>CORPORATE BANKING</t>
        </is>
      </c>
      <c r="D945" t="inlineStr">
        <is>
          <t>I</t>
        </is>
      </c>
      <c r="E945" t="inlineStr">
        <is>
          <t>Stage 1</t>
        </is>
      </c>
      <c r="F945" t="inlineStr">
        <is>
          <t>N/A</t>
        </is>
      </c>
      <c r="G945" s="26">
        <v>494330042</v>
      </c>
      <c r="H945" s="26">
        <v>4943300</v>
      </c>
      <c r="I945" s="26">
        <v>0</v>
      </c>
      <c r="J945" s="26">
        <v>65</v>
      </c>
      <c r="K945" t="inlineStr">
        <is>
          <t>Non</t>
        </is>
      </c>
      <c r="L945">
        <f>SUBTOTAL(103,A945)</f>
        <v>1</v>
      </c>
    </row>
    <row r="946">
      <c r="A946" t="inlineStr">
        <is>
          <t>SOCIETE C1340</t>
        </is>
      </c>
      <c r="B946" t="inlineStr">
        <is>
          <t>C1340</t>
        </is>
      </c>
      <c r="C946" t="inlineStr">
        <is>
          <t>COMMERCIAL BANKING</t>
        </is>
      </c>
      <c r="D946" t="inlineStr">
        <is>
          <t>I</t>
        </is>
      </c>
      <c r="E946" t="inlineStr">
        <is>
          <t>Stage 1</t>
        </is>
      </c>
      <c r="F946" t="inlineStr">
        <is>
          <t>N/A</t>
        </is>
      </c>
      <c r="G946" s="26">
        <v>1154810894</v>
      </c>
      <c r="H946" s="26">
        <v>11548109</v>
      </c>
      <c r="I946" s="26">
        <v>0</v>
      </c>
      <c r="J946" s="26">
        <v>13</v>
      </c>
      <c r="K946" t="inlineStr">
        <is>
          <t>Non</t>
        </is>
      </c>
      <c r="L946">
        <f>SUBTOTAL(103,A946)</f>
        <v>1</v>
      </c>
    </row>
    <row r="947">
      <c r="A947" t="inlineStr">
        <is>
          <t>SOCIETE C2402</t>
        </is>
      </c>
      <c r="B947" t="inlineStr">
        <is>
          <t>C2402</t>
        </is>
      </c>
      <c r="C947" t="inlineStr">
        <is>
          <t>CORPORATE BANKING</t>
        </is>
      </c>
      <c r="D947" t="inlineStr">
        <is>
          <t>IA</t>
        </is>
      </c>
      <c r="E947" t="inlineStr">
        <is>
          <t>Stage 2</t>
        </is>
      </c>
      <c r="F947" t="inlineStr">
        <is>
          <t>N/A</t>
        </is>
      </c>
      <c r="G947" s="26">
        <v>700782660</v>
      </c>
      <c r="H947" s="26">
        <v>42046960</v>
      </c>
      <c r="I947" s="26">
        <v>50132928</v>
      </c>
      <c r="J947" s="26">
        <v>204</v>
      </c>
      <c r="K947" t="inlineStr">
        <is>
          <t>Non</t>
        </is>
      </c>
      <c r="L947">
        <f>SUBTOTAL(103,A947)</f>
        <v>1</v>
      </c>
    </row>
    <row r="948">
      <c r="A948" t="inlineStr">
        <is>
          <t>SOCIETE C2342</t>
        </is>
      </c>
      <c r="B948" t="inlineStr">
        <is>
          <t>C2342</t>
        </is>
      </c>
      <c r="C948" t="inlineStr">
        <is>
          <t>COMMERCIAL BANKING</t>
        </is>
      </c>
      <c r="D948" t="inlineStr">
        <is>
          <t>IV</t>
        </is>
      </c>
      <c r="E948" t="inlineStr">
        <is>
          <t>Stage 3</t>
        </is>
      </c>
      <c r="F948" t="inlineStr">
        <is>
          <t>N/A</t>
        </is>
      </c>
      <c r="G948" s="26">
        <v>9734746</v>
      </c>
      <c r="H948" s="26">
        <v>5354110</v>
      </c>
      <c r="I948" s="26">
        <v>0</v>
      </c>
      <c r="J948" s="26">
        <v>81</v>
      </c>
      <c r="K948" t="inlineStr">
        <is>
          <t>Oui</t>
        </is>
      </c>
      <c r="L948">
        <f>SUBTOTAL(103,A948)</f>
        <v>1</v>
      </c>
    </row>
    <row r="949">
      <c r="A949" t="inlineStr">
        <is>
          <t>SOCIETE C682</t>
        </is>
      </c>
      <c r="B949" t="inlineStr">
        <is>
          <t>C682</t>
        </is>
      </c>
      <c r="C949" t="inlineStr">
        <is>
          <t>CONSUMER BANKING</t>
        </is>
      </c>
      <c r="D949" t="inlineStr">
        <is>
          <t>II</t>
        </is>
      </c>
      <c r="E949" t="inlineStr">
        <is>
          <t>Stage 2</t>
        </is>
      </c>
      <c r="F949" t="inlineStr">
        <is>
          <t>N/A</t>
        </is>
      </c>
      <c r="G949" s="26">
        <v>2160345899</v>
      </c>
      <c r="H949" s="26">
        <v>129620754</v>
      </c>
      <c r="I949" s="26">
        <v>0</v>
      </c>
      <c r="J949" s="26">
        <v>245</v>
      </c>
      <c r="K949" t="inlineStr">
        <is>
          <t>Non</t>
        </is>
      </c>
      <c r="L949">
        <f>SUBTOTAL(103,A949)</f>
        <v>1</v>
      </c>
    </row>
    <row r="950">
      <c r="A950" t="inlineStr">
        <is>
          <t>SOCIETE C1936</t>
        </is>
      </c>
      <c r="B950" t="inlineStr">
        <is>
          <t>C1936</t>
        </is>
      </c>
      <c r="C950" t="inlineStr">
        <is>
          <t>CORPORATE BANKING</t>
        </is>
      </c>
      <c r="D950" t="inlineStr">
        <is>
          <t>V</t>
        </is>
      </c>
      <c r="E950" t="inlineStr">
        <is>
          <t>Stage 3</t>
        </is>
      </c>
      <c r="F950" t="inlineStr">
        <is>
          <t>N/A</t>
        </is>
      </c>
      <c r="G950" s="26">
        <v>2059803765</v>
      </c>
      <c r="H950" s="26">
        <v>1132892071</v>
      </c>
      <c r="I950" s="26">
        <v>0</v>
      </c>
      <c r="J950" s="26">
        <v>75</v>
      </c>
      <c r="K950" t="inlineStr">
        <is>
          <t>Oui</t>
        </is>
      </c>
      <c r="L950">
        <f>SUBTOTAL(103,A950)</f>
        <v>1</v>
      </c>
    </row>
    <row r="951">
      <c r="A951" t="inlineStr">
        <is>
          <t>SOCIETE C1011</t>
        </is>
      </c>
      <c r="B951" t="inlineStr">
        <is>
          <t>C1011</t>
        </is>
      </c>
      <c r="C951" t="inlineStr">
        <is>
          <t>CORPORATE BANKING</t>
        </is>
      </c>
      <c r="D951" t="inlineStr">
        <is>
          <t>II</t>
        </is>
      </c>
      <c r="E951" t="inlineStr">
        <is>
          <t>Stage 2</t>
        </is>
      </c>
      <c r="F951" t="inlineStr">
        <is>
          <t>N/A</t>
        </is>
      </c>
      <c r="G951" s="26">
        <v>426565613</v>
      </c>
      <c r="H951" s="26">
        <v>25593937</v>
      </c>
      <c r="I951" s="26">
        <v>0</v>
      </c>
      <c r="J951" s="26">
        <v>52</v>
      </c>
      <c r="K951" t="inlineStr">
        <is>
          <t>Non</t>
        </is>
      </c>
      <c r="L951">
        <f>SUBTOTAL(103,A951)</f>
        <v>1</v>
      </c>
    </row>
    <row r="952">
      <c r="A952" t="inlineStr">
        <is>
          <t>SOCIETE C271</t>
        </is>
      </c>
      <c r="B952" t="inlineStr">
        <is>
          <t>C271</t>
        </is>
      </c>
      <c r="C952" t="inlineStr">
        <is>
          <t>COMMERCIAL BANKING</t>
        </is>
      </c>
      <c r="D952" t="inlineStr">
        <is>
          <t>III</t>
        </is>
      </c>
      <c r="E952" t="inlineStr">
        <is>
          <t>Stage 3</t>
        </is>
      </c>
      <c r="F952" t="inlineStr">
        <is>
          <t>N/A</t>
        </is>
      </c>
      <c r="G952" s="26">
        <v>611187289</v>
      </c>
      <c r="H952" s="26">
        <v>336153009</v>
      </c>
      <c r="I952" s="26">
        <v>0</v>
      </c>
      <c r="J952" s="26">
        <v>22</v>
      </c>
      <c r="K952" t="inlineStr">
        <is>
          <t>Oui</t>
        </is>
      </c>
      <c r="L952">
        <f>SUBTOTAL(103,A952)</f>
        <v>1</v>
      </c>
    </row>
    <row r="953">
      <c r="A953" t="inlineStr">
        <is>
          <t>SOCIETE C470</t>
        </is>
      </c>
      <c r="B953" t="inlineStr">
        <is>
          <t>C470</t>
        </is>
      </c>
      <c r="C953" t="inlineStr">
        <is>
          <t>COMMERCIAL BANKING</t>
        </is>
      </c>
      <c r="D953" t="inlineStr">
        <is>
          <t>V</t>
        </is>
      </c>
      <c r="E953" t="inlineStr">
        <is>
          <t>Stage 3</t>
        </is>
      </c>
      <c r="F953" t="inlineStr">
        <is>
          <t>N/A</t>
        </is>
      </c>
      <c r="G953" s="26">
        <v>2138022375</v>
      </c>
      <c r="H953" s="26">
        <v>1175912306</v>
      </c>
      <c r="I953" s="26">
        <v>0</v>
      </c>
      <c r="J953" s="26">
        <v>8</v>
      </c>
      <c r="K953" t="inlineStr">
        <is>
          <t>Oui</t>
        </is>
      </c>
      <c r="L953">
        <f>SUBTOTAL(103,A953)</f>
        <v>1</v>
      </c>
    </row>
    <row r="954">
      <c r="A954" t="inlineStr">
        <is>
          <t>SOCIETE C193</t>
        </is>
      </c>
      <c r="B954" t="inlineStr">
        <is>
          <t>C193</t>
        </is>
      </c>
      <c r="C954" t="inlineStr">
        <is>
          <t>INSTITUTIONAL</t>
        </is>
      </c>
      <c r="D954" t="inlineStr">
        <is>
          <t>I</t>
        </is>
      </c>
      <c r="E954" t="inlineStr">
        <is>
          <t>Stage 1</t>
        </is>
      </c>
      <c r="F954" t="inlineStr">
        <is>
          <t>N/A</t>
        </is>
      </c>
      <c r="G954" s="26">
        <v>4154539</v>
      </c>
      <c r="H954" s="26">
        <v>41545</v>
      </c>
      <c r="I954" s="26">
        <v>362037</v>
      </c>
      <c r="J954" s="26">
        <v>1</v>
      </c>
      <c r="K954" t="inlineStr">
        <is>
          <t>Non</t>
        </is>
      </c>
      <c r="L954">
        <f>SUBTOTAL(103,A954)</f>
        <v>1</v>
      </c>
    </row>
    <row r="955">
      <c r="A955" t="inlineStr">
        <is>
          <t>SOCIETE C114</t>
        </is>
      </c>
      <c r="B955" t="inlineStr">
        <is>
          <t>C114</t>
        </is>
      </c>
      <c r="C955" t="inlineStr">
        <is>
          <t>CORPORATE BANKING</t>
        </is>
      </c>
      <c r="D955" t="inlineStr">
        <is>
          <t>IV</t>
        </is>
      </c>
      <c r="E955" t="inlineStr">
        <is>
          <t>Stage 3</t>
        </is>
      </c>
      <c r="F955" t="inlineStr">
        <is>
          <t>N/A</t>
        </is>
      </c>
      <c r="G955" s="26">
        <v>795258703</v>
      </c>
      <c r="H955" s="26">
        <v>437392287</v>
      </c>
      <c r="I955" s="26">
        <v>0</v>
      </c>
      <c r="J955" s="26">
        <v>63</v>
      </c>
      <c r="K955" t="inlineStr">
        <is>
          <t>Oui</t>
        </is>
      </c>
      <c r="L955">
        <f>SUBTOTAL(103,A955)</f>
        <v>1</v>
      </c>
    </row>
    <row r="956">
      <c r="A956" t="inlineStr">
        <is>
          <t>SOCIETE C579</t>
        </is>
      </c>
      <c r="B956" t="inlineStr">
        <is>
          <t>C579</t>
        </is>
      </c>
      <c r="C956" t="inlineStr">
        <is>
          <t>PUBLIC SECTOR</t>
        </is>
      </c>
      <c r="D956" t="inlineStr">
        <is>
          <t>II</t>
        </is>
      </c>
      <c r="E956" t="inlineStr">
        <is>
          <t>Stage 2</t>
        </is>
      </c>
      <c r="F956" t="inlineStr">
        <is>
          <t>N/A</t>
        </is>
      </c>
      <c r="G956" s="26">
        <v>44209162</v>
      </c>
      <c r="H956" s="26">
        <v>2652550</v>
      </c>
      <c r="I956" s="26">
        <v>0</v>
      </c>
      <c r="J956" s="26">
        <v>123</v>
      </c>
      <c r="K956" t="inlineStr">
        <is>
          <t>Non</t>
        </is>
      </c>
      <c r="L956">
        <f>SUBTOTAL(103,A956)</f>
        <v>1</v>
      </c>
    </row>
    <row r="957">
      <c r="A957" t="inlineStr">
        <is>
          <t>SOCIETE C2295</t>
        </is>
      </c>
      <c r="B957" t="inlineStr">
        <is>
          <t>C2295</t>
        </is>
      </c>
      <c r="C957" t="inlineStr">
        <is>
          <t>CORPORATE BANKING</t>
        </is>
      </c>
      <c r="D957" t="inlineStr">
        <is>
          <t>IA</t>
        </is>
      </c>
      <c r="E957" t="inlineStr">
        <is>
          <t>Stage 2</t>
        </is>
      </c>
      <c r="F957" t="inlineStr">
        <is>
          <t>N/A</t>
        </is>
      </c>
      <c r="G957" s="26">
        <v>2801525990</v>
      </c>
      <c r="H957" s="26">
        <v>168091559</v>
      </c>
      <c r="I957" s="26">
        <v>0</v>
      </c>
      <c r="J957" s="26">
        <v>355</v>
      </c>
      <c r="K957" t="inlineStr">
        <is>
          <t>Non</t>
        </is>
      </c>
      <c r="L957">
        <f>SUBTOTAL(103,A957)</f>
        <v>1</v>
      </c>
    </row>
    <row r="958">
      <c r="A958" t="inlineStr">
        <is>
          <t>SOCIETE C208</t>
        </is>
      </c>
      <c r="B958" t="inlineStr">
        <is>
          <t>C208</t>
        </is>
      </c>
      <c r="C958" t="inlineStr">
        <is>
          <t>SME</t>
        </is>
      </c>
      <c r="D958" t="inlineStr">
        <is>
          <t>I</t>
        </is>
      </c>
      <c r="E958" t="inlineStr">
        <is>
          <t>Stage 1</t>
        </is>
      </c>
      <c r="F958" t="inlineStr">
        <is>
          <t>N/A</t>
        </is>
      </c>
      <c r="G958" s="26">
        <v>2226736165</v>
      </c>
      <c r="H958" s="26">
        <v>22267362</v>
      </c>
      <c r="I958" s="26">
        <v>69874402</v>
      </c>
      <c r="J958" s="26">
        <v>114</v>
      </c>
      <c r="K958" t="inlineStr">
        <is>
          <t>Non</t>
        </is>
      </c>
      <c r="L958">
        <f>SUBTOTAL(103,A958)</f>
        <v>1</v>
      </c>
    </row>
    <row r="959">
      <c r="A959" t="inlineStr">
        <is>
          <t>SOCIETE C1291</t>
        </is>
      </c>
      <c r="B959" t="inlineStr">
        <is>
          <t>C1291</t>
        </is>
      </c>
      <c r="C959" t="inlineStr">
        <is>
          <t>CORPORATE BANKING</t>
        </is>
      </c>
      <c r="D959" t="inlineStr">
        <is>
          <t>II</t>
        </is>
      </c>
      <c r="E959" t="inlineStr">
        <is>
          <t>Stage 2</t>
        </is>
      </c>
      <c r="F959" t="inlineStr">
        <is>
          <t>N/A</t>
        </is>
      </c>
      <c r="G959" s="26">
        <v>74730778</v>
      </c>
      <c r="H959" s="26">
        <v>4483847</v>
      </c>
      <c r="I959" s="26">
        <v>5643096</v>
      </c>
      <c r="J959" s="26">
        <v>221</v>
      </c>
      <c r="K959" t="inlineStr">
        <is>
          <t>Non</t>
        </is>
      </c>
      <c r="L959">
        <f>SUBTOTAL(103,A959)</f>
        <v>1</v>
      </c>
    </row>
    <row r="960">
      <c r="A960" t="inlineStr">
        <is>
          <t>SOCIETE C1892</t>
        </is>
      </c>
      <c r="B960" t="inlineStr">
        <is>
          <t>C1892</t>
        </is>
      </c>
      <c r="C960" t="inlineStr">
        <is>
          <t>PUBLIC SECTOR</t>
        </is>
      </c>
      <c r="D960" t="inlineStr">
        <is>
          <t>III</t>
        </is>
      </c>
      <c r="E960" t="inlineStr">
        <is>
          <t>Stage 3</t>
        </is>
      </c>
      <c r="F960" t="inlineStr">
        <is>
          <t>N/A</t>
        </is>
      </c>
      <c r="G960" s="26">
        <v>532029904</v>
      </c>
      <c r="H960" s="26">
        <v>292616447</v>
      </c>
      <c r="I960" s="26">
        <v>83540865</v>
      </c>
      <c r="J960" s="26">
        <v>30</v>
      </c>
      <c r="K960" t="inlineStr">
        <is>
          <t>Oui</t>
        </is>
      </c>
      <c r="L960">
        <f>SUBTOTAL(103,A960)</f>
        <v>1</v>
      </c>
    </row>
    <row r="961">
      <c r="A961" t="inlineStr">
        <is>
          <t>SOCIETE C2482</t>
        </is>
      </c>
      <c r="B961" t="inlineStr">
        <is>
          <t>C2482</t>
        </is>
      </c>
      <c r="C961" t="inlineStr">
        <is>
          <t>COMMERCIAL BANKING</t>
        </is>
      </c>
      <c r="D961" t="inlineStr">
        <is>
          <t>IA</t>
        </is>
      </c>
      <c r="E961" t="inlineStr">
        <is>
          <t>Stage 2</t>
        </is>
      </c>
      <c r="F961" t="inlineStr">
        <is>
          <t>N/A</t>
        </is>
      </c>
      <c r="G961" s="26">
        <v>647419186</v>
      </c>
      <c r="H961" s="26">
        <v>38845151</v>
      </c>
      <c r="I961" s="26">
        <v>57933261</v>
      </c>
      <c r="J961" s="26">
        <v>109</v>
      </c>
      <c r="K961" t="inlineStr">
        <is>
          <t>Non</t>
        </is>
      </c>
      <c r="L961">
        <f>SUBTOTAL(103,A961)</f>
        <v>1</v>
      </c>
    </row>
    <row r="962">
      <c r="A962" t="inlineStr">
        <is>
          <t>SOCIETE C1697</t>
        </is>
      </c>
      <c r="B962" t="inlineStr">
        <is>
          <t>C1697</t>
        </is>
      </c>
      <c r="C962" t="inlineStr">
        <is>
          <t>CORPORATE BANKING</t>
        </is>
      </c>
      <c r="D962" t="inlineStr">
        <is>
          <t>I</t>
        </is>
      </c>
      <c r="E962" t="inlineStr">
        <is>
          <t>Stage 1</t>
        </is>
      </c>
      <c r="F962" t="inlineStr">
        <is>
          <t>N/A</t>
        </is>
      </c>
      <c r="G962" s="26">
        <v>395357769</v>
      </c>
      <c r="H962" s="26">
        <v>3953578</v>
      </c>
      <c r="I962" s="26">
        <v>0</v>
      </c>
      <c r="J962" s="26">
        <v>6</v>
      </c>
      <c r="K962" t="inlineStr">
        <is>
          <t>Non</t>
        </is>
      </c>
      <c r="L962">
        <f>SUBTOTAL(103,A962)</f>
        <v>1</v>
      </c>
    </row>
    <row r="963">
      <c r="A963" t="inlineStr">
        <is>
          <t>SOCIETE C2277</t>
        </is>
      </c>
      <c r="B963" t="inlineStr">
        <is>
          <t>C2277</t>
        </is>
      </c>
      <c r="C963" t="inlineStr">
        <is>
          <t>SME</t>
        </is>
      </c>
      <c r="D963" t="inlineStr">
        <is>
          <t>IA</t>
        </is>
      </c>
      <c r="E963" t="inlineStr">
        <is>
          <t>Stage 2</t>
        </is>
      </c>
      <c r="F963" t="inlineStr">
        <is>
          <t>N/A</t>
        </is>
      </c>
      <c r="G963" s="26">
        <v>1536510</v>
      </c>
      <c r="H963" s="26">
        <v>92191</v>
      </c>
      <c r="I963" s="26">
        <v>0</v>
      </c>
      <c r="J963" s="26">
        <v>47</v>
      </c>
      <c r="K963" t="inlineStr">
        <is>
          <t>Non</t>
        </is>
      </c>
      <c r="L963">
        <f>SUBTOTAL(103,A963)</f>
        <v>1</v>
      </c>
    </row>
    <row r="964">
      <c r="A964" t="inlineStr">
        <is>
          <t>SOCIETE C1465</t>
        </is>
      </c>
      <c r="B964" t="inlineStr">
        <is>
          <t>C1465</t>
        </is>
      </c>
      <c r="C964" t="inlineStr">
        <is>
          <t>INSTITUTIONAL</t>
        </is>
      </c>
      <c r="D964" t="inlineStr">
        <is>
          <t>IV</t>
        </is>
      </c>
      <c r="E964" t="inlineStr">
        <is>
          <t>Stage 3</t>
        </is>
      </c>
      <c r="F964" t="inlineStr">
        <is>
          <t>N/A</t>
        </is>
      </c>
      <c r="G964" s="26">
        <v>694435480</v>
      </c>
      <c r="H964" s="26">
        <v>381939514</v>
      </c>
      <c r="I964" s="26">
        <v>0</v>
      </c>
      <c r="J964" s="26">
        <v>221</v>
      </c>
      <c r="K964" t="inlineStr">
        <is>
          <t>Oui</t>
        </is>
      </c>
      <c r="L964">
        <f>SUBTOTAL(103,A964)</f>
        <v>1</v>
      </c>
    </row>
    <row r="965">
      <c r="A965" t="inlineStr">
        <is>
          <t>SOCIETE C393</t>
        </is>
      </c>
      <c r="B965" t="inlineStr">
        <is>
          <t>C393</t>
        </is>
      </c>
      <c r="C965" t="inlineStr">
        <is>
          <t>CORPORATE BANKING</t>
        </is>
      </c>
      <c r="D965" t="inlineStr">
        <is>
          <t>I</t>
        </is>
      </c>
      <c r="E965" t="inlineStr">
        <is>
          <t>Stage 1</t>
        </is>
      </c>
      <c r="F965" t="inlineStr">
        <is>
          <t>N/A</t>
        </is>
      </c>
      <c r="G965" s="26">
        <v>1218132091</v>
      </c>
      <c r="H965" s="26">
        <v>12181321</v>
      </c>
      <c r="I965" s="26">
        <v>236199086</v>
      </c>
      <c r="J965" s="26">
        <v>15</v>
      </c>
      <c r="K965" t="inlineStr">
        <is>
          <t>Non</t>
        </is>
      </c>
      <c r="L965">
        <f>SUBTOTAL(103,A965)</f>
        <v>1</v>
      </c>
    </row>
    <row r="966">
      <c r="A966" t="inlineStr">
        <is>
          <t>SOCIETE C399</t>
        </is>
      </c>
      <c r="B966" t="inlineStr">
        <is>
          <t>C399</t>
        </is>
      </c>
      <c r="C966" t="inlineStr">
        <is>
          <t>CORPORATE BANKING</t>
        </is>
      </c>
      <c r="D966" t="inlineStr">
        <is>
          <t>II</t>
        </is>
      </c>
      <c r="E966" t="inlineStr">
        <is>
          <t>Stage 2</t>
        </is>
      </c>
      <c r="F966" t="inlineStr">
        <is>
          <t>N/A</t>
        </is>
      </c>
      <c r="G966" s="26">
        <v>402948311</v>
      </c>
      <c r="H966" s="26">
        <v>24176899</v>
      </c>
      <c r="I966" s="26">
        <v>0</v>
      </c>
      <c r="J966" s="26">
        <v>193</v>
      </c>
      <c r="K966" t="inlineStr">
        <is>
          <t>Non</t>
        </is>
      </c>
      <c r="L966">
        <f>SUBTOTAL(103,A966)</f>
        <v>1</v>
      </c>
    </row>
    <row r="967">
      <c r="A967" t="inlineStr">
        <is>
          <t>SOCIETE C500</t>
        </is>
      </c>
      <c r="B967" t="inlineStr">
        <is>
          <t>C500</t>
        </is>
      </c>
      <c r="C967" t="inlineStr">
        <is>
          <t>PUBLIC SECTOR</t>
        </is>
      </c>
      <c r="D967" t="inlineStr">
        <is>
          <t>IA</t>
        </is>
      </c>
      <c r="E967" t="inlineStr">
        <is>
          <t>Stage 2</t>
        </is>
      </c>
      <c r="F967" t="inlineStr">
        <is>
          <t>N/A</t>
        </is>
      </c>
      <c r="G967" s="26">
        <v>74129636</v>
      </c>
      <c r="H967" s="26">
        <v>4447778</v>
      </c>
      <c r="I967" s="26">
        <v>0</v>
      </c>
      <c r="J967" s="26">
        <v>27</v>
      </c>
      <c r="K967" t="inlineStr">
        <is>
          <t>Non</t>
        </is>
      </c>
      <c r="L967">
        <f>SUBTOTAL(103,A967)</f>
        <v>1</v>
      </c>
    </row>
    <row r="968">
      <c r="A968" t="inlineStr">
        <is>
          <t>SOCIETE C403</t>
        </is>
      </c>
      <c r="B968" t="inlineStr">
        <is>
          <t>C403</t>
        </is>
      </c>
      <c r="C968" t="inlineStr">
        <is>
          <t>CORPORATE BANKING</t>
        </is>
      </c>
      <c r="D968" t="inlineStr">
        <is>
          <t>III</t>
        </is>
      </c>
      <c r="E968" t="inlineStr">
        <is>
          <t>Stage 3</t>
        </is>
      </c>
      <c r="F968" t="inlineStr">
        <is>
          <t>N/A</t>
        </is>
      </c>
      <c r="G968" s="26">
        <v>2058298727</v>
      </c>
      <c r="H968" s="26">
        <v>1132064300</v>
      </c>
      <c r="I968" s="26">
        <v>0</v>
      </c>
      <c r="J968" s="26">
        <v>55</v>
      </c>
      <c r="K968" t="inlineStr">
        <is>
          <t>Oui</t>
        </is>
      </c>
      <c r="L968">
        <f>SUBTOTAL(103,A968)</f>
        <v>1</v>
      </c>
    </row>
    <row r="969">
      <c r="A969" t="inlineStr">
        <is>
          <t>SOCIETE C306</t>
        </is>
      </c>
      <c r="B969" t="inlineStr">
        <is>
          <t>C306</t>
        </is>
      </c>
      <c r="C969" t="inlineStr">
        <is>
          <t>CORPORATE BANKING</t>
        </is>
      </c>
      <c r="D969" t="inlineStr">
        <is>
          <t>IV</t>
        </is>
      </c>
      <c r="E969" t="inlineStr">
        <is>
          <t>Stage 3</t>
        </is>
      </c>
      <c r="F969" t="inlineStr">
        <is>
          <t>N/A</t>
        </is>
      </c>
      <c r="G969" s="26">
        <v>482877233</v>
      </c>
      <c r="H969" s="26">
        <v>265582478</v>
      </c>
      <c r="I969" s="26">
        <v>0</v>
      </c>
      <c r="J969" s="26">
        <v>77</v>
      </c>
      <c r="K969" t="inlineStr">
        <is>
          <t>Oui</t>
        </is>
      </c>
      <c r="L969">
        <f>SUBTOTAL(103,A969)</f>
        <v>1</v>
      </c>
    </row>
    <row r="970">
      <c r="A970" t="inlineStr">
        <is>
          <t>SOCIETE C440</t>
        </is>
      </c>
      <c r="B970" t="inlineStr">
        <is>
          <t>C440</t>
        </is>
      </c>
      <c r="C970" t="inlineStr">
        <is>
          <t>CORPORATE BANKING</t>
        </is>
      </c>
      <c r="D970" t="inlineStr">
        <is>
          <t>IA</t>
        </is>
      </c>
      <c r="E970" t="inlineStr">
        <is>
          <t>Stage 2</t>
        </is>
      </c>
      <c r="F970" t="inlineStr">
        <is>
          <t>N/A</t>
        </is>
      </c>
      <c r="G970" s="26">
        <v>341213500</v>
      </c>
      <c r="H970" s="26">
        <v>20472810</v>
      </c>
      <c r="I970" s="26">
        <v>0</v>
      </c>
      <c r="J970" s="26">
        <v>69</v>
      </c>
      <c r="K970" t="inlineStr">
        <is>
          <t>Non</t>
        </is>
      </c>
      <c r="L970">
        <f>SUBTOTAL(103,A970)</f>
        <v>1</v>
      </c>
    </row>
    <row r="971">
      <c r="A971" t="inlineStr">
        <is>
          <t>SOCIETE C1183</t>
        </is>
      </c>
      <c r="B971" t="inlineStr">
        <is>
          <t>C1183</t>
        </is>
      </c>
      <c r="C971" t="inlineStr">
        <is>
          <t>PUBLIC SECTOR</t>
        </is>
      </c>
      <c r="D971" t="inlineStr">
        <is>
          <t>IV</t>
        </is>
      </c>
      <c r="E971" t="inlineStr">
        <is>
          <t>Stage 3</t>
        </is>
      </c>
      <c r="F971" t="inlineStr">
        <is>
          <t>N/A</t>
        </is>
      </c>
      <c r="G971" s="26">
        <v>48133969</v>
      </c>
      <c r="H971" s="26">
        <v>26473683</v>
      </c>
      <c r="I971" s="26">
        <v>3606571</v>
      </c>
      <c r="J971" s="26">
        <v>123</v>
      </c>
      <c r="K971" t="inlineStr">
        <is>
          <t>Oui</t>
        </is>
      </c>
      <c r="L971">
        <f>SUBTOTAL(103,A971)</f>
        <v>1</v>
      </c>
    </row>
    <row r="972">
      <c r="A972" t="inlineStr">
        <is>
          <t>SOCIETE C960</t>
        </is>
      </c>
      <c r="B972" t="inlineStr">
        <is>
          <t>C960</t>
        </is>
      </c>
      <c r="C972" t="inlineStr">
        <is>
          <t>CONSUMER BANKING</t>
        </is>
      </c>
      <c r="D972" t="inlineStr">
        <is>
          <t>IA</t>
        </is>
      </c>
      <c r="E972" t="inlineStr">
        <is>
          <t>Stage 2</t>
        </is>
      </c>
      <c r="F972" t="inlineStr">
        <is>
          <t>N/A</t>
        </is>
      </c>
      <c r="G972" s="26">
        <v>1165562790</v>
      </c>
      <c r="H972" s="26">
        <v>69933767</v>
      </c>
      <c r="I972" s="26">
        <v>0</v>
      </c>
      <c r="J972" s="26">
        <v>3</v>
      </c>
      <c r="K972" t="inlineStr">
        <is>
          <t>Non</t>
        </is>
      </c>
      <c r="L972">
        <f>SUBTOTAL(103,A972)</f>
        <v>1</v>
      </c>
    </row>
    <row r="973">
      <c r="A973" t="inlineStr">
        <is>
          <t>SOCIETE C748</t>
        </is>
      </c>
      <c r="B973" t="inlineStr">
        <is>
          <t>C748</t>
        </is>
      </c>
      <c r="C973" t="inlineStr">
        <is>
          <t>CORPORATE BANKING</t>
        </is>
      </c>
      <c r="D973" t="inlineStr">
        <is>
          <t>IV</t>
        </is>
      </c>
      <c r="E973" t="inlineStr">
        <is>
          <t>Stage 3</t>
        </is>
      </c>
      <c r="F973" t="inlineStr">
        <is>
          <t>N/A</t>
        </is>
      </c>
      <c r="G973" s="26">
        <v>1222875458</v>
      </c>
      <c r="H973" s="26">
        <v>672581502</v>
      </c>
      <c r="I973" s="26">
        <v>0</v>
      </c>
      <c r="J973" s="26">
        <v>8</v>
      </c>
      <c r="K973" t="inlineStr">
        <is>
          <t>Oui</t>
        </is>
      </c>
      <c r="L973">
        <f>SUBTOTAL(103,A973)</f>
        <v>1</v>
      </c>
    </row>
    <row r="974">
      <c r="A974" t="inlineStr">
        <is>
          <t>SOCIETE C2312</t>
        </is>
      </c>
      <c r="B974" t="inlineStr">
        <is>
          <t>C2312</t>
        </is>
      </c>
      <c r="C974" t="inlineStr">
        <is>
          <t>COMMERCIAL BANKING</t>
        </is>
      </c>
      <c r="D974" t="inlineStr">
        <is>
          <t>V</t>
        </is>
      </c>
      <c r="E974" t="inlineStr">
        <is>
          <t>Stage 3</t>
        </is>
      </c>
      <c r="F974" t="inlineStr">
        <is>
          <t>N/A</t>
        </is>
      </c>
      <c r="G974" s="26">
        <v>972847796</v>
      </c>
      <c r="H974" s="26">
        <v>535066288</v>
      </c>
      <c r="I974" s="26">
        <v>26096106</v>
      </c>
      <c r="J974" s="26">
        <v>7</v>
      </c>
      <c r="K974" t="inlineStr">
        <is>
          <t>Oui</t>
        </is>
      </c>
      <c r="L974">
        <f>SUBTOTAL(103,A974)</f>
        <v>1</v>
      </c>
    </row>
    <row r="975">
      <c r="A975" t="inlineStr">
        <is>
          <t>SOCIETE C1085</t>
        </is>
      </c>
      <c r="B975" t="inlineStr">
        <is>
          <t>C1085</t>
        </is>
      </c>
      <c r="C975" t="inlineStr">
        <is>
          <t>CORPORATE BANKING</t>
        </is>
      </c>
      <c r="D975" t="inlineStr">
        <is>
          <t>III</t>
        </is>
      </c>
      <c r="E975" t="inlineStr">
        <is>
          <t>Stage 3</t>
        </is>
      </c>
      <c r="F975" t="inlineStr">
        <is>
          <t>N/A</t>
        </is>
      </c>
      <c r="G975" s="26">
        <v>420626101</v>
      </c>
      <c r="H975" s="26">
        <v>231344355</v>
      </c>
      <c r="I975" s="26">
        <v>0</v>
      </c>
      <c r="J975" s="26">
        <v>219</v>
      </c>
      <c r="K975" t="inlineStr">
        <is>
          <t>Oui</t>
        </is>
      </c>
      <c r="L975">
        <f>SUBTOTAL(103,A975)</f>
        <v>1</v>
      </c>
    </row>
    <row r="976">
      <c r="A976" t="inlineStr">
        <is>
          <t>SOCIETE C1736</t>
        </is>
      </c>
      <c r="B976" t="inlineStr">
        <is>
          <t>C1736</t>
        </is>
      </c>
      <c r="C976" t="inlineStr">
        <is>
          <t>CORPORATE BANKING</t>
        </is>
      </c>
      <c r="D976" t="inlineStr">
        <is>
          <t>I</t>
        </is>
      </c>
      <c r="E976" t="inlineStr">
        <is>
          <t>Stage 1</t>
        </is>
      </c>
      <c r="F976" t="inlineStr">
        <is>
          <t>N/A</t>
        </is>
      </c>
      <c r="G976" s="26">
        <v>1004112</v>
      </c>
      <c r="H976" s="26">
        <v>10041</v>
      </c>
      <c r="I976" s="26">
        <v>34229</v>
      </c>
      <c r="J976" s="26">
        <v>26</v>
      </c>
      <c r="K976" t="inlineStr">
        <is>
          <t>Non</t>
        </is>
      </c>
      <c r="L976">
        <f>SUBTOTAL(103,A976)</f>
        <v>1</v>
      </c>
    </row>
    <row r="977">
      <c r="A977" t="inlineStr">
        <is>
          <t>SOCIETE C1215</t>
        </is>
      </c>
      <c r="B977" t="inlineStr">
        <is>
          <t>C1215</t>
        </is>
      </c>
      <c r="C977" t="inlineStr">
        <is>
          <t>CORPORATE BANKING</t>
        </is>
      </c>
      <c r="D977" t="inlineStr">
        <is>
          <t>II</t>
        </is>
      </c>
      <c r="E977" t="inlineStr">
        <is>
          <t>Stage 2</t>
        </is>
      </c>
      <c r="F977" t="inlineStr">
        <is>
          <t>N/A</t>
        </is>
      </c>
      <c r="G977" s="26">
        <v>190924351</v>
      </c>
      <c r="H977" s="26">
        <v>11455461</v>
      </c>
      <c r="I977" s="26">
        <v>0</v>
      </c>
      <c r="J977" s="26">
        <v>8</v>
      </c>
      <c r="K977" t="inlineStr">
        <is>
          <t>Non</t>
        </is>
      </c>
      <c r="L977">
        <f>SUBTOTAL(103,A977)</f>
        <v>1</v>
      </c>
    </row>
    <row r="978">
      <c r="A978" t="inlineStr">
        <is>
          <t>SOCIETE C1900</t>
        </is>
      </c>
      <c r="B978" t="inlineStr">
        <is>
          <t>C1900</t>
        </is>
      </c>
      <c r="C978" t="inlineStr">
        <is>
          <t>COMMERCIAL BANKING</t>
        </is>
      </c>
      <c r="D978" t="inlineStr">
        <is>
          <t>I</t>
        </is>
      </c>
      <c r="E978" t="inlineStr">
        <is>
          <t>Stage 1</t>
        </is>
      </c>
      <c r="F978" t="inlineStr">
        <is>
          <t>N/A</t>
        </is>
      </c>
      <c r="G978" s="26">
        <v>1968280507</v>
      </c>
      <c r="H978" s="26">
        <v>19682805</v>
      </c>
      <c r="I978" s="26">
        <v>0</v>
      </c>
      <c r="J978" s="26">
        <v>23</v>
      </c>
      <c r="K978" t="inlineStr">
        <is>
          <t>Non</t>
        </is>
      </c>
      <c r="L978">
        <f>SUBTOTAL(103,A978)</f>
        <v>1</v>
      </c>
    </row>
    <row r="979">
      <c r="A979" t="inlineStr">
        <is>
          <t>SOCIETE C861</t>
        </is>
      </c>
      <c r="B979" t="inlineStr">
        <is>
          <t>C861</t>
        </is>
      </c>
      <c r="C979" t="inlineStr">
        <is>
          <t>INSTITUTIONAL</t>
        </is>
      </c>
      <c r="D979" t="inlineStr">
        <is>
          <t>V</t>
        </is>
      </c>
      <c r="E979" t="inlineStr">
        <is>
          <t>Stage 3</t>
        </is>
      </c>
      <c r="F979" t="inlineStr">
        <is>
          <t>N/A</t>
        </is>
      </c>
      <c r="G979" s="26">
        <v>505080988</v>
      </c>
      <c r="H979" s="26">
        <v>277794543</v>
      </c>
      <c r="I979" s="26">
        <v>39751690</v>
      </c>
      <c r="J979" s="26">
        <v>166</v>
      </c>
      <c r="K979" t="inlineStr">
        <is>
          <t>Oui</t>
        </is>
      </c>
      <c r="L979">
        <f>SUBTOTAL(103,A979)</f>
        <v>1</v>
      </c>
    </row>
    <row r="980">
      <c r="A980" t="inlineStr">
        <is>
          <t>SOCIETE C959</t>
        </is>
      </c>
      <c r="B980" t="inlineStr">
        <is>
          <t>C959</t>
        </is>
      </c>
      <c r="C980" t="inlineStr">
        <is>
          <t>COMMERCIAL BANKING</t>
        </is>
      </c>
      <c r="D980" t="inlineStr">
        <is>
          <t>III</t>
        </is>
      </c>
      <c r="E980" t="inlineStr">
        <is>
          <t>Stage 3</t>
        </is>
      </c>
      <c r="F980" t="inlineStr">
        <is>
          <t>N/A</t>
        </is>
      </c>
      <c r="G980" s="26">
        <v>550752653</v>
      </c>
      <c r="H980" s="26">
        <v>302913959</v>
      </c>
      <c r="I980" s="26">
        <v>96277491</v>
      </c>
      <c r="J980" s="26">
        <v>17</v>
      </c>
      <c r="K980" t="inlineStr">
        <is>
          <t>Oui</t>
        </is>
      </c>
      <c r="L980">
        <f>SUBTOTAL(103,A980)</f>
        <v>1</v>
      </c>
    </row>
    <row r="981">
      <c r="A981" t="inlineStr">
        <is>
          <t>SOCIETE C1700</t>
        </is>
      </c>
      <c r="B981" t="inlineStr">
        <is>
          <t>C1700</t>
        </is>
      </c>
      <c r="C981" t="inlineStr">
        <is>
          <t>SME</t>
        </is>
      </c>
      <c r="D981" t="inlineStr">
        <is>
          <t>V</t>
        </is>
      </c>
      <c r="E981" t="inlineStr">
        <is>
          <t>Stage 3</t>
        </is>
      </c>
      <c r="F981" t="inlineStr">
        <is>
          <t>N/A</t>
        </is>
      </c>
      <c r="G981" s="26">
        <v>2498007795</v>
      </c>
      <c r="H981" s="26">
        <v>1373904287</v>
      </c>
      <c r="I981" s="26">
        <v>0</v>
      </c>
      <c r="J981" s="26">
        <v>58</v>
      </c>
      <c r="K981" t="inlineStr">
        <is>
          <t>Oui</t>
        </is>
      </c>
      <c r="L981">
        <f>SUBTOTAL(103,A981)</f>
        <v>1</v>
      </c>
    </row>
    <row r="982">
      <c r="A982" t="inlineStr">
        <is>
          <t>SOCIETE C1992</t>
        </is>
      </c>
      <c r="B982" t="inlineStr">
        <is>
          <t>C1992</t>
        </is>
      </c>
      <c r="C982" t="inlineStr">
        <is>
          <t>PUBLIC SECTOR</t>
        </is>
      </c>
      <c r="D982" t="inlineStr">
        <is>
          <t>I</t>
        </is>
      </c>
      <c r="E982" t="inlineStr">
        <is>
          <t>Stage 1</t>
        </is>
      </c>
      <c r="F982" t="inlineStr">
        <is>
          <t>N/A</t>
        </is>
      </c>
      <c r="G982" s="26">
        <v>40982442</v>
      </c>
      <c r="H982" s="26">
        <v>409824</v>
      </c>
      <c r="I982" s="26">
        <v>1402943</v>
      </c>
      <c r="J982" s="26">
        <v>262</v>
      </c>
      <c r="K982" t="inlineStr">
        <is>
          <t>Non</t>
        </is>
      </c>
      <c r="L982">
        <f>SUBTOTAL(103,A982)</f>
        <v>1</v>
      </c>
    </row>
    <row r="983">
      <c r="A983" t="inlineStr">
        <is>
          <t>SOCIETE C1852</t>
        </is>
      </c>
      <c r="B983" t="inlineStr">
        <is>
          <t>C1852</t>
        </is>
      </c>
      <c r="C983" t="inlineStr">
        <is>
          <t>INSTITUTIONAL</t>
        </is>
      </c>
      <c r="D983" t="inlineStr">
        <is>
          <t>I</t>
        </is>
      </c>
      <c r="E983" t="inlineStr">
        <is>
          <t>Stage 1</t>
        </is>
      </c>
      <c r="F983" t="inlineStr">
        <is>
          <t>N/A</t>
        </is>
      </c>
      <c r="G983" s="26">
        <v>71793288</v>
      </c>
      <c r="H983" s="26">
        <v>717933</v>
      </c>
      <c r="I983" s="26">
        <v>0</v>
      </c>
      <c r="J983" s="26">
        <v>144</v>
      </c>
      <c r="K983" t="inlineStr">
        <is>
          <t>Non</t>
        </is>
      </c>
      <c r="L983">
        <f>SUBTOTAL(103,A983)</f>
        <v>1</v>
      </c>
    </row>
    <row r="984">
      <c r="A984" t="inlineStr">
        <is>
          <t>SOCIETE C1041</t>
        </is>
      </c>
      <c r="B984" t="inlineStr">
        <is>
          <t>C1041</t>
        </is>
      </c>
      <c r="C984" t="inlineStr">
        <is>
          <t>COMMERCIAL BANKING</t>
        </is>
      </c>
      <c r="D984" t="inlineStr">
        <is>
          <t>I</t>
        </is>
      </c>
      <c r="E984" t="inlineStr">
        <is>
          <t>Stage 1</t>
        </is>
      </c>
      <c r="F984" t="inlineStr">
        <is>
          <t>N/A</t>
        </is>
      </c>
      <c r="G984" s="26">
        <v>982856908</v>
      </c>
      <c r="H984" s="26">
        <v>9828569</v>
      </c>
      <c r="I984" s="26">
        <v>69186473</v>
      </c>
      <c r="J984" s="26">
        <v>169</v>
      </c>
      <c r="K984" t="inlineStr">
        <is>
          <t>Non</t>
        </is>
      </c>
      <c r="L984">
        <f>SUBTOTAL(103,A984)</f>
        <v>1</v>
      </c>
    </row>
    <row r="985">
      <c r="A985" t="inlineStr">
        <is>
          <t>SOCIETE C774</t>
        </is>
      </c>
      <c r="B985" t="inlineStr">
        <is>
          <t>C774</t>
        </is>
      </c>
      <c r="C985" t="inlineStr">
        <is>
          <t>CORPORATE BANKING</t>
        </is>
      </c>
      <c r="D985" t="inlineStr">
        <is>
          <t>III</t>
        </is>
      </c>
      <c r="E985" t="inlineStr">
        <is>
          <t>Stage 3</t>
        </is>
      </c>
      <c r="F985" t="inlineStr">
        <is>
          <t>N/A</t>
        </is>
      </c>
      <c r="G985" s="26">
        <v>1259427550</v>
      </c>
      <c r="H985" s="26">
        <v>692685152</v>
      </c>
      <c r="I985" s="26">
        <v>0</v>
      </c>
      <c r="J985" s="26">
        <v>107</v>
      </c>
      <c r="K985" t="inlineStr">
        <is>
          <t>Oui</t>
        </is>
      </c>
      <c r="L985">
        <f>SUBTOTAL(103,A985)</f>
        <v>1</v>
      </c>
    </row>
    <row r="986">
      <c r="A986" t="inlineStr">
        <is>
          <t>SOCIETE C1701</t>
        </is>
      </c>
      <c r="B986" t="inlineStr">
        <is>
          <t>C1701</t>
        </is>
      </c>
      <c r="C986" t="inlineStr">
        <is>
          <t>PUBLIC SECTOR</t>
        </is>
      </c>
      <c r="D986" t="inlineStr">
        <is>
          <t>I</t>
        </is>
      </c>
      <c r="E986" t="inlineStr">
        <is>
          <t>Stage 1</t>
        </is>
      </c>
      <c r="F986" t="inlineStr">
        <is>
          <t>N/A</t>
        </is>
      </c>
      <c r="G986" s="26">
        <v>246183290</v>
      </c>
      <c r="H986" s="26">
        <v>2461833</v>
      </c>
      <c r="I986" s="26">
        <v>0</v>
      </c>
      <c r="J986" s="26">
        <v>21</v>
      </c>
      <c r="K986" t="inlineStr">
        <is>
          <t>Non</t>
        </is>
      </c>
      <c r="L986">
        <f>SUBTOTAL(103,A986)</f>
        <v>1</v>
      </c>
    </row>
    <row r="987">
      <c r="A987" t="inlineStr">
        <is>
          <t>SOCIETE C1987</t>
        </is>
      </c>
      <c r="B987" t="inlineStr">
        <is>
          <t>C1987</t>
        </is>
      </c>
      <c r="C987" t="inlineStr">
        <is>
          <t>PUBLIC SECTOR</t>
        </is>
      </c>
      <c r="D987" t="inlineStr">
        <is>
          <t>I</t>
        </is>
      </c>
      <c r="E987" t="inlineStr">
        <is>
          <t>Stage 1</t>
        </is>
      </c>
      <c r="F987" t="inlineStr">
        <is>
          <t>N/A</t>
        </is>
      </c>
      <c r="G987" s="26">
        <v>1006710</v>
      </c>
      <c r="H987" s="26">
        <v>10067</v>
      </c>
      <c r="I987" s="26">
        <v>0</v>
      </c>
      <c r="J987" s="26">
        <v>204</v>
      </c>
      <c r="K987" t="inlineStr">
        <is>
          <t>Non</t>
        </is>
      </c>
      <c r="L987">
        <f>SUBTOTAL(103,A987)</f>
        <v>1</v>
      </c>
    </row>
    <row r="988">
      <c r="A988" t="inlineStr">
        <is>
          <t>SOCIETE C1063</t>
        </is>
      </c>
      <c r="B988" t="inlineStr">
        <is>
          <t>C1063</t>
        </is>
      </c>
      <c r="C988" t="inlineStr">
        <is>
          <t>CORPORATE BANKING</t>
        </is>
      </c>
      <c r="D988" t="inlineStr">
        <is>
          <t>IA</t>
        </is>
      </c>
      <c r="E988" t="inlineStr">
        <is>
          <t>Stage 2</t>
        </is>
      </c>
      <c r="F988" t="inlineStr">
        <is>
          <t>N/A</t>
        </is>
      </c>
      <c r="G988" s="26">
        <v>2364814096</v>
      </c>
      <c r="H988" s="26">
        <v>141888846</v>
      </c>
      <c r="I988" s="26">
        <v>0</v>
      </c>
      <c r="J988" s="26">
        <v>13</v>
      </c>
      <c r="K988" t="inlineStr">
        <is>
          <t>Non</t>
        </is>
      </c>
      <c r="L988">
        <f>SUBTOTAL(103,A988)</f>
        <v>1</v>
      </c>
    </row>
    <row r="989">
      <c r="A989" t="inlineStr">
        <is>
          <t>SOCIETE C1089</t>
        </is>
      </c>
      <c r="B989" t="inlineStr">
        <is>
          <t>C1089</t>
        </is>
      </c>
      <c r="C989" t="inlineStr">
        <is>
          <t>CONSUMER BANKING</t>
        </is>
      </c>
      <c r="D989" t="inlineStr">
        <is>
          <t>I</t>
        </is>
      </c>
      <c r="E989" t="inlineStr">
        <is>
          <t>Stage 1</t>
        </is>
      </c>
      <c r="F989" t="inlineStr">
        <is>
          <t>N/A</t>
        </is>
      </c>
      <c r="G989" s="26">
        <v>23348034</v>
      </c>
      <c r="H989" s="26">
        <v>233480</v>
      </c>
      <c r="I989" s="26">
        <v>0</v>
      </c>
      <c r="J989" s="26">
        <v>21</v>
      </c>
      <c r="K989" t="inlineStr">
        <is>
          <t>Non</t>
        </is>
      </c>
      <c r="L989">
        <f>SUBTOTAL(103,A989)</f>
        <v>1</v>
      </c>
    </row>
    <row r="990">
      <c r="A990" t="inlineStr">
        <is>
          <t>SOCIETE C647</t>
        </is>
      </c>
      <c r="B990" t="inlineStr">
        <is>
          <t>C647</t>
        </is>
      </c>
      <c r="C990" t="inlineStr">
        <is>
          <t>CORPORATE BANKING</t>
        </is>
      </c>
      <c r="D990" t="inlineStr">
        <is>
          <t>V</t>
        </is>
      </c>
      <c r="E990" t="inlineStr">
        <is>
          <t>Stage 3</t>
        </is>
      </c>
      <c r="F990" t="inlineStr">
        <is>
          <t>N/A</t>
        </is>
      </c>
      <c r="G990" s="26">
        <v>1514036730</v>
      </c>
      <c r="H990" s="26">
        <v>832720201</v>
      </c>
      <c r="I990" s="26">
        <v>0</v>
      </c>
      <c r="J990" s="26">
        <v>36</v>
      </c>
      <c r="K990" t="inlineStr">
        <is>
          <t>Oui</t>
        </is>
      </c>
      <c r="L990">
        <f>SUBTOTAL(103,A990)</f>
        <v>1</v>
      </c>
    </row>
    <row r="991">
      <c r="A991" t="inlineStr">
        <is>
          <t>SOCIETE C1605</t>
        </is>
      </c>
      <c r="B991" t="inlineStr">
        <is>
          <t>C1605</t>
        </is>
      </c>
      <c r="C991" t="inlineStr">
        <is>
          <t>CORPORATE BANKING</t>
        </is>
      </c>
      <c r="D991" t="inlineStr">
        <is>
          <t>IV</t>
        </is>
      </c>
      <c r="E991" t="inlineStr">
        <is>
          <t>Stage 3</t>
        </is>
      </c>
      <c r="F991" t="inlineStr">
        <is>
          <t>N/A</t>
        </is>
      </c>
      <c r="G991" s="26">
        <v>1272646</v>
      </c>
      <c r="H991" s="26">
        <v>699955</v>
      </c>
      <c r="I991" s="26">
        <v>0</v>
      </c>
      <c r="J991" s="26">
        <v>7</v>
      </c>
      <c r="K991" t="inlineStr">
        <is>
          <t>Oui</t>
        </is>
      </c>
      <c r="L991">
        <f>SUBTOTAL(103,A991)</f>
        <v>1</v>
      </c>
    </row>
    <row r="992">
      <c r="A992" t="inlineStr">
        <is>
          <t>SOCIETE C635</t>
        </is>
      </c>
      <c r="B992" t="inlineStr">
        <is>
          <t>C635</t>
        </is>
      </c>
      <c r="C992" t="inlineStr">
        <is>
          <t>CORPORATE BANKING</t>
        </is>
      </c>
      <c r="D992" t="inlineStr">
        <is>
          <t>I</t>
        </is>
      </c>
      <c r="E992" t="inlineStr">
        <is>
          <t>Stage 1</t>
        </is>
      </c>
      <c r="F992" t="inlineStr">
        <is>
          <t>N/A</t>
        </is>
      </c>
      <c r="G992" s="26">
        <v>1114983774</v>
      </c>
      <c r="H992" s="26">
        <v>11149838</v>
      </c>
      <c r="I992" s="26">
        <v>200759296</v>
      </c>
      <c r="J992" s="26">
        <v>366</v>
      </c>
      <c r="K992" t="inlineStr">
        <is>
          <t>Non</t>
        </is>
      </c>
      <c r="L992">
        <f>SUBTOTAL(103,A992)</f>
        <v>1</v>
      </c>
    </row>
    <row r="993">
      <c r="A993" t="inlineStr">
        <is>
          <t>SOCIETE C826</t>
        </is>
      </c>
      <c r="B993" t="inlineStr">
        <is>
          <t>C826</t>
        </is>
      </c>
      <c r="C993" t="inlineStr">
        <is>
          <t>CORPORATE BANKING</t>
        </is>
      </c>
      <c r="D993" t="inlineStr">
        <is>
          <t>IA</t>
        </is>
      </c>
      <c r="E993" t="inlineStr">
        <is>
          <t>Stage 2</t>
        </is>
      </c>
      <c r="F993" t="inlineStr">
        <is>
          <t>N/A</t>
        </is>
      </c>
      <c r="G993" s="26">
        <v>73372796</v>
      </c>
      <c r="H993" s="26">
        <v>4402368</v>
      </c>
      <c r="I993" s="26">
        <v>0</v>
      </c>
      <c r="J993" s="26">
        <v>25</v>
      </c>
      <c r="K993" t="inlineStr">
        <is>
          <t>Non</t>
        </is>
      </c>
      <c r="L993">
        <f>SUBTOTAL(103,A993)</f>
        <v>1</v>
      </c>
    </row>
    <row r="994">
      <c r="A994" t="inlineStr">
        <is>
          <t>SOCIETE C1094</t>
        </is>
      </c>
      <c r="B994" t="inlineStr">
        <is>
          <t>C1094</t>
        </is>
      </c>
      <c r="C994" t="inlineStr">
        <is>
          <t>PUBLIC SECTOR</t>
        </is>
      </c>
      <c r="D994" t="inlineStr">
        <is>
          <t>I</t>
        </is>
      </c>
      <c r="E994" t="inlineStr">
        <is>
          <t>Stage 1</t>
        </is>
      </c>
      <c r="F994" t="inlineStr">
        <is>
          <t>N/A</t>
        </is>
      </c>
      <c r="G994" s="26">
        <v>877280722</v>
      </c>
      <c r="H994" s="26">
        <v>8772807</v>
      </c>
      <c r="I994" s="26">
        <v>0</v>
      </c>
      <c r="J994" s="26">
        <v>46</v>
      </c>
      <c r="K994" t="inlineStr">
        <is>
          <t>Non</t>
        </is>
      </c>
      <c r="L994">
        <f>SUBTOTAL(103,A994)</f>
        <v>1</v>
      </c>
    </row>
    <row r="995">
      <c r="A995" t="inlineStr">
        <is>
          <t>SOCIETE C740</t>
        </is>
      </c>
      <c r="B995" t="inlineStr">
        <is>
          <t>C740</t>
        </is>
      </c>
      <c r="C995" t="inlineStr">
        <is>
          <t>COMMERCIAL BANKING</t>
        </is>
      </c>
      <c r="D995" t="inlineStr">
        <is>
          <t>I</t>
        </is>
      </c>
      <c r="E995" t="inlineStr">
        <is>
          <t>Stage 1</t>
        </is>
      </c>
      <c r="F995" t="inlineStr">
        <is>
          <t>N/A</t>
        </is>
      </c>
      <c r="G995" s="26">
        <v>87427740</v>
      </c>
      <c r="H995" s="26">
        <v>874277</v>
      </c>
      <c r="I995" s="26">
        <v>11166239</v>
      </c>
      <c r="J995" s="26">
        <v>307</v>
      </c>
      <c r="K995" t="inlineStr">
        <is>
          <t>Non</t>
        </is>
      </c>
      <c r="L995">
        <f>SUBTOTAL(103,A995)</f>
        <v>1</v>
      </c>
    </row>
    <row r="996">
      <c r="A996" t="inlineStr">
        <is>
          <t>SOCIETE C1585</t>
        </is>
      </c>
      <c r="B996" t="inlineStr">
        <is>
          <t>C1585</t>
        </is>
      </c>
      <c r="C996" t="inlineStr">
        <is>
          <t>CORPORATE BANKING</t>
        </is>
      </c>
      <c r="D996" t="inlineStr">
        <is>
          <t>IA</t>
        </is>
      </c>
      <c r="E996" t="inlineStr">
        <is>
          <t>Stage 2</t>
        </is>
      </c>
      <c r="F996" t="inlineStr">
        <is>
          <t>N/A</t>
        </is>
      </c>
      <c r="G996" s="26">
        <v>74059163</v>
      </c>
      <c r="H996" s="26">
        <v>4443550</v>
      </c>
      <c r="I996" s="26">
        <v>0</v>
      </c>
      <c r="J996" s="26">
        <v>62</v>
      </c>
      <c r="K996" t="inlineStr">
        <is>
          <t>Non</t>
        </is>
      </c>
      <c r="L996">
        <f>SUBTOTAL(103,A996)</f>
        <v>1</v>
      </c>
    </row>
    <row r="997">
      <c r="A997" t="inlineStr">
        <is>
          <t>SOCIETE C539</t>
        </is>
      </c>
      <c r="B997" t="inlineStr">
        <is>
          <t>C539</t>
        </is>
      </c>
      <c r="C997" t="inlineStr">
        <is>
          <t>CONSUMER BANKING</t>
        </is>
      </c>
      <c r="D997" t="inlineStr">
        <is>
          <t>I</t>
        </is>
      </c>
      <c r="E997" t="inlineStr">
        <is>
          <t>Stage 1</t>
        </is>
      </c>
      <c r="F997" t="inlineStr">
        <is>
          <t>N/A</t>
        </is>
      </c>
      <c r="G997" s="26">
        <v>88789517</v>
      </c>
      <c r="H997" s="26">
        <v>887895</v>
      </c>
      <c r="I997" s="26">
        <v>0</v>
      </c>
      <c r="J997" s="26">
        <v>94</v>
      </c>
      <c r="K997" t="inlineStr">
        <is>
          <t>Non</t>
        </is>
      </c>
      <c r="L997">
        <f>SUBTOTAL(103,A997)</f>
        <v>1</v>
      </c>
    </row>
    <row r="998">
      <c r="A998" t="inlineStr">
        <is>
          <t>SOCIETE C562</t>
        </is>
      </c>
      <c r="B998" t="inlineStr">
        <is>
          <t>C562</t>
        </is>
      </c>
      <c r="C998" t="inlineStr">
        <is>
          <t>INSTITUTIONAL</t>
        </is>
      </c>
      <c r="D998" t="inlineStr">
        <is>
          <t>I</t>
        </is>
      </c>
      <c r="E998" t="inlineStr">
        <is>
          <t>Stage 1</t>
        </is>
      </c>
      <c r="F998" t="inlineStr">
        <is>
          <t>N/A</t>
        </is>
      </c>
      <c r="G998" s="26">
        <v>858042376</v>
      </c>
      <c r="H998" s="26">
        <v>8580424</v>
      </c>
      <c r="I998" s="26">
        <v>0</v>
      </c>
      <c r="J998" s="26">
        <v>0</v>
      </c>
      <c r="K998" t="inlineStr">
        <is>
          <t>Non</t>
        </is>
      </c>
      <c r="L998">
        <f>SUBTOTAL(103,A998)</f>
        <v>1</v>
      </c>
    </row>
    <row r="999">
      <c r="A999" t="inlineStr">
        <is>
          <t>SOCIETE C2377</t>
        </is>
      </c>
      <c r="B999" t="inlineStr">
        <is>
          <t>C2377</t>
        </is>
      </c>
      <c r="C999" t="inlineStr">
        <is>
          <t>PUBLIC SECTOR</t>
        </is>
      </c>
      <c r="D999" t="inlineStr">
        <is>
          <t>IA</t>
        </is>
      </c>
      <c r="E999" t="inlineStr">
        <is>
          <t>Stage 2</t>
        </is>
      </c>
      <c r="F999" t="inlineStr">
        <is>
          <t>N/A</t>
        </is>
      </c>
      <c r="G999" s="26">
        <v>946821630</v>
      </c>
      <c r="H999" s="26">
        <v>56809298</v>
      </c>
      <c r="I999" s="26">
        <v>0</v>
      </c>
      <c r="J999" s="26">
        <v>272</v>
      </c>
      <c r="K999" t="inlineStr">
        <is>
          <t>Non</t>
        </is>
      </c>
      <c r="L999">
        <f>SUBTOTAL(103,A999)</f>
        <v>1</v>
      </c>
    </row>
    <row r="1000">
      <c r="A1000" t="inlineStr">
        <is>
          <t>SOCIETE C352</t>
        </is>
      </c>
      <c r="B1000" t="inlineStr">
        <is>
          <t>C352</t>
        </is>
      </c>
      <c r="C1000" t="inlineStr">
        <is>
          <t>CORPORATE BANKING</t>
        </is>
      </c>
      <c r="D1000" t="inlineStr">
        <is>
          <t>III</t>
        </is>
      </c>
      <c r="E1000" t="inlineStr">
        <is>
          <t>Stage 3</t>
        </is>
      </c>
      <c r="F1000" t="inlineStr">
        <is>
          <t>N/A</t>
        </is>
      </c>
      <c r="G1000" s="26">
        <v>237657613</v>
      </c>
      <c r="H1000" s="26">
        <v>130711687</v>
      </c>
      <c r="I1000" s="26">
        <v>32445706</v>
      </c>
      <c r="J1000" s="26">
        <v>220</v>
      </c>
      <c r="K1000" t="inlineStr">
        <is>
          <t>Oui</t>
        </is>
      </c>
      <c r="L1000">
        <f>SUBTOTAL(103,A1000)</f>
        <v>1</v>
      </c>
    </row>
    <row r="1001">
      <c r="A1001" t="inlineStr">
        <is>
          <t>SOCIETE C2307</t>
        </is>
      </c>
      <c r="B1001" t="inlineStr">
        <is>
          <t>C2307</t>
        </is>
      </c>
      <c r="C1001" t="inlineStr">
        <is>
          <t>COMMERCIAL BANKING</t>
        </is>
      </c>
      <c r="D1001" t="inlineStr">
        <is>
          <t>I</t>
        </is>
      </c>
      <c r="E1001" t="inlineStr">
        <is>
          <t>Stage 1</t>
        </is>
      </c>
      <c r="F1001" t="inlineStr">
        <is>
          <t>N/A</t>
        </is>
      </c>
      <c r="G1001" s="26">
        <v>477957305</v>
      </c>
      <c r="H1001" s="26">
        <v>4779573</v>
      </c>
      <c r="I1001" s="26">
        <v>65687825</v>
      </c>
      <c r="J1001" s="26">
        <v>30</v>
      </c>
      <c r="K1001" t="inlineStr">
        <is>
          <t>Non</t>
        </is>
      </c>
      <c r="L1001">
        <f>SUBTOTAL(103,A1001)</f>
        <v>1</v>
      </c>
    </row>
    <row r="1002">
      <c r="A1002" t="inlineStr">
        <is>
          <t>SOCIETE C1970</t>
        </is>
      </c>
      <c r="B1002" t="inlineStr">
        <is>
          <t>C1970</t>
        </is>
      </c>
      <c r="C1002" t="inlineStr">
        <is>
          <t>SME</t>
        </is>
      </c>
      <c r="D1002" t="inlineStr">
        <is>
          <t>I</t>
        </is>
      </c>
      <c r="E1002" t="inlineStr">
        <is>
          <t>Stage 1</t>
        </is>
      </c>
      <c r="F1002" t="inlineStr">
        <is>
          <t>N/A</t>
        </is>
      </c>
      <c r="G1002" s="26">
        <v>2835352839</v>
      </c>
      <c r="H1002" s="26">
        <v>28353528</v>
      </c>
      <c r="I1002" s="26">
        <v>0</v>
      </c>
      <c r="J1002" s="26">
        <v>42</v>
      </c>
      <c r="K1002" t="inlineStr">
        <is>
          <t>Non</t>
        </is>
      </c>
      <c r="L1002">
        <f>SUBTOTAL(103,A1002)</f>
        <v>1</v>
      </c>
    </row>
    <row r="1003">
      <c r="A1003" t="inlineStr">
        <is>
          <t>SOCIETE C1175</t>
        </is>
      </c>
      <c r="B1003" t="inlineStr">
        <is>
          <t>C1175</t>
        </is>
      </c>
      <c r="C1003" t="inlineStr">
        <is>
          <t>CORPORATE BANKING</t>
        </is>
      </c>
      <c r="D1003" t="inlineStr">
        <is>
          <t>I</t>
        </is>
      </c>
      <c r="E1003" t="inlineStr">
        <is>
          <t>Stage 1</t>
        </is>
      </c>
      <c r="F1003" t="inlineStr">
        <is>
          <t>N/A</t>
        </is>
      </c>
      <c r="G1003" s="26">
        <v>2982547480</v>
      </c>
      <c r="H1003" s="26">
        <v>29825475</v>
      </c>
      <c r="I1003" s="26">
        <v>248010915</v>
      </c>
      <c r="J1003" s="26">
        <v>36</v>
      </c>
      <c r="K1003" t="inlineStr">
        <is>
          <t>Non</t>
        </is>
      </c>
      <c r="L1003">
        <f>SUBTOTAL(103,A1003)</f>
        <v>1</v>
      </c>
    </row>
    <row r="1004">
      <c r="A1004" t="inlineStr">
        <is>
          <t>SOCIETE C21</t>
        </is>
      </c>
      <c r="B1004" t="inlineStr">
        <is>
          <t>C21</t>
        </is>
      </c>
      <c r="C1004" t="inlineStr">
        <is>
          <t>COMMERCIAL BANKING</t>
        </is>
      </c>
      <c r="D1004" t="inlineStr">
        <is>
          <t>I</t>
        </is>
      </c>
      <c r="E1004" t="inlineStr">
        <is>
          <t>Stage 1</t>
        </is>
      </c>
      <c r="F1004" t="inlineStr">
        <is>
          <t>N/A</t>
        </is>
      </c>
      <c r="G1004" s="26">
        <v>580760191</v>
      </c>
      <c r="H1004" s="26">
        <v>5807602</v>
      </c>
      <c r="I1004" s="26">
        <v>94522290</v>
      </c>
      <c r="J1004" s="26">
        <v>18</v>
      </c>
      <c r="K1004" t="inlineStr">
        <is>
          <t>Non</t>
        </is>
      </c>
      <c r="L1004">
        <f>SUBTOTAL(103,A1004)</f>
        <v>1</v>
      </c>
    </row>
    <row r="1005">
      <c r="A1005" t="inlineStr">
        <is>
          <t>SOCIETE C1913</t>
        </is>
      </c>
      <c r="B1005" t="inlineStr">
        <is>
          <t>C1913</t>
        </is>
      </c>
      <c r="C1005" t="inlineStr">
        <is>
          <t>CONSUMER BANKING</t>
        </is>
      </c>
      <c r="D1005" t="inlineStr">
        <is>
          <t>I</t>
        </is>
      </c>
      <c r="E1005" t="inlineStr">
        <is>
          <t>Stage 1</t>
        </is>
      </c>
      <c r="F1005" t="inlineStr">
        <is>
          <t>N/A</t>
        </is>
      </c>
      <c r="G1005" s="26">
        <v>632100938</v>
      </c>
      <c r="H1005" s="26">
        <v>6321009</v>
      </c>
      <c r="I1005" s="26">
        <v>58499555</v>
      </c>
      <c r="J1005" s="26">
        <v>84</v>
      </c>
      <c r="K1005" t="inlineStr">
        <is>
          <t>Non</t>
        </is>
      </c>
      <c r="L1005">
        <f>SUBTOTAL(103,A1005)</f>
        <v>1</v>
      </c>
    </row>
    <row r="1006">
      <c r="A1006" t="inlineStr">
        <is>
          <t>SOCIETE C2211</t>
        </is>
      </c>
      <c r="B1006" t="inlineStr">
        <is>
          <t>C2211</t>
        </is>
      </c>
      <c r="C1006" t="inlineStr">
        <is>
          <t>COMMERCIAL BANKING</t>
        </is>
      </c>
      <c r="D1006" t="inlineStr">
        <is>
          <t>III</t>
        </is>
      </c>
      <c r="E1006" t="inlineStr">
        <is>
          <t>Stage 3</t>
        </is>
      </c>
      <c r="F1006" t="inlineStr">
        <is>
          <t>N/A</t>
        </is>
      </c>
      <c r="G1006" s="26">
        <v>1595398334</v>
      </c>
      <c r="H1006" s="26">
        <v>877469084</v>
      </c>
      <c r="I1006" s="26">
        <v>0</v>
      </c>
      <c r="J1006" s="26">
        <v>25</v>
      </c>
      <c r="K1006" t="inlineStr">
        <is>
          <t>Oui</t>
        </is>
      </c>
      <c r="L1006">
        <f>SUBTOTAL(103,A1006)</f>
        <v>1</v>
      </c>
    </row>
    <row r="1007">
      <c r="A1007" t="inlineStr">
        <is>
          <t>SOCIETE C665</t>
        </is>
      </c>
      <c r="B1007" t="inlineStr">
        <is>
          <t>C665</t>
        </is>
      </c>
      <c r="C1007" t="inlineStr">
        <is>
          <t>CORPORATE BANKING</t>
        </is>
      </c>
      <c r="D1007" t="inlineStr">
        <is>
          <t>IA</t>
        </is>
      </c>
      <c r="E1007" t="inlineStr">
        <is>
          <t>Stage 2</t>
        </is>
      </c>
      <c r="F1007" t="inlineStr">
        <is>
          <t>N/A</t>
        </is>
      </c>
      <c r="G1007" s="26">
        <v>2904207644</v>
      </c>
      <c r="H1007" s="26">
        <v>174252459</v>
      </c>
      <c r="I1007" s="26">
        <v>243616476</v>
      </c>
      <c r="J1007" s="26">
        <v>11</v>
      </c>
      <c r="K1007" t="inlineStr">
        <is>
          <t>Non</t>
        </is>
      </c>
      <c r="L1007">
        <f>SUBTOTAL(103,A1007)</f>
        <v>1</v>
      </c>
    </row>
    <row r="1008">
      <c r="A1008" t="inlineStr">
        <is>
          <t>SOCIETE C991</t>
        </is>
      </c>
      <c r="B1008" t="inlineStr">
        <is>
          <t>C991</t>
        </is>
      </c>
      <c r="C1008" t="inlineStr">
        <is>
          <t>SME</t>
        </is>
      </c>
      <c r="D1008" t="inlineStr">
        <is>
          <t>IA</t>
        </is>
      </c>
      <c r="E1008" t="inlineStr">
        <is>
          <t>Stage 2</t>
        </is>
      </c>
      <c r="F1008" t="inlineStr">
        <is>
          <t>N/A</t>
        </is>
      </c>
      <c r="G1008" s="26">
        <v>84202707</v>
      </c>
      <c r="H1008" s="26">
        <v>5052162</v>
      </c>
      <c r="I1008" s="26">
        <v>5960313</v>
      </c>
      <c r="J1008" s="26">
        <v>48</v>
      </c>
      <c r="K1008" t="inlineStr">
        <is>
          <t>Non</t>
        </is>
      </c>
      <c r="L1008">
        <f>SUBTOTAL(103,A1008)</f>
        <v>1</v>
      </c>
    </row>
    <row r="1009">
      <c r="A1009" t="inlineStr">
        <is>
          <t>SOCIETE C1864</t>
        </is>
      </c>
      <c r="B1009" t="inlineStr">
        <is>
          <t>C1864</t>
        </is>
      </c>
      <c r="C1009" t="inlineStr">
        <is>
          <t>CORPORATE BANKING</t>
        </is>
      </c>
      <c r="D1009" t="inlineStr">
        <is>
          <t>V</t>
        </is>
      </c>
      <c r="E1009" t="inlineStr">
        <is>
          <t>Stage 3</t>
        </is>
      </c>
      <c r="F1009" t="inlineStr">
        <is>
          <t>N/A</t>
        </is>
      </c>
      <c r="G1009" s="26">
        <v>2662135811</v>
      </c>
      <c r="H1009" s="26">
        <v>1464174696</v>
      </c>
      <c r="I1009" s="26">
        <v>0</v>
      </c>
      <c r="J1009" s="26">
        <v>214</v>
      </c>
      <c r="K1009" t="inlineStr">
        <is>
          <t>Oui</t>
        </is>
      </c>
      <c r="L1009">
        <f>SUBTOTAL(103,A1009)</f>
        <v>1</v>
      </c>
    </row>
    <row r="1010">
      <c r="A1010" t="inlineStr">
        <is>
          <t>SOCIETE C1992</t>
        </is>
      </c>
      <c r="B1010" t="inlineStr">
        <is>
          <t>C1992</t>
        </is>
      </c>
      <c r="C1010" t="inlineStr">
        <is>
          <t>CONSUMER BANKING</t>
        </is>
      </c>
      <c r="D1010" t="inlineStr">
        <is>
          <t>I</t>
        </is>
      </c>
      <c r="E1010" t="inlineStr">
        <is>
          <t>Stage 1</t>
        </is>
      </c>
      <c r="F1010" t="inlineStr">
        <is>
          <t>N/A</t>
        </is>
      </c>
      <c r="G1010" s="26">
        <v>1000792</v>
      </c>
      <c r="H1010" s="26">
        <v>10008</v>
      </c>
      <c r="I1010" s="26">
        <v>0</v>
      </c>
      <c r="J1010" s="26">
        <v>215</v>
      </c>
      <c r="K1010" t="inlineStr">
        <is>
          <t>Non</t>
        </is>
      </c>
      <c r="L1010">
        <f>SUBTOTAL(103,A1010)</f>
        <v>1</v>
      </c>
    </row>
    <row r="1011">
      <c r="A1011" t="inlineStr">
        <is>
          <t>SOCIETE C784</t>
        </is>
      </c>
      <c r="B1011" t="inlineStr">
        <is>
          <t>C784</t>
        </is>
      </c>
      <c r="C1011" t="inlineStr">
        <is>
          <t>COMMERCIAL BANKING</t>
        </is>
      </c>
      <c r="D1011" t="inlineStr">
        <is>
          <t>IA</t>
        </is>
      </c>
      <c r="E1011" t="inlineStr">
        <is>
          <t>Stage 2</t>
        </is>
      </c>
      <c r="F1011" t="inlineStr">
        <is>
          <t>N/A</t>
        </is>
      </c>
      <c r="G1011" s="26">
        <v>213526696</v>
      </c>
      <c r="H1011" s="26">
        <v>12811602</v>
      </c>
      <c r="I1011" s="26">
        <v>0</v>
      </c>
      <c r="J1011" s="26">
        <v>143</v>
      </c>
      <c r="K1011" t="inlineStr">
        <is>
          <t>Non</t>
        </is>
      </c>
      <c r="L1011">
        <f>SUBTOTAL(103,A1011)</f>
        <v>1</v>
      </c>
    </row>
    <row r="1012">
      <c r="A1012" t="inlineStr">
        <is>
          <t>SOCIETE C1766</t>
        </is>
      </c>
      <c r="B1012" t="inlineStr">
        <is>
          <t>C1766</t>
        </is>
      </c>
      <c r="C1012" t="inlineStr">
        <is>
          <t>CONSUMER BANKING</t>
        </is>
      </c>
      <c r="D1012" t="inlineStr">
        <is>
          <t>III</t>
        </is>
      </c>
      <c r="E1012" t="inlineStr">
        <is>
          <t>Stage 3</t>
        </is>
      </c>
      <c r="F1012" t="inlineStr">
        <is>
          <t>N/A</t>
        </is>
      </c>
      <c r="G1012" s="26">
        <v>1599555643</v>
      </c>
      <c r="H1012" s="26">
        <v>879755604</v>
      </c>
      <c r="I1012" s="26">
        <v>0</v>
      </c>
      <c r="J1012" s="26">
        <v>298</v>
      </c>
      <c r="K1012" t="inlineStr">
        <is>
          <t>Oui</t>
        </is>
      </c>
      <c r="L1012">
        <f>SUBTOTAL(103,A1012)</f>
        <v>1</v>
      </c>
    </row>
    <row r="1013">
      <c r="A1013" t="inlineStr">
        <is>
          <t>SOCIETE C706</t>
        </is>
      </c>
      <c r="B1013" t="inlineStr">
        <is>
          <t>C706</t>
        </is>
      </c>
      <c r="C1013" t="inlineStr">
        <is>
          <t>CORPORATE BANKING</t>
        </is>
      </c>
      <c r="D1013" t="inlineStr">
        <is>
          <t>I</t>
        </is>
      </c>
      <c r="E1013" t="inlineStr">
        <is>
          <t>Stage 1</t>
        </is>
      </c>
      <c r="F1013" t="inlineStr">
        <is>
          <t>N/A</t>
        </is>
      </c>
      <c r="G1013" s="26">
        <v>2279903943</v>
      </c>
      <c r="H1013" s="26">
        <v>22799039</v>
      </c>
      <c r="I1013" s="26">
        <v>422028185</v>
      </c>
      <c r="J1013" s="26">
        <v>69</v>
      </c>
      <c r="K1013" t="inlineStr">
        <is>
          <t>Non</t>
        </is>
      </c>
      <c r="L1013">
        <f>SUBTOTAL(103,A1013)</f>
        <v>1</v>
      </c>
    </row>
    <row r="1014">
      <c r="A1014" t="inlineStr">
        <is>
          <t>SOCIETE C2479</t>
        </is>
      </c>
      <c r="B1014" t="inlineStr">
        <is>
          <t>C2479</t>
        </is>
      </c>
      <c r="C1014" t="inlineStr">
        <is>
          <t>CORPORATE BANKING</t>
        </is>
      </c>
      <c r="D1014" t="inlineStr">
        <is>
          <t>I</t>
        </is>
      </c>
      <c r="E1014" t="inlineStr">
        <is>
          <t>Stage 1</t>
        </is>
      </c>
      <c r="F1014" t="inlineStr">
        <is>
          <t>N/A</t>
        </is>
      </c>
      <c r="G1014" s="26">
        <v>1166876248</v>
      </c>
      <c r="H1014" s="26">
        <v>11668762</v>
      </c>
      <c r="I1014" s="26">
        <v>187313477</v>
      </c>
      <c r="J1014" s="26">
        <v>66</v>
      </c>
      <c r="K1014" t="inlineStr">
        <is>
          <t>Non</t>
        </is>
      </c>
      <c r="L1014">
        <f>SUBTOTAL(103,A1014)</f>
        <v>1</v>
      </c>
    </row>
    <row r="1015">
      <c r="A1015" t="inlineStr">
        <is>
          <t>SOCIETE C1267</t>
        </is>
      </c>
      <c r="B1015" t="inlineStr">
        <is>
          <t>C1267</t>
        </is>
      </c>
      <c r="C1015" t="inlineStr">
        <is>
          <t>CORPORATE BANKING</t>
        </is>
      </c>
      <c r="D1015" t="inlineStr">
        <is>
          <t>I</t>
        </is>
      </c>
      <c r="E1015" t="inlineStr">
        <is>
          <t>Stage 1</t>
        </is>
      </c>
      <c r="F1015" t="inlineStr">
        <is>
          <t>N/A</t>
        </is>
      </c>
      <c r="G1015" s="26">
        <v>2311291</v>
      </c>
      <c r="H1015" s="26">
        <v>23113</v>
      </c>
      <c r="I1015" s="26">
        <v>0</v>
      </c>
      <c r="J1015" s="26">
        <v>22</v>
      </c>
      <c r="K1015" t="inlineStr">
        <is>
          <t>Non</t>
        </is>
      </c>
      <c r="L1015">
        <f>SUBTOTAL(103,A1015)</f>
        <v>1</v>
      </c>
    </row>
    <row r="1016">
      <c r="A1016" t="inlineStr">
        <is>
          <t>SOCIETE C1359</t>
        </is>
      </c>
      <c r="B1016" t="inlineStr">
        <is>
          <t>C1359</t>
        </is>
      </c>
      <c r="C1016" t="inlineStr">
        <is>
          <t>PUBLIC SECTOR</t>
        </is>
      </c>
      <c r="D1016" t="inlineStr">
        <is>
          <t>V</t>
        </is>
      </c>
      <c r="E1016" t="inlineStr">
        <is>
          <t>Stage 3</t>
        </is>
      </c>
      <c r="F1016" t="inlineStr">
        <is>
          <t>N/A</t>
        </is>
      </c>
      <c r="G1016" s="26">
        <v>1481124404</v>
      </c>
      <c r="H1016" s="26">
        <v>814618422</v>
      </c>
      <c r="I1016" s="26">
        <v>0</v>
      </c>
      <c r="J1016" s="26">
        <v>76</v>
      </c>
      <c r="K1016" t="inlineStr">
        <is>
          <t>Oui</t>
        </is>
      </c>
      <c r="L1016">
        <f>SUBTOTAL(103,A1016)</f>
        <v>1</v>
      </c>
    </row>
    <row r="1017">
      <c r="A1017" t="inlineStr">
        <is>
          <t>SOCIETE C173</t>
        </is>
      </c>
      <c r="B1017" t="inlineStr">
        <is>
          <t>C173</t>
        </is>
      </c>
      <c r="C1017" t="inlineStr">
        <is>
          <t>CORPORATE BANKING</t>
        </is>
      </c>
      <c r="D1017" t="inlineStr">
        <is>
          <t>I</t>
        </is>
      </c>
      <c r="E1017" t="inlineStr">
        <is>
          <t>Stage 1</t>
        </is>
      </c>
      <c r="F1017" t="inlineStr">
        <is>
          <t>N/A</t>
        </is>
      </c>
      <c r="G1017" s="26">
        <v>73719342</v>
      </c>
      <c r="H1017" s="26">
        <v>737193</v>
      </c>
      <c r="I1017" s="26">
        <v>0</v>
      </c>
      <c r="J1017" s="26">
        <v>186</v>
      </c>
      <c r="K1017" t="inlineStr">
        <is>
          <t>Non</t>
        </is>
      </c>
      <c r="L1017">
        <f>SUBTOTAL(103,A1017)</f>
        <v>1</v>
      </c>
    </row>
    <row r="1018">
      <c r="A1018" t="inlineStr">
        <is>
          <t>SOCIETE C162</t>
        </is>
      </c>
      <c r="B1018" t="inlineStr">
        <is>
          <t>C162</t>
        </is>
      </c>
      <c r="C1018" t="inlineStr">
        <is>
          <t>CORPORATE BANKING</t>
        </is>
      </c>
      <c r="D1018" t="inlineStr">
        <is>
          <t>I</t>
        </is>
      </c>
      <c r="E1018" t="inlineStr">
        <is>
          <t>Stage 1</t>
        </is>
      </c>
      <c r="F1018" t="inlineStr">
        <is>
          <t>N/A</t>
        </is>
      </c>
      <c r="G1018" s="26">
        <v>231112176</v>
      </c>
      <c r="H1018" s="26">
        <v>2311122</v>
      </c>
      <c r="I1018" s="26">
        <v>0</v>
      </c>
      <c r="J1018" s="26">
        <v>26</v>
      </c>
      <c r="K1018" t="inlineStr">
        <is>
          <t>Non</t>
        </is>
      </c>
      <c r="L1018">
        <f>SUBTOTAL(103,A1018)</f>
        <v>1</v>
      </c>
    </row>
    <row r="1019">
      <c r="A1019" t="inlineStr">
        <is>
          <t>SOCIETE C2394</t>
        </is>
      </c>
      <c r="B1019" t="inlineStr">
        <is>
          <t>C2394</t>
        </is>
      </c>
      <c r="C1019" t="inlineStr">
        <is>
          <t>CORPORATE BANKING</t>
        </is>
      </c>
      <c r="D1019" t="inlineStr">
        <is>
          <t>IV</t>
        </is>
      </c>
      <c r="E1019" t="inlineStr">
        <is>
          <t>Stage 3</t>
        </is>
      </c>
      <c r="F1019" t="inlineStr">
        <is>
          <t>N/A</t>
        </is>
      </c>
      <c r="G1019" s="26">
        <v>65356067</v>
      </c>
      <c r="H1019" s="26">
        <v>35945837</v>
      </c>
      <c r="I1019" s="26">
        <v>0</v>
      </c>
      <c r="J1019" s="26">
        <v>278</v>
      </c>
      <c r="K1019" t="inlineStr">
        <is>
          <t>Oui</t>
        </is>
      </c>
      <c r="L1019">
        <f>SUBTOTAL(103,A1019)</f>
        <v>1</v>
      </c>
    </row>
    <row r="1020">
      <c r="A1020" t="inlineStr">
        <is>
          <t>SOCIETE C2286</t>
        </is>
      </c>
      <c r="B1020" t="inlineStr">
        <is>
          <t>C2286</t>
        </is>
      </c>
      <c r="C1020" t="inlineStr">
        <is>
          <t>COMMERCIAL BANKING</t>
        </is>
      </c>
      <c r="D1020" t="inlineStr">
        <is>
          <t>I</t>
        </is>
      </c>
      <c r="E1020" t="inlineStr">
        <is>
          <t>Stage 1</t>
        </is>
      </c>
      <c r="F1020" t="inlineStr">
        <is>
          <t>N/A</t>
        </is>
      </c>
      <c r="G1020" s="26">
        <v>9074889</v>
      </c>
      <c r="H1020" s="26">
        <v>90749</v>
      </c>
      <c r="I1020" s="26">
        <v>0</v>
      </c>
      <c r="J1020" s="26">
        <v>166</v>
      </c>
      <c r="K1020" t="inlineStr">
        <is>
          <t>Non</t>
        </is>
      </c>
      <c r="L1020">
        <f>SUBTOTAL(103,A1020)</f>
        <v>1</v>
      </c>
    </row>
    <row r="1021">
      <c r="A1021" t="inlineStr">
        <is>
          <t>SOCIETE C946</t>
        </is>
      </c>
      <c r="B1021" t="inlineStr">
        <is>
          <t>C946</t>
        </is>
      </c>
      <c r="C1021" t="inlineStr">
        <is>
          <t>CORPORATE BANKING</t>
        </is>
      </c>
      <c r="D1021" t="inlineStr">
        <is>
          <t>V</t>
        </is>
      </c>
      <c r="E1021" t="inlineStr">
        <is>
          <t>Stage 3</t>
        </is>
      </c>
      <c r="F1021" t="inlineStr">
        <is>
          <t>N/A</t>
        </is>
      </c>
      <c r="G1021" s="26">
        <v>1796854</v>
      </c>
      <c r="H1021" s="26">
        <v>988270</v>
      </c>
      <c r="I1021" s="26">
        <v>0</v>
      </c>
      <c r="J1021" s="26">
        <v>281</v>
      </c>
      <c r="K1021" t="inlineStr">
        <is>
          <t>Oui</t>
        </is>
      </c>
      <c r="L1021">
        <f>SUBTOTAL(103,A1021)</f>
        <v>1</v>
      </c>
    </row>
    <row r="1022">
      <c r="A1022" t="inlineStr">
        <is>
          <t>SOCIETE C1647</t>
        </is>
      </c>
      <c r="B1022" t="inlineStr">
        <is>
          <t>C1647</t>
        </is>
      </c>
      <c r="C1022" t="inlineStr">
        <is>
          <t>CORPORATE BANKING</t>
        </is>
      </c>
      <c r="D1022" t="inlineStr">
        <is>
          <t>IA</t>
        </is>
      </c>
      <c r="E1022" t="inlineStr">
        <is>
          <t>Stage 2</t>
        </is>
      </c>
      <c r="F1022" t="inlineStr">
        <is>
          <t>N/A</t>
        </is>
      </c>
      <c r="G1022" s="26">
        <v>1776007531</v>
      </c>
      <c r="H1022" s="26">
        <v>106560452</v>
      </c>
      <c r="I1022" s="26">
        <v>0</v>
      </c>
      <c r="J1022" s="26">
        <v>9</v>
      </c>
      <c r="K1022" t="inlineStr">
        <is>
          <t>Non</t>
        </is>
      </c>
      <c r="L1022">
        <f>SUBTOTAL(103,A1022)</f>
        <v>1</v>
      </c>
    </row>
    <row r="1023">
      <c r="A1023" t="inlineStr">
        <is>
          <t>SOCIETE C2382</t>
        </is>
      </c>
      <c r="B1023" t="inlineStr">
        <is>
          <t>C2382</t>
        </is>
      </c>
      <c r="C1023" t="inlineStr">
        <is>
          <t>SME</t>
        </is>
      </c>
      <c r="D1023" t="inlineStr">
        <is>
          <t>II</t>
        </is>
      </c>
      <c r="E1023" t="inlineStr">
        <is>
          <t>Stage 2</t>
        </is>
      </c>
      <c r="F1023" t="inlineStr">
        <is>
          <t>N/A</t>
        </is>
      </c>
      <c r="G1023" s="26">
        <v>695922395</v>
      </c>
      <c r="H1023" s="26">
        <v>41755344</v>
      </c>
      <c r="I1023" s="26">
        <v>0</v>
      </c>
      <c r="J1023" s="26">
        <v>136</v>
      </c>
      <c r="K1023" t="inlineStr">
        <is>
          <t>Non</t>
        </is>
      </c>
      <c r="L1023">
        <f>SUBTOTAL(103,A1023)</f>
        <v>1</v>
      </c>
    </row>
    <row r="1024">
      <c r="A1024" t="inlineStr">
        <is>
          <t>SOCIETE C564</t>
        </is>
      </c>
      <c r="B1024" t="inlineStr">
        <is>
          <t>C564</t>
        </is>
      </c>
      <c r="C1024" t="inlineStr">
        <is>
          <t>PUBLIC SECTOR</t>
        </is>
      </c>
      <c r="D1024" t="inlineStr">
        <is>
          <t>I</t>
        </is>
      </c>
      <c r="E1024" t="inlineStr">
        <is>
          <t>Stage 1</t>
        </is>
      </c>
      <c r="F1024" t="inlineStr">
        <is>
          <t>N/A</t>
        </is>
      </c>
      <c r="G1024" s="26">
        <v>16494954</v>
      </c>
      <c r="H1024" s="26">
        <v>164950</v>
      </c>
      <c r="I1024" s="26">
        <v>0</v>
      </c>
      <c r="J1024" s="26">
        <v>76</v>
      </c>
      <c r="K1024" t="inlineStr">
        <is>
          <t>Non</t>
        </is>
      </c>
      <c r="L1024">
        <f>SUBTOTAL(103,A1024)</f>
        <v>1</v>
      </c>
    </row>
    <row r="1025">
      <c r="A1025" t="inlineStr">
        <is>
          <t>SOCIETE C1305</t>
        </is>
      </c>
      <c r="B1025" t="inlineStr">
        <is>
          <t>C1305</t>
        </is>
      </c>
      <c r="C1025" t="inlineStr">
        <is>
          <t>CORPORATE BANKING</t>
        </is>
      </c>
      <c r="D1025" t="inlineStr">
        <is>
          <t>I</t>
        </is>
      </c>
      <c r="E1025" t="inlineStr">
        <is>
          <t>Stage 1</t>
        </is>
      </c>
      <c r="F1025" t="inlineStr">
        <is>
          <t>N/A</t>
        </is>
      </c>
      <c r="G1025" s="26">
        <v>85689566</v>
      </c>
      <c r="H1025" s="26">
        <v>856896</v>
      </c>
      <c r="I1025" s="26">
        <v>0</v>
      </c>
      <c r="J1025" s="26">
        <v>92</v>
      </c>
      <c r="K1025" t="inlineStr">
        <is>
          <t>Non</t>
        </is>
      </c>
      <c r="L1025">
        <f>SUBTOTAL(103,A1025)</f>
        <v>1</v>
      </c>
    </row>
    <row r="1026">
      <c r="A1026" t="inlineStr">
        <is>
          <t>SOCIETE C1015</t>
        </is>
      </c>
      <c r="B1026" t="inlineStr">
        <is>
          <t>C1015</t>
        </is>
      </c>
      <c r="C1026" t="inlineStr">
        <is>
          <t>PUBLIC SECTOR</t>
        </is>
      </c>
      <c r="D1026" t="inlineStr">
        <is>
          <t>I</t>
        </is>
      </c>
      <c r="E1026" t="inlineStr">
        <is>
          <t>Stage 1</t>
        </is>
      </c>
      <c r="F1026" t="inlineStr">
        <is>
          <t>N/A</t>
        </is>
      </c>
      <c r="G1026" s="26">
        <v>1209421880</v>
      </c>
      <c r="H1026" s="26">
        <v>12094219</v>
      </c>
      <c r="I1026" s="26">
        <v>240653935</v>
      </c>
      <c r="J1026" s="26">
        <v>104</v>
      </c>
      <c r="K1026" t="inlineStr">
        <is>
          <t>Non</t>
        </is>
      </c>
      <c r="L1026">
        <f>SUBTOTAL(103,A1026)</f>
        <v>1</v>
      </c>
    </row>
    <row r="1027">
      <c r="A1027" t="inlineStr">
        <is>
          <t>SOCIETE C1952</t>
        </is>
      </c>
      <c r="B1027" t="inlineStr">
        <is>
          <t>C1952</t>
        </is>
      </c>
      <c r="C1027" t="inlineStr">
        <is>
          <t>COMMERCIAL BANKING</t>
        </is>
      </c>
      <c r="D1027" t="inlineStr">
        <is>
          <t>I</t>
        </is>
      </c>
      <c r="E1027" t="inlineStr">
        <is>
          <t>Stage 1</t>
        </is>
      </c>
      <c r="F1027" t="inlineStr">
        <is>
          <t>N/A</t>
        </is>
      </c>
      <c r="G1027" s="26">
        <v>5763629</v>
      </c>
      <c r="H1027" s="26">
        <v>57636</v>
      </c>
      <c r="I1027" s="26">
        <v>0</v>
      </c>
      <c r="J1027" s="26">
        <v>10</v>
      </c>
      <c r="K1027" t="inlineStr">
        <is>
          <t>Non</t>
        </is>
      </c>
      <c r="L1027">
        <f>SUBTOTAL(103,A1027)</f>
        <v>1</v>
      </c>
    </row>
    <row r="1028">
      <c r="A1028" t="inlineStr">
        <is>
          <t>SOCIETE C1651</t>
        </is>
      </c>
      <c r="B1028" t="inlineStr">
        <is>
          <t>C1651</t>
        </is>
      </c>
      <c r="C1028" t="inlineStr">
        <is>
          <t>CONSUMER BANKING</t>
        </is>
      </c>
      <c r="D1028" t="inlineStr">
        <is>
          <t>IA</t>
        </is>
      </c>
      <c r="E1028" t="inlineStr">
        <is>
          <t>Stage 2</t>
        </is>
      </c>
      <c r="F1028" t="inlineStr">
        <is>
          <t>N/A</t>
        </is>
      </c>
      <c r="G1028" s="26">
        <v>436141220</v>
      </c>
      <c r="H1028" s="26">
        <v>26168473</v>
      </c>
      <c r="I1028" s="26">
        <v>24392760</v>
      </c>
      <c r="J1028" s="26">
        <v>362</v>
      </c>
      <c r="K1028" t="inlineStr">
        <is>
          <t>Non</t>
        </is>
      </c>
      <c r="L1028">
        <f>SUBTOTAL(103,A1028)</f>
        <v>1</v>
      </c>
    </row>
    <row r="1029">
      <c r="A1029" t="inlineStr">
        <is>
          <t>SOCIETE C1896</t>
        </is>
      </c>
      <c r="B1029" t="inlineStr">
        <is>
          <t>C1896</t>
        </is>
      </c>
      <c r="C1029" t="inlineStr">
        <is>
          <t>CORPORATE BANKING</t>
        </is>
      </c>
      <c r="D1029" t="inlineStr">
        <is>
          <t>I</t>
        </is>
      </c>
      <c r="E1029" t="inlineStr">
        <is>
          <t>Stage 1</t>
        </is>
      </c>
      <c r="F1029" t="inlineStr">
        <is>
          <t>N/A</t>
        </is>
      </c>
      <c r="G1029" s="26">
        <v>92949237</v>
      </c>
      <c r="H1029" s="26">
        <v>929492</v>
      </c>
      <c r="I1029" s="26">
        <v>0</v>
      </c>
      <c r="J1029" s="26">
        <v>43</v>
      </c>
      <c r="K1029" t="inlineStr">
        <is>
          <t>Non</t>
        </is>
      </c>
      <c r="L1029">
        <f>SUBTOTAL(103,A1029)</f>
        <v>1</v>
      </c>
    </row>
    <row r="1030">
      <c r="A1030" t="inlineStr">
        <is>
          <t>SOCIETE C2128</t>
        </is>
      </c>
      <c r="B1030" t="inlineStr">
        <is>
          <t>C2128</t>
        </is>
      </c>
      <c r="C1030" t="inlineStr">
        <is>
          <t>CORPORATE BANKING</t>
        </is>
      </c>
      <c r="D1030" t="inlineStr">
        <is>
          <t>IA</t>
        </is>
      </c>
      <c r="E1030" t="inlineStr">
        <is>
          <t>Stage 2</t>
        </is>
      </c>
      <c r="F1030" t="inlineStr">
        <is>
          <t>N/A</t>
        </is>
      </c>
      <c r="G1030" s="26">
        <v>911283896</v>
      </c>
      <c r="H1030" s="26">
        <v>54677034</v>
      </c>
      <c r="I1030" s="26">
        <v>99774007</v>
      </c>
      <c r="J1030" s="26">
        <v>259</v>
      </c>
      <c r="K1030" t="inlineStr">
        <is>
          <t>Non</t>
        </is>
      </c>
      <c r="L1030">
        <f>SUBTOTAL(103,A1030)</f>
        <v>1</v>
      </c>
    </row>
    <row r="1031">
      <c r="A1031" t="inlineStr">
        <is>
          <t>SOCIETE C1389</t>
        </is>
      </c>
      <c r="B1031" t="inlineStr">
        <is>
          <t>C1389</t>
        </is>
      </c>
      <c r="C1031" t="inlineStr">
        <is>
          <t>CONSUMER BANKING</t>
        </is>
      </c>
      <c r="D1031" t="inlineStr">
        <is>
          <t>I</t>
        </is>
      </c>
      <c r="E1031" t="inlineStr">
        <is>
          <t>Stage 1</t>
        </is>
      </c>
      <c r="F1031" t="inlineStr">
        <is>
          <t>N/A</t>
        </is>
      </c>
      <c r="G1031" s="26">
        <v>838983241</v>
      </c>
      <c r="H1031" s="26">
        <v>8389832</v>
      </c>
      <c r="I1031" s="26">
        <v>0</v>
      </c>
      <c r="J1031" s="26">
        <v>141</v>
      </c>
      <c r="K1031" t="inlineStr">
        <is>
          <t>Non</t>
        </is>
      </c>
      <c r="L1031">
        <f>SUBTOTAL(103,A1031)</f>
        <v>1</v>
      </c>
    </row>
    <row r="1032">
      <c r="A1032" t="inlineStr">
        <is>
          <t>SOCIETE C1701</t>
        </is>
      </c>
      <c r="B1032" t="inlineStr">
        <is>
          <t>C1701</t>
        </is>
      </c>
      <c r="C1032" t="inlineStr">
        <is>
          <t>COMMERCIAL BANKING</t>
        </is>
      </c>
      <c r="D1032" t="inlineStr">
        <is>
          <t>V</t>
        </is>
      </c>
      <c r="E1032" t="inlineStr">
        <is>
          <t>Stage 3</t>
        </is>
      </c>
      <c r="F1032" t="inlineStr">
        <is>
          <t>N/A</t>
        </is>
      </c>
      <c r="G1032" s="26">
        <v>87497413</v>
      </c>
      <c r="H1032" s="26">
        <v>48123577</v>
      </c>
      <c r="I1032" s="26">
        <v>10325902</v>
      </c>
      <c r="J1032" s="26">
        <v>89</v>
      </c>
      <c r="K1032" t="inlineStr">
        <is>
          <t>Oui</t>
        </is>
      </c>
      <c r="L1032">
        <f>SUBTOTAL(103,A1032)</f>
        <v>1</v>
      </c>
    </row>
    <row r="1033">
      <c r="A1033" t="inlineStr">
        <is>
          <t>SOCIETE C2355</t>
        </is>
      </c>
      <c r="B1033" t="inlineStr">
        <is>
          <t>C2355</t>
        </is>
      </c>
      <c r="C1033" t="inlineStr">
        <is>
          <t>SME</t>
        </is>
      </c>
      <c r="D1033" t="inlineStr">
        <is>
          <t>I</t>
        </is>
      </c>
      <c r="E1033" t="inlineStr">
        <is>
          <t>Stage 1</t>
        </is>
      </c>
      <c r="F1033" t="inlineStr">
        <is>
          <t>N/A</t>
        </is>
      </c>
      <c r="G1033" s="26">
        <v>32004828</v>
      </c>
      <c r="H1033" s="26">
        <v>320048</v>
      </c>
      <c r="I1033" s="26">
        <v>0</v>
      </c>
      <c r="J1033" s="26">
        <v>11</v>
      </c>
      <c r="K1033" t="inlineStr">
        <is>
          <t>Non</t>
        </is>
      </c>
      <c r="L1033">
        <f>SUBTOTAL(103,A1033)</f>
        <v>1</v>
      </c>
    </row>
    <row r="1034">
      <c r="A1034" t="inlineStr">
        <is>
          <t>SOCIETE C1638</t>
        </is>
      </c>
      <c r="B1034" t="inlineStr">
        <is>
          <t>C1638</t>
        </is>
      </c>
      <c r="C1034" t="inlineStr">
        <is>
          <t>CONSUMER BANKING</t>
        </is>
      </c>
      <c r="D1034" t="inlineStr">
        <is>
          <t>II</t>
        </is>
      </c>
      <c r="E1034" t="inlineStr">
        <is>
          <t>Stage 2</t>
        </is>
      </c>
      <c r="F1034" t="inlineStr">
        <is>
          <t>N/A</t>
        </is>
      </c>
      <c r="G1034" s="26">
        <v>221729289</v>
      </c>
      <c r="H1034" s="26">
        <v>13303757</v>
      </c>
      <c r="I1034" s="26">
        <v>0</v>
      </c>
      <c r="J1034" s="26">
        <v>40</v>
      </c>
      <c r="K1034" t="inlineStr">
        <is>
          <t>Non</t>
        </is>
      </c>
      <c r="L1034">
        <f>SUBTOTAL(103,A1034)</f>
        <v>1</v>
      </c>
    </row>
    <row r="1035">
      <c r="A1035" t="inlineStr">
        <is>
          <t>SOCIETE C1582</t>
        </is>
      </c>
      <c r="B1035" t="inlineStr">
        <is>
          <t>C1582</t>
        </is>
      </c>
      <c r="C1035" t="inlineStr">
        <is>
          <t>CORPORATE BANKING</t>
        </is>
      </c>
      <c r="D1035" t="inlineStr">
        <is>
          <t>IV</t>
        </is>
      </c>
      <c r="E1035" t="inlineStr">
        <is>
          <t>Stage 3</t>
        </is>
      </c>
      <c r="F1035" t="inlineStr">
        <is>
          <t>N/A</t>
        </is>
      </c>
      <c r="G1035" s="26">
        <v>2701325995</v>
      </c>
      <c r="H1035" s="26">
        <v>1485729297</v>
      </c>
      <c r="I1035" s="26">
        <v>11767595</v>
      </c>
      <c r="J1035" s="26">
        <v>23</v>
      </c>
      <c r="K1035" t="inlineStr">
        <is>
          <t>Oui</t>
        </is>
      </c>
      <c r="L1035">
        <f>SUBTOTAL(103,A1035)</f>
        <v>1</v>
      </c>
    </row>
    <row r="1036">
      <c r="A1036" t="inlineStr">
        <is>
          <t>SOCIETE C645</t>
        </is>
      </c>
      <c r="B1036" t="inlineStr">
        <is>
          <t>C645</t>
        </is>
      </c>
      <c r="C1036" t="inlineStr">
        <is>
          <t>CONSUMER BANKING</t>
        </is>
      </c>
      <c r="D1036" t="inlineStr">
        <is>
          <t>I</t>
        </is>
      </c>
      <c r="E1036" t="inlineStr">
        <is>
          <t>Stage 1</t>
        </is>
      </c>
      <c r="F1036" t="inlineStr">
        <is>
          <t>N/A</t>
        </is>
      </c>
      <c r="G1036" s="26">
        <v>10159877</v>
      </c>
      <c r="H1036" s="26">
        <v>101599</v>
      </c>
      <c r="I1036" s="26">
        <v>0</v>
      </c>
      <c r="J1036" s="26">
        <v>189</v>
      </c>
      <c r="K1036" t="inlineStr">
        <is>
          <t>Non</t>
        </is>
      </c>
      <c r="L1036">
        <f>SUBTOTAL(103,A1036)</f>
        <v>1</v>
      </c>
    </row>
    <row r="1037">
      <c r="A1037" t="inlineStr">
        <is>
          <t>SOCIETE C2100</t>
        </is>
      </c>
      <c r="B1037" t="inlineStr">
        <is>
          <t>C2100</t>
        </is>
      </c>
      <c r="C1037" t="inlineStr">
        <is>
          <t>COMMERCIAL BANKING</t>
        </is>
      </c>
      <c r="D1037" t="inlineStr">
        <is>
          <t>I</t>
        </is>
      </c>
      <c r="E1037" t="inlineStr">
        <is>
          <t>Stage 1</t>
        </is>
      </c>
      <c r="F1037" t="inlineStr">
        <is>
          <t>N/A</t>
        </is>
      </c>
      <c r="G1037" s="26">
        <v>888027495</v>
      </c>
      <c r="H1037" s="26">
        <v>8880275</v>
      </c>
      <c r="I1037" s="26">
        <v>0</v>
      </c>
      <c r="J1037" s="26">
        <v>27</v>
      </c>
      <c r="K1037" t="inlineStr">
        <is>
          <t>Non</t>
        </is>
      </c>
      <c r="L1037">
        <f>SUBTOTAL(103,A1037)</f>
        <v>1</v>
      </c>
    </row>
    <row r="1038">
      <c r="A1038" t="inlineStr">
        <is>
          <t>SOCIETE C2032</t>
        </is>
      </c>
      <c r="B1038" t="inlineStr">
        <is>
          <t>C2032</t>
        </is>
      </c>
      <c r="C1038" t="inlineStr">
        <is>
          <t>PUBLIC SECTOR</t>
        </is>
      </c>
      <c r="D1038" t="inlineStr">
        <is>
          <t>I</t>
        </is>
      </c>
      <c r="E1038" t="inlineStr">
        <is>
          <t>Stage 1</t>
        </is>
      </c>
      <c r="F1038" t="inlineStr">
        <is>
          <t>N/A</t>
        </is>
      </c>
      <c r="G1038" s="26">
        <v>406979230</v>
      </c>
      <c r="H1038" s="26">
        <v>4069792</v>
      </c>
      <c r="I1038" s="26">
        <v>40275620</v>
      </c>
      <c r="J1038" s="26">
        <v>113</v>
      </c>
      <c r="K1038" t="inlineStr">
        <is>
          <t>Non</t>
        </is>
      </c>
      <c r="L1038">
        <f>SUBTOTAL(103,A1038)</f>
        <v>1</v>
      </c>
    </row>
    <row r="1039">
      <c r="A1039" t="inlineStr">
        <is>
          <t>SOCIETE C687</t>
        </is>
      </c>
      <c r="B1039" t="inlineStr">
        <is>
          <t>C687</t>
        </is>
      </c>
      <c r="C1039" t="inlineStr">
        <is>
          <t>PUBLIC SECTOR</t>
        </is>
      </c>
      <c r="D1039" t="inlineStr">
        <is>
          <t>I</t>
        </is>
      </c>
      <c r="E1039" t="inlineStr">
        <is>
          <t>Stage 1</t>
        </is>
      </c>
      <c r="F1039" t="inlineStr">
        <is>
          <t>N/A</t>
        </is>
      </c>
      <c r="G1039" s="26">
        <v>172563675</v>
      </c>
      <c r="H1039" s="26">
        <v>1725637</v>
      </c>
      <c r="I1039" s="26">
        <v>0</v>
      </c>
      <c r="J1039" s="26">
        <v>166</v>
      </c>
      <c r="K1039" t="inlineStr">
        <is>
          <t>Non</t>
        </is>
      </c>
      <c r="L1039">
        <f>SUBTOTAL(103,A1039)</f>
        <v>1</v>
      </c>
    </row>
    <row r="1040">
      <c r="A1040" t="inlineStr">
        <is>
          <t>SOCIETE C427</t>
        </is>
      </c>
      <c r="B1040" t="inlineStr">
        <is>
          <t>C427</t>
        </is>
      </c>
      <c r="C1040" t="inlineStr">
        <is>
          <t>CONSUMER BANKING</t>
        </is>
      </c>
      <c r="D1040" t="inlineStr">
        <is>
          <t>I</t>
        </is>
      </c>
      <c r="E1040" t="inlineStr">
        <is>
          <t>Stage 1</t>
        </is>
      </c>
      <c r="F1040" t="inlineStr">
        <is>
          <t>N/A</t>
        </is>
      </c>
      <c r="G1040" s="26">
        <v>29466305</v>
      </c>
      <c r="H1040" s="26">
        <v>294663</v>
      </c>
      <c r="I1040" s="26">
        <v>0</v>
      </c>
      <c r="J1040" s="26">
        <v>83</v>
      </c>
      <c r="K1040" t="inlineStr">
        <is>
          <t>Non</t>
        </is>
      </c>
      <c r="L1040">
        <f>SUBTOTAL(103,A1040)</f>
        <v>1</v>
      </c>
    </row>
    <row r="1041">
      <c r="A1041" t="inlineStr">
        <is>
          <t>SOCIETE C2218</t>
        </is>
      </c>
      <c r="B1041" t="inlineStr">
        <is>
          <t>C2218</t>
        </is>
      </c>
      <c r="C1041" t="inlineStr">
        <is>
          <t>CORPORATE BANKING</t>
        </is>
      </c>
      <c r="D1041" t="inlineStr">
        <is>
          <t>V</t>
        </is>
      </c>
      <c r="E1041" t="inlineStr">
        <is>
          <t>Stage 3</t>
        </is>
      </c>
      <c r="F1041" t="inlineStr">
        <is>
          <t>N/A</t>
        </is>
      </c>
      <c r="G1041" s="26">
        <v>119874549</v>
      </c>
      <c r="H1041" s="26">
        <v>65931002</v>
      </c>
      <c r="I1041" s="26">
        <v>234210</v>
      </c>
      <c r="J1041" s="26">
        <v>43</v>
      </c>
      <c r="K1041" t="inlineStr">
        <is>
          <t>Oui</t>
        </is>
      </c>
      <c r="L1041">
        <f>SUBTOTAL(103,A1041)</f>
        <v>1</v>
      </c>
    </row>
    <row r="1042">
      <c r="A1042" t="inlineStr">
        <is>
          <t>SOCIETE C2487</t>
        </is>
      </c>
      <c r="B1042" t="inlineStr">
        <is>
          <t>C2487</t>
        </is>
      </c>
      <c r="C1042" t="inlineStr">
        <is>
          <t>CORPORATE BANKING</t>
        </is>
      </c>
      <c r="D1042" t="inlineStr">
        <is>
          <t>I</t>
        </is>
      </c>
      <c r="E1042" t="inlineStr">
        <is>
          <t>Stage 1</t>
        </is>
      </c>
      <c r="F1042" t="inlineStr">
        <is>
          <t>N/A</t>
        </is>
      </c>
      <c r="G1042" s="26">
        <v>1816059154</v>
      </c>
      <c r="H1042" s="26">
        <v>18160592</v>
      </c>
      <c r="I1042" s="26">
        <v>0</v>
      </c>
      <c r="J1042" s="26">
        <v>291</v>
      </c>
      <c r="K1042" t="inlineStr">
        <is>
          <t>Non</t>
        </is>
      </c>
      <c r="L1042">
        <f>SUBTOTAL(103,A1042)</f>
        <v>1</v>
      </c>
    </row>
    <row r="1043">
      <c r="A1043" t="inlineStr">
        <is>
          <t>SOCIETE C288</t>
        </is>
      </c>
      <c r="B1043" t="inlineStr">
        <is>
          <t>C288</t>
        </is>
      </c>
      <c r="C1043" t="inlineStr">
        <is>
          <t>SME</t>
        </is>
      </c>
      <c r="D1043" t="inlineStr">
        <is>
          <t>III</t>
        </is>
      </c>
      <c r="E1043" t="inlineStr">
        <is>
          <t>Stage 3</t>
        </is>
      </c>
      <c r="F1043" t="inlineStr">
        <is>
          <t>N/A</t>
        </is>
      </c>
      <c r="G1043" s="26">
        <v>727734640</v>
      </c>
      <c r="H1043" s="26">
        <v>400254052</v>
      </c>
      <c r="I1043" s="26">
        <v>0</v>
      </c>
      <c r="J1043" s="26">
        <v>29</v>
      </c>
      <c r="K1043" t="inlineStr">
        <is>
          <t>Oui</t>
        </is>
      </c>
      <c r="L1043">
        <f>SUBTOTAL(103,A1043)</f>
        <v>1</v>
      </c>
    </row>
    <row r="1044">
      <c r="A1044" t="inlineStr">
        <is>
          <t>SOCIETE C1632</t>
        </is>
      </c>
      <c r="B1044" t="inlineStr">
        <is>
          <t>C1632</t>
        </is>
      </c>
      <c r="C1044" t="inlineStr">
        <is>
          <t>COMMERCIAL BANKING</t>
        </is>
      </c>
      <c r="D1044" t="inlineStr">
        <is>
          <t>II</t>
        </is>
      </c>
      <c r="E1044" t="inlineStr">
        <is>
          <t>Stage 2</t>
        </is>
      </c>
      <c r="F1044" t="inlineStr">
        <is>
          <t>N/A</t>
        </is>
      </c>
      <c r="G1044" s="26">
        <v>4915001</v>
      </c>
      <c r="H1044" s="26">
        <v>294900</v>
      </c>
      <c r="I1044" s="26">
        <v>0</v>
      </c>
      <c r="J1044" s="26">
        <v>95</v>
      </c>
      <c r="K1044" t="inlineStr">
        <is>
          <t>Non</t>
        </is>
      </c>
      <c r="L1044">
        <f>SUBTOTAL(103,A1044)</f>
        <v>1</v>
      </c>
    </row>
    <row r="1045">
      <c r="A1045" t="inlineStr">
        <is>
          <t>SOCIETE C988</t>
        </is>
      </c>
      <c r="B1045" t="inlineStr">
        <is>
          <t>C988</t>
        </is>
      </c>
      <c r="C1045" t="inlineStr">
        <is>
          <t>COMMERCIAL BANKING</t>
        </is>
      </c>
      <c r="D1045" t="inlineStr">
        <is>
          <t>V</t>
        </is>
      </c>
      <c r="E1045" t="inlineStr">
        <is>
          <t>Stage 3</t>
        </is>
      </c>
      <c r="F1045" t="inlineStr">
        <is>
          <t>N/A</t>
        </is>
      </c>
      <c r="G1045" s="26">
        <v>1589261580</v>
      </c>
      <c r="H1045" s="26">
        <v>874093869</v>
      </c>
      <c r="I1045" s="26">
        <v>0</v>
      </c>
      <c r="J1045" s="26">
        <v>24</v>
      </c>
      <c r="K1045" t="inlineStr">
        <is>
          <t>Oui</t>
        </is>
      </c>
      <c r="L1045">
        <f>SUBTOTAL(103,A1045)</f>
        <v>1</v>
      </c>
    </row>
    <row r="1046">
      <c r="A1046" t="inlineStr">
        <is>
          <t>SOCIETE C2188</t>
        </is>
      </c>
      <c r="B1046" t="inlineStr">
        <is>
          <t>C2188</t>
        </is>
      </c>
      <c r="C1046" t="inlineStr">
        <is>
          <t>CORPORATE BANKING</t>
        </is>
      </c>
      <c r="D1046" t="inlineStr">
        <is>
          <t>II</t>
        </is>
      </c>
      <c r="E1046" t="inlineStr">
        <is>
          <t>Stage 2</t>
        </is>
      </c>
      <c r="F1046" t="inlineStr">
        <is>
          <t>N/A</t>
        </is>
      </c>
      <c r="G1046" s="26">
        <v>2556836979</v>
      </c>
      <c r="H1046" s="26">
        <v>153410219</v>
      </c>
      <c r="I1046" s="26">
        <v>436215239</v>
      </c>
      <c r="J1046" s="26">
        <v>185</v>
      </c>
      <c r="K1046" t="inlineStr">
        <is>
          <t>Non</t>
        </is>
      </c>
      <c r="L1046">
        <f>SUBTOTAL(103,A1046)</f>
        <v>1</v>
      </c>
    </row>
    <row r="1047">
      <c r="A1047" t="inlineStr">
        <is>
          <t>SOCIETE C834</t>
        </is>
      </c>
      <c r="B1047" t="inlineStr">
        <is>
          <t>C834</t>
        </is>
      </c>
      <c r="C1047" t="inlineStr">
        <is>
          <t>COMMERCIAL BANKING</t>
        </is>
      </c>
      <c r="D1047" t="inlineStr">
        <is>
          <t>I</t>
        </is>
      </c>
      <c r="E1047" t="inlineStr">
        <is>
          <t>Stage 1</t>
        </is>
      </c>
      <c r="F1047" t="inlineStr">
        <is>
          <t>N/A</t>
        </is>
      </c>
      <c r="G1047" s="26">
        <v>2210210504</v>
      </c>
      <c r="H1047" s="26">
        <v>22102105</v>
      </c>
      <c r="I1047" s="26">
        <v>0</v>
      </c>
      <c r="J1047" s="26">
        <v>77</v>
      </c>
      <c r="K1047" t="inlineStr">
        <is>
          <t>Non</t>
        </is>
      </c>
      <c r="L1047">
        <f>SUBTOTAL(103,A1047)</f>
        <v>1</v>
      </c>
    </row>
    <row r="1048">
      <c r="A1048" t="inlineStr">
        <is>
          <t>SOCIETE C768</t>
        </is>
      </c>
      <c r="B1048" t="inlineStr">
        <is>
          <t>C768</t>
        </is>
      </c>
      <c r="C1048" t="inlineStr">
        <is>
          <t>CORPORATE BANKING</t>
        </is>
      </c>
      <c r="D1048" t="inlineStr">
        <is>
          <t>V</t>
        </is>
      </c>
      <c r="E1048" t="inlineStr">
        <is>
          <t>Stage 3</t>
        </is>
      </c>
      <c r="F1048" t="inlineStr">
        <is>
          <t>N/A</t>
        </is>
      </c>
      <c r="G1048" s="26">
        <v>2040504782</v>
      </c>
      <c r="H1048" s="26">
        <v>1122277630</v>
      </c>
      <c r="I1048" s="26">
        <v>0</v>
      </c>
      <c r="J1048" s="26">
        <v>89</v>
      </c>
      <c r="K1048" t="inlineStr">
        <is>
          <t>Oui</t>
        </is>
      </c>
      <c r="L1048">
        <f>SUBTOTAL(103,A1048)</f>
        <v>1</v>
      </c>
    </row>
    <row r="1049">
      <c r="A1049" t="inlineStr">
        <is>
          <t>SOCIETE C910</t>
        </is>
      </c>
      <c r="B1049" t="inlineStr">
        <is>
          <t>C910</t>
        </is>
      </c>
      <c r="C1049" t="inlineStr">
        <is>
          <t>PUBLIC SECTOR</t>
        </is>
      </c>
      <c r="D1049" t="inlineStr">
        <is>
          <t>I</t>
        </is>
      </c>
      <c r="E1049" t="inlineStr">
        <is>
          <t>Stage 1</t>
        </is>
      </c>
      <c r="F1049" t="inlineStr">
        <is>
          <t>N/A</t>
        </is>
      </c>
      <c r="G1049" s="26">
        <v>479127651</v>
      </c>
      <c r="H1049" s="26">
        <v>4791277</v>
      </c>
      <c r="I1049" s="26">
        <v>69756426</v>
      </c>
      <c r="J1049" s="26">
        <v>213</v>
      </c>
      <c r="K1049" t="inlineStr">
        <is>
          <t>Non</t>
        </is>
      </c>
      <c r="L1049">
        <f>SUBTOTAL(103,A1049)</f>
        <v>1</v>
      </c>
    </row>
    <row r="1050">
      <c r="A1050" t="inlineStr">
        <is>
          <t>SOCIETE C2209</t>
        </is>
      </c>
      <c r="B1050" t="inlineStr">
        <is>
          <t>C2209</t>
        </is>
      </c>
      <c r="C1050" t="inlineStr">
        <is>
          <t>CORPORATE BANKING</t>
        </is>
      </c>
      <c r="D1050" t="inlineStr">
        <is>
          <t>I</t>
        </is>
      </c>
      <c r="E1050" t="inlineStr">
        <is>
          <t>Stage 1</t>
        </is>
      </c>
      <c r="F1050" t="inlineStr">
        <is>
          <t>N/A</t>
        </is>
      </c>
      <c r="G1050" s="26">
        <v>57737353</v>
      </c>
      <c r="H1050" s="26">
        <v>577374</v>
      </c>
      <c r="I1050" s="26">
        <v>0</v>
      </c>
      <c r="J1050" s="26">
        <v>18</v>
      </c>
      <c r="K1050" t="inlineStr">
        <is>
          <t>Non</t>
        </is>
      </c>
      <c r="L1050">
        <f>SUBTOTAL(103,A1050)</f>
        <v>1</v>
      </c>
    </row>
    <row r="1051">
      <c r="A1051" t="inlineStr">
        <is>
          <t>SOCIETE C1647</t>
        </is>
      </c>
      <c r="B1051" t="inlineStr">
        <is>
          <t>C1647</t>
        </is>
      </c>
      <c r="C1051" t="inlineStr">
        <is>
          <t>CORPORATE BANKING</t>
        </is>
      </c>
      <c r="D1051" t="inlineStr">
        <is>
          <t>I</t>
        </is>
      </c>
      <c r="E1051" t="inlineStr">
        <is>
          <t>Stage 1</t>
        </is>
      </c>
      <c r="F1051" t="inlineStr">
        <is>
          <t>N/A</t>
        </is>
      </c>
      <c r="G1051" s="26">
        <v>135836698</v>
      </c>
      <c r="H1051" s="26">
        <v>1358367</v>
      </c>
      <c r="I1051" s="26">
        <v>0</v>
      </c>
      <c r="J1051" s="26">
        <v>371</v>
      </c>
      <c r="K1051" t="inlineStr">
        <is>
          <t>Non</t>
        </is>
      </c>
      <c r="L1051">
        <f>SUBTOTAL(103,A1051)</f>
        <v>1</v>
      </c>
    </row>
    <row r="1052">
      <c r="A1052" t="inlineStr">
        <is>
          <t>SOCIETE C1495</t>
        </is>
      </c>
      <c r="B1052" t="inlineStr">
        <is>
          <t>C1495</t>
        </is>
      </c>
      <c r="C1052" t="inlineStr">
        <is>
          <t>COMMERCIAL BANKING</t>
        </is>
      </c>
      <c r="D1052" t="inlineStr">
        <is>
          <t>I</t>
        </is>
      </c>
      <c r="E1052" t="inlineStr">
        <is>
          <t>Stage 1</t>
        </is>
      </c>
      <c r="F1052" t="inlineStr">
        <is>
          <t>N/A</t>
        </is>
      </c>
      <c r="G1052" s="26">
        <v>624899221</v>
      </c>
      <c r="H1052" s="26">
        <v>6248992</v>
      </c>
      <c r="I1052" s="26">
        <v>0</v>
      </c>
      <c r="J1052" s="26">
        <v>186</v>
      </c>
      <c r="K1052" t="inlineStr">
        <is>
          <t>Non</t>
        </is>
      </c>
      <c r="L1052">
        <f>SUBTOTAL(103,A1052)</f>
        <v>1</v>
      </c>
    </row>
    <row r="1053">
      <c r="A1053" t="inlineStr">
        <is>
          <t>SOCIETE C2467</t>
        </is>
      </c>
      <c r="B1053" t="inlineStr">
        <is>
          <t>C2467</t>
        </is>
      </c>
      <c r="C1053" t="inlineStr">
        <is>
          <t>COMMERCIAL BANKING</t>
        </is>
      </c>
      <c r="D1053" t="inlineStr">
        <is>
          <t>III</t>
        </is>
      </c>
      <c r="E1053" t="inlineStr">
        <is>
          <t>Stage 3</t>
        </is>
      </c>
      <c r="F1053" t="inlineStr">
        <is>
          <t>N/A</t>
        </is>
      </c>
      <c r="G1053" s="26">
        <v>6885452</v>
      </c>
      <c r="H1053" s="26">
        <v>3786999</v>
      </c>
      <c r="I1053" s="26">
        <v>0</v>
      </c>
      <c r="J1053" s="26">
        <v>102</v>
      </c>
      <c r="K1053" t="inlineStr">
        <is>
          <t>Oui</t>
        </is>
      </c>
      <c r="L1053">
        <f>SUBTOTAL(103,A1053)</f>
        <v>1</v>
      </c>
    </row>
    <row r="1054">
      <c r="A1054" t="inlineStr">
        <is>
          <t>SOCIETE C508</t>
        </is>
      </c>
      <c r="B1054" t="inlineStr">
        <is>
          <t>C508</t>
        </is>
      </c>
      <c r="C1054" t="inlineStr">
        <is>
          <t>CORPORATE BANKING</t>
        </is>
      </c>
      <c r="D1054" t="inlineStr">
        <is>
          <t>III</t>
        </is>
      </c>
      <c r="E1054" t="inlineStr">
        <is>
          <t>Stage 3</t>
        </is>
      </c>
      <c r="F1054" t="inlineStr">
        <is>
          <t>N/A</t>
        </is>
      </c>
      <c r="G1054" s="26">
        <v>2352400368</v>
      </c>
      <c r="H1054" s="26">
        <v>1293820203</v>
      </c>
      <c r="I1054" s="26">
        <v>0</v>
      </c>
      <c r="J1054" s="26">
        <v>157</v>
      </c>
      <c r="K1054" t="inlineStr">
        <is>
          <t>Oui</t>
        </is>
      </c>
      <c r="L1054">
        <f>SUBTOTAL(103,A1054)</f>
        <v>1</v>
      </c>
    </row>
    <row r="1055">
      <c r="A1055" t="inlineStr">
        <is>
          <t>SOCIETE C154</t>
        </is>
      </c>
      <c r="B1055" t="inlineStr">
        <is>
          <t>C154</t>
        </is>
      </c>
      <c r="C1055" t="inlineStr">
        <is>
          <t>CORPORATE BANKING</t>
        </is>
      </c>
      <c r="D1055" t="inlineStr">
        <is>
          <t>III</t>
        </is>
      </c>
      <c r="E1055" t="inlineStr">
        <is>
          <t>Stage 3</t>
        </is>
      </c>
      <c r="F1055" t="inlineStr">
        <is>
          <t>N/A</t>
        </is>
      </c>
      <c r="G1055" s="26">
        <v>582202915</v>
      </c>
      <c r="H1055" s="26">
        <v>320211603</v>
      </c>
      <c r="I1055" s="26">
        <v>0</v>
      </c>
      <c r="J1055" s="26">
        <v>171</v>
      </c>
      <c r="K1055" t="inlineStr">
        <is>
          <t>Oui</t>
        </is>
      </c>
      <c r="L1055">
        <f>SUBTOTAL(103,A1055)</f>
        <v>1</v>
      </c>
    </row>
    <row r="1056">
      <c r="A1056" t="inlineStr">
        <is>
          <t>SOCIETE C1446</t>
        </is>
      </c>
      <c r="B1056" t="inlineStr">
        <is>
          <t>C1446</t>
        </is>
      </c>
      <c r="C1056" t="inlineStr">
        <is>
          <t>CORPORATE BANKING</t>
        </is>
      </c>
      <c r="D1056" t="inlineStr">
        <is>
          <t>I</t>
        </is>
      </c>
      <c r="E1056" t="inlineStr">
        <is>
          <t>Stage 1</t>
        </is>
      </c>
      <c r="F1056" t="inlineStr">
        <is>
          <t>N/A</t>
        </is>
      </c>
      <c r="G1056" s="26">
        <v>1004655</v>
      </c>
      <c r="H1056" s="26">
        <v>10047</v>
      </c>
      <c r="I1056" s="26">
        <v>0</v>
      </c>
      <c r="J1056" s="26">
        <v>2</v>
      </c>
      <c r="K1056" t="inlineStr">
        <is>
          <t>Non</t>
        </is>
      </c>
      <c r="L1056">
        <f>SUBTOTAL(103,A1056)</f>
        <v>1</v>
      </c>
    </row>
    <row r="1057">
      <c r="A1057" t="inlineStr">
        <is>
          <t>SOCIETE C503</t>
        </is>
      </c>
      <c r="B1057" t="inlineStr">
        <is>
          <t>C503</t>
        </is>
      </c>
      <c r="C1057" t="inlineStr">
        <is>
          <t>CORPORATE BANKING</t>
        </is>
      </c>
      <c r="D1057" t="inlineStr">
        <is>
          <t>II</t>
        </is>
      </c>
      <c r="E1057" t="inlineStr">
        <is>
          <t>Stage 2</t>
        </is>
      </c>
      <c r="F1057" t="inlineStr">
        <is>
          <t>N/A</t>
        </is>
      </c>
      <c r="G1057" s="26">
        <v>569413971</v>
      </c>
      <c r="H1057" s="26">
        <v>34164838</v>
      </c>
      <c r="I1057" s="26">
        <v>0</v>
      </c>
      <c r="J1057" s="26">
        <v>315</v>
      </c>
      <c r="K1057" t="inlineStr">
        <is>
          <t>Non</t>
        </is>
      </c>
      <c r="L1057">
        <f>SUBTOTAL(103,A1057)</f>
        <v>1</v>
      </c>
    </row>
    <row r="1058">
      <c r="A1058" t="inlineStr">
        <is>
          <t>SOCIETE C1006</t>
        </is>
      </c>
      <c r="B1058" t="inlineStr">
        <is>
          <t>C1006</t>
        </is>
      </c>
      <c r="C1058" t="inlineStr">
        <is>
          <t>CONSUMER BANKING</t>
        </is>
      </c>
      <c r="D1058" t="inlineStr">
        <is>
          <t>I</t>
        </is>
      </c>
      <c r="E1058" t="inlineStr">
        <is>
          <t>Stage 1</t>
        </is>
      </c>
      <c r="F1058" t="inlineStr">
        <is>
          <t>N/A</t>
        </is>
      </c>
      <c r="G1058" s="26">
        <v>482605122</v>
      </c>
      <c r="H1058" s="26">
        <v>4826051</v>
      </c>
      <c r="I1058" s="26">
        <v>0</v>
      </c>
      <c r="J1058" s="26">
        <v>262</v>
      </c>
      <c r="K1058" t="inlineStr">
        <is>
          <t>Non</t>
        </is>
      </c>
      <c r="L1058">
        <f>SUBTOTAL(103,A1058)</f>
        <v>1</v>
      </c>
    </row>
    <row r="1059">
      <c r="A1059" t="inlineStr">
        <is>
          <t>SOCIETE C2116</t>
        </is>
      </c>
      <c r="B1059" t="inlineStr">
        <is>
          <t>C2116</t>
        </is>
      </c>
      <c r="C1059" t="inlineStr">
        <is>
          <t>SME</t>
        </is>
      </c>
      <c r="D1059" t="inlineStr">
        <is>
          <t>I</t>
        </is>
      </c>
      <c r="E1059" t="inlineStr">
        <is>
          <t>Stage 1</t>
        </is>
      </c>
      <c r="F1059" t="inlineStr">
        <is>
          <t>N/A</t>
        </is>
      </c>
      <c r="G1059" s="26">
        <v>1062251</v>
      </c>
      <c r="H1059" s="26">
        <v>10623</v>
      </c>
      <c r="I1059" s="26">
        <v>0</v>
      </c>
      <c r="J1059" s="26">
        <v>83</v>
      </c>
      <c r="K1059" t="inlineStr">
        <is>
          <t>Non</t>
        </is>
      </c>
      <c r="L1059">
        <f>SUBTOTAL(103,A1059)</f>
        <v>1</v>
      </c>
    </row>
    <row r="1060">
      <c r="A1060" t="inlineStr">
        <is>
          <t>SOCIETE C1577</t>
        </is>
      </c>
      <c r="B1060" t="inlineStr">
        <is>
          <t>C1577</t>
        </is>
      </c>
      <c r="C1060" t="inlineStr">
        <is>
          <t>CORPORATE BANKING</t>
        </is>
      </c>
      <c r="D1060" t="inlineStr">
        <is>
          <t>IA</t>
        </is>
      </c>
      <c r="E1060" t="inlineStr">
        <is>
          <t>Stage 2</t>
        </is>
      </c>
      <c r="F1060" t="inlineStr">
        <is>
          <t>N/A</t>
        </is>
      </c>
      <c r="G1060" s="26">
        <v>2820859917</v>
      </c>
      <c r="H1060" s="26">
        <v>169251595</v>
      </c>
      <c r="I1060" s="26">
        <v>0</v>
      </c>
      <c r="J1060" s="26">
        <v>36</v>
      </c>
      <c r="K1060" t="inlineStr">
        <is>
          <t>Non</t>
        </is>
      </c>
      <c r="L1060">
        <f>SUBTOTAL(103,A1060)</f>
        <v>1</v>
      </c>
    </row>
    <row r="1061">
      <c r="A1061" t="inlineStr">
        <is>
          <t>SOCIETE C2349</t>
        </is>
      </c>
      <c r="B1061" t="inlineStr">
        <is>
          <t>C2349</t>
        </is>
      </c>
      <c r="C1061" t="inlineStr">
        <is>
          <t>CORPORATE BANKING</t>
        </is>
      </c>
      <c r="D1061" t="inlineStr">
        <is>
          <t>V</t>
        </is>
      </c>
      <c r="E1061" t="inlineStr">
        <is>
          <t>Stage 3</t>
        </is>
      </c>
      <c r="F1061" t="inlineStr">
        <is>
          <t>N/A</t>
        </is>
      </c>
      <c r="G1061" s="26">
        <v>564260535</v>
      </c>
      <c r="H1061" s="26">
        <v>310343294</v>
      </c>
      <c r="I1061" s="26">
        <v>0</v>
      </c>
      <c r="J1061" s="26">
        <v>45</v>
      </c>
      <c r="K1061" t="inlineStr">
        <is>
          <t>Oui</t>
        </is>
      </c>
      <c r="L1061">
        <f>SUBTOTAL(103,A1061)</f>
        <v>1</v>
      </c>
    </row>
    <row r="1062">
      <c r="A1062" t="inlineStr">
        <is>
          <t>SOCIETE C2304</t>
        </is>
      </c>
      <c r="B1062" t="inlineStr">
        <is>
          <t>C2304</t>
        </is>
      </c>
      <c r="C1062" t="inlineStr">
        <is>
          <t>COMMERCIAL BANKING</t>
        </is>
      </c>
      <c r="D1062" t="inlineStr">
        <is>
          <t>V</t>
        </is>
      </c>
      <c r="E1062" t="inlineStr">
        <is>
          <t>Stage 3</t>
        </is>
      </c>
      <c r="F1062" t="inlineStr">
        <is>
          <t>N/A</t>
        </is>
      </c>
      <c r="G1062" s="26">
        <v>2978400</v>
      </c>
      <c r="H1062" s="26">
        <v>1638120</v>
      </c>
      <c r="I1062" s="26">
        <v>0</v>
      </c>
      <c r="J1062" s="26">
        <v>122</v>
      </c>
      <c r="K1062" t="inlineStr">
        <is>
          <t>Oui</t>
        </is>
      </c>
      <c r="L1062">
        <f>SUBTOTAL(103,A1062)</f>
        <v>1</v>
      </c>
    </row>
    <row r="1063">
      <c r="A1063" t="inlineStr">
        <is>
          <t>SOCIETE C2328</t>
        </is>
      </c>
      <c r="B1063" t="inlineStr">
        <is>
          <t>C2328</t>
        </is>
      </c>
      <c r="C1063" t="inlineStr">
        <is>
          <t>COMMERCIAL BANKING</t>
        </is>
      </c>
      <c r="D1063" t="inlineStr">
        <is>
          <t>III</t>
        </is>
      </c>
      <c r="E1063" t="inlineStr">
        <is>
          <t>Stage 3</t>
        </is>
      </c>
      <c r="F1063" t="inlineStr">
        <is>
          <t>N/A</t>
        </is>
      </c>
      <c r="G1063" s="26">
        <v>996529468</v>
      </c>
      <c r="H1063" s="26">
        <v>548091207</v>
      </c>
      <c r="I1063" s="26">
        <v>0</v>
      </c>
      <c r="J1063" s="26">
        <v>199</v>
      </c>
      <c r="K1063" t="inlineStr">
        <is>
          <t>Oui</t>
        </is>
      </c>
      <c r="L1063">
        <f>SUBTOTAL(103,A1063)</f>
        <v>1</v>
      </c>
    </row>
    <row r="1064">
      <c r="A1064" t="inlineStr">
        <is>
          <t>SOCIETE C171</t>
        </is>
      </c>
      <c r="B1064" t="inlineStr">
        <is>
          <t>C171</t>
        </is>
      </c>
      <c r="C1064" t="inlineStr">
        <is>
          <t>CORPORATE BANKING</t>
        </is>
      </c>
      <c r="D1064" t="inlineStr">
        <is>
          <t>IA</t>
        </is>
      </c>
      <c r="E1064" t="inlineStr">
        <is>
          <t>Stage 2</t>
        </is>
      </c>
      <c r="F1064" t="inlineStr">
        <is>
          <t>N/A</t>
        </is>
      </c>
      <c r="G1064" s="26">
        <v>25794032</v>
      </c>
      <c r="H1064" s="26">
        <v>1547642</v>
      </c>
      <c r="I1064" s="26">
        <v>0</v>
      </c>
      <c r="J1064" s="26">
        <v>74</v>
      </c>
      <c r="K1064" t="inlineStr">
        <is>
          <t>Non</t>
        </is>
      </c>
      <c r="L1064">
        <f>SUBTOTAL(103,A1064)</f>
        <v>1</v>
      </c>
    </row>
    <row r="1065">
      <c r="A1065" t="inlineStr">
        <is>
          <t>SOCIETE C2369</t>
        </is>
      </c>
      <c r="B1065" t="inlineStr">
        <is>
          <t>C2369</t>
        </is>
      </c>
      <c r="C1065" t="inlineStr">
        <is>
          <t>CORPORATE BANKING</t>
        </is>
      </c>
      <c r="D1065" t="inlineStr">
        <is>
          <t>I</t>
        </is>
      </c>
      <c r="E1065" t="inlineStr">
        <is>
          <t>Stage 1</t>
        </is>
      </c>
      <c r="F1065" t="inlineStr">
        <is>
          <t>N/A</t>
        </is>
      </c>
      <c r="G1065" s="26">
        <v>142320609</v>
      </c>
      <c r="H1065" s="26">
        <v>1423206</v>
      </c>
      <c r="I1065" s="26">
        <v>0</v>
      </c>
      <c r="J1065" s="26">
        <v>52</v>
      </c>
      <c r="K1065" t="inlineStr">
        <is>
          <t>Non</t>
        </is>
      </c>
      <c r="L1065">
        <f>SUBTOTAL(103,A1065)</f>
        <v>1</v>
      </c>
    </row>
    <row r="1066">
      <c r="A1066" t="inlineStr">
        <is>
          <t>SOCIETE C1539</t>
        </is>
      </c>
      <c r="B1066" t="inlineStr">
        <is>
          <t>C1539</t>
        </is>
      </c>
      <c r="C1066" t="inlineStr">
        <is>
          <t>CORPORATE BANKING</t>
        </is>
      </c>
      <c r="D1066" t="inlineStr">
        <is>
          <t>IA</t>
        </is>
      </c>
      <c r="E1066" t="inlineStr">
        <is>
          <t>Stage 2</t>
        </is>
      </c>
      <c r="F1066" t="inlineStr">
        <is>
          <t>N/A</t>
        </is>
      </c>
      <c r="G1066" s="26">
        <v>1642131036</v>
      </c>
      <c r="H1066" s="26">
        <v>98527862</v>
      </c>
      <c r="I1066" s="26">
        <v>0</v>
      </c>
      <c r="J1066" s="26">
        <v>13</v>
      </c>
      <c r="K1066" t="inlineStr">
        <is>
          <t>Non</t>
        </is>
      </c>
      <c r="L1066">
        <f>SUBTOTAL(103,A1066)</f>
        <v>1</v>
      </c>
    </row>
    <row r="1067">
      <c r="A1067" t="inlineStr">
        <is>
          <t>SOCIETE C983</t>
        </is>
      </c>
      <c r="B1067" t="inlineStr">
        <is>
          <t>C983</t>
        </is>
      </c>
      <c r="C1067" t="inlineStr">
        <is>
          <t>PUBLIC SECTOR</t>
        </is>
      </c>
      <c r="D1067" t="inlineStr">
        <is>
          <t>I</t>
        </is>
      </c>
      <c r="E1067" t="inlineStr">
        <is>
          <t>Stage 1</t>
        </is>
      </c>
      <c r="F1067" t="inlineStr">
        <is>
          <t>N/A</t>
        </is>
      </c>
      <c r="G1067" s="26">
        <v>1205242</v>
      </c>
      <c r="H1067" s="26">
        <v>12052</v>
      </c>
      <c r="I1067" s="26">
        <v>0</v>
      </c>
      <c r="J1067" s="26">
        <v>147</v>
      </c>
      <c r="K1067" t="inlineStr">
        <is>
          <t>Non</t>
        </is>
      </c>
      <c r="L1067">
        <f>SUBTOTAL(103,A1067)</f>
        <v>1</v>
      </c>
    </row>
    <row r="1068">
      <c r="A1068" t="inlineStr">
        <is>
          <t>SOCIETE C2235</t>
        </is>
      </c>
      <c r="B1068" t="inlineStr">
        <is>
          <t>C2235</t>
        </is>
      </c>
      <c r="C1068" t="inlineStr">
        <is>
          <t>CORPORATE BANKING</t>
        </is>
      </c>
      <c r="D1068" t="inlineStr">
        <is>
          <t>I</t>
        </is>
      </c>
      <c r="E1068" t="inlineStr">
        <is>
          <t>Stage 1</t>
        </is>
      </c>
      <c r="F1068" t="inlineStr">
        <is>
          <t>N/A</t>
        </is>
      </c>
      <c r="G1068" s="26">
        <v>296611742</v>
      </c>
      <c r="H1068" s="26">
        <v>2966117</v>
      </c>
      <c r="I1068" s="26">
        <v>47740651</v>
      </c>
      <c r="J1068" s="26">
        <v>280</v>
      </c>
      <c r="K1068" t="inlineStr">
        <is>
          <t>Non</t>
        </is>
      </c>
      <c r="L1068">
        <f>SUBTOTAL(103,A1068)</f>
        <v>1</v>
      </c>
    </row>
    <row r="1069">
      <c r="A1069" t="inlineStr">
        <is>
          <t>SOCIETE C224</t>
        </is>
      </c>
      <c r="B1069" t="inlineStr">
        <is>
          <t>C224</t>
        </is>
      </c>
      <c r="C1069" t="inlineStr">
        <is>
          <t>CORPORATE BANKING</t>
        </is>
      </c>
      <c r="D1069" t="inlineStr">
        <is>
          <t>IA</t>
        </is>
      </c>
      <c r="E1069" t="inlineStr">
        <is>
          <t>Stage 2</t>
        </is>
      </c>
      <c r="F1069" t="inlineStr">
        <is>
          <t>N/A</t>
        </is>
      </c>
      <c r="G1069" s="26">
        <v>166113686</v>
      </c>
      <c r="H1069" s="26">
        <v>9966821</v>
      </c>
      <c r="I1069" s="26">
        <v>6424896</v>
      </c>
      <c r="J1069" s="26">
        <v>73</v>
      </c>
      <c r="K1069" t="inlineStr">
        <is>
          <t>Non</t>
        </is>
      </c>
      <c r="L1069">
        <f>SUBTOTAL(103,A1069)</f>
        <v>1</v>
      </c>
    </row>
    <row r="1070">
      <c r="A1070" t="inlineStr">
        <is>
          <t>SOCIETE C2279</t>
        </is>
      </c>
      <c r="B1070" t="inlineStr">
        <is>
          <t>C2279</t>
        </is>
      </c>
      <c r="C1070" t="inlineStr">
        <is>
          <t>SME</t>
        </is>
      </c>
      <c r="D1070" t="inlineStr">
        <is>
          <t>I</t>
        </is>
      </c>
      <c r="E1070" t="inlineStr">
        <is>
          <t>Stage 1</t>
        </is>
      </c>
      <c r="F1070" t="inlineStr">
        <is>
          <t>N/A</t>
        </is>
      </c>
      <c r="G1070" s="26">
        <v>2269056215</v>
      </c>
      <c r="H1070" s="26">
        <v>22690562</v>
      </c>
      <c r="I1070" s="26">
        <v>450812879</v>
      </c>
      <c r="J1070" s="26">
        <v>66</v>
      </c>
      <c r="K1070" t="inlineStr">
        <is>
          <t>Non</t>
        </is>
      </c>
      <c r="L1070">
        <f>SUBTOTAL(103,A1070)</f>
        <v>1</v>
      </c>
    </row>
    <row r="1071">
      <c r="A1071" t="inlineStr">
        <is>
          <t>SOCIETE C2080</t>
        </is>
      </c>
      <c r="B1071" t="inlineStr">
        <is>
          <t>C2080</t>
        </is>
      </c>
      <c r="C1071" t="inlineStr">
        <is>
          <t>COMMERCIAL BANKING</t>
        </is>
      </c>
      <c r="D1071" t="inlineStr">
        <is>
          <t>I</t>
        </is>
      </c>
      <c r="E1071" t="inlineStr">
        <is>
          <t>Stage 1</t>
        </is>
      </c>
      <c r="F1071" t="inlineStr">
        <is>
          <t>N/A</t>
        </is>
      </c>
      <c r="G1071" s="26">
        <v>461017874</v>
      </c>
      <c r="H1071" s="26">
        <v>4610179</v>
      </c>
      <c r="I1071" s="26">
        <v>0</v>
      </c>
      <c r="J1071" s="26">
        <v>60</v>
      </c>
      <c r="K1071" t="inlineStr">
        <is>
          <t>Non</t>
        </is>
      </c>
      <c r="L1071">
        <f>SUBTOTAL(103,A1071)</f>
        <v>1</v>
      </c>
    </row>
    <row r="1072">
      <c r="A1072" t="inlineStr">
        <is>
          <t>SOCIETE C541</t>
        </is>
      </c>
      <c r="B1072" t="inlineStr">
        <is>
          <t>C541</t>
        </is>
      </c>
      <c r="C1072" t="inlineStr">
        <is>
          <t>CORPORATE BANKING</t>
        </is>
      </c>
      <c r="D1072" t="inlineStr">
        <is>
          <t>V</t>
        </is>
      </c>
      <c r="E1072" t="inlineStr">
        <is>
          <t>Stage 3</t>
        </is>
      </c>
      <c r="F1072" t="inlineStr">
        <is>
          <t>N/A</t>
        </is>
      </c>
      <c r="G1072" s="26">
        <v>1000972615</v>
      </c>
      <c r="H1072" s="26">
        <v>550534938</v>
      </c>
      <c r="I1072" s="26">
        <v>0</v>
      </c>
      <c r="J1072" s="26">
        <v>66</v>
      </c>
      <c r="K1072" t="inlineStr">
        <is>
          <t>Oui</t>
        </is>
      </c>
      <c r="L1072">
        <f>SUBTOTAL(103,A1072)</f>
        <v>1</v>
      </c>
    </row>
    <row r="1073">
      <c r="A1073" t="inlineStr">
        <is>
          <t>SOCIETE C1493</t>
        </is>
      </c>
      <c r="B1073" t="inlineStr">
        <is>
          <t>C1493</t>
        </is>
      </c>
      <c r="C1073" t="inlineStr">
        <is>
          <t>CORPORATE BANKING</t>
        </is>
      </c>
      <c r="D1073" t="inlineStr">
        <is>
          <t>IA</t>
        </is>
      </c>
      <c r="E1073" t="inlineStr">
        <is>
          <t>Stage 2</t>
        </is>
      </c>
      <c r="F1073" t="inlineStr">
        <is>
          <t>N/A</t>
        </is>
      </c>
      <c r="G1073" s="26">
        <v>442967382</v>
      </c>
      <c r="H1073" s="26">
        <v>26578043</v>
      </c>
      <c r="I1073" s="26">
        <v>0</v>
      </c>
      <c r="J1073" s="26">
        <v>295</v>
      </c>
      <c r="K1073" t="inlineStr">
        <is>
          <t>Non</t>
        </is>
      </c>
      <c r="L1073">
        <f>SUBTOTAL(103,A1073)</f>
        <v>1</v>
      </c>
    </row>
    <row r="1074">
      <c r="A1074" t="inlineStr">
        <is>
          <t>SOCIETE C426</t>
        </is>
      </c>
      <c r="B1074" t="inlineStr">
        <is>
          <t>C426</t>
        </is>
      </c>
      <c r="C1074" t="inlineStr">
        <is>
          <t>CORPORATE BANKING</t>
        </is>
      </c>
      <c r="D1074" t="inlineStr">
        <is>
          <t>I</t>
        </is>
      </c>
      <c r="E1074" t="inlineStr">
        <is>
          <t>Stage 1</t>
        </is>
      </c>
      <c r="F1074" t="inlineStr">
        <is>
          <t>N/A</t>
        </is>
      </c>
      <c r="G1074" s="26">
        <v>255009433</v>
      </c>
      <c r="H1074" s="26">
        <v>2550094</v>
      </c>
      <c r="I1074" s="26">
        <v>0</v>
      </c>
      <c r="J1074" s="26">
        <v>76</v>
      </c>
      <c r="K1074" t="inlineStr">
        <is>
          <t>Non</t>
        </is>
      </c>
      <c r="L1074">
        <f>SUBTOTAL(103,A1074)</f>
        <v>1</v>
      </c>
    </row>
    <row r="1075">
      <c r="A1075" t="inlineStr">
        <is>
          <t>SOCIETE C1565</t>
        </is>
      </c>
      <c r="B1075" t="inlineStr">
        <is>
          <t>C1565</t>
        </is>
      </c>
      <c r="C1075" t="inlineStr">
        <is>
          <t>CORPORATE BANKING</t>
        </is>
      </c>
      <c r="D1075" t="inlineStr">
        <is>
          <t>V</t>
        </is>
      </c>
      <c r="E1075" t="inlineStr">
        <is>
          <t>Stage 3</t>
        </is>
      </c>
      <c r="F1075" t="inlineStr">
        <is>
          <t>N/A</t>
        </is>
      </c>
      <c r="G1075" s="26">
        <v>27530766</v>
      </c>
      <c r="H1075" s="26">
        <v>15141921</v>
      </c>
      <c r="I1075" s="26">
        <v>0</v>
      </c>
      <c r="J1075" s="26">
        <v>0</v>
      </c>
      <c r="K1075" t="inlineStr">
        <is>
          <t>Oui</t>
        </is>
      </c>
      <c r="L1075">
        <f>SUBTOTAL(103,A1075)</f>
        <v>1</v>
      </c>
    </row>
    <row r="1076">
      <c r="A1076" t="inlineStr">
        <is>
          <t>SOCIETE C1781</t>
        </is>
      </c>
      <c r="B1076" t="inlineStr">
        <is>
          <t>C1781</t>
        </is>
      </c>
      <c r="C1076" t="inlineStr">
        <is>
          <t>CORPORATE BANKING</t>
        </is>
      </c>
      <c r="D1076" t="inlineStr">
        <is>
          <t>I</t>
        </is>
      </c>
      <c r="E1076" t="inlineStr">
        <is>
          <t>Stage 1</t>
        </is>
      </c>
      <c r="F1076" t="inlineStr">
        <is>
          <t>N/A</t>
        </is>
      </c>
      <c r="G1076" s="26">
        <v>25178491</v>
      </c>
      <c r="H1076" s="26">
        <v>251785</v>
      </c>
      <c r="I1076" s="26">
        <v>0</v>
      </c>
      <c r="J1076" s="26">
        <v>79</v>
      </c>
      <c r="K1076" t="inlineStr">
        <is>
          <t>Non</t>
        </is>
      </c>
      <c r="L1076">
        <f>SUBTOTAL(103,A1076)</f>
        <v>1</v>
      </c>
    </row>
    <row r="1077">
      <c r="A1077" t="inlineStr">
        <is>
          <t>SOCIETE C1282</t>
        </is>
      </c>
      <c r="B1077" t="inlineStr">
        <is>
          <t>C1282</t>
        </is>
      </c>
      <c r="C1077" t="inlineStr">
        <is>
          <t>CORPORATE BANKING</t>
        </is>
      </c>
      <c r="D1077" t="inlineStr">
        <is>
          <t>I</t>
        </is>
      </c>
      <c r="E1077" t="inlineStr">
        <is>
          <t>Stage 1</t>
        </is>
      </c>
      <c r="F1077" t="inlineStr">
        <is>
          <t>N/A</t>
        </is>
      </c>
      <c r="G1077" s="26">
        <v>1004869</v>
      </c>
      <c r="H1077" s="26">
        <v>10049</v>
      </c>
      <c r="I1077" s="26">
        <v>0</v>
      </c>
      <c r="J1077" s="26">
        <v>161</v>
      </c>
      <c r="K1077" t="inlineStr">
        <is>
          <t>Non</t>
        </is>
      </c>
      <c r="L1077">
        <f>SUBTOTAL(103,A1077)</f>
        <v>1</v>
      </c>
    </row>
    <row r="1078">
      <c r="A1078" t="inlineStr">
        <is>
          <t>SOCIETE C687</t>
        </is>
      </c>
      <c r="B1078" t="inlineStr">
        <is>
          <t>C687</t>
        </is>
      </c>
      <c r="C1078" t="inlineStr">
        <is>
          <t>CORPORATE BANKING</t>
        </is>
      </c>
      <c r="D1078" t="inlineStr">
        <is>
          <t>IA</t>
        </is>
      </c>
      <c r="E1078" t="inlineStr">
        <is>
          <t>Stage 2</t>
        </is>
      </c>
      <c r="F1078" t="inlineStr">
        <is>
          <t>N/A</t>
        </is>
      </c>
      <c r="G1078" s="26">
        <v>1481034573</v>
      </c>
      <c r="H1078" s="26">
        <v>88862074</v>
      </c>
      <c r="I1078" s="26">
        <v>260313439</v>
      </c>
      <c r="J1078" s="26">
        <v>20</v>
      </c>
      <c r="K1078" t="inlineStr">
        <is>
          <t>Non</t>
        </is>
      </c>
      <c r="L1078">
        <f>SUBTOTAL(103,A1078)</f>
        <v>1</v>
      </c>
    </row>
    <row r="1079">
      <c r="A1079" t="inlineStr">
        <is>
          <t>SOCIETE C600</t>
        </is>
      </c>
      <c r="B1079" t="inlineStr">
        <is>
          <t>C600</t>
        </is>
      </c>
      <c r="C1079" t="inlineStr">
        <is>
          <t>PUBLIC SECTOR</t>
        </is>
      </c>
      <c r="D1079" t="inlineStr">
        <is>
          <t>IV</t>
        </is>
      </c>
      <c r="E1079" t="inlineStr">
        <is>
          <t>Stage 3</t>
        </is>
      </c>
      <c r="F1079" t="inlineStr">
        <is>
          <t>N/A</t>
        </is>
      </c>
      <c r="G1079" s="26">
        <v>1678073633</v>
      </c>
      <c r="H1079" s="26">
        <v>922940498</v>
      </c>
      <c r="I1079" s="26">
        <v>0</v>
      </c>
      <c r="J1079" s="26">
        <v>309</v>
      </c>
      <c r="K1079" t="inlineStr">
        <is>
          <t>Oui</t>
        </is>
      </c>
      <c r="L1079">
        <f>SUBTOTAL(103,A1079)</f>
        <v>1</v>
      </c>
    </row>
    <row r="1080">
      <c r="A1080" t="inlineStr">
        <is>
          <t>SOCIETE C2407</t>
        </is>
      </c>
      <c r="B1080" t="inlineStr">
        <is>
          <t>C2407</t>
        </is>
      </c>
      <c r="C1080" t="inlineStr">
        <is>
          <t>COMMERCIAL BANKING</t>
        </is>
      </c>
      <c r="D1080" t="inlineStr">
        <is>
          <t>IV</t>
        </is>
      </c>
      <c r="E1080" t="inlineStr">
        <is>
          <t>Stage 3</t>
        </is>
      </c>
      <c r="F1080" t="inlineStr">
        <is>
          <t>N/A</t>
        </is>
      </c>
      <c r="G1080" s="26">
        <v>390983246</v>
      </c>
      <c r="H1080" s="26">
        <v>215040786</v>
      </c>
      <c r="I1080" s="26">
        <v>0</v>
      </c>
      <c r="J1080" s="26">
        <v>17</v>
      </c>
      <c r="K1080" t="inlineStr">
        <is>
          <t>Oui</t>
        </is>
      </c>
      <c r="L1080">
        <f>SUBTOTAL(103,A1080)</f>
        <v>1</v>
      </c>
    </row>
    <row r="1081">
      <c r="A1081" t="inlineStr">
        <is>
          <t>SOCIETE C1185</t>
        </is>
      </c>
      <c r="B1081" t="inlineStr">
        <is>
          <t>C1185</t>
        </is>
      </c>
      <c r="C1081" t="inlineStr">
        <is>
          <t>CONSUMER BANKING</t>
        </is>
      </c>
      <c r="D1081" t="inlineStr">
        <is>
          <t>I</t>
        </is>
      </c>
      <c r="E1081" t="inlineStr">
        <is>
          <t>Stage 1</t>
        </is>
      </c>
      <c r="F1081" t="inlineStr">
        <is>
          <t>N/A</t>
        </is>
      </c>
      <c r="G1081" s="26">
        <v>1020604</v>
      </c>
      <c r="H1081" s="26">
        <v>10206</v>
      </c>
      <c r="I1081" s="26">
        <v>0</v>
      </c>
      <c r="J1081" s="26">
        <v>94</v>
      </c>
      <c r="K1081" t="inlineStr">
        <is>
          <t>Non</t>
        </is>
      </c>
      <c r="L1081">
        <f>SUBTOTAL(103,A1081)</f>
        <v>1</v>
      </c>
    </row>
    <row r="1082">
      <c r="A1082" t="inlineStr">
        <is>
          <t>SOCIETE C1142</t>
        </is>
      </c>
      <c r="B1082" t="inlineStr">
        <is>
          <t>C1142</t>
        </is>
      </c>
      <c r="C1082" t="inlineStr">
        <is>
          <t>CONSUMER BANKING</t>
        </is>
      </c>
      <c r="D1082" t="inlineStr">
        <is>
          <t>I</t>
        </is>
      </c>
      <c r="E1082" t="inlineStr">
        <is>
          <t>Stage 1</t>
        </is>
      </c>
      <c r="F1082" t="inlineStr">
        <is>
          <t>N/A</t>
        </is>
      </c>
      <c r="G1082" s="26">
        <v>2010656</v>
      </c>
      <c r="H1082" s="26">
        <v>20107</v>
      </c>
      <c r="I1082" s="26">
        <v>126450</v>
      </c>
      <c r="J1082" s="26">
        <v>26</v>
      </c>
      <c r="K1082" t="inlineStr">
        <is>
          <t>Non</t>
        </is>
      </c>
      <c r="L1082">
        <f>SUBTOTAL(103,A1082)</f>
        <v>1</v>
      </c>
    </row>
    <row r="1083">
      <c r="A1083" t="inlineStr">
        <is>
          <t>SOCIETE C755</t>
        </is>
      </c>
      <c r="B1083" t="inlineStr">
        <is>
          <t>C755</t>
        </is>
      </c>
      <c r="C1083" t="inlineStr">
        <is>
          <t>CORPORATE BANKING</t>
        </is>
      </c>
      <c r="D1083" t="inlineStr">
        <is>
          <t>I</t>
        </is>
      </c>
      <c r="E1083" t="inlineStr">
        <is>
          <t>Stage 1</t>
        </is>
      </c>
      <c r="F1083" t="inlineStr">
        <is>
          <t>N/A</t>
        </is>
      </c>
      <c r="G1083" s="26">
        <v>319021823</v>
      </c>
      <c r="H1083" s="26">
        <v>3190218</v>
      </c>
      <c r="I1083" s="26">
        <v>58245247</v>
      </c>
      <c r="J1083" s="26">
        <v>133</v>
      </c>
      <c r="K1083" t="inlineStr">
        <is>
          <t>Non</t>
        </is>
      </c>
      <c r="L1083">
        <f>SUBTOTAL(103,A1083)</f>
        <v>1</v>
      </c>
    </row>
    <row r="1084">
      <c r="A1084" t="inlineStr">
        <is>
          <t>SOCIETE C1584</t>
        </is>
      </c>
      <c r="B1084" t="inlineStr">
        <is>
          <t>C1584</t>
        </is>
      </c>
      <c r="C1084" t="inlineStr">
        <is>
          <t>CONSUMER BANKING</t>
        </is>
      </c>
      <c r="D1084" t="inlineStr">
        <is>
          <t>III</t>
        </is>
      </c>
      <c r="E1084" t="inlineStr">
        <is>
          <t>Stage 3</t>
        </is>
      </c>
      <c r="F1084" t="inlineStr">
        <is>
          <t>N/A</t>
        </is>
      </c>
      <c r="G1084" s="26">
        <v>101313163</v>
      </c>
      <c r="H1084" s="26">
        <v>55722240</v>
      </c>
      <c r="I1084" s="26">
        <v>0</v>
      </c>
      <c r="J1084" s="26">
        <v>45</v>
      </c>
      <c r="K1084" t="inlineStr">
        <is>
          <t>Oui</t>
        </is>
      </c>
      <c r="L1084">
        <f>SUBTOTAL(103,A1084)</f>
        <v>1</v>
      </c>
    </row>
    <row r="1085">
      <c r="A1085" t="inlineStr">
        <is>
          <t>SOCIETE C2182</t>
        </is>
      </c>
      <c r="B1085" t="inlineStr">
        <is>
          <t>C2182</t>
        </is>
      </c>
      <c r="C1085" t="inlineStr">
        <is>
          <t>PUBLIC SECTOR</t>
        </is>
      </c>
      <c r="D1085" t="inlineStr">
        <is>
          <t>II</t>
        </is>
      </c>
      <c r="E1085" t="inlineStr">
        <is>
          <t>Stage 2</t>
        </is>
      </c>
      <c r="F1085" t="inlineStr">
        <is>
          <t>N/A</t>
        </is>
      </c>
      <c r="G1085" s="26">
        <v>1465083</v>
      </c>
      <c r="H1085" s="26">
        <v>87905</v>
      </c>
      <c r="I1085" s="26">
        <v>0</v>
      </c>
      <c r="J1085" s="26">
        <v>1</v>
      </c>
      <c r="K1085" t="inlineStr">
        <is>
          <t>Non</t>
        </is>
      </c>
      <c r="L1085">
        <f>SUBTOTAL(103,A1085)</f>
        <v>1</v>
      </c>
    </row>
    <row r="1086">
      <c r="A1086" t="inlineStr">
        <is>
          <t>SOCIETE C659</t>
        </is>
      </c>
      <c r="B1086" t="inlineStr">
        <is>
          <t>C659</t>
        </is>
      </c>
      <c r="C1086" t="inlineStr">
        <is>
          <t>CORPORATE BANKING</t>
        </is>
      </c>
      <c r="D1086" t="inlineStr">
        <is>
          <t>IA</t>
        </is>
      </c>
      <c r="E1086" t="inlineStr">
        <is>
          <t>Stage 2</t>
        </is>
      </c>
      <c r="F1086" t="inlineStr">
        <is>
          <t>N/A</t>
        </is>
      </c>
      <c r="G1086" s="26">
        <v>132121478</v>
      </c>
      <c r="H1086" s="26">
        <v>7927289</v>
      </c>
      <c r="I1086" s="26">
        <v>0</v>
      </c>
      <c r="J1086" s="26">
        <v>40</v>
      </c>
      <c r="K1086" t="inlineStr">
        <is>
          <t>Non</t>
        </is>
      </c>
      <c r="L1086">
        <f>SUBTOTAL(103,A1086)</f>
        <v>1</v>
      </c>
    </row>
    <row r="1087">
      <c r="A1087" t="inlineStr">
        <is>
          <t>SOCIETE C2060</t>
        </is>
      </c>
      <c r="B1087" t="inlineStr">
        <is>
          <t>C2060</t>
        </is>
      </c>
      <c r="C1087" t="inlineStr">
        <is>
          <t>COMMERCIAL BANKING</t>
        </is>
      </c>
      <c r="D1087" t="inlineStr">
        <is>
          <t>III</t>
        </is>
      </c>
      <c r="E1087" t="inlineStr">
        <is>
          <t>Stage 3</t>
        </is>
      </c>
      <c r="F1087" t="inlineStr">
        <is>
          <t>N/A</t>
        </is>
      </c>
      <c r="G1087" s="26">
        <v>108433234</v>
      </c>
      <c r="H1087" s="26">
        <v>59638278</v>
      </c>
      <c r="I1087" s="26">
        <v>0</v>
      </c>
      <c r="J1087" s="26">
        <v>2</v>
      </c>
      <c r="K1087" t="inlineStr">
        <is>
          <t>Oui</t>
        </is>
      </c>
      <c r="L1087">
        <f>SUBTOTAL(103,A1087)</f>
        <v>1</v>
      </c>
    </row>
    <row r="1088">
      <c r="A1088" t="inlineStr">
        <is>
          <t>SOCIETE C357</t>
        </is>
      </c>
      <c r="B1088" t="inlineStr">
        <is>
          <t>C357</t>
        </is>
      </c>
      <c r="C1088" t="inlineStr">
        <is>
          <t>PUBLIC SECTOR</t>
        </is>
      </c>
      <c r="D1088" t="inlineStr">
        <is>
          <t>I</t>
        </is>
      </c>
      <c r="E1088" t="inlineStr">
        <is>
          <t>Stage 1</t>
        </is>
      </c>
      <c r="F1088" t="inlineStr">
        <is>
          <t>N/A</t>
        </is>
      </c>
      <c r="G1088" s="26">
        <v>1066931</v>
      </c>
      <c r="H1088" s="26">
        <v>10669</v>
      </c>
      <c r="I1088" s="26">
        <v>0</v>
      </c>
      <c r="J1088" s="26">
        <v>116</v>
      </c>
      <c r="K1088" t="inlineStr">
        <is>
          <t>Non</t>
        </is>
      </c>
      <c r="L1088">
        <f>SUBTOTAL(103,A1088)</f>
        <v>1</v>
      </c>
    </row>
    <row r="1089">
      <c r="A1089" t="inlineStr">
        <is>
          <t>SOCIETE C1995</t>
        </is>
      </c>
      <c r="B1089" t="inlineStr">
        <is>
          <t>C1995</t>
        </is>
      </c>
      <c r="C1089" t="inlineStr">
        <is>
          <t>CORPORATE BANKING</t>
        </is>
      </c>
      <c r="D1089" t="inlineStr">
        <is>
          <t>III</t>
        </is>
      </c>
      <c r="E1089" t="inlineStr">
        <is>
          <t>Stage 3</t>
        </is>
      </c>
      <c r="F1089" t="inlineStr">
        <is>
          <t>N/A</t>
        </is>
      </c>
      <c r="G1089" s="26">
        <v>1519504</v>
      </c>
      <c r="H1089" s="26">
        <v>835727</v>
      </c>
      <c r="I1089" s="26">
        <v>0</v>
      </c>
      <c r="J1089" s="26">
        <v>185</v>
      </c>
      <c r="K1089" t="inlineStr">
        <is>
          <t>Oui</t>
        </is>
      </c>
      <c r="L1089">
        <f>SUBTOTAL(103,A1089)</f>
        <v>1</v>
      </c>
    </row>
    <row r="1090">
      <c r="A1090" t="inlineStr">
        <is>
          <t>SOCIETE C2166</t>
        </is>
      </c>
      <c r="B1090" t="inlineStr">
        <is>
          <t>C2166</t>
        </is>
      </c>
      <c r="C1090" t="inlineStr">
        <is>
          <t>COMMERCIAL BANKING</t>
        </is>
      </c>
      <c r="D1090" t="inlineStr">
        <is>
          <t>I</t>
        </is>
      </c>
      <c r="E1090" t="inlineStr">
        <is>
          <t>Stage 1</t>
        </is>
      </c>
      <c r="F1090" t="inlineStr">
        <is>
          <t>N/A</t>
        </is>
      </c>
      <c r="G1090" s="26">
        <v>1065553338</v>
      </c>
      <c r="H1090" s="26">
        <v>10655533</v>
      </c>
      <c r="I1090" s="26">
        <v>172365945</v>
      </c>
      <c r="J1090" s="26">
        <v>134</v>
      </c>
      <c r="K1090" t="inlineStr">
        <is>
          <t>Non</t>
        </is>
      </c>
      <c r="L1090">
        <f>SUBTOTAL(103,A1090)</f>
        <v>1</v>
      </c>
    </row>
    <row r="1091">
      <c r="A1091" t="inlineStr">
        <is>
          <t>SOCIETE C1524</t>
        </is>
      </c>
      <c r="B1091" t="inlineStr">
        <is>
          <t>C1524</t>
        </is>
      </c>
      <c r="C1091" t="inlineStr">
        <is>
          <t>CORPORATE BANKING</t>
        </is>
      </c>
      <c r="D1091" t="inlineStr">
        <is>
          <t>I</t>
        </is>
      </c>
      <c r="E1091" t="inlineStr">
        <is>
          <t>Stage 1</t>
        </is>
      </c>
      <c r="F1091" t="inlineStr">
        <is>
          <t>N/A</t>
        </is>
      </c>
      <c r="G1091" s="26">
        <v>2074578</v>
      </c>
      <c r="H1091" s="26">
        <v>20746</v>
      </c>
      <c r="I1091" s="26">
        <v>0</v>
      </c>
      <c r="J1091" s="26">
        <v>169</v>
      </c>
      <c r="K1091" t="inlineStr">
        <is>
          <t>Non</t>
        </is>
      </c>
      <c r="L1091">
        <f>SUBTOTAL(103,A1091)</f>
        <v>1</v>
      </c>
    </row>
    <row r="1092">
      <c r="A1092" t="inlineStr">
        <is>
          <t>SOCIETE C322</t>
        </is>
      </c>
      <c r="B1092" t="inlineStr">
        <is>
          <t>C322</t>
        </is>
      </c>
      <c r="C1092" t="inlineStr">
        <is>
          <t>CORPORATE BANKING</t>
        </is>
      </c>
      <c r="D1092" t="inlineStr">
        <is>
          <t>I</t>
        </is>
      </c>
      <c r="E1092" t="inlineStr">
        <is>
          <t>Stage 1</t>
        </is>
      </c>
      <c r="F1092" t="inlineStr">
        <is>
          <t>N/A</t>
        </is>
      </c>
      <c r="G1092" s="26">
        <v>930588067</v>
      </c>
      <c r="H1092" s="26">
        <v>9305881</v>
      </c>
      <c r="I1092" s="26">
        <v>0</v>
      </c>
      <c r="J1092" s="26">
        <v>10</v>
      </c>
      <c r="K1092" t="inlineStr">
        <is>
          <t>Non</t>
        </is>
      </c>
      <c r="L1092">
        <f>SUBTOTAL(103,A1092)</f>
        <v>1</v>
      </c>
    </row>
    <row r="1093">
      <c r="A1093" t="inlineStr">
        <is>
          <t>SOCIETE C317</t>
        </is>
      </c>
      <c r="B1093" t="inlineStr">
        <is>
          <t>C317</t>
        </is>
      </c>
      <c r="C1093" t="inlineStr">
        <is>
          <t>CORPORATE BANKING</t>
        </is>
      </c>
      <c r="D1093" t="inlineStr">
        <is>
          <t>I</t>
        </is>
      </c>
      <c r="E1093" t="inlineStr">
        <is>
          <t>Stage 1</t>
        </is>
      </c>
      <c r="F1093" t="inlineStr">
        <is>
          <t>N/A</t>
        </is>
      </c>
      <c r="G1093" s="26">
        <v>1211333</v>
      </c>
      <c r="H1093" s="26">
        <v>12113</v>
      </c>
      <c r="I1093" s="26">
        <v>0</v>
      </c>
      <c r="J1093" s="26">
        <v>179</v>
      </c>
      <c r="K1093" t="inlineStr">
        <is>
          <t>Non</t>
        </is>
      </c>
      <c r="L1093">
        <f>SUBTOTAL(103,A1093)</f>
        <v>1</v>
      </c>
    </row>
    <row r="1094">
      <c r="A1094" t="inlineStr">
        <is>
          <t>SOCIETE C452</t>
        </is>
      </c>
      <c r="B1094" t="inlineStr">
        <is>
          <t>C452</t>
        </is>
      </c>
      <c r="C1094" t="inlineStr">
        <is>
          <t>COMMERCIAL BANKING</t>
        </is>
      </c>
      <c r="D1094" t="inlineStr">
        <is>
          <t>I</t>
        </is>
      </c>
      <c r="E1094" t="inlineStr">
        <is>
          <t>Stage 1</t>
        </is>
      </c>
      <c r="F1094" t="inlineStr">
        <is>
          <t>N/A</t>
        </is>
      </c>
      <c r="G1094" s="26">
        <v>113716184</v>
      </c>
      <c r="H1094" s="26">
        <v>1137162</v>
      </c>
      <c r="I1094" s="26">
        <v>0</v>
      </c>
      <c r="J1094" s="26">
        <v>237</v>
      </c>
      <c r="K1094" t="inlineStr">
        <is>
          <t>Non</t>
        </is>
      </c>
      <c r="L1094">
        <f>SUBTOTAL(103,A1094)</f>
        <v>1</v>
      </c>
    </row>
    <row r="1095">
      <c r="A1095" t="inlineStr">
        <is>
          <t>SOCIETE C473</t>
        </is>
      </c>
      <c r="B1095" t="inlineStr">
        <is>
          <t>C473</t>
        </is>
      </c>
      <c r="C1095" t="inlineStr">
        <is>
          <t>CORPORATE BANKING</t>
        </is>
      </c>
      <c r="D1095" t="inlineStr">
        <is>
          <t>V</t>
        </is>
      </c>
      <c r="E1095" t="inlineStr">
        <is>
          <t>Stage 3</t>
        </is>
      </c>
      <c r="F1095" t="inlineStr">
        <is>
          <t>N/A</t>
        </is>
      </c>
      <c r="G1095" s="26">
        <v>101956783</v>
      </c>
      <c r="H1095" s="26">
        <v>56076231</v>
      </c>
      <c r="I1095" s="26">
        <v>0</v>
      </c>
      <c r="J1095" s="26">
        <v>324</v>
      </c>
      <c r="K1095" t="inlineStr">
        <is>
          <t>Oui</t>
        </is>
      </c>
      <c r="L1095">
        <f>SUBTOTAL(103,A1095)</f>
        <v>1</v>
      </c>
    </row>
    <row r="1096">
      <c r="A1096" t="inlineStr">
        <is>
          <t>SOCIETE C747</t>
        </is>
      </c>
      <c r="B1096" t="inlineStr">
        <is>
          <t>C747</t>
        </is>
      </c>
      <c r="C1096" t="inlineStr">
        <is>
          <t>CORPORATE BANKING</t>
        </is>
      </c>
      <c r="D1096" t="inlineStr">
        <is>
          <t>IV</t>
        </is>
      </c>
      <c r="E1096" t="inlineStr">
        <is>
          <t>Stage 3</t>
        </is>
      </c>
      <c r="F1096" t="inlineStr">
        <is>
          <t>N/A</t>
        </is>
      </c>
      <c r="G1096" s="26">
        <v>3391129</v>
      </c>
      <c r="H1096" s="26">
        <v>1865121</v>
      </c>
      <c r="I1096" s="26">
        <v>395128</v>
      </c>
      <c r="J1096" s="26">
        <v>107</v>
      </c>
      <c r="K1096" t="inlineStr">
        <is>
          <t>Oui</t>
        </is>
      </c>
      <c r="L1096">
        <f>SUBTOTAL(103,A1096)</f>
        <v>1</v>
      </c>
    </row>
    <row r="1097">
      <c r="A1097" t="inlineStr">
        <is>
          <t>SOCIETE C892</t>
        </is>
      </c>
      <c r="B1097" t="inlineStr">
        <is>
          <t>C892</t>
        </is>
      </c>
      <c r="C1097" t="inlineStr">
        <is>
          <t>CONSUMER BANKING</t>
        </is>
      </c>
      <c r="D1097" t="inlineStr">
        <is>
          <t>IA</t>
        </is>
      </c>
      <c r="E1097" t="inlineStr">
        <is>
          <t>Stage 2</t>
        </is>
      </c>
      <c r="F1097" t="inlineStr">
        <is>
          <t>N/A</t>
        </is>
      </c>
      <c r="G1097" s="26">
        <v>805305014</v>
      </c>
      <c r="H1097" s="26">
        <v>48318301</v>
      </c>
      <c r="I1097" s="26">
        <v>0</v>
      </c>
      <c r="J1097" s="26">
        <v>122</v>
      </c>
      <c r="K1097" t="inlineStr">
        <is>
          <t>Non</t>
        </is>
      </c>
      <c r="L1097">
        <f>SUBTOTAL(103,A1097)</f>
        <v>1</v>
      </c>
    </row>
    <row r="1098">
      <c r="A1098" t="inlineStr">
        <is>
          <t>SOCIETE C1700</t>
        </is>
      </c>
      <c r="B1098" t="inlineStr">
        <is>
          <t>C1700</t>
        </is>
      </c>
      <c r="C1098" t="inlineStr">
        <is>
          <t>CORPORATE BANKING</t>
        </is>
      </c>
      <c r="D1098" t="inlineStr">
        <is>
          <t>I</t>
        </is>
      </c>
      <c r="E1098" t="inlineStr">
        <is>
          <t>Stage 1</t>
        </is>
      </c>
      <c r="F1098" t="inlineStr">
        <is>
          <t>N/A</t>
        </is>
      </c>
      <c r="G1098" s="26">
        <v>1866580938</v>
      </c>
      <c r="H1098" s="26">
        <v>18665809</v>
      </c>
      <c r="I1098" s="26">
        <v>0</v>
      </c>
      <c r="J1098" s="26">
        <v>14</v>
      </c>
      <c r="K1098" t="inlineStr">
        <is>
          <t>Non</t>
        </is>
      </c>
      <c r="L1098">
        <f>SUBTOTAL(103,A1098)</f>
        <v>1</v>
      </c>
    </row>
    <row r="1099">
      <c r="A1099" t="inlineStr">
        <is>
          <t>SOCIETE C2015</t>
        </is>
      </c>
      <c r="B1099" t="inlineStr">
        <is>
          <t>C2015</t>
        </is>
      </c>
      <c r="C1099" t="inlineStr">
        <is>
          <t>CORPORATE BANKING</t>
        </is>
      </c>
      <c r="D1099" t="inlineStr">
        <is>
          <t>I</t>
        </is>
      </c>
      <c r="E1099" t="inlineStr">
        <is>
          <t>Stage 1</t>
        </is>
      </c>
      <c r="F1099" t="inlineStr">
        <is>
          <t>N/A</t>
        </is>
      </c>
      <c r="G1099" s="26">
        <v>2478690705</v>
      </c>
      <c r="H1099" s="26">
        <v>24786907</v>
      </c>
      <c r="I1099" s="26">
        <v>218460339</v>
      </c>
      <c r="J1099" s="26">
        <v>25</v>
      </c>
      <c r="K1099" t="inlineStr">
        <is>
          <t>Non</t>
        </is>
      </c>
      <c r="L1099">
        <f>SUBTOTAL(103,A1099)</f>
        <v>1</v>
      </c>
    </row>
    <row r="1100">
      <c r="A1100" t="inlineStr">
        <is>
          <t>SOCIETE C758</t>
        </is>
      </c>
      <c r="B1100" t="inlineStr">
        <is>
          <t>C758</t>
        </is>
      </c>
      <c r="C1100" t="inlineStr">
        <is>
          <t>CONSUMER BANKING</t>
        </is>
      </c>
      <c r="D1100" t="inlineStr">
        <is>
          <t>I</t>
        </is>
      </c>
      <c r="E1100" t="inlineStr">
        <is>
          <t>Stage 1</t>
        </is>
      </c>
      <c r="F1100" t="inlineStr">
        <is>
          <t>N/A</t>
        </is>
      </c>
      <c r="G1100" s="26">
        <v>2887494293</v>
      </c>
      <c r="H1100" s="26">
        <v>28874943</v>
      </c>
      <c r="I1100" s="26">
        <v>0</v>
      </c>
      <c r="J1100" s="26">
        <v>131</v>
      </c>
      <c r="K1100" t="inlineStr">
        <is>
          <t>Non</t>
        </is>
      </c>
      <c r="L1100">
        <f>SUBTOTAL(103,A1100)</f>
        <v>1</v>
      </c>
    </row>
    <row r="1101">
      <c r="A1101" t="inlineStr">
        <is>
          <t>SOCIETE C684</t>
        </is>
      </c>
      <c r="B1101" t="inlineStr">
        <is>
          <t>C684</t>
        </is>
      </c>
      <c r="C1101" t="inlineStr">
        <is>
          <t>CORPORATE BANKING</t>
        </is>
      </c>
      <c r="D1101" t="inlineStr">
        <is>
          <t>III</t>
        </is>
      </c>
      <c r="E1101" t="inlineStr">
        <is>
          <t>Stage 3</t>
        </is>
      </c>
      <c r="F1101" t="inlineStr">
        <is>
          <t>N/A</t>
        </is>
      </c>
      <c r="G1101" s="26">
        <v>531104775</v>
      </c>
      <c r="H1101" s="26">
        <v>292107626</v>
      </c>
      <c r="I1101" s="26">
        <v>0</v>
      </c>
      <c r="J1101" s="26">
        <v>16</v>
      </c>
      <c r="K1101" t="inlineStr">
        <is>
          <t>Oui</t>
        </is>
      </c>
      <c r="L1101">
        <f>SUBTOTAL(103,A1101)</f>
        <v>1</v>
      </c>
    </row>
    <row r="1102">
      <c r="A1102" t="inlineStr">
        <is>
          <t>SOCIETE C163</t>
        </is>
      </c>
      <c r="B1102" t="inlineStr">
        <is>
          <t>C163</t>
        </is>
      </c>
      <c r="C1102" t="inlineStr">
        <is>
          <t>CORPORATE BANKING</t>
        </is>
      </c>
      <c r="D1102" t="inlineStr">
        <is>
          <t>I</t>
        </is>
      </c>
      <c r="E1102" t="inlineStr">
        <is>
          <t>Stage 1</t>
        </is>
      </c>
      <c r="F1102" t="inlineStr">
        <is>
          <t>N/A</t>
        </is>
      </c>
      <c r="G1102" s="26">
        <v>121260245</v>
      </c>
      <c r="H1102" s="26">
        <v>1212602</v>
      </c>
      <c r="I1102" s="26">
        <v>0</v>
      </c>
      <c r="J1102" s="26">
        <v>212</v>
      </c>
      <c r="K1102" t="inlineStr">
        <is>
          <t>Non</t>
        </is>
      </c>
      <c r="L1102">
        <f>SUBTOTAL(103,A1102)</f>
        <v>1</v>
      </c>
    </row>
    <row r="1103">
      <c r="A1103" t="inlineStr">
        <is>
          <t>SOCIETE C1364</t>
        </is>
      </c>
      <c r="B1103" t="inlineStr">
        <is>
          <t>C1364</t>
        </is>
      </c>
      <c r="C1103" t="inlineStr">
        <is>
          <t>CORPORATE BANKING</t>
        </is>
      </c>
      <c r="D1103" t="inlineStr">
        <is>
          <t>V</t>
        </is>
      </c>
      <c r="E1103" t="inlineStr">
        <is>
          <t>Stage 3</t>
        </is>
      </c>
      <c r="F1103" t="inlineStr">
        <is>
          <t>N/A</t>
        </is>
      </c>
      <c r="G1103" s="26">
        <v>613679341</v>
      </c>
      <c r="H1103" s="26">
        <v>337523638</v>
      </c>
      <c r="I1103" s="26">
        <v>0</v>
      </c>
      <c r="J1103" s="26">
        <v>76</v>
      </c>
      <c r="K1103" t="inlineStr">
        <is>
          <t>Oui</t>
        </is>
      </c>
      <c r="L1103">
        <f>SUBTOTAL(103,A1103)</f>
        <v>1</v>
      </c>
    </row>
    <row r="1104">
      <c r="A1104" t="inlineStr">
        <is>
          <t>SOCIETE C1466</t>
        </is>
      </c>
      <c r="B1104" t="inlineStr">
        <is>
          <t>C1466</t>
        </is>
      </c>
      <c r="C1104" t="inlineStr">
        <is>
          <t>COMMERCIAL BANKING</t>
        </is>
      </c>
      <c r="D1104" t="inlineStr">
        <is>
          <t>II</t>
        </is>
      </c>
      <c r="E1104" t="inlineStr">
        <is>
          <t>Stage 2</t>
        </is>
      </c>
      <c r="F1104" t="inlineStr">
        <is>
          <t>N/A</t>
        </is>
      </c>
      <c r="G1104" s="26">
        <v>3967382</v>
      </c>
      <c r="H1104" s="26">
        <v>238043</v>
      </c>
      <c r="I1104" s="26">
        <v>174912</v>
      </c>
      <c r="J1104" s="26">
        <v>179</v>
      </c>
      <c r="K1104" t="inlineStr">
        <is>
          <t>Non</t>
        </is>
      </c>
      <c r="L1104">
        <f>SUBTOTAL(103,A1104)</f>
        <v>1</v>
      </c>
    </row>
    <row r="1105">
      <c r="A1105" t="inlineStr">
        <is>
          <t>SOCIETE C1133</t>
        </is>
      </c>
      <c r="B1105" t="inlineStr">
        <is>
          <t>C1133</t>
        </is>
      </c>
      <c r="C1105" t="inlineStr">
        <is>
          <t>COMMERCIAL BANKING</t>
        </is>
      </c>
      <c r="D1105" t="inlineStr">
        <is>
          <t>I</t>
        </is>
      </c>
      <c r="E1105" t="inlineStr">
        <is>
          <t>Stage 1</t>
        </is>
      </c>
      <c r="F1105" t="inlineStr">
        <is>
          <t>N/A</t>
        </is>
      </c>
      <c r="G1105" s="26">
        <v>167696493</v>
      </c>
      <c r="H1105" s="26">
        <v>1676965</v>
      </c>
      <c r="I1105" s="26">
        <v>0</v>
      </c>
      <c r="J1105" s="26">
        <v>105</v>
      </c>
      <c r="K1105" t="inlineStr">
        <is>
          <t>Non</t>
        </is>
      </c>
      <c r="L1105">
        <f>SUBTOTAL(103,A1105)</f>
        <v>1</v>
      </c>
    </row>
    <row r="1106">
      <c r="A1106" t="inlineStr">
        <is>
          <t>SOCIETE C1564</t>
        </is>
      </c>
      <c r="B1106" t="inlineStr">
        <is>
          <t>C1564</t>
        </is>
      </c>
      <c r="C1106" t="inlineStr">
        <is>
          <t>CORPORATE BANKING</t>
        </is>
      </c>
      <c r="D1106" t="inlineStr">
        <is>
          <t>I</t>
        </is>
      </c>
      <c r="E1106" t="inlineStr">
        <is>
          <t>Stage 1</t>
        </is>
      </c>
      <c r="F1106" t="inlineStr">
        <is>
          <t>N/A</t>
        </is>
      </c>
      <c r="G1106" s="26">
        <v>840602083</v>
      </c>
      <c r="H1106" s="26">
        <v>8406021</v>
      </c>
      <c r="I1106" s="26">
        <v>4034616</v>
      </c>
      <c r="J1106" s="26">
        <v>6</v>
      </c>
      <c r="K1106" t="inlineStr">
        <is>
          <t>Non</t>
        </is>
      </c>
      <c r="L1106">
        <f>SUBTOTAL(103,A1106)</f>
        <v>1</v>
      </c>
    </row>
    <row r="1107">
      <c r="A1107" t="inlineStr">
        <is>
          <t>SOCIETE C1211</t>
        </is>
      </c>
      <c r="B1107" t="inlineStr">
        <is>
          <t>C1211</t>
        </is>
      </c>
      <c r="C1107" t="inlineStr">
        <is>
          <t>PUBLIC SECTOR</t>
        </is>
      </c>
      <c r="D1107" t="inlineStr">
        <is>
          <t>III</t>
        </is>
      </c>
      <c r="E1107" t="inlineStr">
        <is>
          <t>Stage 3</t>
        </is>
      </c>
      <c r="F1107" t="inlineStr">
        <is>
          <t>N/A</t>
        </is>
      </c>
      <c r="G1107" s="26">
        <v>4882043</v>
      </c>
      <c r="H1107" s="26">
        <v>2685124</v>
      </c>
      <c r="I1107" s="26">
        <v>0</v>
      </c>
      <c r="J1107" s="26">
        <v>325</v>
      </c>
      <c r="K1107" t="inlineStr">
        <is>
          <t>Oui</t>
        </is>
      </c>
      <c r="L1107">
        <f>SUBTOTAL(103,A1107)</f>
        <v>1</v>
      </c>
    </row>
    <row r="1108">
      <c r="A1108" t="inlineStr">
        <is>
          <t>SOCIETE C786</t>
        </is>
      </c>
      <c r="B1108" t="inlineStr">
        <is>
          <t>C786</t>
        </is>
      </c>
      <c r="C1108" t="inlineStr">
        <is>
          <t>CORPORATE BANKING</t>
        </is>
      </c>
      <c r="D1108" t="inlineStr">
        <is>
          <t>II</t>
        </is>
      </c>
      <c r="E1108" t="inlineStr">
        <is>
          <t>Stage 2</t>
        </is>
      </c>
      <c r="F1108" t="inlineStr">
        <is>
          <t>N/A</t>
        </is>
      </c>
      <c r="G1108" s="26">
        <v>1572471298</v>
      </c>
      <c r="H1108" s="26">
        <v>94348278</v>
      </c>
      <c r="I1108" s="26">
        <v>0</v>
      </c>
      <c r="J1108" s="26">
        <v>35</v>
      </c>
      <c r="K1108" t="inlineStr">
        <is>
          <t>Non</t>
        </is>
      </c>
      <c r="L1108">
        <f>SUBTOTAL(103,A1108)</f>
        <v>1</v>
      </c>
    </row>
    <row r="1109">
      <c r="A1109" t="inlineStr">
        <is>
          <t>SOCIETE C76</t>
        </is>
      </c>
      <c r="B1109" t="inlineStr">
        <is>
          <t>C76</t>
        </is>
      </c>
      <c r="C1109" t="inlineStr">
        <is>
          <t>CORPORATE BANKING</t>
        </is>
      </c>
      <c r="D1109" t="inlineStr">
        <is>
          <t>IV</t>
        </is>
      </c>
      <c r="E1109" t="inlineStr">
        <is>
          <t>Stage 3</t>
        </is>
      </c>
      <c r="F1109" t="inlineStr">
        <is>
          <t>N/A</t>
        </is>
      </c>
      <c r="G1109" s="26">
        <v>35647271</v>
      </c>
      <c r="H1109" s="26">
        <v>19605999</v>
      </c>
      <c r="I1109" s="26">
        <v>0</v>
      </c>
      <c r="J1109" s="26">
        <v>109</v>
      </c>
      <c r="K1109" t="inlineStr">
        <is>
          <t>Oui</t>
        </is>
      </c>
      <c r="L1109">
        <f>SUBTOTAL(103,A1109)</f>
        <v>1</v>
      </c>
    </row>
    <row r="1110">
      <c r="A1110" t="inlineStr">
        <is>
          <t>SOCIETE C1143</t>
        </is>
      </c>
      <c r="B1110" t="inlineStr">
        <is>
          <t>C1143</t>
        </is>
      </c>
      <c r="C1110" t="inlineStr">
        <is>
          <t>PUBLIC SECTOR</t>
        </is>
      </c>
      <c r="D1110" t="inlineStr">
        <is>
          <t>III</t>
        </is>
      </c>
      <c r="E1110" t="inlineStr">
        <is>
          <t>Stage 3</t>
        </is>
      </c>
      <c r="F1110" t="inlineStr">
        <is>
          <t>N/A</t>
        </is>
      </c>
      <c r="G1110" s="26">
        <v>403270575</v>
      </c>
      <c r="H1110" s="26">
        <v>221798816</v>
      </c>
      <c r="I1110" s="26">
        <v>34650573</v>
      </c>
      <c r="J1110" s="26">
        <v>154</v>
      </c>
      <c r="K1110" t="inlineStr">
        <is>
          <t>Oui</t>
        </is>
      </c>
      <c r="L1110">
        <f>SUBTOTAL(103,A1110)</f>
        <v>1</v>
      </c>
    </row>
    <row r="1111">
      <c r="A1111" t="inlineStr">
        <is>
          <t>SOCIETE C1829</t>
        </is>
      </c>
      <c r="B1111" t="inlineStr">
        <is>
          <t>C1829</t>
        </is>
      </c>
      <c r="C1111" t="inlineStr">
        <is>
          <t>SME</t>
        </is>
      </c>
      <c r="D1111" t="inlineStr">
        <is>
          <t>V</t>
        </is>
      </c>
      <c r="E1111" t="inlineStr">
        <is>
          <t>Stage 3</t>
        </is>
      </c>
      <c r="F1111" t="inlineStr">
        <is>
          <t>N/A</t>
        </is>
      </c>
      <c r="G1111" s="26">
        <v>607974745</v>
      </c>
      <c r="H1111" s="26">
        <v>334386109</v>
      </c>
      <c r="I1111" s="26">
        <v>78222106</v>
      </c>
      <c r="J1111" s="26">
        <v>102</v>
      </c>
      <c r="K1111" t="inlineStr">
        <is>
          <t>Oui</t>
        </is>
      </c>
      <c r="L1111">
        <f>SUBTOTAL(103,A1111)</f>
        <v>1</v>
      </c>
    </row>
    <row r="1112">
      <c r="A1112" t="inlineStr">
        <is>
          <t>SOCIETE C2129</t>
        </is>
      </c>
      <c r="B1112" t="inlineStr">
        <is>
          <t>C2129</t>
        </is>
      </c>
      <c r="C1112" t="inlineStr">
        <is>
          <t>CONSUMER BANKING</t>
        </is>
      </c>
      <c r="D1112" t="inlineStr">
        <is>
          <t>II</t>
        </is>
      </c>
      <c r="E1112" t="inlineStr">
        <is>
          <t>Stage 2</t>
        </is>
      </c>
      <c r="F1112" t="inlineStr">
        <is>
          <t>N/A</t>
        </is>
      </c>
      <c r="G1112" s="26">
        <v>250562840</v>
      </c>
      <c r="H1112" s="26">
        <v>15033770</v>
      </c>
      <c r="I1112" s="26">
        <v>32493730</v>
      </c>
      <c r="J1112" s="26">
        <v>66</v>
      </c>
      <c r="K1112" t="inlineStr">
        <is>
          <t>Non</t>
        </is>
      </c>
      <c r="L1112">
        <f>SUBTOTAL(103,A1112)</f>
        <v>1</v>
      </c>
    </row>
    <row r="1113">
      <c r="A1113" t="inlineStr">
        <is>
          <t>SOCIETE C170</t>
        </is>
      </c>
      <c r="B1113" t="inlineStr">
        <is>
          <t>C170</t>
        </is>
      </c>
      <c r="C1113" t="inlineStr">
        <is>
          <t>CORPORATE BANKING</t>
        </is>
      </c>
      <c r="D1113" t="inlineStr">
        <is>
          <t>V</t>
        </is>
      </c>
      <c r="E1113" t="inlineStr">
        <is>
          <t>Stage 3</t>
        </is>
      </c>
      <c r="F1113" t="inlineStr">
        <is>
          <t>N/A</t>
        </is>
      </c>
      <c r="G1113" s="26">
        <v>2546356875</v>
      </c>
      <c r="H1113" s="26">
        <v>1400496281</v>
      </c>
      <c r="I1113" s="26">
        <v>0</v>
      </c>
      <c r="J1113" s="26">
        <v>127</v>
      </c>
      <c r="K1113" t="inlineStr">
        <is>
          <t>Oui</t>
        </is>
      </c>
      <c r="L1113">
        <f>SUBTOTAL(103,A1113)</f>
        <v>1</v>
      </c>
    </row>
    <row r="1114">
      <c r="A1114" t="inlineStr">
        <is>
          <t>SOCIETE C950</t>
        </is>
      </c>
      <c r="B1114" t="inlineStr">
        <is>
          <t>C950</t>
        </is>
      </c>
      <c r="C1114" t="inlineStr">
        <is>
          <t>CORPORATE BANKING</t>
        </is>
      </c>
      <c r="D1114" t="inlineStr">
        <is>
          <t>IA</t>
        </is>
      </c>
      <c r="E1114" t="inlineStr">
        <is>
          <t>Stage 2</t>
        </is>
      </c>
      <c r="F1114" t="inlineStr">
        <is>
          <t>N/A</t>
        </is>
      </c>
      <c r="G1114" s="26">
        <v>216387654</v>
      </c>
      <c r="H1114" s="26">
        <v>12983259</v>
      </c>
      <c r="I1114" s="26">
        <v>0</v>
      </c>
      <c r="J1114" s="26">
        <v>82</v>
      </c>
      <c r="K1114" t="inlineStr">
        <is>
          <t>Non</t>
        </is>
      </c>
      <c r="L1114">
        <f>SUBTOTAL(103,A1114)</f>
        <v>1</v>
      </c>
    </row>
    <row r="1115">
      <c r="A1115" t="inlineStr">
        <is>
          <t>SOCIETE C35</t>
        </is>
      </c>
      <c r="B1115" t="inlineStr">
        <is>
          <t>C35</t>
        </is>
      </c>
      <c r="C1115" t="inlineStr">
        <is>
          <t>COMMERCIAL BANKING</t>
        </is>
      </c>
      <c r="D1115" t="inlineStr">
        <is>
          <t>III</t>
        </is>
      </c>
      <c r="E1115" t="inlineStr">
        <is>
          <t>Stage 3</t>
        </is>
      </c>
      <c r="F1115" t="inlineStr">
        <is>
          <t>N/A</t>
        </is>
      </c>
      <c r="G1115" s="26">
        <v>484127029</v>
      </c>
      <c r="H1115" s="26">
        <v>266269866</v>
      </c>
      <c r="I1115" s="26">
        <v>0</v>
      </c>
      <c r="J1115" s="26">
        <v>183</v>
      </c>
      <c r="K1115" t="inlineStr">
        <is>
          <t>Oui</t>
        </is>
      </c>
      <c r="L1115">
        <f>SUBTOTAL(103,A1115)</f>
        <v>1</v>
      </c>
    </row>
    <row r="1116">
      <c r="A1116" t="inlineStr">
        <is>
          <t>SOCIETE C681</t>
        </is>
      </c>
      <c r="B1116" t="inlineStr">
        <is>
          <t>C681</t>
        </is>
      </c>
      <c r="C1116" t="inlineStr">
        <is>
          <t>CORPORATE BANKING</t>
        </is>
      </c>
      <c r="D1116" t="inlineStr">
        <is>
          <t>IA</t>
        </is>
      </c>
      <c r="E1116" t="inlineStr">
        <is>
          <t>Stage 2</t>
        </is>
      </c>
      <c r="F1116" t="inlineStr">
        <is>
          <t>N/A</t>
        </is>
      </c>
      <c r="G1116" s="26">
        <v>74448496</v>
      </c>
      <c r="H1116" s="26">
        <v>4466910</v>
      </c>
      <c r="I1116" s="26">
        <v>13239035</v>
      </c>
      <c r="J1116" s="26">
        <v>154</v>
      </c>
      <c r="K1116" t="inlineStr">
        <is>
          <t>Non</t>
        </is>
      </c>
      <c r="L1116">
        <f>SUBTOTAL(103,A1116)</f>
        <v>1</v>
      </c>
    </row>
    <row r="1117">
      <c r="A1117" t="inlineStr">
        <is>
          <t>SOCIETE C830</t>
        </is>
      </c>
      <c r="B1117" t="inlineStr">
        <is>
          <t>C830</t>
        </is>
      </c>
      <c r="C1117" t="inlineStr">
        <is>
          <t>PUBLIC SECTOR</t>
        </is>
      </c>
      <c r="D1117" t="inlineStr">
        <is>
          <t>I</t>
        </is>
      </c>
      <c r="E1117" t="inlineStr">
        <is>
          <t>Stage 1</t>
        </is>
      </c>
      <c r="F1117" t="inlineStr">
        <is>
          <t>N/A</t>
        </is>
      </c>
      <c r="G1117" s="26">
        <v>604033943</v>
      </c>
      <c r="H1117" s="26">
        <v>6040339</v>
      </c>
      <c r="I1117" s="26">
        <v>39335284</v>
      </c>
      <c r="J1117" s="26">
        <v>116</v>
      </c>
      <c r="K1117" t="inlineStr">
        <is>
          <t>Non</t>
        </is>
      </c>
      <c r="L1117">
        <f>SUBTOTAL(103,A1117)</f>
        <v>1</v>
      </c>
    </row>
    <row r="1118">
      <c r="A1118" t="inlineStr">
        <is>
          <t>SOCIETE C1778</t>
        </is>
      </c>
      <c r="B1118" t="inlineStr">
        <is>
          <t>C1778</t>
        </is>
      </c>
      <c r="C1118" t="inlineStr">
        <is>
          <t>CONSUMER BANKING</t>
        </is>
      </c>
      <c r="D1118" t="inlineStr">
        <is>
          <t>I</t>
        </is>
      </c>
      <c r="E1118" t="inlineStr">
        <is>
          <t>Stage 1</t>
        </is>
      </c>
      <c r="F1118" t="inlineStr">
        <is>
          <t>N/A</t>
        </is>
      </c>
      <c r="G1118" s="26">
        <v>1328593933</v>
      </c>
      <c r="H1118" s="26">
        <v>13285939</v>
      </c>
      <c r="I1118" s="26">
        <v>0</v>
      </c>
      <c r="J1118" s="26">
        <v>62</v>
      </c>
      <c r="K1118" t="inlineStr">
        <is>
          <t>Non</t>
        </is>
      </c>
      <c r="L1118">
        <f>SUBTOTAL(103,A1118)</f>
        <v>1</v>
      </c>
    </row>
    <row r="1119">
      <c r="A1119" t="inlineStr">
        <is>
          <t>SOCIETE C657</t>
        </is>
      </c>
      <c r="B1119" t="inlineStr">
        <is>
          <t>C657</t>
        </is>
      </c>
      <c r="C1119" t="inlineStr">
        <is>
          <t>CONSUMER BANKING</t>
        </is>
      </c>
      <c r="D1119" t="inlineStr">
        <is>
          <t>IV</t>
        </is>
      </c>
      <c r="E1119" t="inlineStr">
        <is>
          <t>Stage 3</t>
        </is>
      </c>
      <c r="F1119" t="inlineStr">
        <is>
          <t>N/A</t>
        </is>
      </c>
      <c r="G1119" s="26">
        <v>3168112</v>
      </c>
      <c r="H1119" s="26">
        <v>1742462</v>
      </c>
      <c r="I1119" s="26">
        <v>0</v>
      </c>
      <c r="J1119" s="26">
        <v>43</v>
      </c>
      <c r="K1119" t="inlineStr">
        <is>
          <t>Oui</t>
        </is>
      </c>
      <c r="L1119">
        <f>SUBTOTAL(103,A1119)</f>
        <v>1</v>
      </c>
    </row>
    <row r="1120">
      <c r="A1120" t="inlineStr">
        <is>
          <t>SOCIETE C2005</t>
        </is>
      </c>
      <c r="B1120" t="inlineStr">
        <is>
          <t>C2005</t>
        </is>
      </c>
      <c r="C1120" t="inlineStr">
        <is>
          <t>COMMERCIAL BANKING</t>
        </is>
      </c>
      <c r="D1120" t="inlineStr">
        <is>
          <t>IV</t>
        </is>
      </c>
      <c r="E1120" t="inlineStr">
        <is>
          <t>Stage 3</t>
        </is>
      </c>
      <c r="F1120" t="inlineStr">
        <is>
          <t>N/A</t>
        </is>
      </c>
      <c r="G1120" s="26">
        <v>774198020</v>
      </c>
      <c r="H1120" s="26">
        <v>425808911</v>
      </c>
      <c r="I1120" s="26">
        <v>0</v>
      </c>
      <c r="J1120" s="26">
        <v>16</v>
      </c>
      <c r="K1120" t="inlineStr">
        <is>
          <t>Oui</t>
        </is>
      </c>
      <c r="L1120">
        <f>SUBTOTAL(103,A1120)</f>
        <v>1</v>
      </c>
    </row>
    <row r="1121">
      <c r="A1121" t="inlineStr">
        <is>
          <t>SOCIETE C586</t>
        </is>
      </c>
      <c r="B1121" t="inlineStr">
        <is>
          <t>C586</t>
        </is>
      </c>
      <c r="C1121" t="inlineStr">
        <is>
          <t>CORPORATE BANKING</t>
        </is>
      </c>
      <c r="D1121" t="inlineStr">
        <is>
          <t>I</t>
        </is>
      </c>
      <c r="E1121" t="inlineStr">
        <is>
          <t>Stage 1</t>
        </is>
      </c>
      <c r="F1121" t="inlineStr">
        <is>
          <t>N/A</t>
        </is>
      </c>
      <c r="G1121" s="26">
        <v>100680947</v>
      </c>
      <c r="H1121" s="26">
        <v>1006809</v>
      </c>
      <c r="I1121" s="26">
        <v>0</v>
      </c>
      <c r="J1121" s="26">
        <v>17</v>
      </c>
      <c r="K1121" t="inlineStr">
        <is>
          <t>Non</t>
        </is>
      </c>
      <c r="L1121">
        <f>SUBTOTAL(103,A1121)</f>
        <v>1</v>
      </c>
    </row>
    <row r="1122">
      <c r="A1122" t="inlineStr">
        <is>
          <t>SOCIETE C1739</t>
        </is>
      </c>
      <c r="B1122" t="inlineStr">
        <is>
          <t>C1739</t>
        </is>
      </c>
      <c r="C1122" t="inlineStr">
        <is>
          <t>CORPORATE BANKING</t>
        </is>
      </c>
      <c r="D1122" t="inlineStr">
        <is>
          <t>I</t>
        </is>
      </c>
      <c r="E1122" t="inlineStr">
        <is>
          <t>Stage 1</t>
        </is>
      </c>
      <c r="F1122" t="inlineStr">
        <is>
          <t>N/A</t>
        </is>
      </c>
      <c r="G1122" s="26">
        <v>751839571</v>
      </c>
      <c r="H1122" s="26">
        <v>7518396</v>
      </c>
      <c r="I1122" s="26">
        <v>0</v>
      </c>
      <c r="J1122" s="26">
        <v>13</v>
      </c>
      <c r="K1122" t="inlineStr">
        <is>
          <t>Non</t>
        </is>
      </c>
      <c r="L1122">
        <f>SUBTOTAL(103,A1122)</f>
        <v>1</v>
      </c>
    </row>
    <row r="1123">
      <c r="A1123" t="inlineStr">
        <is>
          <t>SOCIETE C498</t>
        </is>
      </c>
      <c r="B1123" t="inlineStr">
        <is>
          <t>C498</t>
        </is>
      </c>
      <c r="C1123" t="inlineStr">
        <is>
          <t>CORPORATE BANKING</t>
        </is>
      </c>
      <c r="D1123" t="inlineStr">
        <is>
          <t>IV</t>
        </is>
      </c>
      <c r="E1123" t="inlineStr">
        <is>
          <t>Stage 3</t>
        </is>
      </c>
      <c r="F1123" t="inlineStr">
        <is>
          <t>N/A</t>
        </is>
      </c>
      <c r="G1123" s="26">
        <v>681132221</v>
      </c>
      <c r="H1123" s="26">
        <v>374622722</v>
      </c>
      <c r="I1123" s="26">
        <v>0</v>
      </c>
      <c r="J1123" s="26">
        <v>7</v>
      </c>
      <c r="K1123" t="inlineStr">
        <is>
          <t>Oui</t>
        </is>
      </c>
      <c r="L1123">
        <f>SUBTOTAL(103,A1123)</f>
        <v>1</v>
      </c>
    </row>
    <row r="1124">
      <c r="A1124" t="inlineStr">
        <is>
          <t>SOCIETE C717</t>
        </is>
      </c>
      <c r="B1124" t="inlineStr">
        <is>
          <t>C717</t>
        </is>
      </c>
      <c r="C1124" t="inlineStr">
        <is>
          <t>COMMERCIAL BANKING</t>
        </is>
      </c>
      <c r="D1124" t="inlineStr">
        <is>
          <t>I</t>
        </is>
      </c>
      <c r="E1124" t="inlineStr">
        <is>
          <t>Stage 1</t>
        </is>
      </c>
      <c r="F1124" t="inlineStr">
        <is>
          <t>N/A</t>
        </is>
      </c>
      <c r="G1124" s="26">
        <v>148509101</v>
      </c>
      <c r="H1124" s="26">
        <v>1485091</v>
      </c>
      <c r="I1124" s="26">
        <v>0</v>
      </c>
      <c r="J1124" s="26">
        <v>4</v>
      </c>
      <c r="K1124" t="inlineStr">
        <is>
          <t>Non</t>
        </is>
      </c>
      <c r="L1124">
        <f>SUBTOTAL(103,A1124)</f>
        <v>1</v>
      </c>
    </row>
    <row r="1125">
      <c r="A1125" t="inlineStr">
        <is>
          <t>SOCIETE C362</t>
        </is>
      </c>
      <c r="B1125" t="inlineStr">
        <is>
          <t>C362</t>
        </is>
      </c>
      <c r="C1125" t="inlineStr">
        <is>
          <t>PUBLIC SECTOR</t>
        </is>
      </c>
      <c r="D1125" t="inlineStr">
        <is>
          <t>II</t>
        </is>
      </c>
      <c r="E1125" t="inlineStr">
        <is>
          <t>Stage 2</t>
        </is>
      </c>
      <c r="F1125" t="inlineStr">
        <is>
          <t>N/A</t>
        </is>
      </c>
      <c r="G1125" s="26">
        <v>1976125997</v>
      </c>
      <c r="H1125" s="26">
        <v>118567560</v>
      </c>
      <c r="I1125" s="26">
        <v>0</v>
      </c>
      <c r="J1125" s="26">
        <v>181</v>
      </c>
      <c r="K1125" t="inlineStr">
        <is>
          <t>Non</t>
        </is>
      </c>
      <c r="L1125">
        <f>SUBTOTAL(103,A1125)</f>
        <v>1</v>
      </c>
    </row>
    <row r="1126">
      <c r="A1126" t="inlineStr">
        <is>
          <t>SOCIETE C1005</t>
        </is>
      </c>
      <c r="B1126" t="inlineStr">
        <is>
          <t>C1005</t>
        </is>
      </c>
      <c r="C1126" t="inlineStr">
        <is>
          <t>CONSUMER BANKING</t>
        </is>
      </c>
      <c r="D1126" t="inlineStr">
        <is>
          <t>III</t>
        </is>
      </c>
      <c r="E1126" t="inlineStr">
        <is>
          <t>Stage 3</t>
        </is>
      </c>
      <c r="F1126" t="inlineStr">
        <is>
          <t>N/A</t>
        </is>
      </c>
      <c r="G1126" s="26">
        <v>162828263</v>
      </c>
      <c r="H1126" s="26">
        <v>89555545</v>
      </c>
      <c r="I1126" s="26">
        <v>23701080</v>
      </c>
      <c r="J1126" s="26">
        <v>3</v>
      </c>
      <c r="K1126" t="inlineStr">
        <is>
          <t>Oui</t>
        </is>
      </c>
      <c r="L1126">
        <f>SUBTOTAL(103,A1126)</f>
        <v>1</v>
      </c>
    </row>
    <row r="1127">
      <c r="A1127" t="inlineStr">
        <is>
          <t>SOCIETE C1408</t>
        </is>
      </c>
      <c r="B1127" t="inlineStr">
        <is>
          <t>C1408</t>
        </is>
      </c>
      <c r="C1127" t="inlineStr">
        <is>
          <t>CONSUMER BANKING</t>
        </is>
      </c>
      <c r="D1127" t="inlineStr">
        <is>
          <t>I</t>
        </is>
      </c>
      <c r="E1127" t="inlineStr">
        <is>
          <t>Stage 1</t>
        </is>
      </c>
      <c r="F1127" t="inlineStr">
        <is>
          <t>N/A</t>
        </is>
      </c>
      <c r="G1127" s="26">
        <v>16245700</v>
      </c>
      <c r="H1127" s="26">
        <v>162457</v>
      </c>
      <c r="I1127" s="26">
        <v>229049</v>
      </c>
      <c r="J1127" s="26">
        <v>259</v>
      </c>
      <c r="K1127" t="inlineStr">
        <is>
          <t>Non</t>
        </is>
      </c>
      <c r="L1127">
        <f>SUBTOTAL(103,A1127)</f>
        <v>1</v>
      </c>
    </row>
    <row r="1128">
      <c r="A1128" t="inlineStr">
        <is>
          <t>SOCIETE C299</t>
        </is>
      </c>
      <c r="B1128" t="inlineStr">
        <is>
          <t>C299</t>
        </is>
      </c>
      <c r="C1128" t="inlineStr">
        <is>
          <t>PUBLIC SECTOR</t>
        </is>
      </c>
      <c r="D1128" t="inlineStr">
        <is>
          <t>I</t>
        </is>
      </c>
      <c r="E1128" t="inlineStr">
        <is>
          <t>Stage 1</t>
        </is>
      </c>
      <c r="F1128" t="inlineStr">
        <is>
          <t>N/A</t>
        </is>
      </c>
      <c r="G1128" s="26">
        <v>147564798</v>
      </c>
      <c r="H1128" s="26">
        <v>1475648</v>
      </c>
      <c r="I1128" s="26">
        <v>11698184</v>
      </c>
      <c r="J1128" s="26">
        <v>265</v>
      </c>
      <c r="K1128" t="inlineStr">
        <is>
          <t>Non</t>
        </is>
      </c>
      <c r="L1128">
        <f>SUBTOTAL(103,A1128)</f>
        <v>1</v>
      </c>
    </row>
    <row r="1129">
      <c r="A1129" t="inlineStr">
        <is>
          <t>SOCIETE C1142</t>
        </is>
      </c>
      <c r="B1129" t="inlineStr">
        <is>
          <t>C1142</t>
        </is>
      </c>
      <c r="C1129" t="inlineStr">
        <is>
          <t>CONSUMER BANKING</t>
        </is>
      </c>
      <c r="D1129" t="inlineStr">
        <is>
          <t>I</t>
        </is>
      </c>
      <c r="E1129" t="inlineStr">
        <is>
          <t>Stage 1</t>
        </is>
      </c>
      <c r="F1129" t="inlineStr">
        <is>
          <t>N/A</t>
        </is>
      </c>
      <c r="G1129" s="26">
        <v>22402153</v>
      </c>
      <c r="H1129" s="26">
        <v>224022</v>
      </c>
      <c r="I1129" s="26">
        <v>0</v>
      </c>
      <c r="J1129" s="26">
        <v>209</v>
      </c>
      <c r="K1129" t="inlineStr">
        <is>
          <t>Non</t>
        </is>
      </c>
      <c r="L1129">
        <f>SUBTOTAL(103,A1129)</f>
        <v>1</v>
      </c>
    </row>
    <row r="1130">
      <c r="A1130" t="inlineStr">
        <is>
          <t>SOCIETE C497</t>
        </is>
      </c>
      <c r="B1130" t="inlineStr">
        <is>
          <t>C497</t>
        </is>
      </c>
      <c r="C1130" t="inlineStr">
        <is>
          <t>PUBLIC SECTOR</t>
        </is>
      </c>
      <c r="D1130" t="inlineStr">
        <is>
          <t>I</t>
        </is>
      </c>
      <c r="E1130" t="inlineStr">
        <is>
          <t>Stage 1</t>
        </is>
      </c>
      <c r="F1130" t="inlineStr">
        <is>
          <t>N/A</t>
        </is>
      </c>
      <c r="G1130" s="26">
        <v>1001211</v>
      </c>
      <c r="H1130" s="26">
        <v>10012</v>
      </c>
      <c r="I1130" s="26">
        <v>0</v>
      </c>
      <c r="J1130" s="26">
        <v>155</v>
      </c>
      <c r="K1130" t="inlineStr">
        <is>
          <t>Non</t>
        </is>
      </c>
      <c r="L1130">
        <f>SUBTOTAL(103,A1130)</f>
        <v>1</v>
      </c>
    </row>
    <row r="1131">
      <c r="A1131" t="inlineStr">
        <is>
          <t>SOCIETE C469</t>
        </is>
      </c>
      <c r="B1131" t="inlineStr">
        <is>
          <t>C469</t>
        </is>
      </c>
      <c r="C1131" t="inlineStr">
        <is>
          <t>CORPORATE BANKING</t>
        </is>
      </c>
      <c r="D1131" t="inlineStr">
        <is>
          <t>I</t>
        </is>
      </c>
      <c r="E1131" t="inlineStr">
        <is>
          <t>Stage 1</t>
        </is>
      </c>
      <c r="F1131" t="inlineStr">
        <is>
          <t>N/A</t>
        </is>
      </c>
      <c r="G1131" s="26">
        <v>633697586</v>
      </c>
      <c r="H1131" s="26">
        <v>6336976</v>
      </c>
      <c r="I1131" s="26">
        <v>0</v>
      </c>
      <c r="J1131" s="26">
        <v>171</v>
      </c>
      <c r="K1131" t="inlineStr">
        <is>
          <t>Non</t>
        </is>
      </c>
      <c r="L1131">
        <f>SUBTOTAL(103,A1131)</f>
        <v>1</v>
      </c>
    </row>
    <row r="1132">
      <c r="A1132" t="inlineStr">
        <is>
          <t>SOCIETE C2066</t>
        </is>
      </c>
      <c r="B1132" t="inlineStr">
        <is>
          <t>C2066</t>
        </is>
      </c>
      <c r="C1132" t="inlineStr">
        <is>
          <t>PUBLIC SECTOR</t>
        </is>
      </c>
      <c r="D1132" t="inlineStr">
        <is>
          <t>II</t>
        </is>
      </c>
      <c r="E1132" t="inlineStr">
        <is>
          <t>Stage 2</t>
        </is>
      </c>
      <c r="F1132" t="inlineStr">
        <is>
          <t>N/A</t>
        </is>
      </c>
      <c r="G1132" s="26">
        <v>12040168</v>
      </c>
      <c r="H1132" s="26">
        <v>722410</v>
      </c>
      <c r="I1132" s="26">
        <v>980690</v>
      </c>
      <c r="J1132" s="26">
        <v>209</v>
      </c>
      <c r="K1132" t="inlineStr">
        <is>
          <t>Non</t>
        </is>
      </c>
      <c r="L1132">
        <f>SUBTOTAL(103,A1132)</f>
        <v>1</v>
      </c>
    </row>
    <row r="1133">
      <c r="A1133" t="inlineStr">
        <is>
          <t>SOCIETE C1961</t>
        </is>
      </c>
      <c r="B1133" t="inlineStr">
        <is>
          <t>C1961</t>
        </is>
      </c>
      <c r="C1133" t="inlineStr">
        <is>
          <t>COMMERCIAL BANKING</t>
        </is>
      </c>
      <c r="D1133" t="inlineStr">
        <is>
          <t>I</t>
        </is>
      </c>
      <c r="E1133" t="inlineStr">
        <is>
          <t>Stage 1</t>
        </is>
      </c>
      <c r="F1133" t="inlineStr">
        <is>
          <t>N/A</t>
        </is>
      </c>
      <c r="G1133" s="26">
        <v>304668128</v>
      </c>
      <c r="H1133" s="26">
        <v>3046681</v>
      </c>
      <c r="I1133" s="26">
        <v>0</v>
      </c>
      <c r="J1133" s="26">
        <v>16</v>
      </c>
      <c r="K1133" t="inlineStr">
        <is>
          <t>Non</t>
        </is>
      </c>
      <c r="L1133">
        <f>SUBTOTAL(103,A1133)</f>
        <v>1</v>
      </c>
    </row>
    <row r="1134">
      <c r="A1134" t="inlineStr">
        <is>
          <t>SOCIETE C1526</t>
        </is>
      </c>
      <c r="B1134" t="inlineStr">
        <is>
          <t>C1526</t>
        </is>
      </c>
      <c r="C1134" t="inlineStr">
        <is>
          <t>CONSUMER BANKING</t>
        </is>
      </c>
      <c r="D1134" t="inlineStr">
        <is>
          <t>I</t>
        </is>
      </c>
      <c r="E1134" t="inlineStr">
        <is>
          <t>Stage 1</t>
        </is>
      </c>
      <c r="F1134" t="inlineStr">
        <is>
          <t>N/A</t>
        </is>
      </c>
      <c r="G1134" s="26">
        <v>1429271151</v>
      </c>
      <c r="H1134" s="26">
        <v>14292712</v>
      </c>
      <c r="I1134" s="26">
        <v>0</v>
      </c>
      <c r="J1134" s="26">
        <v>12</v>
      </c>
      <c r="K1134" t="inlineStr">
        <is>
          <t>Non</t>
        </is>
      </c>
      <c r="L1134">
        <f>SUBTOTAL(103,A1134)</f>
        <v>1</v>
      </c>
    </row>
    <row r="1135">
      <c r="A1135" t="inlineStr">
        <is>
          <t>SOCIETE C1558</t>
        </is>
      </c>
      <c r="B1135" t="inlineStr">
        <is>
          <t>C1558</t>
        </is>
      </c>
      <c r="C1135" t="inlineStr">
        <is>
          <t>CONSUMER BANKING</t>
        </is>
      </c>
      <c r="D1135" t="inlineStr">
        <is>
          <t>I</t>
        </is>
      </c>
      <c r="E1135" t="inlineStr">
        <is>
          <t>Stage 1</t>
        </is>
      </c>
      <c r="F1135" t="inlineStr">
        <is>
          <t>N/A</t>
        </is>
      </c>
      <c r="G1135" s="26">
        <v>2995981747</v>
      </c>
      <c r="H1135" s="26">
        <v>29959817</v>
      </c>
      <c r="I1135" s="26">
        <v>333077433</v>
      </c>
      <c r="J1135" s="26">
        <v>58</v>
      </c>
      <c r="K1135" t="inlineStr">
        <is>
          <t>Non</t>
        </is>
      </c>
      <c r="L1135">
        <f>SUBTOTAL(103,A1135)</f>
        <v>1</v>
      </c>
    </row>
    <row r="1136">
      <c r="A1136" t="inlineStr">
        <is>
          <t>SOCIETE C85</t>
        </is>
      </c>
      <c r="B1136" t="inlineStr">
        <is>
          <t>C85</t>
        </is>
      </c>
      <c r="C1136" t="inlineStr">
        <is>
          <t>CORPORATE BANKING</t>
        </is>
      </c>
      <c r="D1136" t="inlineStr">
        <is>
          <t>I</t>
        </is>
      </c>
      <c r="E1136" t="inlineStr">
        <is>
          <t>Stage 1</t>
        </is>
      </c>
      <c r="F1136" t="inlineStr">
        <is>
          <t>N/A</t>
        </is>
      </c>
      <c r="G1136" s="26">
        <v>1567909</v>
      </c>
      <c r="H1136" s="26">
        <v>15679</v>
      </c>
      <c r="I1136" s="26">
        <v>0</v>
      </c>
      <c r="J1136" s="26">
        <v>65</v>
      </c>
      <c r="K1136" t="inlineStr">
        <is>
          <t>Non</t>
        </is>
      </c>
      <c r="L1136">
        <f>SUBTOTAL(103,A1136)</f>
        <v>1</v>
      </c>
    </row>
    <row r="1137">
      <c r="A1137" t="inlineStr">
        <is>
          <t>SOCIETE C1098</t>
        </is>
      </c>
      <c r="B1137" t="inlineStr">
        <is>
          <t>C1098</t>
        </is>
      </c>
      <c r="C1137" t="inlineStr">
        <is>
          <t>COMMERCIAL BANKING</t>
        </is>
      </c>
      <c r="D1137" t="inlineStr">
        <is>
          <t>V</t>
        </is>
      </c>
      <c r="E1137" t="inlineStr">
        <is>
          <t>Stage 3</t>
        </is>
      </c>
      <c r="F1137" t="inlineStr">
        <is>
          <t>N/A</t>
        </is>
      </c>
      <c r="G1137" s="26">
        <v>1738080420</v>
      </c>
      <c r="H1137" s="26">
        <v>955944231</v>
      </c>
      <c r="I1137" s="26">
        <v>0</v>
      </c>
      <c r="J1137" s="26">
        <v>215</v>
      </c>
      <c r="K1137" t="inlineStr">
        <is>
          <t>Oui</t>
        </is>
      </c>
      <c r="L1137">
        <f>SUBTOTAL(103,A1137)</f>
        <v>1</v>
      </c>
    </row>
    <row r="1138">
      <c r="A1138" t="inlineStr">
        <is>
          <t>SOCIETE C475</t>
        </is>
      </c>
      <c r="B1138" t="inlineStr">
        <is>
          <t>C475</t>
        </is>
      </c>
      <c r="C1138" t="inlineStr">
        <is>
          <t>CORPORATE BANKING</t>
        </is>
      </c>
      <c r="D1138" t="inlineStr">
        <is>
          <t>I</t>
        </is>
      </c>
      <c r="E1138" t="inlineStr">
        <is>
          <t>Stage 1</t>
        </is>
      </c>
      <c r="F1138" t="inlineStr">
        <is>
          <t>N/A</t>
        </is>
      </c>
      <c r="G1138" s="26">
        <v>2507738562</v>
      </c>
      <c r="H1138" s="26">
        <v>25077386</v>
      </c>
      <c r="I1138" s="26">
        <v>0</v>
      </c>
      <c r="J1138" s="26">
        <v>97</v>
      </c>
      <c r="K1138" t="inlineStr">
        <is>
          <t>Non</t>
        </is>
      </c>
      <c r="L1138">
        <f>SUBTOTAL(103,A1138)</f>
        <v>1</v>
      </c>
    </row>
    <row r="1139">
      <c r="A1139" t="inlineStr">
        <is>
          <t>SOCIETE C2446</t>
        </is>
      </c>
      <c r="B1139" t="inlineStr">
        <is>
          <t>C2446</t>
        </is>
      </c>
      <c r="C1139" t="inlineStr">
        <is>
          <t>COMMERCIAL BANKING</t>
        </is>
      </c>
      <c r="D1139" t="inlineStr">
        <is>
          <t>II</t>
        </is>
      </c>
      <c r="E1139" t="inlineStr">
        <is>
          <t>Stage 2</t>
        </is>
      </c>
      <c r="F1139" t="inlineStr">
        <is>
          <t>N/A</t>
        </is>
      </c>
      <c r="G1139" s="26">
        <v>6491695</v>
      </c>
      <c r="H1139" s="26">
        <v>389502</v>
      </c>
      <c r="I1139" s="26">
        <v>291108</v>
      </c>
      <c r="J1139" s="26">
        <v>146</v>
      </c>
      <c r="K1139" t="inlineStr">
        <is>
          <t>Non</t>
        </is>
      </c>
      <c r="L1139">
        <f>SUBTOTAL(103,A1139)</f>
        <v>1</v>
      </c>
    </row>
    <row r="1140">
      <c r="A1140" t="inlineStr">
        <is>
          <t>SOCIETE C1503</t>
        </is>
      </c>
      <c r="B1140" t="inlineStr">
        <is>
          <t>C1503</t>
        </is>
      </c>
      <c r="C1140" t="inlineStr">
        <is>
          <t>PUBLIC SECTOR</t>
        </is>
      </c>
      <c r="D1140" t="inlineStr">
        <is>
          <t>I</t>
        </is>
      </c>
      <c r="E1140" t="inlineStr">
        <is>
          <t>Stage 1</t>
        </is>
      </c>
      <c r="F1140" t="inlineStr">
        <is>
          <t>N/A</t>
        </is>
      </c>
      <c r="G1140" s="26">
        <v>608504506</v>
      </c>
      <c r="H1140" s="26">
        <v>6085045</v>
      </c>
      <c r="I1140" s="26">
        <v>0</v>
      </c>
      <c r="J1140" s="26">
        <v>116</v>
      </c>
      <c r="K1140" t="inlineStr">
        <is>
          <t>Non</t>
        </is>
      </c>
      <c r="L1140">
        <f>SUBTOTAL(103,A1140)</f>
        <v>1</v>
      </c>
    </row>
    <row r="1141">
      <c r="A1141" t="inlineStr">
        <is>
          <t>SOCIETE C124</t>
        </is>
      </c>
      <c r="B1141" t="inlineStr">
        <is>
          <t>C124</t>
        </is>
      </c>
      <c r="C1141" t="inlineStr">
        <is>
          <t>COMMERCIAL BANKING</t>
        </is>
      </c>
      <c r="D1141" t="inlineStr">
        <is>
          <t>I</t>
        </is>
      </c>
      <c r="E1141" t="inlineStr">
        <is>
          <t>Stage 1</t>
        </is>
      </c>
      <c r="F1141" t="inlineStr">
        <is>
          <t>N/A</t>
        </is>
      </c>
      <c r="G1141" s="26">
        <v>2435689916</v>
      </c>
      <c r="H1141" s="26">
        <v>24356899</v>
      </c>
      <c r="I1141" s="26">
        <v>42438833</v>
      </c>
      <c r="J1141" s="26">
        <v>55</v>
      </c>
      <c r="K1141" t="inlineStr">
        <is>
          <t>Non</t>
        </is>
      </c>
      <c r="L1141">
        <f>SUBTOTAL(103,A1141)</f>
        <v>1</v>
      </c>
    </row>
    <row r="1142">
      <c r="A1142" t="inlineStr">
        <is>
          <t>SOCIETE C1601</t>
        </is>
      </c>
      <c r="B1142" t="inlineStr">
        <is>
          <t>C1601</t>
        </is>
      </c>
      <c r="C1142" t="inlineStr">
        <is>
          <t>CORPORATE BANKING</t>
        </is>
      </c>
      <c r="D1142" t="inlineStr">
        <is>
          <t>I</t>
        </is>
      </c>
      <c r="E1142" t="inlineStr">
        <is>
          <t>Stage 1</t>
        </is>
      </c>
      <c r="F1142" t="inlineStr">
        <is>
          <t>N/A</t>
        </is>
      </c>
      <c r="G1142" s="26">
        <v>48005333</v>
      </c>
      <c r="H1142" s="26">
        <v>480053</v>
      </c>
      <c r="I1142" s="26">
        <v>0</v>
      </c>
      <c r="J1142" s="26">
        <v>198</v>
      </c>
      <c r="K1142" t="inlineStr">
        <is>
          <t>Non</t>
        </is>
      </c>
      <c r="L1142">
        <f>SUBTOTAL(103,A1142)</f>
        <v>1</v>
      </c>
    </row>
    <row r="1143">
      <c r="A1143" t="inlineStr">
        <is>
          <t>SOCIETE C976</t>
        </is>
      </c>
      <c r="B1143" t="inlineStr">
        <is>
          <t>C976</t>
        </is>
      </c>
      <c r="C1143" t="inlineStr">
        <is>
          <t>CORPORATE BANKING</t>
        </is>
      </c>
      <c r="D1143" t="inlineStr">
        <is>
          <t>III</t>
        </is>
      </c>
      <c r="E1143" t="inlineStr">
        <is>
          <t>Stage 3</t>
        </is>
      </c>
      <c r="F1143" t="inlineStr">
        <is>
          <t>N/A</t>
        </is>
      </c>
      <c r="G1143" s="26">
        <v>473487336</v>
      </c>
      <c r="H1143" s="26">
        <v>260418035</v>
      </c>
      <c r="I1143" s="26">
        <v>0</v>
      </c>
      <c r="J1143" s="26">
        <v>14</v>
      </c>
      <c r="K1143" t="inlineStr">
        <is>
          <t>Oui</t>
        </is>
      </c>
      <c r="L1143">
        <f>SUBTOTAL(103,A1143)</f>
        <v>1</v>
      </c>
    </row>
    <row r="1144">
      <c r="A1144" t="inlineStr">
        <is>
          <t>SOCIETE C893</t>
        </is>
      </c>
      <c r="B1144" t="inlineStr">
        <is>
          <t>C893</t>
        </is>
      </c>
      <c r="C1144" t="inlineStr">
        <is>
          <t>CORPORATE BANKING</t>
        </is>
      </c>
      <c r="D1144" t="inlineStr">
        <is>
          <t>IA</t>
        </is>
      </c>
      <c r="E1144" t="inlineStr">
        <is>
          <t>Stage 2</t>
        </is>
      </c>
      <c r="F1144" t="inlineStr">
        <is>
          <t>N/A</t>
        </is>
      </c>
      <c r="G1144" s="26">
        <v>169724529</v>
      </c>
      <c r="H1144" s="26">
        <v>10183472</v>
      </c>
      <c r="I1144" s="26">
        <v>0</v>
      </c>
      <c r="J1144" s="26">
        <v>129</v>
      </c>
      <c r="K1144" t="inlineStr">
        <is>
          <t>Non</t>
        </is>
      </c>
      <c r="L1144">
        <f>SUBTOTAL(103,A1144)</f>
        <v>1</v>
      </c>
    </row>
    <row r="1145">
      <c r="A1145" t="inlineStr">
        <is>
          <t>SOCIETE C432</t>
        </is>
      </c>
      <c r="B1145" t="inlineStr">
        <is>
          <t>C432</t>
        </is>
      </c>
      <c r="C1145" t="inlineStr">
        <is>
          <t>CORPORATE BANKING</t>
        </is>
      </c>
      <c r="D1145" t="inlineStr">
        <is>
          <t>I</t>
        </is>
      </c>
      <c r="E1145" t="inlineStr">
        <is>
          <t>Stage 1</t>
        </is>
      </c>
      <c r="F1145" t="inlineStr">
        <is>
          <t>N/A</t>
        </is>
      </c>
      <c r="G1145" s="26">
        <v>1516805</v>
      </c>
      <c r="H1145" s="26">
        <v>15168</v>
      </c>
      <c r="I1145" s="26">
        <v>0</v>
      </c>
      <c r="J1145" s="26">
        <v>262</v>
      </c>
      <c r="K1145" t="inlineStr">
        <is>
          <t>Non</t>
        </is>
      </c>
      <c r="L1145">
        <f>SUBTOTAL(103,A1145)</f>
        <v>1</v>
      </c>
    </row>
    <row r="1146">
      <c r="A1146" t="inlineStr">
        <is>
          <t>SOCIETE C721</t>
        </is>
      </c>
      <c r="B1146" t="inlineStr">
        <is>
          <t>C721</t>
        </is>
      </c>
      <c r="C1146" t="inlineStr">
        <is>
          <t>PUBLIC SECTOR</t>
        </is>
      </c>
      <c r="D1146" t="inlineStr">
        <is>
          <t>IA</t>
        </is>
      </c>
      <c r="E1146" t="inlineStr">
        <is>
          <t>Stage 2</t>
        </is>
      </c>
      <c r="F1146" t="inlineStr">
        <is>
          <t>N/A</t>
        </is>
      </c>
      <c r="G1146" s="26">
        <v>1374062106</v>
      </c>
      <c r="H1146" s="26">
        <v>82443726</v>
      </c>
      <c r="I1146" s="26">
        <v>0</v>
      </c>
      <c r="J1146" s="26">
        <v>6</v>
      </c>
      <c r="K1146" t="inlineStr">
        <is>
          <t>Non</t>
        </is>
      </c>
      <c r="L1146">
        <f>SUBTOTAL(103,A1146)</f>
        <v>1</v>
      </c>
    </row>
    <row r="1147">
      <c r="A1147" t="inlineStr">
        <is>
          <t>SOCIETE C1503</t>
        </is>
      </c>
      <c r="B1147" t="inlineStr">
        <is>
          <t>C1503</t>
        </is>
      </c>
      <c r="C1147" t="inlineStr">
        <is>
          <t>COMMERCIAL BANKING</t>
        </is>
      </c>
      <c r="D1147" t="inlineStr">
        <is>
          <t>I</t>
        </is>
      </c>
      <c r="E1147" t="inlineStr">
        <is>
          <t>Stage 1</t>
        </is>
      </c>
      <c r="F1147" t="inlineStr">
        <is>
          <t>N/A</t>
        </is>
      </c>
      <c r="G1147" s="26">
        <v>1592489905</v>
      </c>
      <c r="H1147" s="26">
        <v>15924899</v>
      </c>
      <c r="I1147" s="26">
        <v>0</v>
      </c>
      <c r="J1147" s="26">
        <v>0</v>
      </c>
      <c r="K1147" t="inlineStr">
        <is>
          <t>Non</t>
        </is>
      </c>
      <c r="L1147">
        <f>SUBTOTAL(103,A1147)</f>
        <v>1</v>
      </c>
    </row>
    <row r="1148">
      <c r="A1148" t="inlineStr">
        <is>
          <t>SOCIETE C1675</t>
        </is>
      </c>
      <c r="B1148" t="inlineStr">
        <is>
          <t>C1675</t>
        </is>
      </c>
      <c r="C1148" t="inlineStr">
        <is>
          <t>CORPORATE BANKING</t>
        </is>
      </c>
      <c r="D1148" t="inlineStr">
        <is>
          <t>I</t>
        </is>
      </c>
      <c r="E1148" t="inlineStr">
        <is>
          <t>Stage 1</t>
        </is>
      </c>
      <c r="F1148" t="inlineStr">
        <is>
          <t>N/A</t>
        </is>
      </c>
      <c r="G1148" s="26">
        <v>58800129</v>
      </c>
      <c r="H1148" s="26">
        <v>588001</v>
      </c>
      <c r="I1148" s="26">
        <v>0</v>
      </c>
      <c r="J1148" s="26">
        <v>0</v>
      </c>
      <c r="K1148" t="inlineStr">
        <is>
          <t>Non</t>
        </is>
      </c>
      <c r="L1148">
        <f>SUBTOTAL(103,A1148)</f>
        <v>1</v>
      </c>
    </row>
    <row r="1149">
      <c r="A1149" t="inlineStr">
        <is>
          <t>SOCIETE C125</t>
        </is>
      </c>
      <c r="B1149" t="inlineStr">
        <is>
          <t>C125</t>
        </is>
      </c>
      <c r="C1149" t="inlineStr">
        <is>
          <t>CORPORATE BANKING</t>
        </is>
      </c>
      <c r="D1149" t="inlineStr">
        <is>
          <t>IA</t>
        </is>
      </c>
      <c r="E1149" t="inlineStr">
        <is>
          <t>Stage 2</t>
        </is>
      </c>
      <c r="F1149" t="inlineStr">
        <is>
          <t>N/A</t>
        </is>
      </c>
      <c r="G1149" s="26">
        <v>3772277</v>
      </c>
      <c r="H1149" s="26">
        <v>226337</v>
      </c>
      <c r="I1149" s="26">
        <v>0</v>
      </c>
      <c r="J1149" s="26">
        <v>94</v>
      </c>
      <c r="K1149" t="inlineStr">
        <is>
          <t>Non</t>
        </is>
      </c>
      <c r="L1149">
        <f>SUBTOTAL(103,A1149)</f>
        <v>1</v>
      </c>
    </row>
    <row r="1150">
      <c r="A1150" t="inlineStr">
        <is>
          <t>SOCIETE C424</t>
        </is>
      </c>
      <c r="B1150" t="inlineStr">
        <is>
          <t>C424</t>
        </is>
      </c>
      <c r="C1150" t="inlineStr">
        <is>
          <t>COMMERCIAL BANKING</t>
        </is>
      </c>
      <c r="D1150" t="inlineStr">
        <is>
          <t>I</t>
        </is>
      </c>
      <c r="E1150" t="inlineStr">
        <is>
          <t>Stage 1</t>
        </is>
      </c>
      <c r="F1150" t="inlineStr">
        <is>
          <t>N/A</t>
        </is>
      </c>
      <c r="G1150" s="26">
        <v>101509811</v>
      </c>
      <c r="H1150" s="26">
        <v>1015098</v>
      </c>
      <c r="I1150" s="26">
        <v>0</v>
      </c>
      <c r="J1150" s="26">
        <v>15</v>
      </c>
      <c r="K1150" t="inlineStr">
        <is>
          <t>Non</t>
        </is>
      </c>
      <c r="L1150">
        <f>SUBTOTAL(103,A1150)</f>
        <v>1</v>
      </c>
    </row>
    <row r="1151">
      <c r="A1151" t="inlineStr">
        <is>
          <t>SOCIETE C2094</t>
        </is>
      </c>
      <c r="B1151" t="inlineStr">
        <is>
          <t>C2094</t>
        </is>
      </c>
      <c r="C1151" t="inlineStr">
        <is>
          <t>CONSUMER BANKING</t>
        </is>
      </c>
      <c r="D1151" t="inlineStr">
        <is>
          <t>IV</t>
        </is>
      </c>
      <c r="E1151" t="inlineStr">
        <is>
          <t>Stage 3</t>
        </is>
      </c>
      <c r="F1151" t="inlineStr">
        <is>
          <t>N/A</t>
        </is>
      </c>
      <c r="G1151" s="26">
        <v>2880472190</v>
      </c>
      <c r="H1151" s="26">
        <v>1584259704</v>
      </c>
      <c r="I1151" s="26">
        <v>0</v>
      </c>
      <c r="J1151" s="26">
        <v>81</v>
      </c>
      <c r="K1151" t="inlineStr">
        <is>
          <t>Oui</t>
        </is>
      </c>
      <c r="L1151">
        <f>SUBTOTAL(103,A1151)</f>
        <v>1</v>
      </c>
    </row>
    <row r="1152">
      <c r="A1152" t="inlineStr">
        <is>
          <t>SOCIETE C1254</t>
        </is>
      </c>
      <c r="B1152" t="inlineStr">
        <is>
          <t>C1254</t>
        </is>
      </c>
      <c r="C1152" t="inlineStr">
        <is>
          <t>CONSUMER BANKING</t>
        </is>
      </c>
      <c r="D1152" t="inlineStr">
        <is>
          <t>IV</t>
        </is>
      </c>
      <c r="E1152" t="inlineStr">
        <is>
          <t>Stage 3</t>
        </is>
      </c>
      <c r="F1152" t="inlineStr">
        <is>
          <t>N/A</t>
        </is>
      </c>
      <c r="G1152" s="26">
        <v>481830362</v>
      </c>
      <c r="H1152" s="26">
        <v>265006699</v>
      </c>
      <c r="I1152" s="26">
        <v>0</v>
      </c>
      <c r="J1152" s="26">
        <v>30</v>
      </c>
      <c r="K1152" t="inlineStr">
        <is>
          <t>Oui</t>
        </is>
      </c>
      <c r="L1152">
        <f>SUBTOTAL(103,A1152)</f>
        <v>1</v>
      </c>
    </row>
    <row r="1153">
      <c r="A1153" t="inlineStr">
        <is>
          <t>SOCIETE C2178</t>
        </is>
      </c>
      <c r="B1153" t="inlineStr">
        <is>
          <t>C2178</t>
        </is>
      </c>
      <c r="C1153" t="inlineStr">
        <is>
          <t>CORPORATE BANKING</t>
        </is>
      </c>
      <c r="D1153" t="inlineStr">
        <is>
          <t>I</t>
        </is>
      </c>
      <c r="E1153" t="inlineStr">
        <is>
          <t>Stage 1</t>
        </is>
      </c>
      <c r="F1153" t="inlineStr">
        <is>
          <t>N/A</t>
        </is>
      </c>
      <c r="G1153" s="26">
        <v>156302761</v>
      </c>
      <c r="H1153" s="26">
        <v>1563028</v>
      </c>
      <c r="I1153" s="26">
        <v>26948232</v>
      </c>
      <c r="J1153" s="26">
        <v>53</v>
      </c>
      <c r="K1153" t="inlineStr">
        <is>
          <t>Non</t>
        </is>
      </c>
      <c r="L1153">
        <f>SUBTOTAL(103,A1153)</f>
        <v>1</v>
      </c>
    </row>
    <row r="1154">
      <c r="A1154" t="inlineStr">
        <is>
          <t>SOCIETE C1840</t>
        </is>
      </c>
      <c r="B1154" t="inlineStr">
        <is>
          <t>C1840</t>
        </is>
      </c>
      <c r="C1154" t="inlineStr">
        <is>
          <t>PUBLIC SECTOR</t>
        </is>
      </c>
      <c r="D1154" t="inlineStr">
        <is>
          <t>I</t>
        </is>
      </c>
      <c r="E1154" t="inlineStr">
        <is>
          <t>Stage 1</t>
        </is>
      </c>
      <c r="F1154" t="inlineStr">
        <is>
          <t>N/A</t>
        </is>
      </c>
      <c r="G1154" s="26">
        <v>675085082</v>
      </c>
      <c r="H1154" s="26">
        <v>6750851</v>
      </c>
      <c r="I1154" s="26">
        <v>0</v>
      </c>
      <c r="J1154" s="26">
        <v>113</v>
      </c>
      <c r="K1154" t="inlineStr">
        <is>
          <t>Non</t>
        </is>
      </c>
      <c r="L1154">
        <f>SUBTOTAL(103,A1154)</f>
        <v>1</v>
      </c>
    </row>
    <row r="1155">
      <c r="A1155" t="inlineStr">
        <is>
          <t>SOCIETE C1640</t>
        </is>
      </c>
      <c r="B1155" t="inlineStr">
        <is>
          <t>C1640</t>
        </is>
      </c>
      <c r="C1155" t="inlineStr">
        <is>
          <t>COMMERCIAL BANKING</t>
        </is>
      </c>
      <c r="D1155" t="inlineStr">
        <is>
          <t>V</t>
        </is>
      </c>
      <c r="E1155" t="inlineStr">
        <is>
          <t>Stage 3</t>
        </is>
      </c>
      <c r="F1155" t="inlineStr">
        <is>
          <t>N/A</t>
        </is>
      </c>
      <c r="G1155" s="26">
        <v>1076947</v>
      </c>
      <c r="H1155" s="26">
        <v>592321</v>
      </c>
      <c r="I1155" s="26">
        <v>24587</v>
      </c>
      <c r="J1155" s="26">
        <v>34</v>
      </c>
      <c r="K1155" t="inlineStr">
        <is>
          <t>Oui</t>
        </is>
      </c>
      <c r="L1155">
        <f>SUBTOTAL(103,A1155)</f>
        <v>1</v>
      </c>
    </row>
    <row r="1156">
      <c r="A1156" t="inlineStr">
        <is>
          <t>SOCIETE C1307</t>
        </is>
      </c>
      <c r="B1156" t="inlineStr">
        <is>
          <t>C1307</t>
        </is>
      </c>
      <c r="C1156" t="inlineStr">
        <is>
          <t>PUBLIC SECTOR</t>
        </is>
      </c>
      <c r="D1156" t="inlineStr">
        <is>
          <t>I</t>
        </is>
      </c>
      <c r="E1156" t="inlineStr">
        <is>
          <t>Stage 1</t>
        </is>
      </c>
      <c r="F1156" t="inlineStr">
        <is>
          <t>N/A</t>
        </is>
      </c>
      <c r="G1156" s="26">
        <v>1245142505</v>
      </c>
      <c r="H1156" s="26">
        <v>12451425</v>
      </c>
      <c r="I1156" s="26">
        <v>147193632</v>
      </c>
      <c r="J1156" s="26">
        <v>19</v>
      </c>
      <c r="K1156" t="inlineStr">
        <is>
          <t>Non</t>
        </is>
      </c>
      <c r="L1156">
        <f>SUBTOTAL(103,A1156)</f>
        <v>1</v>
      </c>
    </row>
    <row r="1157">
      <c r="A1157" t="inlineStr">
        <is>
          <t>SOCIETE C648</t>
        </is>
      </c>
      <c r="B1157" t="inlineStr">
        <is>
          <t>C648</t>
        </is>
      </c>
      <c r="C1157" t="inlineStr">
        <is>
          <t>SME</t>
        </is>
      </c>
      <c r="D1157" t="inlineStr">
        <is>
          <t>V</t>
        </is>
      </c>
      <c r="E1157" t="inlineStr">
        <is>
          <t>Stage 3</t>
        </is>
      </c>
      <c r="F1157" t="inlineStr">
        <is>
          <t>N/A</t>
        </is>
      </c>
      <c r="G1157" s="26">
        <v>121084346</v>
      </c>
      <c r="H1157" s="26">
        <v>66596390</v>
      </c>
      <c r="I1157" s="26">
        <v>22015037</v>
      </c>
      <c r="J1157" s="26">
        <v>69</v>
      </c>
      <c r="K1157" t="inlineStr">
        <is>
          <t>Oui</t>
        </is>
      </c>
      <c r="L1157">
        <f>SUBTOTAL(103,A1157)</f>
        <v>1</v>
      </c>
    </row>
    <row r="1158">
      <c r="A1158" t="inlineStr">
        <is>
          <t>SOCIETE C2494</t>
        </is>
      </c>
      <c r="B1158" t="inlineStr">
        <is>
          <t>C2494</t>
        </is>
      </c>
      <c r="C1158" t="inlineStr">
        <is>
          <t>CORPORATE BANKING</t>
        </is>
      </c>
      <c r="D1158" t="inlineStr">
        <is>
          <t>I</t>
        </is>
      </c>
      <c r="E1158" t="inlineStr">
        <is>
          <t>Stage 1</t>
        </is>
      </c>
      <c r="F1158" t="inlineStr">
        <is>
          <t>N/A</t>
        </is>
      </c>
      <c r="G1158" s="26">
        <v>176223692</v>
      </c>
      <c r="H1158" s="26">
        <v>1762237</v>
      </c>
      <c r="I1158" s="26">
        <v>0</v>
      </c>
      <c r="J1158" s="26">
        <v>94</v>
      </c>
      <c r="K1158" t="inlineStr">
        <is>
          <t>Non</t>
        </is>
      </c>
      <c r="L1158">
        <f>SUBTOTAL(103,A1158)</f>
        <v>1</v>
      </c>
    </row>
    <row r="1159">
      <c r="A1159" t="inlineStr">
        <is>
          <t>SOCIETE C300</t>
        </is>
      </c>
      <c r="B1159" t="inlineStr">
        <is>
          <t>C300</t>
        </is>
      </c>
      <c r="C1159" t="inlineStr">
        <is>
          <t>PUBLIC SECTOR</t>
        </is>
      </c>
      <c r="D1159" t="inlineStr">
        <is>
          <t>V</t>
        </is>
      </c>
      <c r="E1159" t="inlineStr">
        <is>
          <t>Stage 3</t>
        </is>
      </c>
      <c r="F1159" t="inlineStr">
        <is>
          <t>N/A</t>
        </is>
      </c>
      <c r="G1159" s="26">
        <v>17539944</v>
      </c>
      <c r="H1159" s="26">
        <v>9646969</v>
      </c>
      <c r="I1159" s="26">
        <v>0</v>
      </c>
      <c r="J1159" s="26">
        <v>76</v>
      </c>
      <c r="K1159" t="inlineStr">
        <is>
          <t>Oui</t>
        </is>
      </c>
      <c r="L1159">
        <f>SUBTOTAL(103,A1159)</f>
        <v>1</v>
      </c>
    </row>
    <row r="1160">
      <c r="A1160" t="inlineStr">
        <is>
          <t>SOCIETE C2129</t>
        </is>
      </c>
      <c r="B1160" t="inlineStr">
        <is>
          <t>C2129</t>
        </is>
      </c>
      <c r="C1160" t="inlineStr">
        <is>
          <t>CORPORATE BANKING</t>
        </is>
      </c>
      <c r="D1160" t="inlineStr">
        <is>
          <t>V</t>
        </is>
      </c>
      <c r="E1160" t="inlineStr">
        <is>
          <t>Stage 3</t>
        </is>
      </c>
      <c r="F1160" t="inlineStr">
        <is>
          <t>N/A</t>
        </is>
      </c>
      <c r="G1160" s="26">
        <v>99776983</v>
      </c>
      <c r="H1160" s="26">
        <v>54877341</v>
      </c>
      <c r="I1160" s="26">
        <v>0</v>
      </c>
      <c r="J1160" s="26">
        <v>170</v>
      </c>
      <c r="K1160" t="inlineStr">
        <is>
          <t>Oui</t>
        </is>
      </c>
      <c r="L1160">
        <f>SUBTOTAL(103,A1160)</f>
        <v>1</v>
      </c>
    </row>
    <row r="1161">
      <c r="A1161" t="inlineStr">
        <is>
          <t>SOCIETE C900</t>
        </is>
      </c>
      <c r="B1161" t="inlineStr">
        <is>
          <t>C900</t>
        </is>
      </c>
      <c r="C1161" t="inlineStr">
        <is>
          <t>COMMERCIAL BANKING</t>
        </is>
      </c>
      <c r="D1161" t="inlineStr">
        <is>
          <t>IA</t>
        </is>
      </c>
      <c r="E1161" t="inlineStr">
        <is>
          <t>Stage 2</t>
        </is>
      </c>
      <c r="F1161" t="inlineStr">
        <is>
          <t>N/A</t>
        </is>
      </c>
      <c r="G1161" s="26">
        <v>2521621601</v>
      </c>
      <c r="H1161" s="26">
        <v>151297296</v>
      </c>
      <c r="I1161" s="26">
        <v>0</v>
      </c>
      <c r="J1161" s="26">
        <v>15</v>
      </c>
      <c r="K1161" t="inlineStr">
        <is>
          <t>Non</t>
        </is>
      </c>
      <c r="L1161">
        <f>SUBTOTAL(103,A1161)</f>
        <v>1</v>
      </c>
    </row>
    <row r="1162">
      <c r="A1162" t="inlineStr">
        <is>
          <t>SOCIETE C2296</t>
        </is>
      </c>
      <c r="B1162" t="inlineStr">
        <is>
          <t>C2296</t>
        </is>
      </c>
      <c r="C1162" t="inlineStr">
        <is>
          <t>CORPORATE BANKING</t>
        </is>
      </c>
      <c r="D1162" t="inlineStr">
        <is>
          <t>I</t>
        </is>
      </c>
      <c r="E1162" t="inlineStr">
        <is>
          <t>Stage 1</t>
        </is>
      </c>
      <c r="F1162" t="inlineStr">
        <is>
          <t>N/A</t>
        </is>
      </c>
      <c r="G1162" s="26">
        <v>2603305</v>
      </c>
      <c r="H1162" s="26">
        <v>26033</v>
      </c>
      <c r="I1162" s="26">
        <v>0</v>
      </c>
      <c r="J1162" s="26">
        <v>46</v>
      </c>
      <c r="K1162" t="inlineStr">
        <is>
          <t>Non</t>
        </is>
      </c>
      <c r="L1162">
        <f>SUBTOTAL(103,A1162)</f>
        <v>1</v>
      </c>
    </row>
    <row r="1163">
      <c r="A1163" t="inlineStr">
        <is>
          <t>SOCIETE C1763</t>
        </is>
      </c>
      <c r="B1163" t="inlineStr">
        <is>
          <t>C1763</t>
        </is>
      </c>
      <c r="C1163" t="inlineStr">
        <is>
          <t>CORPORATE BANKING</t>
        </is>
      </c>
      <c r="D1163" t="inlineStr">
        <is>
          <t>V</t>
        </is>
      </c>
      <c r="E1163" t="inlineStr">
        <is>
          <t>Stage 3</t>
        </is>
      </c>
      <c r="F1163" t="inlineStr">
        <is>
          <t>N/A</t>
        </is>
      </c>
      <c r="G1163" s="26">
        <v>723081191</v>
      </c>
      <c r="H1163" s="26">
        <v>397694655</v>
      </c>
      <c r="I1163" s="26">
        <v>0</v>
      </c>
      <c r="J1163" s="26">
        <v>106</v>
      </c>
      <c r="K1163" t="inlineStr">
        <is>
          <t>Oui</t>
        </is>
      </c>
      <c r="L1163">
        <f>SUBTOTAL(103,A1163)</f>
        <v>1</v>
      </c>
    </row>
    <row r="1164">
      <c r="A1164" t="inlineStr">
        <is>
          <t>SOCIETE C286</t>
        </is>
      </c>
      <c r="B1164" t="inlineStr">
        <is>
          <t>C286</t>
        </is>
      </c>
      <c r="C1164" t="inlineStr">
        <is>
          <t>CORPORATE BANKING</t>
        </is>
      </c>
      <c r="D1164" t="inlineStr">
        <is>
          <t>I</t>
        </is>
      </c>
      <c r="E1164" t="inlineStr">
        <is>
          <t>Stage 1</t>
        </is>
      </c>
      <c r="F1164" t="inlineStr">
        <is>
          <t>N/A</t>
        </is>
      </c>
      <c r="G1164" s="26">
        <v>977196107</v>
      </c>
      <c r="H1164" s="26">
        <v>9771961</v>
      </c>
      <c r="I1164" s="26">
        <v>71336034</v>
      </c>
      <c r="J1164" s="26">
        <v>139</v>
      </c>
      <c r="K1164" t="inlineStr">
        <is>
          <t>Non</t>
        </is>
      </c>
      <c r="L1164">
        <f>SUBTOTAL(103,A1164)</f>
        <v>1</v>
      </c>
    </row>
    <row r="1165">
      <c r="A1165" t="inlineStr">
        <is>
          <t>SOCIETE C920</t>
        </is>
      </c>
      <c r="B1165" t="inlineStr">
        <is>
          <t>C920</t>
        </is>
      </c>
      <c r="C1165" t="inlineStr">
        <is>
          <t>CONSUMER BANKING</t>
        </is>
      </c>
      <c r="D1165" t="inlineStr">
        <is>
          <t>IA</t>
        </is>
      </c>
      <c r="E1165" t="inlineStr">
        <is>
          <t>Stage 2</t>
        </is>
      </c>
      <c r="F1165" t="inlineStr">
        <is>
          <t>N/A</t>
        </is>
      </c>
      <c r="G1165" s="26">
        <v>178683324</v>
      </c>
      <c r="H1165" s="26">
        <v>10720999</v>
      </c>
      <c r="I1165" s="26">
        <v>0</v>
      </c>
      <c r="J1165" s="26">
        <v>131</v>
      </c>
      <c r="K1165" t="inlineStr">
        <is>
          <t>Non</t>
        </is>
      </c>
      <c r="L1165">
        <f>SUBTOTAL(103,A1165)</f>
        <v>1</v>
      </c>
    </row>
    <row r="1166">
      <c r="A1166" t="inlineStr">
        <is>
          <t>SOCIETE C2342</t>
        </is>
      </c>
      <c r="B1166" t="inlineStr">
        <is>
          <t>C2342</t>
        </is>
      </c>
      <c r="C1166" t="inlineStr">
        <is>
          <t>CORPORATE BANKING</t>
        </is>
      </c>
      <c r="D1166" t="inlineStr">
        <is>
          <t>V</t>
        </is>
      </c>
      <c r="E1166" t="inlineStr">
        <is>
          <t>Stage 3</t>
        </is>
      </c>
      <c r="F1166" t="inlineStr">
        <is>
          <t>N/A</t>
        </is>
      </c>
      <c r="G1166" s="26">
        <v>1656615584</v>
      </c>
      <c r="H1166" s="26">
        <v>911138571</v>
      </c>
      <c r="I1166" s="26">
        <v>0</v>
      </c>
      <c r="J1166" s="26">
        <v>309</v>
      </c>
      <c r="K1166" t="inlineStr">
        <is>
          <t>Oui</t>
        </is>
      </c>
      <c r="L1166">
        <f>SUBTOTAL(103,A1166)</f>
        <v>1</v>
      </c>
    </row>
    <row r="1167">
      <c r="A1167" t="inlineStr">
        <is>
          <t>SOCIETE C192</t>
        </is>
      </c>
      <c r="B1167" t="inlineStr">
        <is>
          <t>C192</t>
        </is>
      </c>
      <c r="C1167" t="inlineStr">
        <is>
          <t>CORPORATE BANKING</t>
        </is>
      </c>
      <c r="D1167" t="inlineStr">
        <is>
          <t>I</t>
        </is>
      </c>
      <c r="E1167" t="inlineStr">
        <is>
          <t>Stage 1</t>
        </is>
      </c>
      <c r="F1167" t="inlineStr">
        <is>
          <t>N/A</t>
        </is>
      </c>
      <c r="G1167" s="26">
        <v>978200307</v>
      </c>
      <c r="H1167" s="26">
        <v>9782003</v>
      </c>
      <c r="I1167" s="26">
        <v>0</v>
      </c>
      <c r="J1167" s="26">
        <v>109</v>
      </c>
      <c r="K1167" t="inlineStr">
        <is>
          <t>Non</t>
        </is>
      </c>
      <c r="L1167">
        <f>SUBTOTAL(103,A1167)</f>
        <v>1</v>
      </c>
    </row>
    <row r="1168">
      <c r="A1168" t="inlineStr">
        <is>
          <t>SOCIETE C1486</t>
        </is>
      </c>
      <c r="B1168" t="inlineStr">
        <is>
          <t>C1486</t>
        </is>
      </c>
      <c r="C1168" t="inlineStr">
        <is>
          <t>SME</t>
        </is>
      </c>
      <c r="D1168" t="inlineStr">
        <is>
          <t>II</t>
        </is>
      </c>
      <c r="E1168" t="inlineStr">
        <is>
          <t>Stage 2</t>
        </is>
      </c>
      <c r="F1168" t="inlineStr">
        <is>
          <t>N/A</t>
        </is>
      </c>
      <c r="G1168" s="26">
        <v>8436397</v>
      </c>
      <c r="H1168" s="26">
        <v>506184</v>
      </c>
      <c r="I1168" s="26">
        <v>0</v>
      </c>
      <c r="J1168" s="26">
        <v>118</v>
      </c>
      <c r="K1168" t="inlineStr">
        <is>
          <t>Non</t>
        </is>
      </c>
      <c r="L1168">
        <f>SUBTOTAL(103,A1168)</f>
        <v>1</v>
      </c>
    </row>
    <row r="1169">
      <c r="A1169" t="inlineStr">
        <is>
          <t>SOCIETE C306</t>
        </is>
      </c>
      <c r="B1169" t="inlineStr">
        <is>
          <t>C306</t>
        </is>
      </c>
      <c r="C1169" t="inlineStr">
        <is>
          <t>COMMERCIAL BANKING</t>
        </is>
      </c>
      <c r="D1169" t="inlineStr">
        <is>
          <t>IA</t>
        </is>
      </c>
      <c r="E1169" t="inlineStr">
        <is>
          <t>Stage 2</t>
        </is>
      </c>
      <c r="F1169" t="inlineStr">
        <is>
          <t>N/A</t>
        </is>
      </c>
      <c r="G1169" s="26">
        <v>246127027</v>
      </c>
      <c r="H1169" s="26">
        <v>14767622</v>
      </c>
      <c r="I1169" s="26">
        <v>0</v>
      </c>
      <c r="J1169" s="26">
        <v>150</v>
      </c>
      <c r="K1169" t="inlineStr">
        <is>
          <t>Non</t>
        </is>
      </c>
      <c r="L1169">
        <f>SUBTOTAL(103,A1169)</f>
        <v>1</v>
      </c>
    </row>
    <row r="1170">
      <c r="A1170" t="inlineStr">
        <is>
          <t>SOCIETE C1885</t>
        </is>
      </c>
      <c r="B1170" t="inlineStr">
        <is>
          <t>C1885</t>
        </is>
      </c>
      <c r="C1170" t="inlineStr">
        <is>
          <t>CORPORATE BANKING</t>
        </is>
      </c>
      <c r="D1170" t="inlineStr">
        <is>
          <t>IA</t>
        </is>
      </c>
      <c r="E1170" t="inlineStr">
        <is>
          <t>Stage 2</t>
        </is>
      </c>
      <c r="F1170" t="inlineStr">
        <is>
          <t>N/A</t>
        </is>
      </c>
      <c r="G1170" s="26">
        <v>1253568577</v>
      </c>
      <c r="H1170" s="26">
        <v>75214115</v>
      </c>
      <c r="I1170" s="26">
        <v>0</v>
      </c>
      <c r="J1170" s="26">
        <v>6</v>
      </c>
      <c r="K1170" t="inlineStr">
        <is>
          <t>Non</t>
        </is>
      </c>
      <c r="L1170">
        <f>SUBTOTAL(103,A1170)</f>
        <v>1</v>
      </c>
    </row>
    <row r="1171">
      <c r="A1171" t="inlineStr">
        <is>
          <t>SOCIETE C464</t>
        </is>
      </c>
      <c r="B1171" t="inlineStr">
        <is>
          <t>C464</t>
        </is>
      </c>
      <c r="C1171" t="inlineStr">
        <is>
          <t>CORPORATE BANKING</t>
        </is>
      </c>
      <c r="D1171" t="inlineStr">
        <is>
          <t>I</t>
        </is>
      </c>
      <c r="E1171" t="inlineStr">
        <is>
          <t>Stage 1</t>
        </is>
      </c>
      <c r="F1171" t="inlineStr">
        <is>
          <t>N/A</t>
        </is>
      </c>
      <c r="G1171" s="26">
        <v>638833696</v>
      </c>
      <c r="H1171" s="26">
        <v>6388337</v>
      </c>
      <c r="I1171" s="26">
        <v>0</v>
      </c>
      <c r="J1171" s="26">
        <v>1</v>
      </c>
      <c r="K1171" t="inlineStr">
        <is>
          <t>Non</t>
        </is>
      </c>
      <c r="L1171">
        <f>SUBTOTAL(103,A1171)</f>
        <v>1</v>
      </c>
    </row>
    <row r="1172">
      <c r="A1172" t="inlineStr">
        <is>
          <t>SOCIETE C2463</t>
        </is>
      </c>
      <c r="B1172" t="inlineStr">
        <is>
          <t>C2463</t>
        </is>
      </c>
      <c r="C1172" t="inlineStr">
        <is>
          <t>COMMERCIAL BANKING</t>
        </is>
      </c>
      <c r="D1172" t="inlineStr">
        <is>
          <t>I</t>
        </is>
      </c>
      <c r="E1172" t="inlineStr">
        <is>
          <t>Stage 1</t>
        </is>
      </c>
      <c r="F1172" t="inlineStr">
        <is>
          <t>N/A</t>
        </is>
      </c>
      <c r="G1172" s="26">
        <v>1020083554</v>
      </c>
      <c r="H1172" s="26">
        <v>10200836</v>
      </c>
      <c r="I1172" s="26">
        <v>0</v>
      </c>
      <c r="J1172" s="26">
        <v>178</v>
      </c>
      <c r="K1172" t="inlineStr">
        <is>
          <t>Non</t>
        </is>
      </c>
      <c r="L1172">
        <f>SUBTOTAL(103,A1172)</f>
        <v>1</v>
      </c>
    </row>
    <row r="1173">
      <c r="A1173" t="inlineStr">
        <is>
          <t>SOCIETE C600</t>
        </is>
      </c>
      <c r="B1173" t="inlineStr">
        <is>
          <t>C600</t>
        </is>
      </c>
      <c r="C1173" t="inlineStr">
        <is>
          <t>CONSUMER BANKING</t>
        </is>
      </c>
      <c r="D1173" t="inlineStr">
        <is>
          <t>IV</t>
        </is>
      </c>
      <c r="E1173" t="inlineStr">
        <is>
          <t>Stage 3</t>
        </is>
      </c>
      <c r="F1173" t="inlineStr">
        <is>
          <t>N/A</t>
        </is>
      </c>
      <c r="G1173" s="26">
        <v>1400861</v>
      </c>
      <c r="H1173" s="26">
        <v>770474</v>
      </c>
      <c r="I1173" s="26">
        <v>139349</v>
      </c>
      <c r="J1173" s="26">
        <v>90</v>
      </c>
      <c r="K1173" t="inlineStr">
        <is>
          <t>Oui</t>
        </is>
      </c>
      <c r="L1173">
        <f>SUBTOTAL(103,A1173)</f>
        <v>1</v>
      </c>
    </row>
    <row r="1174">
      <c r="A1174" t="inlineStr">
        <is>
          <t>SOCIETE C1363</t>
        </is>
      </c>
      <c r="B1174" t="inlineStr">
        <is>
          <t>C1363</t>
        </is>
      </c>
      <c r="C1174" t="inlineStr">
        <is>
          <t>CORPORATE BANKING</t>
        </is>
      </c>
      <c r="D1174" t="inlineStr">
        <is>
          <t>V</t>
        </is>
      </c>
      <c r="E1174" t="inlineStr">
        <is>
          <t>Stage 3</t>
        </is>
      </c>
      <c r="F1174" t="inlineStr">
        <is>
          <t>N/A</t>
        </is>
      </c>
      <c r="G1174" s="26">
        <v>16277093</v>
      </c>
      <c r="H1174" s="26">
        <v>8952401</v>
      </c>
      <c r="I1174" s="26">
        <v>1883145</v>
      </c>
      <c r="J1174" s="26">
        <v>43</v>
      </c>
      <c r="K1174" t="inlineStr">
        <is>
          <t>Oui</t>
        </is>
      </c>
      <c r="L1174">
        <f>SUBTOTAL(103,A1174)</f>
        <v>1</v>
      </c>
    </row>
    <row r="1175">
      <c r="A1175" t="inlineStr">
        <is>
          <t>SOCIETE C1708</t>
        </is>
      </c>
      <c r="B1175" t="inlineStr">
        <is>
          <t>C1708</t>
        </is>
      </c>
      <c r="C1175" t="inlineStr">
        <is>
          <t>CORPORATE BANKING</t>
        </is>
      </c>
      <c r="D1175" t="inlineStr">
        <is>
          <t>IA</t>
        </is>
      </c>
      <c r="E1175" t="inlineStr">
        <is>
          <t>Stage 2</t>
        </is>
      </c>
      <c r="F1175" t="inlineStr">
        <is>
          <t>N/A</t>
        </is>
      </c>
      <c r="G1175" s="26">
        <v>1889405</v>
      </c>
      <c r="H1175" s="26">
        <v>113364</v>
      </c>
      <c r="I1175" s="26">
        <v>0</v>
      </c>
      <c r="J1175" s="26">
        <v>102</v>
      </c>
      <c r="K1175" t="inlineStr">
        <is>
          <t>Non</t>
        </is>
      </c>
      <c r="L1175">
        <f>SUBTOTAL(103,A1175)</f>
        <v>1</v>
      </c>
    </row>
    <row r="1176">
      <c r="A1176" t="inlineStr">
        <is>
          <t>SOCIETE C1722</t>
        </is>
      </c>
      <c r="B1176" t="inlineStr">
        <is>
          <t>C1722</t>
        </is>
      </c>
      <c r="C1176" t="inlineStr">
        <is>
          <t>CORPORATE BANKING</t>
        </is>
      </c>
      <c r="D1176" t="inlineStr">
        <is>
          <t>IA</t>
        </is>
      </c>
      <c r="E1176" t="inlineStr">
        <is>
          <t>Stage 2</t>
        </is>
      </c>
      <c r="F1176" t="inlineStr">
        <is>
          <t>N/A</t>
        </is>
      </c>
      <c r="G1176" s="26">
        <v>1180531034</v>
      </c>
      <c r="H1176" s="26">
        <v>70831862</v>
      </c>
      <c r="I1176" s="26">
        <v>0</v>
      </c>
      <c r="J1176" s="26">
        <v>174</v>
      </c>
      <c r="K1176" t="inlineStr">
        <is>
          <t>Non</t>
        </is>
      </c>
      <c r="L1176">
        <f>SUBTOTAL(103,A1176)</f>
        <v>1</v>
      </c>
    </row>
    <row r="1177">
      <c r="A1177" t="inlineStr">
        <is>
          <t>SOCIETE C2444</t>
        </is>
      </c>
      <c r="B1177" t="inlineStr">
        <is>
          <t>C2444</t>
        </is>
      </c>
      <c r="C1177" t="inlineStr">
        <is>
          <t>CONSUMER BANKING</t>
        </is>
      </c>
      <c r="D1177" t="inlineStr">
        <is>
          <t>IA</t>
        </is>
      </c>
      <c r="E1177" t="inlineStr">
        <is>
          <t>Stage 2</t>
        </is>
      </c>
      <c r="F1177" t="inlineStr">
        <is>
          <t>N/A</t>
        </is>
      </c>
      <c r="G1177" s="26">
        <v>182255294</v>
      </c>
      <c r="H1177" s="26">
        <v>10935318</v>
      </c>
      <c r="I1177" s="26">
        <v>0</v>
      </c>
      <c r="J1177" s="26">
        <v>22</v>
      </c>
      <c r="K1177" t="inlineStr">
        <is>
          <t>Non</t>
        </is>
      </c>
      <c r="L1177">
        <f>SUBTOTAL(103,A1177)</f>
        <v>1</v>
      </c>
    </row>
    <row r="1178">
      <c r="A1178" t="inlineStr">
        <is>
          <t>SOCIETE C1390</t>
        </is>
      </c>
      <c r="B1178" t="inlineStr">
        <is>
          <t>C1390</t>
        </is>
      </c>
      <c r="C1178" t="inlineStr">
        <is>
          <t>COMMERCIAL BANKING</t>
        </is>
      </c>
      <c r="D1178" t="inlineStr">
        <is>
          <t>I</t>
        </is>
      </c>
      <c r="E1178" t="inlineStr">
        <is>
          <t>Stage 1</t>
        </is>
      </c>
      <c r="F1178" t="inlineStr">
        <is>
          <t>N/A</t>
        </is>
      </c>
      <c r="G1178" s="26">
        <v>2989531655</v>
      </c>
      <c r="H1178" s="26">
        <v>29895317</v>
      </c>
      <c r="I1178" s="26">
        <v>0</v>
      </c>
      <c r="J1178" s="26">
        <v>40</v>
      </c>
      <c r="K1178" t="inlineStr">
        <is>
          <t>Non</t>
        </is>
      </c>
      <c r="L1178">
        <f>SUBTOTAL(103,A1178)</f>
        <v>1</v>
      </c>
    </row>
    <row r="1179">
      <c r="A1179" t="inlineStr">
        <is>
          <t>SOCIETE C428</t>
        </is>
      </c>
      <c r="B1179" t="inlineStr">
        <is>
          <t>C428</t>
        </is>
      </c>
      <c r="C1179" t="inlineStr">
        <is>
          <t>CORPORATE BANKING</t>
        </is>
      </c>
      <c r="D1179" t="inlineStr">
        <is>
          <t>I</t>
        </is>
      </c>
      <c r="E1179" t="inlineStr">
        <is>
          <t>Stage 1</t>
        </is>
      </c>
      <c r="F1179" t="inlineStr">
        <is>
          <t>N/A</t>
        </is>
      </c>
      <c r="G1179" s="26">
        <v>2796543728</v>
      </c>
      <c r="H1179" s="26">
        <v>27965437</v>
      </c>
      <c r="I1179" s="26">
        <v>90524186</v>
      </c>
      <c r="J1179" s="26">
        <v>77</v>
      </c>
      <c r="K1179" t="inlineStr">
        <is>
          <t>Non</t>
        </is>
      </c>
      <c r="L1179">
        <f>SUBTOTAL(103,A1179)</f>
        <v>1</v>
      </c>
    </row>
    <row r="1180">
      <c r="A1180" t="inlineStr">
        <is>
          <t>SOCIETE C925</t>
        </is>
      </c>
      <c r="B1180" t="inlineStr">
        <is>
          <t>C925</t>
        </is>
      </c>
      <c r="C1180" t="inlineStr">
        <is>
          <t>CORPORATE BANKING</t>
        </is>
      </c>
      <c r="D1180" t="inlineStr">
        <is>
          <t>I</t>
        </is>
      </c>
      <c r="E1180" t="inlineStr">
        <is>
          <t>Stage 1</t>
        </is>
      </c>
      <c r="F1180" t="inlineStr">
        <is>
          <t>N/A</t>
        </is>
      </c>
      <c r="G1180" s="26">
        <v>609015901</v>
      </c>
      <c r="H1180" s="26">
        <v>6090159</v>
      </c>
      <c r="I1180" s="26">
        <v>58503685</v>
      </c>
      <c r="J1180" s="26">
        <v>96</v>
      </c>
      <c r="K1180" t="inlineStr">
        <is>
          <t>Non</t>
        </is>
      </c>
      <c r="L1180">
        <f>SUBTOTAL(103,A1180)</f>
        <v>1</v>
      </c>
    </row>
    <row r="1181">
      <c r="A1181" t="inlineStr">
        <is>
          <t>SOCIETE C721</t>
        </is>
      </c>
      <c r="B1181" t="inlineStr">
        <is>
          <t>C721</t>
        </is>
      </c>
      <c r="C1181" t="inlineStr">
        <is>
          <t>CORPORATE BANKING</t>
        </is>
      </c>
      <c r="D1181" t="inlineStr">
        <is>
          <t>III</t>
        </is>
      </c>
      <c r="E1181" t="inlineStr">
        <is>
          <t>Stage 3</t>
        </is>
      </c>
      <c r="F1181" t="inlineStr">
        <is>
          <t>N/A</t>
        </is>
      </c>
      <c r="G1181" s="26">
        <v>2280352380</v>
      </c>
      <c r="H1181" s="26">
        <v>1254193809</v>
      </c>
      <c r="I1181" s="26">
        <v>18161940</v>
      </c>
      <c r="J1181" s="26">
        <v>36</v>
      </c>
      <c r="K1181" t="inlineStr">
        <is>
          <t>Oui</t>
        </is>
      </c>
      <c r="L1181">
        <f>SUBTOTAL(103,A1181)</f>
        <v>1</v>
      </c>
    </row>
    <row r="1182">
      <c r="A1182" t="inlineStr">
        <is>
          <t>SOCIETE C2460</t>
        </is>
      </c>
      <c r="B1182" t="inlineStr">
        <is>
          <t>C2460</t>
        </is>
      </c>
      <c r="C1182" t="inlineStr">
        <is>
          <t>COMMERCIAL BANKING</t>
        </is>
      </c>
      <c r="D1182" t="inlineStr">
        <is>
          <t>I</t>
        </is>
      </c>
      <c r="E1182" t="inlineStr">
        <is>
          <t>Stage 1</t>
        </is>
      </c>
      <c r="F1182" t="inlineStr">
        <is>
          <t>N/A</t>
        </is>
      </c>
      <c r="G1182" s="26">
        <v>20506872</v>
      </c>
      <c r="H1182" s="26">
        <v>205069</v>
      </c>
      <c r="I1182" s="26">
        <v>0</v>
      </c>
      <c r="J1182" s="26">
        <v>154</v>
      </c>
      <c r="K1182" t="inlineStr">
        <is>
          <t>Non</t>
        </is>
      </c>
      <c r="L1182">
        <f>SUBTOTAL(103,A1182)</f>
        <v>1</v>
      </c>
    </row>
    <row r="1183">
      <c r="A1183" t="inlineStr">
        <is>
          <t>SOCIETE C1039</t>
        </is>
      </c>
      <c r="B1183" t="inlineStr">
        <is>
          <t>C1039</t>
        </is>
      </c>
      <c r="C1183" t="inlineStr">
        <is>
          <t>CONSUMER BANKING</t>
        </is>
      </c>
      <c r="D1183" t="inlineStr">
        <is>
          <t>I</t>
        </is>
      </c>
      <c r="E1183" t="inlineStr">
        <is>
          <t>Stage 1</t>
        </is>
      </c>
      <c r="F1183" t="inlineStr">
        <is>
          <t>N/A</t>
        </is>
      </c>
      <c r="G1183" s="26">
        <v>1571462953</v>
      </c>
      <c r="H1183" s="26">
        <v>15714630</v>
      </c>
      <c r="I1183" s="26">
        <v>0</v>
      </c>
      <c r="J1183" s="26">
        <v>121</v>
      </c>
      <c r="K1183" t="inlineStr">
        <is>
          <t>Non</t>
        </is>
      </c>
      <c r="L1183">
        <f>SUBTOTAL(103,A1183)</f>
        <v>1</v>
      </c>
    </row>
    <row r="1184">
      <c r="A1184" t="inlineStr">
        <is>
          <t>SOCIETE C1422</t>
        </is>
      </c>
      <c r="B1184" t="inlineStr">
        <is>
          <t>C1422</t>
        </is>
      </c>
      <c r="C1184" t="inlineStr">
        <is>
          <t>CONSUMER BANKING</t>
        </is>
      </c>
      <c r="D1184" t="inlineStr">
        <is>
          <t>I</t>
        </is>
      </c>
      <c r="E1184" t="inlineStr">
        <is>
          <t>Stage 1</t>
        </is>
      </c>
      <c r="F1184" t="inlineStr">
        <is>
          <t>N/A</t>
        </is>
      </c>
      <c r="G1184" s="26">
        <v>2129227682</v>
      </c>
      <c r="H1184" s="26">
        <v>21292277</v>
      </c>
      <c r="I1184" s="26">
        <v>0</v>
      </c>
      <c r="J1184" s="26">
        <v>209</v>
      </c>
      <c r="K1184" t="inlineStr">
        <is>
          <t>Non</t>
        </is>
      </c>
      <c r="L1184">
        <f>SUBTOTAL(103,A1184)</f>
        <v>1</v>
      </c>
    </row>
    <row r="1185">
      <c r="A1185" t="inlineStr">
        <is>
          <t>SOCIETE C597</t>
        </is>
      </c>
      <c r="B1185" t="inlineStr">
        <is>
          <t>C597</t>
        </is>
      </c>
      <c r="C1185" t="inlineStr">
        <is>
          <t>COMMERCIAL BANKING</t>
        </is>
      </c>
      <c r="D1185" t="inlineStr">
        <is>
          <t>IV</t>
        </is>
      </c>
      <c r="E1185" t="inlineStr">
        <is>
          <t>Stage 3</t>
        </is>
      </c>
      <c r="F1185" t="inlineStr">
        <is>
          <t>N/A</t>
        </is>
      </c>
      <c r="G1185" s="26">
        <v>605119983</v>
      </c>
      <c r="H1185" s="26">
        <v>332815991</v>
      </c>
      <c r="I1185" s="26">
        <v>0</v>
      </c>
      <c r="J1185" s="26">
        <v>80</v>
      </c>
      <c r="K1185" t="inlineStr">
        <is>
          <t>Oui</t>
        </is>
      </c>
      <c r="L1185">
        <f>SUBTOTAL(103,A1185)</f>
        <v>1</v>
      </c>
    </row>
    <row r="1186">
      <c r="A1186" t="inlineStr">
        <is>
          <t>SOCIETE C2143</t>
        </is>
      </c>
      <c r="B1186" t="inlineStr">
        <is>
          <t>C2143</t>
        </is>
      </c>
      <c r="C1186" t="inlineStr">
        <is>
          <t>COMMERCIAL BANKING</t>
        </is>
      </c>
      <c r="D1186" t="inlineStr">
        <is>
          <t>II</t>
        </is>
      </c>
      <c r="E1186" t="inlineStr">
        <is>
          <t>Stage 2</t>
        </is>
      </c>
      <c r="F1186" t="inlineStr">
        <is>
          <t>N/A</t>
        </is>
      </c>
      <c r="G1186" s="26">
        <v>619699406</v>
      </c>
      <c r="H1186" s="26">
        <v>37181964</v>
      </c>
      <c r="I1186" s="26">
        <v>0</v>
      </c>
      <c r="J1186" s="26">
        <v>100</v>
      </c>
      <c r="K1186" t="inlineStr">
        <is>
          <t>Non</t>
        </is>
      </c>
      <c r="L1186">
        <f>SUBTOTAL(103,A1186)</f>
        <v>1</v>
      </c>
    </row>
    <row r="1187">
      <c r="A1187" t="inlineStr">
        <is>
          <t>SOCIETE C19</t>
        </is>
      </c>
      <c r="B1187" t="inlineStr">
        <is>
          <t>C19</t>
        </is>
      </c>
      <c r="C1187" t="inlineStr">
        <is>
          <t>CORPORATE BANKING</t>
        </is>
      </c>
      <c r="D1187" t="inlineStr">
        <is>
          <t>I</t>
        </is>
      </c>
      <c r="E1187" t="inlineStr">
        <is>
          <t>Stage 1</t>
        </is>
      </c>
      <c r="F1187" t="inlineStr">
        <is>
          <t>N/A</t>
        </is>
      </c>
      <c r="G1187" s="26">
        <v>62989876</v>
      </c>
      <c r="H1187" s="26">
        <v>629899</v>
      </c>
      <c r="I1187" s="26">
        <v>0</v>
      </c>
      <c r="J1187" s="26">
        <v>52</v>
      </c>
      <c r="K1187" t="inlineStr">
        <is>
          <t>Non</t>
        </is>
      </c>
      <c r="L1187">
        <f>SUBTOTAL(103,A1187)</f>
        <v>1</v>
      </c>
    </row>
    <row r="1188">
      <c r="A1188" t="inlineStr">
        <is>
          <t>SOCIETE C1182</t>
        </is>
      </c>
      <c r="B1188" t="inlineStr">
        <is>
          <t>C1182</t>
        </is>
      </c>
      <c r="C1188" t="inlineStr">
        <is>
          <t>CONSUMER BANKING</t>
        </is>
      </c>
      <c r="D1188" t="inlineStr">
        <is>
          <t>I</t>
        </is>
      </c>
      <c r="E1188" t="inlineStr">
        <is>
          <t>Stage 1</t>
        </is>
      </c>
      <c r="F1188" t="inlineStr">
        <is>
          <t>N/A</t>
        </is>
      </c>
      <c r="G1188" s="26">
        <v>5161868</v>
      </c>
      <c r="H1188" s="26">
        <v>51619</v>
      </c>
      <c r="I1188" s="26">
        <v>0</v>
      </c>
      <c r="J1188" s="26">
        <v>28</v>
      </c>
      <c r="K1188" t="inlineStr">
        <is>
          <t>Non</t>
        </is>
      </c>
      <c r="L1188">
        <f>SUBTOTAL(103,A1188)</f>
        <v>1</v>
      </c>
    </row>
    <row r="1189">
      <c r="A1189" t="inlineStr">
        <is>
          <t>SOCIETE C116</t>
        </is>
      </c>
      <c r="B1189" t="inlineStr">
        <is>
          <t>C116</t>
        </is>
      </c>
      <c r="C1189" t="inlineStr">
        <is>
          <t>CORPORATE BANKING</t>
        </is>
      </c>
      <c r="D1189" t="inlineStr">
        <is>
          <t>II</t>
        </is>
      </c>
      <c r="E1189" t="inlineStr">
        <is>
          <t>Stage 2</t>
        </is>
      </c>
      <c r="F1189" t="inlineStr">
        <is>
          <t>N/A</t>
        </is>
      </c>
      <c r="G1189" s="26">
        <v>133909098</v>
      </c>
      <c r="H1189" s="26">
        <v>8034546</v>
      </c>
      <c r="I1189" s="26">
        <v>0</v>
      </c>
      <c r="J1189" s="26">
        <v>55</v>
      </c>
      <c r="K1189" t="inlineStr">
        <is>
          <t>Non</t>
        </is>
      </c>
      <c r="L1189">
        <f>SUBTOTAL(103,A1189)</f>
        <v>1</v>
      </c>
    </row>
    <row r="1190">
      <c r="A1190" t="inlineStr">
        <is>
          <t>SOCIETE C2281</t>
        </is>
      </c>
      <c r="B1190" t="inlineStr">
        <is>
          <t>C2281</t>
        </is>
      </c>
      <c r="C1190" t="inlineStr">
        <is>
          <t>CORPORATE BANKING</t>
        </is>
      </c>
      <c r="D1190" t="inlineStr">
        <is>
          <t>I</t>
        </is>
      </c>
      <c r="E1190" t="inlineStr">
        <is>
          <t>Stage 1</t>
        </is>
      </c>
      <c r="F1190" t="inlineStr">
        <is>
          <t>N/A</t>
        </is>
      </c>
      <c r="G1190" s="26">
        <v>78898778</v>
      </c>
      <c r="H1190" s="26">
        <v>788988</v>
      </c>
      <c r="I1190" s="26">
        <v>11893027</v>
      </c>
      <c r="J1190" s="26">
        <v>0</v>
      </c>
      <c r="K1190" t="inlineStr">
        <is>
          <t>Non</t>
        </is>
      </c>
      <c r="L1190">
        <f>SUBTOTAL(103,A1190)</f>
        <v>1</v>
      </c>
    </row>
    <row r="1191">
      <c r="A1191" t="inlineStr">
        <is>
          <t>SOCIETE C425</t>
        </is>
      </c>
      <c r="B1191" t="inlineStr">
        <is>
          <t>C425</t>
        </is>
      </c>
      <c r="C1191" t="inlineStr">
        <is>
          <t>PUBLIC SECTOR</t>
        </is>
      </c>
      <c r="D1191" t="inlineStr">
        <is>
          <t>I</t>
        </is>
      </c>
      <c r="E1191" t="inlineStr">
        <is>
          <t>Stage 1</t>
        </is>
      </c>
      <c r="F1191" t="inlineStr">
        <is>
          <t>N/A</t>
        </is>
      </c>
      <c r="G1191" s="26">
        <v>35705847</v>
      </c>
      <c r="H1191" s="26">
        <v>357058</v>
      </c>
      <c r="I1191" s="26">
        <v>5064765</v>
      </c>
      <c r="J1191" s="26">
        <v>32</v>
      </c>
      <c r="K1191" t="inlineStr">
        <is>
          <t>Non</t>
        </is>
      </c>
      <c r="L1191">
        <f>SUBTOTAL(103,A1191)</f>
        <v>1</v>
      </c>
    </row>
    <row r="1192">
      <c r="A1192" t="inlineStr">
        <is>
          <t>SOCIETE C1844</t>
        </is>
      </c>
      <c r="B1192" t="inlineStr">
        <is>
          <t>C1844</t>
        </is>
      </c>
      <c r="C1192" t="inlineStr">
        <is>
          <t>CORPORATE BANKING</t>
        </is>
      </c>
      <c r="D1192" t="inlineStr">
        <is>
          <t>IV</t>
        </is>
      </c>
      <c r="E1192" t="inlineStr">
        <is>
          <t>Stage 3</t>
        </is>
      </c>
      <c r="F1192" t="inlineStr">
        <is>
          <t>N/A</t>
        </is>
      </c>
      <c r="G1192" s="26">
        <v>1393055608</v>
      </c>
      <c r="H1192" s="26">
        <v>766180584</v>
      </c>
      <c r="I1192" s="26">
        <v>184720055</v>
      </c>
      <c r="J1192" s="26">
        <v>18</v>
      </c>
      <c r="K1192" t="inlineStr">
        <is>
          <t>Oui</t>
        </is>
      </c>
      <c r="L1192">
        <f>SUBTOTAL(103,A1192)</f>
        <v>1</v>
      </c>
    </row>
    <row r="1193">
      <c r="A1193" t="inlineStr">
        <is>
          <t>SOCIETE C414</t>
        </is>
      </c>
      <c r="B1193" t="inlineStr">
        <is>
          <t>C414</t>
        </is>
      </c>
      <c r="C1193" t="inlineStr">
        <is>
          <t>CORPORATE BANKING</t>
        </is>
      </c>
      <c r="D1193" t="inlineStr">
        <is>
          <t>IA</t>
        </is>
      </c>
      <c r="E1193" t="inlineStr">
        <is>
          <t>Stage 2</t>
        </is>
      </c>
      <c r="F1193" t="inlineStr">
        <is>
          <t>N/A</t>
        </is>
      </c>
      <c r="G1193" s="26">
        <v>229001648</v>
      </c>
      <c r="H1193" s="26">
        <v>13740099</v>
      </c>
      <c r="I1193" s="26">
        <v>0</v>
      </c>
      <c r="J1193" s="26">
        <v>162</v>
      </c>
      <c r="K1193" t="inlineStr">
        <is>
          <t>Non</t>
        </is>
      </c>
      <c r="L1193">
        <f>SUBTOTAL(103,A1193)</f>
        <v>1</v>
      </c>
    </row>
    <row r="1194">
      <c r="A1194" t="inlineStr">
        <is>
          <t>SOCIETE C362</t>
        </is>
      </c>
      <c r="B1194" t="inlineStr">
        <is>
          <t>C362</t>
        </is>
      </c>
      <c r="C1194" t="inlineStr">
        <is>
          <t>COMMERCIAL BANKING</t>
        </is>
      </c>
      <c r="D1194" t="inlineStr">
        <is>
          <t>IA</t>
        </is>
      </c>
      <c r="E1194" t="inlineStr">
        <is>
          <t>Stage 2</t>
        </is>
      </c>
      <c r="F1194" t="inlineStr">
        <is>
          <t>N/A</t>
        </is>
      </c>
      <c r="G1194" s="26">
        <v>75122037</v>
      </c>
      <c r="H1194" s="26">
        <v>4507322</v>
      </c>
      <c r="I1194" s="26">
        <v>4113555</v>
      </c>
      <c r="J1194" s="26">
        <v>23</v>
      </c>
      <c r="K1194" t="inlineStr">
        <is>
          <t>Non</t>
        </is>
      </c>
      <c r="L1194">
        <f>SUBTOTAL(103,A1194)</f>
        <v>1</v>
      </c>
    </row>
    <row r="1195">
      <c r="A1195" t="inlineStr">
        <is>
          <t>SOCIETE C1585</t>
        </is>
      </c>
      <c r="B1195" t="inlineStr">
        <is>
          <t>C1585</t>
        </is>
      </c>
      <c r="C1195" t="inlineStr">
        <is>
          <t>COMMERCIAL BANKING</t>
        </is>
      </c>
      <c r="D1195" t="inlineStr">
        <is>
          <t>III</t>
        </is>
      </c>
      <c r="E1195" t="inlineStr">
        <is>
          <t>Stage 3</t>
        </is>
      </c>
      <c r="F1195" t="inlineStr">
        <is>
          <t>N/A</t>
        </is>
      </c>
      <c r="G1195" s="26">
        <v>312509699</v>
      </c>
      <c r="H1195" s="26">
        <v>171880334</v>
      </c>
      <c r="I1195" s="26">
        <v>0</v>
      </c>
      <c r="J1195" s="26">
        <v>53</v>
      </c>
      <c r="K1195" t="inlineStr">
        <is>
          <t>Oui</t>
        </is>
      </c>
      <c r="L1195">
        <f>SUBTOTAL(103,A1195)</f>
        <v>1</v>
      </c>
    </row>
    <row r="1196">
      <c r="A1196" t="inlineStr">
        <is>
          <t>SOCIETE C1547</t>
        </is>
      </c>
      <c r="B1196" t="inlineStr">
        <is>
          <t>C1547</t>
        </is>
      </c>
      <c r="C1196" t="inlineStr">
        <is>
          <t>CORPORATE BANKING</t>
        </is>
      </c>
      <c r="D1196" t="inlineStr">
        <is>
          <t>III</t>
        </is>
      </c>
      <c r="E1196" t="inlineStr">
        <is>
          <t>Stage 3</t>
        </is>
      </c>
      <c r="F1196" t="inlineStr">
        <is>
          <t>N/A</t>
        </is>
      </c>
      <c r="G1196" s="26">
        <v>357972202</v>
      </c>
      <c r="H1196" s="26">
        <v>196884711</v>
      </c>
      <c r="I1196" s="26">
        <v>28768666</v>
      </c>
      <c r="J1196" s="26">
        <v>12</v>
      </c>
      <c r="K1196" t="inlineStr">
        <is>
          <t>Oui</t>
        </is>
      </c>
      <c r="L1196">
        <f>SUBTOTAL(103,A1196)</f>
        <v>1</v>
      </c>
    </row>
    <row r="1197">
      <c r="A1197" t="inlineStr">
        <is>
          <t>SOCIETE C103</t>
        </is>
      </c>
      <c r="B1197" t="inlineStr">
        <is>
          <t>C103</t>
        </is>
      </c>
      <c r="C1197" t="inlineStr">
        <is>
          <t>CORPORATE BANKING</t>
        </is>
      </c>
      <c r="D1197" t="inlineStr">
        <is>
          <t>V</t>
        </is>
      </c>
      <c r="E1197" t="inlineStr">
        <is>
          <t>Stage 3</t>
        </is>
      </c>
      <c r="F1197" t="inlineStr">
        <is>
          <t>N/A</t>
        </is>
      </c>
      <c r="G1197" s="26">
        <v>136948715</v>
      </c>
      <c r="H1197" s="26">
        <v>75321793</v>
      </c>
      <c r="I1197" s="26">
        <v>24558351</v>
      </c>
      <c r="J1197" s="26">
        <v>163</v>
      </c>
      <c r="K1197" t="inlineStr">
        <is>
          <t>Oui</t>
        </is>
      </c>
      <c r="L1197">
        <f>SUBTOTAL(103,A1197)</f>
        <v>1</v>
      </c>
    </row>
    <row r="1198">
      <c r="A1198" t="inlineStr">
        <is>
          <t>SOCIETE C745</t>
        </is>
      </c>
      <c r="B1198" t="inlineStr">
        <is>
          <t>C745</t>
        </is>
      </c>
      <c r="C1198" t="inlineStr">
        <is>
          <t>SME</t>
        </is>
      </c>
      <c r="D1198" t="inlineStr">
        <is>
          <t>II</t>
        </is>
      </c>
      <c r="E1198" t="inlineStr">
        <is>
          <t>Stage 2</t>
        </is>
      </c>
      <c r="F1198" t="inlineStr">
        <is>
          <t>N/A</t>
        </is>
      </c>
      <c r="G1198" s="26">
        <v>48803051</v>
      </c>
      <c r="H1198" s="26">
        <v>2928183</v>
      </c>
      <c r="I1198" s="26">
        <v>0</v>
      </c>
      <c r="J1198" s="26">
        <v>31</v>
      </c>
      <c r="K1198" t="inlineStr">
        <is>
          <t>Non</t>
        </is>
      </c>
      <c r="L1198">
        <f>SUBTOTAL(103,A1198)</f>
        <v>1</v>
      </c>
    </row>
    <row r="1199">
      <c r="A1199" t="inlineStr">
        <is>
          <t>SOCIETE C1990</t>
        </is>
      </c>
      <c r="B1199" t="inlineStr">
        <is>
          <t>C1990</t>
        </is>
      </c>
      <c r="C1199" t="inlineStr">
        <is>
          <t>COMMERCIAL BANKING</t>
        </is>
      </c>
      <c r="D1199" t="inlineStr">
        <is>
          <t>I</t>
        </is>
      </c>
      <c r="E1199" t="inlineStr">
        <is>
          <t>Stage 1</t>
        </is>
      </c>
      <c r="F1199" t="inlineStr">
        <is>
          <t>N/A</t>
        </is>
      </c>
      <c r="G1199" s="26">
        <v>871954004</v>
      </c>
      <c r="H1199" s="26">
        <v>8719540</v>
      </c>
      <c r="I1199" s="26">
        <v>0</v>
      </c>
      <c r="J1199" s="26">
        <v>127</v>
      </c>
      <c r="K1199" t="inlineStr">
        <is>
          <t>Non</t>
        </is>
      </c>
      <c r="L1199">
        <f>SUBTOTAL(103,A1199)</f>
        <v>1</v>
      </c>
    </row>
    <row r="1200">
      <c r="A1200" t="inlineStr">
        <is>
          <t>SOCIETE C1278</t>
        </is>
      </c>
      <c r="B1200" t="inlineStr">
        <is>
          <t>C1278</t>
        </is>
      </c>
      <c r="C1200" t="inlineStr">
        <is>
          <t>COMMERCIAL BANKING</t>
        </is>
      </c>
      <c r="D1200" t="inlineStr">
        <is>
          <t>IA</t>
        </is>
      </c>
      <c r="E1200" t="inlineStr">
        <is>
          <t>Stage 2</t>
        </is>
      </c>
      <c r="F1200" t="inlineStr">
        <is>
          <t>N/A</t>
        </is>
      </c>
      <c r="G1200" s="26">
        <v>187460318</v>
      </c>
      <c r="H1200" s="26">
        <v>11247619</v>
      </c>
      <c r="I1200" s="26">
        <v>0</v>
      </c>
      <c r="J1200" s="26">
        <v>81</v>
      </c>
      <c r="K1200" t="inlineStr">
        <is>
          <t>Non</t>
        </is>
      </c>
      <c r="L1200">
        <f>SUBTOTAL(103,A1200)</f>
        <v>1</v>
      </c>
    </row>
    <row r="1201">
      <c r="A1201" t="inlineStr">
        <is>
          <t>SOCIETE C2015</t>
        </is>
      </c>
      <c r="B1201" t="inlineStr">
        <is>
          <t>C2015</t>
        </is>
      </c>
      <c r="C1201" t="inlineStr">
        <is>
          <t>PUBLIC SECTOR</t>
        </is>
      </c>
      <c r="D1201" t="inlineStr">
        <is>
          <t>IA</t>
        </is>
      </c>
      <c r="E1201" t="inlineStr">
        <is>
          <t>Stage 2</t>
        </is>
      </c>
      <c r="F1201" t="inlineStr">
        <is>
          <t>N/A</t>
        </is>
      </c>
      <c r="G1201" s="26">
        <v>1002628</v>
      </c>
      <c r="H1201" s="26">
        <v>60158</v>
      </c>
      <c r="I1201" s="26">
        <v>0</v>
      </c>
      <c r="J1201" s="26">
        <v>66</v>
      </c>
      <c r="K1201" t="inlineStr">
        <is>
          <t>Non</t>
        </is>
      </c>
      <c r="L1201">
        <f>SUBTOTAL(103,A1201)</f>
        <v>1</v>
      </c>
    </row>
    <row r="1202">
      <c r="A1202" t="inlineStr">
        <is>
          <t>SOCIETE C2196</t>
        </is>
      </c>
      <c r="B1202" t="inlineStr">
        <is>
          <t>C2196</t>
        </is>
      </c>
      <c r="C1202" t="inlineStr">
        <is>
          <t>COMMERCIAL BANKING</t>
        </is>
      </c>
      <c r="D1202" t="inlineStr">
        <is>
          <t>I</t>
        </is>
      </c>
      <c r="E1202" t="inlineStr">
        <is>
          <t>Stage 1</t>
        </is>
      </c>
      <c r="F1202" t="inlineStr">
        <is>
          <t>N/A</t>
        </is>
      </c>
      <c r="G1202" s="26">
        <v>2571635</v>
      </c>
      <c r="H1202" s="26">
        <v>25716</v>
      </c>
      <c r="I1202" s="26">
        <v>0</v>
      </c>
      <c r="J1202" s="26">
        <v>36</v>
      </c>
      <c r="K1202" t="inlineStr">
        <is>
          <t>Non</t>
        </is>
      </c>
      <c r="L1202">
        <f>SUBTOTAL(103,A1202)</f>
        <v>1</v>
      </c>
    </row>
    <row r="1203">
      <c r="A1203" t="inlineStr">
        <is>
          <t>SOCIETE C494</t>
        </is>
      </c>
      <c r="B1203" t="inlineStr">
        <is>
          <t>C494</t>
        </is>
      </c>
      <c r="C1203" t="inlineStr">
        <is>
          <t>CORPORATE BANKING</t>
        </is>
      </c>
      <c r="D1203" t="inlineStr">
        <is>
          <t>V</t>
        </is>
      </c>
      <c r="E1203" t="inlineStr">
        <is>
          <t>Stage 3</t>
        </is>
      </c>
      <c r="F1203" t="inlineStr">
        <is>
          <t>N/A</t>
        </is>
      </c>
      <c r="G1203" s="26">
        <v>260943308</v>
      </c>
      <c r="H1203" s="26">
        <v>143518820</v>
      </c>
      <c r="I1203" s="26">
        <v>0</v>
      </c>
      <c r="J1203" s="26">
        <v>187</v>
      </c>
      <c r="K1203" t="inlineStr">
        <is>
          <t>Oui</t>
        </is>
      </c>
      <c r="L1203">
        <f>SUBTOTAL(103,A1203)</f>
        <v>1</v>
      </c>
    </row>
    <row r="1204">
      <c r="A1204" t="inlineStr">
        <is>
          <t>SOCIETE C431</t>
        </is>
      </c>
      <c r="B1204" t="inlineStr">
        <is>
          <t>C431</t>
        </is>
      </c>
      <c r="C1204" t="inlineStr">
        <is>
          <t>CORPORATE BANKING</t>
        </is>
      </c>
      <c r="D1204" t="inlineStr">
        <is>
          <t>IV</t>
        </is>
      </c>
      <c r="E1204" t="inlineStr">
        <is>
          <t>Stage 3</t>
        </is>
      </c>
      <c r="F1204" t="inlineStr">
        <is>
          <t>N/A</t>
        </is>
      </c>
      <c r="G1204" s="26">
        <v>37801034</v>
      </c>
      <c r="H1204" s="26">
        <v>20790568</v>
      </c>
      <c r="I1204" s="26">
        <v>0</v>
      </c>
      <c r="J1204" s="26">
        <v>264</v>
      </c>
      <c r="K1204" t="inlineStr">
        <is>
          <t>Oui</t>
        </is>
      </c>
      <c r="L1204">
        <f>SUBTOTAL(103,A1204)</f>
        <v>1</v>
      </c>
    </row>
    <row r="1205">
      <c r="A1205" t="inlineStr">
        <is>
          <t>SOCIETE C1464</t>
        </is>
      </c>
      <c r="B1205" t="inlineStr">
        <is>
          <t>C1464</t>
        </is>
      </c>
      <c r="C1205" t="inlineStr">
        <is>
          <t>PUBLIC SECTOR</t>
        </is>
      </c>
      <c r="D1205" t="inlineStr">
        <is>
          <t>I</t>
        </is>
      </c>
      <c r="E1205" t="inlineStr">
        <is>
          <t>Stage 1</t>
        </is>
      </c>
      <c r="F1205" t="inlineStr">
        <is>
          <t>N/A</t>
        </is>
      </c>
      <c r="G1205" s="26">
        <v>697262889</v>
      </c>
      <c r="H1205" s="26">
        <v>6972629</v>
      </c>
      <c r="I1205" s="26">
        <v>103179253</v>
      </c>
      <c r="J1205" s="26">
        <v>64</v>
      </c>
      <c r="K1205" t="inlineStr">
        <is>
          <t>Non</t>
        </is>
      </c>
      <c r="L1205">
        <f>SUBTOTAL(103,A1205)</f>
        <v>1</v>
      </c>
    </row>
    <row r="1206">
      <c r="A1206" t="inlineStr">
        <is>
          <t>SOCIETE C974</t>
        </is>
      </c>
      <c r="B1206" t="inlineStr">
        <is>
          <t>C974</t>
        </is>
      </c>
      <c r="C1206" t="inlineStr">
        <is>
          <t>CORPORATE BANKING</t>
        </is>
      </c>
      <c r="D1206" t="inlineStr">
        <is>
          <t>I</t>
        </is>
      </c>
      <c r="E1206" t="inlineStr">
        <is>
          <t>Stage 1</t>
        </is>
      </c>
      <c r="F1206" t="inlineStr">
        <is>
          <t>N/A</t>
        </is>
      </c>
      <c r="G1206" s="26">
        <v>1036736</v>
      </c>
      <c r="H1206" s="26">
        <v>10367</v>
      </c>
      <c r="I1206" s="26">
        <v>89121</v>
      </c>
      <c r="J1206" s="26">
        <v>55</v>
      </c>
      <c r="K1206" t="inlineStr">
        <is>
          <t>Non</t>
        </is>
      </c>
      <c r="L1206">
        <f>SUBTOTAL(103,A1206)</f>
        <v>1</v>
      </c>
    </row>
    <row r="1207">
      <c r="A1207" t="inlineStr">
        <is>
          <t>SOCIETE C1367</t>
        </is>
      </c>
      <c r="B1207" t="inlineStr">
        <is>
          <t>C1367</t>
        </is>
      </c>
      <c r="C1207" t="inlineStr">
        <is>
          <t>CORPORATE BANKING</t>
        </is>
      </c>
      <c r="D1207" t="inlineStr">
        <is>
          <t>IV</t>
        </is>
      </c>
      <c r="E1207" t="inlineStr">
        <is>
          <t>Stage 3</t>
        </is>
      </c>
      <c r="F1207" t="inlineStr">
        <is>
          <t>N/A</t>
        </is>
      </c>
      <c r="G1207" s="26">
        <v>751382662</v>
      </c>
      <c r="H1207" s="26">
        <v>413260464</v>
      </c>
      <c r="I1207" s="26">
        <v>0</v>
      </c>
      <c r="J1207" s="26">
        <v>239</v>
      </c>
      <c r="K1207" t="inlineStr">
        <is>
          <t>Oui</t>
        </is>
      </c>
      <c r="L1207">
        <f>SUBTOTAL(103,A1207)</f>
        <v>1</v>
      </c>
    </row>
    <row r="1208">
      <c r="A1208" t="inlineStr">
        <is>
          <t>SOCIETE C1413</t>
        </is>
      </c>
      <c r="B1208" t="inlineStr">
        <is>
          <t>C1413</t>
        </is>
      </c>
      <c r="C1208" t="inlineStr">
        <is>
          <t>PUBLIC SECTOR</t>
        </is>
      </c>
      <c r="D1208" t="inlineStr">
        <is>
          <t>I</t>
        </is>
      </c>
      <c r="E1208" t="inlineStr">
        <is>
          <t>Stage 1</t>
        </is>
      </c>
      <c r="F1208" t="inlineStr">
        <is>
          <t>N/A</t>
        </is>
      </c>
      <c r="G1208" s="26">
        <v>7488866</v>
      </c>
      <c r="H1208" s="26">
        <v>74889</v>
      </c>
      <c r="I1208" s="26">
        <v>0</v>
      </c>
      <c r="J1208" s="26">
        <v>46</v>
      </c>
      <c r="K1208" t="inlineStr">
        <is>
          <t>Non</t>
        </is>
      </c>
      <c r="L1208">
        <f>SUBTOTAL(103,A1208)</f>
        <v>1</v>
      </c>
    </row>
    <row r="1209">
      <c r="A1209" t="inlineStr">
        <is>
          <t>SOCIETE C895</t>
        </is>
      </c>
      <c r="B1209" t="inlineStr">
        <is>
          <t>C895</t>
        </is>
      </c>
      <c r="C1209" t="inlineStr">
        <is>
          <t>COMMERCIAL BANKING</t>
        </is>
      </c>
      <c r="D1209" t="inlineStr">
        <is>
          <t>V</t>
        </is>
      </c>
      <c r="E1209" t="inlineStr">
        <is>
          <t>Stage 3</t>
        </is>
      </c>
      <c r="F1209" t="inlineStr">
        <is>
          <t>N/A</t>
        </is>
      </c>
      <c r="G1209" s="26">
        <v>51148198</v>
      </c>
      <c r="H1209" s="26">
        <v>28131509</v>
      </c>
      <c r="I1209" s="26">
        <v>1816247</v>
      </c>
      <c r="J1209" s="26">
        <v>14</v>
      </c>
      <c r="K1209" t="inlineStr">
        <is>
          <t>Oui</t>
        </is>
      </c>
      <c r="L1209">
        <f>SUBTOTAL(103,A1209)</f>
        <v>1</v>
      </c>
    </row>
    <row r="1210">
      <c r="A1210" t="inlineStr">
        <is>
          <t>SOCIETE C2485</t>
        </is>
      </c>
      <c r="B1210" t="inlineStr">
        <is>
          <t>C2485</t>
        </is>
      </c>
      <c r="C1210" t="inlineStr">
        <is>
          <t>COMMERCIAL BANKING</t>
        </is>
      </c>
      <c r="D1210" t="inlineStr">
        <is>
          <t>IA</t>
        </is>
      </c>
      <c r="E1210" t="inlineStr">
        <is>
          <t>Stage 2</t>
        </is>
      </c>
      <c r="F1210" t="inlineStr">
        <is>
          <t>N/A</t>
        </is>
      </c>
      <c r="G1210" s="26">
        <v>51345764</v>
      </c>
      <c r="H1210" s="26">
        <v>3080746</v>
      </c>
      <c r="I1210" s="26">
        <v>0</v>
      </c>
      <c r="J1210" s="26">
        <v>1</v>
      </c>
      <c r="K1210" t="inlineStr">
        <is>
          <t>Non</t>
        </is>
      </c>
      <c r="L1210">
        <f>SUBTOTAL(103,A1210)</f>
        <v>1</v>
      </c>
    </row>
    <row r="1211">
      <c r="A1211" t="inlineStr">
        <is>
          <t>SOCIETE C1450</t>
        </is>
      </c>
      <c r="B1211" t="inlineStr">
        <is>
          <t>C1450</t>
        </is>
      </c>
      <c r="C1211" t="inlineStr">
        <is>
          <t>SME</t>
        </is>
      </c>
      <c r="D1211" t="inlineStr">
        <is>
          <t>V</t>
        </is>
      </c>
      <c r="E1211" t="inlineStr">
        <is>
          <t>Stage 3</t>
        </is>
      </c>
      <c r="F1211" t="inlineStr">
        <is>
          <t>N/A</t>
        </is>
      </c>
      <c r="G1211" s="26">
        <v>2015055184</v>
      </c>
      <c r="H1211" s="26">
        <v>1108280351</v>
      </c>
      <c r="I1211" s="26">
        <v>228479838</v>
      </c>
      <c r="J1211" s="26">
        <v>14</v>
      </c>
      <c r="K1211" t="inlineStr">
        <is>
          <t>Oui</t>
        </is>
      </c>
      <c r="L1211">
        <f>SUBTOTAL(103,A1211)</f>
        <v>1</v>
      </c>
    </row>
    <row r="1212">
      <c r="A1212" t="inlineStr">
        <is>
          <t>SOCIETE C591</t>
        </is>
      </c>
      <c r="B1212" t="inlineStr">
        <is>
          <t>C591</t>
        </is>
      </c>
      <c r="C1212" t="inlineStr">
        <is>
          <t>PUBLIC SECTOR</t>
        </is>
      </c>
      <c r="D1212" t="inlineStr">
        <is>
          <t>I</t>
        </is>
      </c>
      <c r="E1212" t="inlineStr">
        <is>
          <t>Stage 1</t>
        </is>
      </c>
      <c r="F1212" t="inlineStr">
        <is>
          <t>N/A</t>
        </is>
      </c>
      <c r="G1212" s="26">
        <v>104776082</v>
      </c>
      <c r="H1212" s="26">
        <v>1047761</v>
      </c>
      <c r="I1212" s="26">
        <v>0</v>
      </c>
      <c r="J1212" s="26">
        <v>70</v>
      </c>
      <c r="K1212" t="inlineStr">
        <is>
          <t>Non</t>
        </is>
      </c>
      <c r="L1212">
        <f>SUBTOTAL(103,A1212)</f>
        <v>1</v>
      </c>
    </row>
    <row r="1213">
      <c r="A1213" t="inlineStr">
        <is>
          <t>SOCIETE C2279</t>
        </is>
      </c>
      <c r="B1213" t="inlineStr">
        <is>
          <t>C2279</t>
        </is>
      </c>
      <c r="C1213" t="inlineStr">
        <is>
          <t>CORPORATE BANKING</t>
        </is>
      </c>
      <c r="D1213" t="inlineStr">
        <is>
          <t>II</t>
        </is>
      </c>
      <c r="E1213" t="inlineStr">
        <is>
          <t>Stage 2</t>
        </is>
      </c>
      <c r="F1213" t="inlineStr">
        <is>
          <t>N/A</t>
        </is>
      </c>
      <c r="G1213" s="26">
        <v>20899888</v>
      </c>
      <c r="H1213" s="26">
        <v>1253993</v>
      </c>
      <c r="I1213" s="26">
        <v>847226</v>
      </c>
      <c r="J1213" s="26">
        <v>20</v>
      </c>
      <c r="K1213" t="inlineStr">
        <is>
          <t>Non</t>
        </is>
      </c>
      <c r="L1213">
        <f>SUBTOTAL(103,A1213)</f>
        <v>1</v>
      </c>
    </row>
    <row r="1214">
      <c r="A1214" t="inlineStr">
        <is>
          <t>SOCIETE C2197</t>
        </is>
      </c>
      <c r="B1214" t="inlineStr">
        <is>
          <t>C2197</t>
        </is>
      </c>
      <c r="C1214" t="inlineStr">
        <is>
          <t>CORPORATE BANKING</t>
        </is>
      </c>
      <c r="D1214" t="inlineStr">
        <is>
          <t>II</t>
        </is>
      </c>
      <c r="E1214" t="inlineStr">
        <is>
          <t>Stage 2</t>
        </is>
      </c>
      <c r="F1214" t="inlineStr">
        <is>
          <t>N/A</t>
        </is>
      </c>
      <c r="G1214" s="26">
        <v>558998915</v>
      </c>
      <c r="H1214" s="26">
        <v>33539935</v>
      </c>
      <c r="I1214" s="26">
        <v>0</v>
      </c>
      <c r="J1214" s="26">
        <v>25</v>
      </c>
      <c r="K1214" t="inlineStr">
        <is>
          <t>Non</t>
        </is>
      </c>
      <c r="L1214">
        <f>SUBTOTAL(103,A1214)</f>
        <v>1</v>
      </c>
    </row>
    <row r="1215">
      <c r="A1215" t="inlineStr">
        <is>
          <t>SOCIETE C979</t>
        </is>
      </c>
      <c r="B1215" t="inlineStr">
        <is>
          <t>C979</t>
        </is>
      </c>
      <c r="C1215" t="inlineStr">
        <is>
          <t>COMMERCIAL BANKING</t>
        </is>
      </c>
      <c r="D1215" t="inlineStr">
        <is>
          <t>V</t>
        </is>
      </c>
      <c r="E1215" t="inlineStr">
        <is>
          <t>Stage 3</t>
        </is>
      </c>
      <c r="F1215" t="inlineStr">
        <is>
          <t>N/A</t>
        </is>
      </c>
      <c r="G1215" s="26">
        <v>835518260</v>
      </c>
      <c r="H1215" s="26">
        <v>459535043</v>
      </c>
      <c r="I1215" s="26">
        <v>51568989</v>
      </c>
      <c r="J1215" s="26">
        <v>95</v>
      </c>
      <c r="K1215" t="inlineStr">
        <is>
          <t>Oui</t>
        </is>
      </c>
      <c r="L1215">
        <f>SUBTOTAL(103,A1215)</f>
        <v>1</v>
      </c>
    </row>
    <row r="1216">
      <c r="A1216" t="inlineStr">
        <is>
          <t>SOCIETE C2448</t>
        </is>
      </c>
      <c r="B1216" t="inlineStr">
        <is>
          <t>C2448</t>
        </is>
      </c>
      <c r="C1216" t="inlineStr">
        <is>
          <t>CORPORATE BANKING</t>
        </is>
      </c>
      <c r="D1216" t="inlineStr">
        <is>
          <t>III</t>
        </is>
      </c>
      <c r="E1216" t="inlineStr">
        <is>
          <t>Stage 3</t>
        </is>
      </c>
      <c r="F1216" t="inlineStr">
        <is>
          <t>N/A</t>
        </is>
      </c>
      <c r="G1216" s="26">
        <v>1050889430</v>
      </c>
      <c r="H1216" s="26">
        <v>577989187</v>
      </c>
      <c r="I1216" s="26">
        <v>0</v>
      </c>
      <c r="J1216" s="26">
        <v>6</v>
      </c>
      <c r="K1216" t="inlineStr">
        <is>
          <t>Oui</t>
        </is>
      </c>
      <c r="L1216">
        <f>SUBTOTAL(103,A1216)</f>
        <v>1</v>
      </c>
    </row>
    <row r="1217">
      <c r="A1217" t="inlineStr">
        <is>
          <t>SOCIETE C612</t>
        </is>
      </c>
      <c r="B1217" t="inlineStr">
        <is>
          <t>C612</t>
        </is>
      </c>
      <c r="C1217" t="inlineStr">
        <is>
          <t>COMMERCIAL BANKING</t>
        </is>
      </c>
      <c r="D1217" t="inlineStr">
        <is>
          <t>I</t>
        </is>
      </c>
      <c r="E1217" t="inlineStr">
        <is>
          <t>Stage 1</t>
        </is>
      </c>
      <c r="F1217" t="inlineStr">
        <is>
          <t>N/A</t>
        </is>
      </c>
      <c r="G1217" s="26">
        <v>160685172</v>
      </c>
      <c r="H1217" s="26">
        <v>1606852</v>
      </c>
      <c r="I1217" s="26">
        <v>0</v>
      </c>
      <c r="J1217" s="26">
        <v>122</v>
      </c>
      <c r="K1217" t="inlineStr">
        <is>
          <t>Non</t>
        </is>
      </c>
      <c r="L1217">
        <f>SUBTOTAL(103,A1217)</f>
        <v>1</v>
      </c>
    </row>
    <row r="1218">
      <c r="A1218" t="inlineStr">
        <is>
          <t>SOCIETE C1064</t>
        </is>
      </c>
      <c r="B1218" t="inlineStr">
        <is>
          <t>C1064</t>
        </is>
      </c>
      <c r="C1218" t="inlineStr">
        <is>
          <t>CORPORATE BANKING</t>
        </is>
      </c>
      <c r="D1218" t="inlineStr">
        <is>
          <t>III</t>
        </is>
      </c>
      <c r="E1218" t="inlineStr">
        <is>
          <t>Stage 3</t>
        </is>
      </c>
      <c r="F1218" t="inlineStr">
        <is>
          <t>N/A</t>
        </is>
      </c>
      <c r="G1218" s="26">
        <v>133532595</v>
      </c>
      <c r="H1218" s="26">
        <v>73442927</v>
      </c>
      <c r="I1218" s="26">
        <v>9590123</v>
      </c>
      <c r="J1218" s="26">
        <v>70</v>
      </c>
      <c r="K1218" t="inlineStr">
        <is>
          <t>Oui</t>
        </is>
      </c>
      <c r="L1218">
        <f>SUBTOTAL(103,A1218)</f>
        <v>1</v>
      </c>
    </row>
    <row r="1219">
      <c r="A1219" t="inlineStr">
        <is>
          <t>SOCIETE C2229</t>
        </is>
      </c>
      <c r="B1219" t="inlineStr">
        <is>
          <t>C2229</t>
        </is>
      </c>
      <c r="C1219" t="inlineStr">
        <is>
          <t>COMMERCIAL BANKING</t>
        </is>
      </c>
      <c r="D1219" t="inlineStr">
        <is>
          <t>IA</t>
        </is>
      </c>
      <c r="E1219" t="inlineStr">
        <is>
          <t>Stage 2</t>
        </is>
      </c>
      <c r="F1219" t="inlineStr">
        <is>
          <t>N/A</t>
        </is>
      </c>
      <c r="G1219" s="26">
        <v>36221170</v>
      </c>
      <c r="H1219" s="26">
        <v>2173270</v>
      </c>
      <c r="I1219" s="26">
        <v>0</v>
      </c>
      <c r="J1219" s="26">
        <v>131</v>
      </c>
      <c r="K1219" t="inlineStr">
        <is>
          <t>Non</t>
        </is>
      </c>
      <c r="L1219">
        <f>SUBTOTAL(103,A1219)</f>
        <v>1</v>
      </c>
    </row>
    <row r="1220">
      <c r="A1220" t="inlineStr">
        <is>
          <t>SOCIETE C206</t>
        </is>
      </c>
      <c r="B1220" t="inlineStr">
        <is>
          <t>C206</t>
        </is>
      </c>
      <c r="C1220" t="inlineStr">
        <is>
          <t>CORPORATE BANKING</t>
        </is>
      </c>
      <c r="D1220" t="inlineStr">
        <is>
          <t>I</t>
        </is>
      </c>
      <c r="E1220" t="inlineStr">
        <is>
          <t>Stage 1</t>
        </is>
      </c>
      <c r="F1220" t="inlineStr">
        <is>
          <t>N/A</t>
        </is>
      </c>
      <c r="G1220" s="26">
        <v>332002136</v>
      </c>
      <c r="H1220" s="26">
        <v>3320021</v>
      </c>
      <c r="I1220" s="26">
        <v>18488821</v>
      </c>
      <c r="J1220" s="26">
        <v>143</v>
      </c>
      <c r="K1220" t="inlineStr">
        <is>
          <t>Non</t>
        </is>
      </c>
      <c r="L1220">
        <f>SUBTOTAL(103,A1220)</f>
        <v>1</v>
      </c>
    </row>
    <row r="1221">
      <c r="A1221" t="inlineStr">
        <is>
          <t>SOCIETE C194</t>
        </is>
      </c>
      <c r="B1221" t="inlineStr">
        <is>
          <t>C194</t>
        </is>
      </c>
      <c r="C1221" t="inlineStr">
        <is>
          <t>COMMERCIAL BANKING</t>
        </is>
      </c>
      <c r="D1221" t="inlineStr">
        <is>
          <t>I</t>
        </is>
      </c>
      <c r="E1221" t="inlineStr">
        <is>
          <t>Stage 1</t>
        </is>
      </c>
      <c r="F1221" t="inlineStr">
        <is>
          <t>N/A</t>
        </is>
      </c>
      <c r="G1221" s="26">
        <v>387437001</v>
      </c>
      <c r="H1221" s="26">
        <v>3874370</v>
      </c>
      <c r="I1221" s="26">
        <v>0</v>
      </c>
      <c r="J1221" s="26">
        <v>18</v>
      </c>
      <c r="K1221" t="inlineStr">
        <is>
          <t>Non</t>
        </is>
      </c>
      <c r="L1221">
        <f>SUBTOTAL(103,A1221)</f>
        <v>1</v>
      </c>
    </row>
    <row r="1222">
      <c r="A1222" t="inlineStr">
        <is>
          <t>SOCIETE C1251</t>
        </is>
      </c>
      <c r="B1222" t="inlineStr">
        <is>
          <t>C1251</t>
        </is>
      </c>
      <c r="C1222" t="inlineStr">
        <is>
          <t>CORPORATE BANKING</t>
        </is>
      </c>
      <c r="D1222" t="inlineStr">
        <is>
          <t>I</t>
        </is>
      </c>
      <c r="E1222" t="inlineStr">
        <is>
          <t>Stage 1</t>
        </is>
      </c>
      <c r="F1222" t="inlineStr">
        <is>
          <t>N/A</t>
        </is>
      </c>
      <c r="G1222" s="26">
        <v>1766529697</v>
      </c>
      <c r="H1222" s="26">
        <v>17665297</v>
      </c>
      <c r="I1222" s="26">
        <v>0</v>
      </c>
      <c r="J1222" s="26">
        <v>40</v>
      </c>
      <c r="K1222" t="inlineStr">
        <is>
          <t>Non</t>
        </is>
      </c>
      <c r="L1222">
        <f>SUBTOTAL(103,A1222)</f>
        <v>1</v>
      </c>
    </row>
    <row r="1223">
      <c r="A1223" t="inlineStr">
        <is>
          <t>SOCIETE C1306</t>
        </is>
      </c>
      <c r="B1223" t="inlineStr">
        <is>
          <t>C1306</t>
        </is>
      </c>
      <c r="C1223" t="inlineStr">
        <is>
          <t>CORPORATE BANKING</t>
        </is>
      </c>
      <c r="D1223" t="inlineStr">
        <is>
          <t>I</t>
        </is>
      </c>
      <c r="E1223" t="inlineStr">
        <is>
          <t>Stage 1</t>
        </is>
      </c>
      <c r="F1223" t="inlineStr">
        <is>
          <t>N/A</t>
        </is>
      </c>
      <c r="G1223" s="26">
        <v>1934428831</v>
      </c>
      <c r="H1223" s="26">
        <v>19344288</v>
      </c>
      <c r="I1223" s="26">
        <v>0</v>
      </c>
      <c r="J1223" s="26">
        <v>66</v>
      </c>
      <c r="K1223" t="inlineStr">
        <is>
          <t>Non</t>
        </is>
      </c>
      <c r="L1223">
        <f>SUBTOTAL(103,A1223)</f>
        <v>1</v>
      </c>
    </row>
    <row r="1224">
      <c r="A1224" t="inlineStr">
        <is>
          <t>SOCIETE C1745</t>
        </is>
      </c>
      <c r="B1224" t="inlineStr">
        <is>
          <t>C1745</t>
        </is>
      </c>
      <c r="C1224" t="inlineStr">
        <is>
          <t>PUBLIC SECTOR</t>
        </is>
      </c>
      <c r="D1224" t="inlineStr">
        <is>
          <t>III</t>
        </is>
      </c>
      <c r="E1224" t="inlineStr">
        <is>
          <t>Stage 3</t>
        </is>
      </c>
      <c r="F1224" t="inlineStr">
        <is>
          <t>N/A</t>
        </is>
      </c>
      <c r="G1224" s="26">
        <v>84021372</v>
      </c>
      <c r="H1224" s="26">
        <v>46211755</v>
      </c>
      <c r="I1224" s="26">
        <v>0</v>
      </c>
      <c r="J1224" s="26">
        <v>276</v>
      </c>
      <c r="K1224" t="inlineStr">
        <is>
          <t>Oui</t>
        </is>
      </c>
      <c r="L1224">
        <f>SUBTOTAL(103,A1224)</f>
        <v>1</v>
      </c>
    </row>
    <row r="1225">
      <c r="A1225" t="inlineStr">
        <is>
          <t>SOCIETE C1861</t>
        </is>
      </c>
      <c r="B1225" t="inlineStr">
        <is>
          <t>C1861</t>
        </is>
      </c>
      <c r="C1225" t="inlineStr">
        <is>
          <t>COMMERCIAL BANKING</t>
        </is>
      </c>
      <c r="D1225" t="inlineStr">
        <is>
          <t>V</t>
        </is>
      </c>
      <c r="E1225" t="inlineStr">
        <is>
          <t>Stage 3</t>
        </is>
      </c>
      <c r="F1225" t="inlineStr">
        <is>
          <t>N/A</t>
        </is>
      </c>
      <c r="G1225" s="26">
        <v>1349548370</v>
      </c>
      <c r="H1225" s="26">
        <v>742251603</v>
      </c>
      <c r="I1225" s="26">
        <v>0</v>
      </c>
      <c r="J1225" s="26">
        <v>9</v>
      </c>
      <c r="K1225" t="inlineStr">
        <is>
          <t>Oui</t>
        </is>
      </c>
      <c r="L1225">
        <f>SUBTOTAL(103,A1225)</f>
        <v>1</v>
      </c>
    </row>
    <row r="1226">
      <c r="A1226" t="inlineStr">
        <is>
          <t>SOCIETE C1329</t>
        </is>
      </c>
      <c r="B1226" t="inlineStr">
        <is>
          <t>C1329</t>
        </is>
      </c>
      <c r="C1226" t="inlineStr">
        <is>
          <t>CORPORATE BANKING</t>
        </is>
      </c>
      <c r="D1226" t="inlineStr">
        <is>
          <t>II</t>
        </is>
      </c>
      <c r="E1226" t="inlineStr">
        <is>
          <t>Stage 2</t>
        </is>
      </c>
      <c r="F1226" t="inlineStr">
        <is>
          <t>N/A</t>
        </is>
      </c>
      <c r="G1226" s="26">
        <v>329599560</v>
      </c>
      <c r="H1226" s="26">
        <v>19775974</v>
      </c>
      <c r="I1226" s="26">
        <v>38380244</v>
      </c>
      <c r="J1226" s="26">
        <v>141</v>
      </c>
      <c r="K1226" t="inlineStr">
        <is>
          <t>Non</t>
        </is>
      </c>
      <c r="L1226">
        <f>SUBTOTAL(103,A1226)</f>
        <v>1</v>
      </c>
    </row>
    <row r="1227">
      <c r="A1227" t="inlineStr">
        <is>
          <t>SOCIETE C1181</t>
        </is>
      </c>
      <c r="B1227" t="inlineStr">
        <is>
          <t>C1181</t>
        </is>
      </c>
      <c r="C1227" t="inlineStr">
        <is>
          <t>CORPORATE BANKING</t>
        </is>
      </c>
      <c r="D1227" t="inlineStr">
        <is>
          <t>III</t>
        </is>
      </c>
      <c r="E1227" t="inlineStr">
        <is>
          <t>Stage 3</t>
        </is>
      </c>
      <c r="F1227" t="inlineStr">
        <is>
          <t>N/A</t>
        </is>
      </c>
      <c r="G1227" s="26">
        <v>949931123</v>
      </c>
      <c r="H1227" s="26">
        <v>522462118</v>
      </c>
      <c r="I1227" s="26">
        <v>43601076</v>
      </c>
      <c r="J1227" s="26">
        <v>22</v>
      </c>
      <c r="K1227" t="inlineStr">
        <is>
          <t>Oui</t>
        </is>
      </c>
      <c r="L1227">
        <f>SUBTOTAL(103,A1227)</f>
        <v>1</v>
      </c>
    </row>
    <row r="1228">
      <c r="A1228" t="inlineStr">
        <is>
          <t>SOCIETE C975</t>
        </is>
      </c>
      <c r="B1228" t="inlineStr">
        <is>
          <t>C975</t>
        </is>
      </c>
      <c r="C1228" t="inlineStr">
        <is>
          <t>PUBLIC SECTOR</t>
        </is>
      </c>
      <c r="D1228" t="inlineStr">
        <is>
          <t>I</t>
        </is>
      </c>
      <c r="E1228" t="inlineStr">
        <is>
          <t>Stage 1</t>
        </is>
      </c>
      <c r="F1228" t="inlineStr">
        <is>
          <t>N/A</t>
        </is>
      </c>
      <c r="G1228" s="26">
        <v>577612379</v>
      </c>
      <c r="H1228" s="26">
        <v>5776124</v>
      </c>
      <c r="I1228" s="26">
        <v>0</v>
      </c>
      <c r="J1228" s="26">
        <v>113</v>
      </c>
      <c r="K1228" t="inlineStr">
        <is>
          <t>Non</t>
        </is>
      </c>
      <c r="L1228">
        <f>SUBTOTAL(103,A1228)</f>
        <v>1</v>
      </c>
    </row>
    <row r="1229">
      <c r="A1229" t="inlineStr">
        <is>
          <t>SOCIETE C1277</t>
        </is>
      </c>
      <c r="B1229" t="inlineStr">
        <is>
          <t>C1277</t>
        </is>
      </c>
      <c r="C1229" t="inlineStr">
        <is>
          <t>CORPORATE BANKING</t>
        </is>
      </c>
      <c r="D1229" t="inlineStr">
        <is>
          <t>I</t>
        </is>
      </c>
      <c r="E1229" t="inlineStr">
        <is>
          <t>Stage 1</t>
        </is>
      </c>
      <c r="F1229" t="inlineStr">
        <is>
          <t>N/A</t>
        </is>
      </c>
      <c r="G1229" s="26">
        <v>2549930437</v>
      </c>
      <c r="H1229" s="26">
        <v>25499304</v>
      </c>
      <c r="I1229" s="26">
        <v>0</v>
      </c>
      <c r="J1229" s="26">
        <v>124</v>
      </c>
      <c r="K1229" t="inlineStr">
        <is>
          <t>Non</t>
        </is>
      </c>
      <c r="L1229">
        <f>SUBTOTAL(103,A1229)</f>
        <v>1</v>
      </c>
    </row>
    <row r="1230">
      <c r="A1230" t="inlineStr">
        <is>
          <t>SOCIETE C1406</t>
        </is>
      </c>
      <c r="B1230" t="inlineStr">
        <is>
          <t>C1406</t>
        </is>
      </c>
      <c r="C1230" t="inlineStr">
        <is>
          <t>CORPORATE BANKING</t>
        </is>
      </c>
      <c r="D1230" t="inlineStr">
        <is>
          <t>IA</t>
        </is>
      </c>
      <c r="E1230" t="inlineStr">
        <is>
          <t>Stage 2</t>
        </is>
      </c>
      <c r="F1230" t="inlineStr">
        <is>
          <t>N/A</t>
        </is>
      </c>
      <c r="G1230" s="26">
        <v>2229933</v>
      </c>
      <c r="H1230" s="26">
        <v>133796</v>
      </c>
      <c r="I1230" s="26">
        <v>0</v>
      </c>
      <c r="J1230" s="26">
        <v>90</v>
      </c>
      <c r="K1230" t="inlineStr">
        <is>
          <t>Non</t>
        </is>
      </c>
      <c r="L1230">
        <f>SUBTOTAL(103,A1230)</f>
        <v>1</v>
      </c>
    </row>
    <row r="1231">
      <c r="A1231" t="inlineStr">
        <is>
          <t>SOCIETE C1537</t>
        </is>
      </c>
      <c r="B1231" t="inlineStr">
        <is>
          <t>C1537</t>
        </is>
      </c>
      <c r="C1231" t="inlineStr">
        <is>
          <t>CORPORATE BANKING</t>
        </is>
      </c>
      <c r="D1231" t="inlineStr">
        <is>
          <t>I</t>
        </is>
      </c>
      <c r="E1231" t="inlineStr">
        <is>
          <t>Stage 1</t>
        </is>
      </c>
      <c r="F1231" t="inlineStr">
        <is>
          <t>N/A</t>
        </is>
      </c>
      <c r="G1231" s="26">
        <v>1886864</v>
      </c>
      <c r="H1231" s="26">
        <v>18869</v>
      </c>
      <c r="I1231" s="26">
        <v>0</v>
      </c>
      <c r="J1231" s="26">
        <v>171</v>
      </c>
      <c r="K1231" t="inlineStr">
        <is>
          <t>Non</t>
        </is>
      </c>
      <c r="L1231">
        <f>SUBTOTAL(103,A1231)</f>
        <v>1</v>
      </c>
    </row>
    <row r="1232">
      <c r="A1232" t="inlineStr">
        <is>
          <t>SOCIETE C1116</t>
        </is>
      </c>
      <c r="B1232" t="inlineStr">
        <is>
          <t>C1116</t>
        </is>
      </c>
      <c r="C1232" t="inlineStr">
        <is>
          <t>CORPORATE BANKING</t>
        </is>
      </c>
      <c r="D1232" t="inlineStr">
        <is>
          <t>I</t>
        </is>
      </c>
      <c r="E1232" t="inlineStr">
        <is>
          <t>Stage 1</t>
        </is>
      </c>
      <c r="F1232" t="inlineStr">
        <is>
          <t>N/A</t>
        </is>
      </c>
      <c r="G1232" s="26">
        <v>214181324</v>
      </c>
      <c r="H1232" s="26">
        <v>2141813</v>
      </c>
      <c r="I1232" s="26">
        <v>9146592</v>
      </c>
      <c r="J1232" s="26">
        <v>57</v>
      </c>
      <c r="K1232" t="inlineStr">
        <is>
          <t>Non</t>
        </is>
      </c>
      <c r="L1232">
        <f>SUBTOTAL(103,A1232)</f>
        <v>1</v>
      </c>
    </row>
    <row r="1233">
      <c r="A1233" t="inlineStr">
        <is>
          <t>SOCIETE C1770</t>
        </is>
      </c>
      <c r="B1233" t="inlineStr">
        <is>
          <t>C1770</t>
        </is>
      </c>
      <c r="C1233" t="inlineStr">
        <is>
          <t>CORPORATE BANKING</t>
        </is>
      </c>
      <c r="D1233" t="inlineStr">
        <is>
          <t>IA</t>
        </is>
      </c>
      <c r="E1233" t="inlineStr">
        <is>
          <t>Stage 2</t>
        </is>
      </c>
      <c r="F1233" t="inlineStr">
        <is>
          <t>N/A</t>
        </is>
      </c>
      <c r="G1233" s="26">
        <v>1379290623</v>
      </c>
      <c r="H1233" s="26">
        <v>82757437</v>
      </c>
      <c r="I1233" s="26">
        <v>0</v>
      </c>
      <c r="J1233" s="26">
        <v>77</v>
      </c>
      <c r="K1233" t="inlineStr">
        <is>
          <t>Non</t>
        </is>
      </c>
      <c r="L1233">
        <f>SUBTOTAL(103,A1233)</f>
        <v>1</v>
      </c>
    </row>
    <row r="1234">
      <c r="A1234" t="inlineStr">
        <is>
          <t>SOCIETE C1575</t>
        </is>
      </c>
      <c r="B1234" t="inlineStr">
        <is>
          <t>C1575</t>
        </is>
      </c>
      <c r="C1234" t="inlineStr">
        <is>
          <t>CORPORATE BANKING</t>
        </is>
      </c>
      <c r="D1234" t="inlineStr">
        <is>
          <t>I</t>
        </is>
      </c>
      <c r="E1234" t="inlineStr">
        <is>
          <t>Stage 1</t>
        </is>
      </c>
      <c r="F1234" t="inlineStr">
        <is>
          <t>N/A</t>
        </is>
      </c>
      <c r="G1234" s="26">
        <v>13349930</v>
      </c>
      <c r="H1234" s="26">
        <v>133499</v>
      </c>
      <c r="I1234" s="26">
        <v>1345565</v>
      </c>
      <c r="J1234" s="26">
        <v>18</v>
      </c>
      <c r="K1234" t="inlineStr">
        <is>
          <t>Non</t>
        </is>
      </c>
      <c r="L1234">
        <f>SUBTOTAL(103,A1234)</f>
        <v>1</v>
      </c>
    </row>
    <row r="1235">
      <c r="A1235" t="inlineStr">
        <is>
          <t>SOCIETE C1717</t>
        </is>
      </c>
      <c r="B1235" t="inlineStr">
        <is>
          <t>C1717</t>
        </is>
      </c>
      <c r="C1235" t="inlineStr">
        <is>
          <t>CORPORATE BANKING</t>
        </is>
      </c>
      <c r="D1235" t="inlineStr">
        <is>
          <t>I</t>
        </is>
      </c>
      <c r="E1235" t="inlineStr">
        <is>
          <t>Stage 1</t>
        </is>
      </c>
      <c r="F1235" t="inlineStr">
        <is>
          <t>N/A</t>
        </is>
      </c>
      <c r="G1235" s="26">
        <v>1539773179</v>
      </c>
      <c r="H1235" s="26">
        <v>15397732</v>
      </c>
      <c r="I1235" s="26">
        <v>124081533</v>
      </c>
      <c r="J1235" s="26">
        <v>49</v>
      </c>
      <c r="K1235" t="inlineStr">
        <is>
          <t>Non</t>
        </is>
      </c>
      <c r="L1235">
        <f>SUBTOTAL(103,A1235)</f>
        <v>1</v>
      </c>
    </row>
    <row r="1236">
      <c r="A1236" t="inlineStr">
        <is>
          <t>SOCIETE C337</t>
        </is>
      </c>
      <c r="B1236" t="inlineStr">
        <is>
          <t>C337</t>
        </is>
      </c>
      <c r="C1236" t="inlineStr">
        <is>
          <t>CORPORATE BANKING</t>
        </is>
      </c>
      <c r="D1236" t="inlineStr">
        <is>
          <t>IA</t>
        </is>
      </c>
      <c r="E1236" t="inlineStr">
        <is>
          <t>Stage 2</t>
        </is>
      </c>
      <c r="F1236" t="inlineStr">
        <is>
          <t>N/A</t>
        </is>
      </c>
      <c r="G1236" s="26">
        <v>562716041</v>
      </c>
      <c r="H1236" s="26">
        <v>33762962</v>
      </c>
      <c r="I1236" s="26">
        <v>0</v>
      </c>
      <c r="J1236" s="26">
        <v>63</v>
      </c>
      <c r="K1236" t="inlineStr">
        <is>
          <t>Non</t>
        </is>
      </c>
      <c r="L1236">
        <f>SUBTOTAL(103,A1236)</f>
        <v>1</v>
      </c>
    </row>
    <row r="1237">
      <c r="A1237" t="inlineStr">
        <is>
          <t>SOCIETE C1731</t>
        </is>
      </c>
      <c r="B1237" t="inlineStr">
        <is>
          <t>C1731</t>
        </is>
      </c>
      <c r="C1237" t="inlineStr">
        <is>
          <t>CORPORATE BANKING</t>
        </is>
      </c>
      <c r="D1237" t="inlineStr">
        <is>
          <t>II</t>
        </is>
      </c>
      <c r="E1237" t="inlineStr">
        <is>
          <t>Stage 2</t>
        </is>
      </c>
      <c r="F1237" t="inlineStr">
        <is>
          <t>N/A</t>
        </is>
      </c>
      <c r="G1237" s="26">
        <v>376293620</v>
      </c>
      <c r="H1237" s="26">
        <v>22577617</v>
      </c>
      <c r="I1237" s="26">
        <v>0</v>
      </c>
      <c r="J1237" s="26">
        <v>111</v>
      </c>
      <c r="K1237" t="inlineStr">
        <is>
          <t>Non</t>
        </is>
      </c>
      <c r="L1237">
        <f>SUBTOTAL(103,A1237)</f>
        <v>1</v>
      </c>
    </row>
    <row r="1238">
      <c r="A1238" t="inlineStr">
        <is>
          <t>SOCIETE C2387</t>
        </is>
      </c>
      <c r="B1238" t="inlineStr">
        <is>
          <t>C2387</t>
        </is>
      </c>
      <c r="C1238" t="inlineStr">
        <is>
          <t>CORPORATE BANKING</t>
        </is>
      </c>
      <c r="D1238" t="inlineStr">
        <is>
          <t>IA</t>
        </is>
      </c>
      <c r="E1238" t="inlineStr">
        <is>
          <t>Stage 2</t>
        </is>
      </c>
      <c r="F1238" t="inlineStr">
        <is>
          <t>N/A</t>
        </is>
      </c>
      <c r="G1238" s="26">
        <v>397615323</v>
      </c>
      <c r="H1238" s="26">
        <v>23856919</v>
      </c>
      <c r="I1238" s="26">
        <v>0</v>
      </c>
      <c r="J1238" s="26">
        <v>2</v>
      </c>
      <c r="K1238" t="inlineStr">
        <is>
          <t>Non</t>
        </is>
      </c>
      <c r="L1238">
        <f>SUBTOTAL(103,A1238)</f>
        <v>1</v>
      </c>
    </row>
    <row r="1239">
      <c r="A1239" t="inlineStr">
        <is>
          <t>SOCIETE C1040</t>
        </is>
      </c>
      <c r="B1239" t="inlineStr">
        <is>
          <t>C1040</t>
        </is>
      </c>
      <c r="C1239" t="inlineStr">
        <is>
          <t>COMMERCIAL BANKING</t>
        </is>
      </c>
      <c r="D1239" t="inlineStr">
        <is>
          <t>III</t>
        </is>
      </c>
      <c r="E1239" t="inlineStr">
        <is>
          <t>Stage 3</t>
        </is>
      </c>
      <c r="F1239" t="inlineStr">
        <is>
          <t>N/A</t>
        </is>
      </c>
      <c r="G1239" s="26">
        <v>1587167060</v>
      </c>
      <c r="H1239" s="26">
        <v>872941883</v>
      </c>
      <c r="I1239" s="26">
        <v>291795865</v>
      </c>
      <c r="J1239" s="26">
        <v>47</v>
      </c>
      <c r="K1239" t="inlineStr">
        <is>
          <t>Oui</t>
        </is>
      </c>
      <c r="L1239">
        <f>SUBTOTAL(103,A1239)</f>
        <v>1</v>
      </c>
    </row>
    <row r="1240">
      <c r="A1240" t="inlineStr">
        <is>
          <t>SOCIETE C863</t>
        </is>
      </c>
      <c r="B1240" t="inlineStr">
        <is>
          <t>C863</t>
        </is>
      </c>
      <c r="C1240" t="inlineStr">
        <is>
          <t>CORPORATE BANKING</t>
        </is>
      </c>
      <c r="D1240" t="inlineStr">
        <is>
          <t>IA</t>
        </is>
      </c>
      <c r="E1240" t="inlineStr">
        <is>
          <t>Stage 2</t>
        </is>
      </c>
      <c r="F1240" t="inlineStr">
        <is>
          <t>N/A</t>
        </is>
      </c>
      <c r="G1240" s="26">
        <v>89050615</v>
      </c>
      <c r="H1240" s="26">
        <v>5343037</v>
      </c>
      <c r="I1240" s="26">
        <v>0</v>
      </c>
      <c r="J1240" s="26">
        <v>4</v>
      </c>
      <c r="K1240" t="inlineStr">
        <is>
          <t>Non</t>
        </is>
      </c>
      <c r="L1240">
        <f>SUBTOTAL(103,A1240)</f>
        <v>1</v>
      </c>
    </row>
    <row r="1241">
      <c r="A1241" t="inlineStr">
        <is>
          <t>SOCIETE C1404</t>
        </is>
      </c>
      <c r="B1241" t="inlineStr">
        <is>
          <t>C1404</t>
        </is>
      </c>
      <c r="C1241" t="inlineStr">
        <is>
          <t>CONSUMER BANKING</t>
        </is>
      </c>
      <c r="D1241" t="inlineStr">
        <is>
          <t>IV</t>
        </is>
      </c>
      <c r="E1241" t="inlineStr">
        <is>
          <t>Stage 3</t>
        </is>
      </c>
      <c r="F1241" t="inlineStr">
        <is>
          <t>N/A</t>
        </is>
      </c>
      <c r="G1241" s="26">
        <v>1699713</v>
      </c>
      <c r="H1241" s="26">
        <v>934842</v>
      </c>
      <c r="I1241" s="26">
        <v>0</v>
      </c>
      <c r="J1241" s="26">
        <v>341</v>
      </c>
      <c r="K1241" t="inlineStr">
        <is>
          <t>Oui</t>
        </is>
      </c>
      <c r="L1241">
        <f>SUBTOTAL(103,A1241)</f>
        <v>1</v>
      </c>
    </row>
    <row r="1242">
      <c r="A1242" t="inlineStr">
        <is>
          <t>SOCIETE C1599</t>
        </is>
      </c>
      <c r="B1242" t="inlineStr">
        <is>
          <t>C1599</t>
        </is>
      </c>
      <c r="C1242" t="inlineStr">
        <is>
          <t>CORPORATE BANKING</t>
        </is>
      </c>
      <c r="D1242" t="inlineStr">
        <is>
          <t>IV</t>
        </is>
      </c>
      <c r="E1242" t="inlineStr">
        <is>
          <t>Stage 3</t>
        </is>
      </c>
      <c r="F1242" t="inlineStr">
        <is>
          <t>N/A</t>
        </is>
      </c>
      <c r="G1242" s="26">
        <v>1008268</v>
      </c>
      <c r="H1242" s="26">
        <v>554547</v>
      </c>
      <c r="I1242" s="26">
        <v>0</v>
      </c>
      <c r="J1242" s="26">
        <v>48</v>
      </c>
      <c r="K1242" t="inlineStr">
        <is>
          <t>Oui</t>
        </is>
      </c>
      <c r="L1242">
        <f>SUBTOTAL(103,A1242)</f>
        <v>1</v>
      </c>
    </row>
    <row r="1243">
      <c r="A1243" t="inlineStr">
        <is>
          <t>SOCIETE C572</t>
        </is>
      </c>
      <c r="B1243" t="inlineStr">
        <is>
          <t>C572</t>
        </is>
      </c>
      <c r="C1243" t="inlineStr">
        <is>
          <t>COMMERCIAL BANKING</t>
        </is>
      </c>
      <c r="D1243" t="inlineStr">
        <is>
          <t>IA</t>
        </is>
      </c>
      <c r="E1243" t="inlineStr">
        <is>
          <t>Stage 2</t>
        </is>
      </c>
      <c r="F1243" t="inlineStr">
        <is>
          <t>N/A</t>
        </is>
      </c>
      <c r="G1243" s="26">
        <v>1228158493</v>
      </c>
      <c r="H1243" s="26">
        <v>73689510</v>
      </c>
      <c r="I1243" s="26">
        <v>0</v>
      </c>
      <c r="J1243" s="26">
        <v>69</v>
      </c>
      <c r="K1243" t="inlineStr">
        <is>
          <t>Non</t>
        </is>
      </c>
      <c r="L1243">
        <f>SUBTOTAL(103,A1243)</f>
        <v>1</v>
      </c>
    </row>
    <row r="1244">
      <c r="A1244" t="inlineStr">
        <is>
          <t>SOCIETE C2018</t>
        </is>
      </c>
      <c r="B1244" t="inlineStr">
        <is>
          <t>C2018</t>
        </is>
      </c>
      <c r="C1244" t="inlineStr">
        <is>
          <t>CONSUMER BANKING</t>
        </is>
      </c>
      <c r="D1244" t="inlineStr">
        <is>
          <t>IA</t>
        </is>
      </c>
      <c r="E1244" t="inlineStr">
        <is>
          <t>Stage 2</t>
        </is>
      </c>
      <c r="F1244" t="inlineStr">
        <is>
          <t>N/A</t>
        </is>
      </c>
      <c r="G1244" s="26">
        <v>27557827</v>
      </c>
      <c r="H1244" s="26">
        <v>1653470</v>
      </c>
      <c r="I1244" s="26">
        <v>0</v>
      </c>
      <c r="J1244" s="26">
        <v>4</v>
      </c>
      <c r="K1244" t="inlineStr">
        <is>
          <t>Non</t>
        </is>
      </c>
      <c r="L1244">
        <f>SUBTOTAL(103,A1244)</f>
        <v>1</v>
      </c>
    </row>
    <row r="1245">
      <c r="A1245" t="inlineStr">
        <is>
          <t>SOCIETE C81</t>
        </is>
      </c>
      <c r="B1245" t="inlineStr">
        <is>
          <t>C81</t>
        </is>
      </c>
      <c r="C1245" t="inlineStr">
        <is>
          <t>CORPORATE BANKING</t>
        </is>
      </c>
      <c r="D1245" t="inlineStr">
        <is>
          <t>I</t>
        </is>
      </c>
      <c r="E1245" t="inlineStr">
        <is>
          <t>Stage 1</t>
        </is>
      </c>
      <c r="F1245" t="inlineStr">
        <is>
          <t>N/A</t>
        </is>
      </c>
      <c r="G1245" s="26">
        <v>143306674</v>
      </c>
      <c r="H1245" s="26">
        <v>1433067</v>
      </c>
      <c r="I1245" s="26">
        <v>0</v>
      </c>
      <c r="J1245" s="26">
        <v>178</v>
      </c>
      <c r="K1245" t="inlineStr">
        <is>
          <t>Non</t>
        </is>
      </c>
      <c r="L1245">
        <f>SUBTOTAL(103,A1245)</f>
        <v>1</v>
      </c>
    </row>
    <row r="1246">
      <c r="A1246" t="inlineStr">
        <is>
          <t>SOCIETE C325</t>
        </is>
      </c>
      <c r="B1246" t="inlineStr">
        <is>
          <t>C325</t>
        </is>
      </c>
      <c r="C1246" t="inlineStr">
        <is>
          <t>INSTITUTIONAL</t>
        </is>
      </c>
      <c r="D1246" t="inlineStr">
        <is>
          <t>IV</t>
        </is>
      </c>
      <c r="E1246" t="inlineStr">
        <is>
          <t>Stage 3</t>
        </is>
      </c>
      <c r="F1246" t="inlineStr">
        <is>
          <t>N/A</t>
        </is>
      </c>
      <c r="G1246" s="26">
        <v>238247999</v>
      </c>
      <c r="H1246" s="26">
        <v>131036400</v>
      </c>
      <c r="I1246" s="26">
        <v>0</v>
      </c>
      <c r="J1246" s="26">
        <v>98</v>
      </c>
      <c r="K1246" t="inlineStr">
        <is>
          <t>Oui</t>
        </is>
      </c>
      <c r="L1246">
        <f>SUBTOTAL(103,A1246)</f>
        <v>1</v>
      </c>
    </row>
    <row r="1247">
      <c r="A1247" t="inlineStr">
        <is>
          <t>SOCIETE C2148</t>
        </is>
      </c>
      <c r="B1247" t="inlineStr">
        <is>
          <t>C2148</t>
        </is>
      </c>
      <c r="C1247" t="inlineStr">
        <is>
          <t>COMMERCIAL BANKING</t>
        </is>
      </c>
      <c r="D1247" t="inlineStr">
        <is>
          <t>I</t>
        </is>
      </c>
      <c r="E1247" t="inlineStr">
        <is>
          <t>Stage 1</t>
        </is>
      </c>
      <c r="F1247" t="inlineStr">
        <is>
          <t>N/A</t>
        </is>
      </c>
      <c r="G1247" s="26">
        <v>2526630907</v>
      </c>
      <c r="H1247" s="26">
        <v>25266309</v>
      </c>
      <c r="I1247" s="26">
        <v>205034429</v>
      </c>
      <c r="J1247" s="26">
        <v>7</v>
      </c>
      <c r="K1247" t="inlineStr">
        <is>
          <t>Non</t>
        </is>
      </c>
      <c r="L1247">
        <f>SUBTOTAL(103,A1247)</f>
        <v>1</v>
      </c>
    </row>
    <row r="1248">
      <c r="A1248" t="inlineStr">
        <is>
          <t>SOCIETE C1215</t>
        </is>
      </c>
      <c r="B1248" t="inlineStr">
        <is>
          <t>C1215</t>
        </is>
      </c>
      <c r="C1248" t="inlineStr">
        <is>
          <t>CORPORATE BANKING</t>
        </is>
      </c>
      <c r="D1248" t="inlineStr">
        <is>
          <t>I</t>
        </is>
      </c>
      <c r="E1248" t="inlineStr">
        <is>
          <t>Stage 1</t>
        </is>
      </c>
      <c r="F1248" t="inlineStr">
        <is>
          <t>N/A</t>
        </is>
      </c>
      <c r="G1248" s="26">
        <v>31312465</v>
      </c>
      <c r="H1248" s="26">
        <v>313125</v>
      </c>
      <c r="I1248" s="26">
        <v>0</v>
      </c>
      <c r="J1248" s="26">
        <v>320</v>
      </c>
      <c r="K1248" t="inlineStr">
        <is>
          <t>Non</t>
        </is>
      </c>
      <c r="L1248">
        <f>SUBTOTAL(103,A1248)</f>
        <v>1</v>
      </c>
    </row>
    <row r="1249">
      <c r="A1249" t="inlineStr">
        <is>
          <t>SOCIETE C301</t>
        </is>
      </c>
      <c r="B1249" t="inlineStr">
        <is>
          <t>C301</t>
        </is>
      </c>
      <c r="C1249" t="inlineStr">
        <is>
          <t>CORPORATE BANKING</t>
        </is>
      </c>
      <c r="D1249" t="inlineStr">
        <is>
          <t>II</t>
        </is>
      </c>
      <c r="E1249" t="inlineStr">
        <is>
          <t>Stage 2</t>
        </is>
      </c>
      <c r="F1249" t="inlineStr">
        <is>
          <t>N/A</t>
        </is>
      </c>
      <c r="G1249" s="26">
        <v>89447389</v>
      </c>
      <c r="H1249" s="26">
        <v>5366843</v>
      </c>
      <c r="I1249" s="26">
        <v>0</v>
      </c>
      <c r="J1249" s="26">
        <v>90</v>
      </c>
      <c r="K1249" t="inlineStr">
        <is>
          <t>Non</t>
        </is>
      </c>
      <c r="L1249">
        <f>SUBTOTAL(103,A1249)</f>
        <v>1</v>
      </c>
    </row>
    <row r="1250">
      <c r="A1250" t="inlineStr">
        <is>
          <t>SOCIETE C2437</t>
        </is>
      </c>
      <c r="B1250" t="inlineStr">
        <is>
          <t>C2437</t>
        </is>
      </c>
      <c r="C1250" t="inlineStr">
        <is>
          <t>PUBLIC SECTOR</t>
        </is>
      </c>
      <c r="D1250" t="inlineStr">
        <is>
          <t>I</t>
        </is>
      </c>
      <c r="E1250" t="inlineStr">
        <is>
          <t>Stage 1</t>
        </is>
      </c>
      <c r="F1250" t="inlineStr">
        <is>
          <t>N/A</t>
        </is>
      </c>
      <c r="G1250" s="26">
        <v>613016462</v>
      </c>
      <c r="H1250" s="26">
        <v>6130165</v>
      </c>
      <c r="I1250" s="26">
        <v>74827080</v>
      </c>
      <c r="J1250" s="26">
        <v>112</v>
      </c>
      <c r="K1250" t="inlineStr">
        <is>
          <t>Non</t>
        </is>
      </c>
      <c r="L1250">
        <f>SUBTOTAL(103,A1250)</f>
        <v>1</v>
      </c>
    </row>
    <row r="1251">
      <c r="A1251" t="inlineStr">
        <is>
          <t>SOCIETE C975</t>
        </is>
      </c>
      <c r="B1251" t="inlineStr">
        <is>
          <t>C975</t>
        </is>
      </c>
      <c r="C1251" t="inlineStr">
        <is>
          <t>CORPORATE BANKING</t>
        </is>
      </c>
      <c r="D1251" t="inlineStr">
        <is>
          <t>I</t>
        </is>
      </c>
      <c r="E1251" t="inlineStr">
        <is>
          <t>Stage 1</t>
        </is>
      </c>
      <c r="F1251" t="inlineStr">
        <is>
          <t>N/A</t>
        </is>
      </c>
      <c r="G1251" s="26">
        <v>2353395918</v>
      </c>
      <c r="H1251" s="26">
        <v>23533959</v>
      </c>
      <c r="I1251" s="26">
        <v>0</v>
      </c>
      <c r="J1251" s="26">
        <v>77</v>
      </c>
      <c r="K1251" t="inlineStr">
        <is>
          <t>Non</t>
        </is>
      </c>
      <c r="L1251">
        <f>SUBTOTAL(103,A1251)</f>
        <v>1</v>
      </c>
    </row>
    <row r="1252">
      <c r="A1252" t="inlineStr">
        <is>
          <t>SOCIETE C370</t>
        </is>
      </c>
      <c r="B1252" t="inlineStr">
        <is>
          <t>C370</t>
        </is>
      </c>
      <c r="C1252" t="inlineStr">
        <is>
          <t>CONSUMER BANKING</t>
        </is>
      </c>
      <c r="D1252" t="inlineStr">
        <is>
          <t>IV</t>
        </is>
      </c>
      <c r="E1252" t="inlineStr">
        <is>
          <t>Stage 3</t>
        </is>
      </c>
      <c r="F1252" t="inlineStr">
        <is>
          <t>N/A</t>
        </is>
      </c>
      <c r="G1252" s="26">
        <v>1559920069</v>
      </c>
      <c r="H1252" s="26">
        <v>857956038</v>
      </c>
      <c r="I1252" s="26">
        <v>0</v>
      </c>
      <c r="J1252" s="26">
        <v>7</v>
      </c>
      <c r="K1252" t="inlineStr">
        <is>
          <t>Oui</t>
        </is>
      </c>
      <c r="L1252">
        <f>SUBTOTAL(103,A1252)</f>
        <v>1</v>
      </c>
    </row>
    <row r="1253">
      <c r="A1253" t="inlineStr">
        <is>
          <t>SOCIETE C942</t>
        </is>
      </c>
      <c r="B1253" t="inlineStr">
        <is>
          <t>C942</t>
        </is>
      </c>
      <c r="C1253" t="inlineStr">
        <is>
          <t>COMMERCIAL BANKING</t>
        </is>
      </c>
      <c r="D1253" t="inlineStr">
        <is>
          <t>IA</t>
        </is>
      </c>
      <c r="E1253" t="inlineStr">
        <is>
          <t>Stage 2</t>
        </is>
      </c>
      <c r="F1253" t="inlineStr">
        <is>
          <t>N/A</t>
        </is>
      </c>
      <c r="G1253" s="26">
        <v>95683013</v>
      </c>
      <c r="H1253" s="26">
        <v>5740981</v>
      </c>
      <c r="I1253" s="26">
        <v>0</v>
      </c>
      <c r="J1253" s="26">
        <v>25</v>
      </c>
      <c r="K1253" t="inlineStr">
        <is>
          <t>Non</t>
        </is>
      </c>
      <c r="L1253">
        <f>SUBTOTAL(103,A1253)</f>
        <v>1</v>
      </c>
    </row>
    <row r="1254">
      <c r="A1254" t="inlineStr">
        <is>
          <t>SOCIETE C638</t>
        </is>
      </c>
      <c r="B1254" t="inlineStr">
        <is>
          <t>C638</t>
        </is>
      </c>
      <c r="C1254" t="inlineStr">
        <is>
          <t>PUBLIC SECTOR</t>
        </is>
      </c>
      <c r="D1254" t="inlineStr">
        <is>
          <t>III</t>
        </is>
      </c>
      <c r="E1254" t="inlineStr">
        <is>
          <t>Stage 3</t>
        </is>
      </c>
      <c r="F1254" t="inlineStr">
        <is>
          <t>N/A</t>
        </is>
      </c>
      <c r="G1254" s="26">
        <v>2156469845</v>
      </c>
      <c r="H1254" s="26">
        <v>1186058415</v>
      </c>
      <c r="I1254" s="26">
        <v>0</v>
      </c>
      <c r="J1254" s="26">
        <v>70</v>
      </c>
      <c r="K1254" t="inlineStr">
        <is>
          <t>Oui</t>
        </is>
      </c>
      <c r="L1254">
        <f>SUBTOTAL(103,A1254)</f>
        <v>1</v>
      </c>
    </row>
    <row r="1255">
      <c r="A1255" t="inlineStr">
        <is>
          <t>SOCIETE C2080</t>
        </is>
      </c>
      <c r="B1255" t="inlineStr">
        <is>
          <t>C2080</t>
        </is>
      </c>
      <c r="C1255" t="inlineStr">
        <is>
          <t>CORPORATE BANKING</t>
        </is>
      </c>
      <c r="D1255" t="inlineStr">
        <is>
          <t>I</t>
        </is>
      </c>
      <c r="E1255" t="inlineStr">
        <is>
          <t>Stage 1</t>
        </is>
      </c>
      <c r="F1255" t="inlineStr">
        <is>
          <t>N/A</t>
        </is>
      </c>
      <c r="G1255" s="26">
        <v>120369710</v>
      </c>
      <c r="H1255" s="26">
        <v>1203697</v>
      </c>
      <c r="I1255" s="26">
        <v>0</v>
      </c>
      <c r="J1255" s="26">
        <v>299</v>
      </c>
      <c r="K1255" t="inlineStr">
        <is>
          <t>Non</t>
        </is>
      </c>
      <c r="L1255">
        <f>SUBTOTAL(103,A1255)</f>
        <v>1</v>
      </c>
    </row>
    <row r="1256">
      <c r="A1256" t="inlineStr">
        <is>
          <t>SOCIETE C1619</t>
        </is>
      </c>
      <c r="B1256" t="inlineStr">
        <is>
          <t>C1619</t>
        </is>
      </c>
      <c r="C1256" t="inlineStr">
        <is>
          <t>SME</t>
        </is>
      </c>
      <c r="D1256" t="inlineStr">
        <is>
          <t>IV</t>
        </is>
      </c>
      <c r="E1256" t="inlineStr">
        <is>
          <t>Stage 3</t>
        </is>
      </c>
      <c r="F1256" t="inlineStr">
        <is>
          <t>N/A</t>
        </is>
      </c>
      <c r="G1256" s="26">
        <v>1401065767</v>
      </c>
      <c r="H1256" s="26">
        <v>770586172</v>
      </c>
      <c r="I1256" s="26">
        <v>0</v>
      </c>
      <c r="J1256" s="26">
        <v>249</v>
      </c>
      <c r="K1256" t="inlineStr">
        <is>
          <t>Oui</t>
        </is>
      </c>
      <c r="L1256">
        <f>SUBTOTAL(103,A1256)</f>
        <v>1</v>
      </c>
    </row>
    <row r="1257">
      <c r="A1257" t="inlineStr">
        <is>
          <t>SOCIETE C388</t>
        </is>
      </c>
      <c r="B1257" t="inlineStr">
        <is>
          <t>C388</t>
        </is>
      </c>
      <c r="C1257" t="inlineStr">
        <is>
          <t>PUBLIC SECTOR</t>
        </is>
      </c>
      <c r="D1257" t="inlineStr">
        <is>
          <t>I</t>
        </is>
      </c>
      <c r="E1257" t="inlineStr">
        <is>
          <t>Stage 1</t>
        </is>
      </c>
      <c r="F1257" t="inlineStr">
        <is>
          <t>N/A</t>
        </is>
      </c>
      <c r="G1257" s="26">
        <v>53019353</v>
      </c>
      <c r="H1257" s="26">
        <v>530194</v>
      </c>
      <c r="I1257" s="26">
        <v>0</v>
      </c>
      <c r="J1257" s="26">
        <v>25</v>
      </c>
      <c r="K1257" t="inlineStr">
        <is>
          <t>Non</t>
        </is>
      </c>
      <c r="L1257">
        <f>SUBTOTAL(103,A1257)</f>
        <v>1</v>
      </c>
    </row>
    <row r="1258">
      <c r="A1258" t="inlineStr">
        <is>
          <t>SOCIETE C2031</t>
        </is>
      </c>
      <c r="B1258" t="inlineStr">
        <is>
          <t>C2031</t>
        </is>
      </c>
      <c r="C1258" t="inlineStr">
        <is>
          <t>SME</t>
        </is>
      </c>
      <c r="D1258" t="inlineStr">
        <is>
          <t>I</t>
        </is>
      </c>
      <c r="E1258" t="inlineStr">
        <is>
          <t>Stage 1</t>
        </is>
      </c>
      <c r="F1258" t="inlineStr">
        <is>
          <t>N/A</t>
        </is>
      </c>
      <c r="G1258" s="26">
        <v>1431297000</v>
      </c>
      <c r="H1258" s="26">
        <v>14312970</v>
      </c>
      <c r="I1258" s="26">
        <v>0</v>
      </c>
      <c r="J1258" s="26">
        <v>173</v>
      </c>
      <c r="K1258" t="inlineStr">
        <is>
          <t>Non</t>
        </is>
      </c>
      <c r="L1258">
        <f>SUBTOTAL(103,A1258)</f>
        <v>1</v>
      </c>
    </row>
    <row r="1259">
      <c r="A1259" t="inlineStr">
        <is>
          <t>SOCIETE C478</t>
        </is>
      </c>
      <c r="B1259" t="inlineStr">
        <is>
          <t>C478</t>
        </is>
      </c>
      <c r="C1259" t="inlineStr">
        <is>
          <t>CORPORATE BANKING</t>
        </is>
      </c>
      <c r="D1259" t="inlineStr">
        <is>
          <t>I</t>
        </is>
      </c>
      <c r="E1259" t="inlineStr">
        <is>
          <t>Stage 1</t>
        </is>
      </c>
      <c r="F1259" t="inlineStr">
        <is>
          <t>N/A</t>
        </is>
      </c>
      <c r="G1259" s="26">
        <v>337963863</v>
      </c>
      <c r="H1259" s="26">
        <v>3379639</v>
      </c>
      <c r="I1259" s="26">
        <v>50623932</v>
      </c>
      <c r="J1259" s="26">
        <v>20</v>
      </c>
      <c r="K1259" t="inlineStr">
        <is>
          <t>Non</t>
        </is>
      </c>
      <c r="L1259">
        <f>SUBTOTAL(103,A1259)</f>
        <v>1</v>
      </c>
    </row>
    <row r="1260">
      <c r="A1260" t="inlineStr">
        <is>
          <t>SOCIETE C1966</t>
        </is>
      </c>
      <c r="B1260" t="inlineStr">
        <is>
          <t>C1966</t>
        </is>
      </c>
      <c r="C1260" t="inlineStr">
        <is>
          <t>COMMERCIAL BANKING</t>
        </is>
      </c>
      <c r="D1260" t="inlineStr">
        <is>
          <t>V</t>
        </is>
      </c>
      <c r="E1260" t="inlineStr">
        <is>
          <t>Stage 3</t>
        </is>
      </c>
      <c r="F1260" t="inlineStr">
        <is>
          <t>N/A</t>
        </is>
      </c>
      <c r="G1260" s="26">
        <v>2541425632</v>
      </c>
      <c r="H1260" s="26">
        <v>1397784098</v>
      </c>
      <c r="I1260" s="26">
        <v>0</v>
      </c>
      <c r="J1260" s="26">
        <v>32</v>
      </c>
      <c r="K1260" t="inlineStr">
        <is>
          <t>Oui</t>
        </is>
      </c>
      <c r="L1260">
        <f>SUBTOTAL(103,A1260)</f>
        <v>1</v>
      </c>
    </row>
    <row r="1261">
      <c r="A1261" t="inlineStr">
        <is>
          <t>SOCIETE C782</t>
        </is>
      </c>
      <c r="B1261" t="inlineStr">
        <is>
          <t>C782</t>
        </is>
      </c>
      <c r="C1261" t="inlineStr">
        <is>
          <t>COMMERCIAL BANKING</t>
        </is>
      </c>
      <c r="D1261" t="inlineStr">
        <is>
          <t>II</t>
        </is>
      </c>
      <c r="E1261" t="inlineStr">
        <is>
          <t>Stage 2</t>
        </is>
      </c>
      <c r="F1261" t="inlineStr">
        <is>
          <t>N/A</t>
        </is>
      </c>
      <c r="G1261" s="26">
        <v>314724652</v>
      </c>
      <c r="H1261" s="26">
        <v>18883479</v>
      </c>
      <c r="I1261" s="26">
        <v>0</v>
      </c>
      <c r="J1261" s="26">
        <v>180</v>
      </c>
      <c r="K1261" t="inlineStr">
        <is>
          <t>Non</t>
        </is>
      </c>
      <c r="L1261">
        <f>SUBTOTAL(103,A1261)</f>
        <v>1</v>
      </c>
    </row>
    <row r="1262">
      <c r="A1262" t="inlineStr">
        <is>
          <t>SOCIETE C1108</t>
        </is>
      </c>
      <c r="B1262" t="inlineStr">
        <is>
          <t>C1108</t>
        </is>
      </c>
      <c r="C1262" t="inlineStr">
        <is>
          <t>CORPORATE BANKING</t>
        </is>
      </c>
      <c r="D1262" t="inlineStr">
        <is>
          <t>I</t>
        </is>
      </c>
      <c r="E1262" t="inlineStr">
        <is>
          <t>Stage 1</t>
        </is>
      </c>
      <c r="F1262" t="inlineStr">
        <is>
          <t>N/A</t>
        </is>
      </c>
      <c r="G1262" s="26">
        <v>2607002545</v>
      </c>
      <c r="H1262" s="26">
        <v>26070025</v>
      </c>
      <c r="I1262" s="26">
        <v>28189372</v>
      </c>
      <c r="J1262" s="26">
        <v>188</v>
      </c>
      <c r="K1262" t="inlineStr">
        <is>
          <t>Non</t>
        </is>
      </c>
      <c r="L1262">
        <f>SUBTOTAL(103,A1262)</f>
        <v>1</v>
      </c>
    </row>
    <row r="1263">
      <c r="A1263" t="inlineStr">
        <is>
          <t>SOCIETE C1941</t>
        </is>
      </c>
      <c r="B1263" t="inlineStr">
        <is>
          <t>C1941</t>
        </is>
      </c>
      <c r="C1263" t="inlineStr">
        <is>
          <t>PUBLIC SECTOR</t>
        </is>
      </c>
      <c r="D1263" t="inlineStr">
        <is>
          <t>III</t>
        </is>
      </c>
      <c r="E1263" t="inlineStr">
        <is>
          <t>Stage 3</t>
        </is>
      </c>
      <c r="F1263" t="inlineStr">
        <is>
          <t>N/A</t>
        </is>
      </c>
      <c r="G1263" s="26">
        <v>30574961</v>
      </c>
      <c r="H1263" s="26">
        <v>16816229</v>
      </c>
      <c r="I1263" s="26">
        <v>0</v>
      </c>
      <c r="J1263" s="26">
        <v>63</v>
      </c>
      <c r="K1263" t="inlineStr">
        <is>
          <t>Oui</t>
        </is>
      </c>
      <c r="L1263">
        <f>SUBTOTAL(103,A1263)</f>
        <v>1</v>
      </c>
    </row>
    <row r="1264">
      <c r="A1264" t="inlineStr">
        <is>
          <t>SOCIETE C35</t>
        </is>
      </c>
      <c r="B1264" t="inlineStr">
        <is>
          <t>C35</t>
        </is>
      </c>
      <c r="C1264" t="inlineStr">
        <is>
          <t>CORPORATE BANKING</t>
        </is>
      </c>
      <c r="D1264" t="inlineStr">
        <is>
          <t>I</t>
        </is>
      </c>
      <c r="E1264" t="inlineStr">
        <is>
          <t>Stage 1</t>
        </is>
      </c>
      <c r="F1264" t="inlineStr">
        <is>
          <t>N/A</t>
        </is>
      </c>
      <c r="G1264" s="26">
        <v>2565093654</v>
      </c>
      <c r="H1264" s="26">
        <v>25650937</v>
      </c>
      <c r="I1264" s="26">
        <v>0</v>
      </c>
      <c r="J1264" s="26">
        <v>76</v>
      </c>
      <c r="K1264" t="inlineStr">
        <is>
          <t>Non</t>
        </is>
      </c>
      <c r="L1264">
        <f>SUBTOTAL(103,A1264)</f>
        <v>1</v>
      </c>
    </row>
    <row r="1265">
      <c r="A1265" t="inlineStr">
        <is>
          <t>SOCIETE C15</t>
        </is>
      </c>
      <c r="B1265" t="inlineStr">
        <is>
          <t>C15</t>
        </is>
      </c>
      <c r="C1265" t="inlineStr">
        <is>
          <t>CONSUMER BANKING</t>
        </is>
      </c>
      <c r="D1265" t="inlineStr">
        <is>
          <t>IV</t>
        </is>
      </c>
      <c r="E1265" t="inlineStr">
        <is>
          <t>Stage 3</t>
        </is>
      </c>
      <c r="F1265" t="inlineStr">
        <is>
          <t>N/A</t>
        </is>
      </c>
      <c r="G1265" s="26">
        <v>1863978329</v>
      </c>
      <c r="H1265" s="26">
        <v>1025188081</v>
      </c>
      <c r="I1265" s="26">
        <v>0</v>
      </c>
      <c r="J1265" s="26">
        <v>83</v>
      </c>
      <c r="K1265" t="inlineStr">
        <is>
          <t>Oui</t>
        </is>
      </c>
      <c r="L1265">
        <f>SUBTOTAL(103,A1265)</f>
        <v>1</v>
      </c>
    </row>
    <row r="1266">
      <c r="A1266" t="inlineStr">
        <is>
          <t>SOCIETE C241</t>
        </is>
      </c>
      <c r="B1266" t="inlineStr">
        <is>
          <t>C241</t>
        </is>
      </c>
      <c r="C1266" t="inlineStr">
        <is>
          <t>COMMERCIAL BANKING</t>
        </is>
      </c>
      <c r="D1266" t="inlineStr">
        <is>
          <t>III</t>
        </is>
      </c>
      <c r="E1266" t="inlineStr">
        <is>
          <t>Stage 3</t>
        </is>
      </c>
      <c r="F1266" t="inlineStr">
        <is>
          <t>N/A</t>
        </is>
      </c>
      <c r="G1266" s="26">
        <v>145497582</v>
      </c>
      <c r="H1266" s="26">
        <v>80023670</v>
      </c>
      <c r="I1266" s="26">
        <v>0</v>
      </c>
      <c r="J1266" s="26">
        <v>22</v>
      </c>
      <c r="K1266" t="inlineStr">
        <is>
          <t>Oui</t>
        </is>
      </c>
      <c r="L1266">
        <f>SUBTOTAL(103,A1266)</f>
        <v>1</v>
      </c>
    </row>
    <row r="1267">
      <c r="A1267" t="inlineStr">
        <is>
          <t>SOCIETE C1615</t>
        </is>
      </c>
      <c r="B1267" t="inlineStr">
        <is>
          <t>C1615</t>
        </is>
      </c>
      <c r="C1267" t="inlineStr">
        <is>
          <t>PUBLIC SECTOR</t>
        </is>
      </c>
      <c r="D1267" t="inlineStr">
        <is>
          <t>I</t>
        </is>
      </c>
      <c r="E1267" t="inlineStr">
        <is>
          <t>Stage 1</t>
        </is>
      </c>
      <c r="F1267" t="inlineStr">
        <is>
          <t>N/A</t>
        </is>
      </c>
      <c r="G1267" s="26">
        <v>430985573</v>
      </c>
      <c r="H1267" s="26">
        <v>4309856</v>
      </c>
      <c r="I1267" s="26">
        <v>0</v>
      </c>
      <c r="J1267" s="26">
        <v>64</v>
      </c>
      <c r="K1267" t="inlineStr">
        <is>
          <t>Non</t>
        </is>
      </c>
      <c r="L1267">
        <f>SUBTOTAL(103,A1267)</f>
        <v>1</v>
      </c>
    </row>
    <row r="1268">
      <c r="A1268" t="inlineStr">
        <is>
          <t>SOCIETE C2333</t>
        </is>
      </c>
      <c r="B1268" t="inlineStr">
        <is>
          <t>C2333</t>
        </is>
      </c>
      <c r="C1268" t="inlineStr">
        <is>
          <t>CORPORATE BANKING</t>
        </is>
      </c>
      <c r="D1268" t="inlineStr">
        <is>
          <t>I</t>
        </is>
      </c>
      <c r="E1268" t="inlineStr">
        <is>
          <t>Stage 1</t>
        </is>
      </c>
      <c r="F1268" t="inlineStr">
        <is>
          <t>N/A</t>
        </is>
      </c>
      <c r="G1268" s="26">
        <v>116853659</v>
      </c>
      <c r="H1268" s="26">
        <v>1168537</v>
      </c>
      <c r="I1268" s="26">
        <v>0</v>
      </c>
      <c r="J1268" s="26">
        <v>79</v>
      </c>
      <c r="K1268" t="inlineStr">
        <is>
          <t>Non</t>
        </is>
      </c>
      <c r="L1268">
        <f>SUBTOTAL(103,A1268)</f>
        <v>1</v>
      </c>
    </row>
    <row r="1269">
      <c r="A1269" t="inlineStr">
        <is>
          <t>SOCIETE C938</t>
        </is>
      </c>
      <c r="B1269" t="inlineStr">
        <is>
          <t>C938</t>
        </is>
      </c>
      <c r="C1269" t="inlineStr">
        <is>
          <t>CORPORATE BANKING</t>
        </is>
      </c>
      <c r="D1269" t="inlineStr">
        <is>
          <t>I</t>
        </is>
      </c>
      <c r="E1269" t="inlineStr">
        <is>
          <t>Stage 1</t>
        </is>
      </c>
      <c r="F1269" t="inlineStr">
        <is>
          <t>N/A</t>
        </is>
      </c>
      <c r="G1269" s="26">
        <v>2414471787</v>
      </c>
      <c r="H1269" s="26">
        <v>24144718</v>
      </c>
      <c r="I1269" s="26">
        <v>0</v>
      </c>
      <c r="J1269" s="26">
        <v>128</v>
      </c>
      <c r="K1269" t="inlineStr">
        <is>
          <t>Non</t>
        </is>
      </c>
      <c r="L1269">
        <f>SUBTOTAL(103,A1269)</f>
        <v>1</v>
      </c>
    </row>
    <row r="1270">
      <c r="A1270" t="inlineStr">
        <is>
          <t>SOCIETE C1588</t>
        </is>
      </c>
      <c r="B1270" t="inlineStr">
        <is>
          <t>C1588</t>
        </is>
      </c>
      <c r="C1270" t="inlineStr">
        <is>
          <t>CORPORATE BANKING</t>
        </is>
      </c>
      <c r="D1270" t="inlineStr">
        <is>
          <t>I</t>
        </is>
      </c>
      <c r="E1270" t="inlineStr">
        <is>
          <t>Stage 1</t>
        </is>
      </c>
      <c r="F1270" t="inlineStr">
        <is>
          <t>N/A</t>
        </is>
      </c>
      <c r="G1270" s="26">
        <v>1542866</v>
      </c>
      <c r="H1270" s="26">
        <v>15429</v>
      </c>
      <c r="I1270" s="26">
        <v>0</v>
      </c>
      <c r="J1270" s="26">
        <v>153</v>
      </c>
      <c r="K1270" t="inlineStr">
        <is>
          <t>Non</t>
        </is>
      </c>
      <c r="L1270">
        <f>SUBTOTAL(103,A1270)</f>
        <v>1</v>
      </c>
    </row>
    <row r="1271">
      <c r="A1271" t="inlineStr">
        <is>
          <t>SOCIETE C1988</t>
        </is>
      </c>
      <c r="B1271" t="inlineStr">
        <is>
          <t>C1988</t>
        </is>
      </c>
      <c r="C1271" t="inlineStr">
        <is>
          <t>CORPORATE BANKING</t>
        </is>
      </c>
      <c r="D1271" t="inlineStr">
        <is>
          <t>IA</t>
        </is>
      </c>
      <c r="E1271" t="inlineStr">
        <is>
          <t>Stage 2</t>
        </is>
      </c>
      <c r="F1271" t="inlineStr">
        <is>
          <t>N/A</t>
        </is>
      </c>
      <c r="G1271" s="26">
        <v>7589962</v>
      </c>
      <c r="H1271" s="26">
        <v>455398</v>
      </c>
      <c r="I1271" s="26">
        <v>0</v>
      </c>
      <c r="J1271" s="26">
        <v>26</v>
      </c>
      <c r="K1271" t="inlineStr">
        <is>
          <t>Non</t>
        </is>
      </c>
      <c r="L1271">
        <f>SUBTOTAL(103,A1271)</f>
        <v>1</v>
      </c>
    </row>
    <row r="1272">
      <c r="A1272" t="inlineStr">
        <is>
          <t>SOCIETE C2066</t>
        </is>
      </c>
      <c r="B1272" t="inlineStr">
        <is>
          <t>C2066</t>
        </is>
      </c>
      <c r="C1272" t="inlineStr">
        <is>
          <t>CORPORATE BANKING</t>
        </is>
      </c>
      <c r="D1272" t="inlineStr">
        <is>
          <t>I</t>
        </is>
      </c>
      <c r="E1272" t="inlineStr">
        <is>
          <t>Stage 1</t>
        </is>
      </c>
      <c r="F1272" t="inlineStr">
        <is>
          <t>N/A</t>
        </is>
      </c>
      <c r="G1272" s="26">
        <v>84371100</v>
      </c>
      <c r="H1272" s="26">
        <v>843711</v>
      </c>
      <c r="I1272" s="26">
        <v>0</v>
      </c>
      <c r="J1272" s="26">
        <v>22</v>
      </c>
      <c r="K1272" t="inlineStr">
        <is>
          <t>Non</t>
        </is>
      </c>
      <c r="L1272">
        <f>SUBTOTAL(103,A1272)</f>
        <v>1</v>
      </c>
    </row>
    <row r="1273">
      <c r="A1273" t="inlineStr">
        <is>
          <t>SOCIETE C1854</t>
        </is>
      </c>
      <c r="B1273" t="inlineStr">
        <is>
          <t>C1854</t>
        </is>
      </c>
      <c r="C1273" t="inlineStr">
        <is>
          <t>COMMERCIAL BANKING</t>
        </is>
      </c>
      <c r="D1273" t="inlineStr">
        <is>
          <t>IV</t>
        </is>
      </c>
      <c r="E1273" t="inlineStr">
        <is>
          <t>Stage 3</t>
        </is>
      </c>
      <c r="F1273" t="inlineStr">
        <is>
          <t>N/A</t>
        </is>
      </c>
      <c r="G1273" s="26">
        <v>572518166</v>
      </c>
      <c r="H1273" s="26">
        <v>314884991</v>
      </c>
      <c r="I1273" s="26">
        <v>0</v>
      </c>
      <c r="J1273" s="26">
        <v>8</v>
      </c>
      <c r="K1273" t="inlineStr">
        <is>
          <t>Oui</t>
        </is>
      </c>
      <c r="L1273">
        <f>SUBTOTAL(103,A1273)</f>
        <v>1</v>
      </c>
    </row>
    <row r="1274">
      <c r="A1274" t="inlineStr">
        <is>
          <t>SOCIETE C327</t>
        </is>
      </c>
      <c r="B1274" t="inlineStr">
        <is>
          <t>C327</t>
        </is>
      </c>
      <c r="C1274" t="inlineStr">
        <is>
          <t>CORPORATE BANKING</t>
        </is>
      </c>
      <c r="D1274" t="inlineStr">
        <is>
          <t>II</t>
        </is>
      </c>
      <c r="E1274" t="inlineStr">
        <is>
          <t>Stage 2</t>
        </is>
      </c>
      <c r="F1274" t="inlineStr">
        <is>
          <t>N/A</t>
        </is>
      </c>
      <c r="G1274" s="26">
        <v>1322204402</v>
      </c>
      <c r="H1274" s="26">
        <v>79332264</v>
      </c>
      <c r="I1274" s="26">
        <v>0</v>
      </c>
      <c r="J1274" s="26">
        <v>118</v>
      </c>
      <c r="K1274" t="inlineStr">
        <is>
          <t>Non</t>
        </is>
      </c>
      <c r="L1274">
        <f>SUBTOTAL(103,A1274)</f>
        <v>1</v>
      </c>
    </row>
    <row r="1275">
      <c r="A1275" t="inlineStr">
        <is>
          <t>SOCIETE C706</t>
        </is>
      </c>
      <c r="B1275" t="inlineStr">
        <is>
          <t>C706</t>
        </is>
      </c>
      <c r="C1275" t="inlineStr">
        <is>
          <t>CORPORATE BANKING</t>
        </is>
      </c>
      <c r="D1275" t="inlineStr">
        <is>
          <t>III</t>
        </is>
      </c>
      <c r="E1275" t="inlineStr">
        <is>
          <t>Stage 3</t>
        </is>
      </c>
      <c r="F1275" t="inlineStr">
        <is>
          <t>N/A</t>
        </is>
      </c>
      <c r="G1275" s="26">
        <v>69636646</v>
      </c>
      <c r="H1275" s="26">
        <v>38300155</v>
      </c>
      <c r="I1275" s="26">
        <v>0</v>
      </c>
      <c r="J1275" s="26">
        <v>32</v>
      </c>
      <c r="K1275" t="inlineStr">
        <is>
          <t>Oui</t>
        </is>
      </c>
      <c r="L1275">
        <f>SUBTOTAL(103,A1275)</f>
        <v>1</v>
      </c>
    </row>
    <row r="1276">
      <c r="A1276" t="inlineStr">
        <is>
          <t>SOCIETE C819</t>
        </is>
      </c>
      <c r="B1276" t="inlineStr">
        <is>
          <t>C819</t>
        </is>
      </c>
      <c r="C1276" t="inlineStr">
        <is>
          <t>CONSUMER BANKING</t>
        </is>
      </c>
      <c r="D1276" t="inlineStr">
        <is>
          <t>IA</t>
        </is>
      </c>
      <c r="E1276" t="inlineStr">
        <is>
          <t>Stage 2</t>
        </is>
      </c>
      <c r="F1276" t="inlineStr">
        <is>
          <t>N/A</t>
        </is>
      </c>
      <c r="G1276" s="26">
        <v>830948242</v>
      </c>
      <c r="H1276" s="26">
        <v>49856894</v>
      </c>
      <c r="I1276" s="26">
        <v>161805556</v>
      </c>
      <c r="J1276" s="26">
        <v>243</v>
      </c>
      <c r="K1276" t="inlineStr">
        <is>
          <t>Non</t>
        </is>
      </c>
      <c r="L1276">
        <f>SUBTOTAL(103,A1276)</f>
        <v>1</v>
      </c>
    </row>
    <row r="1277">
      <c r="A1277" t="inlineStr">
        <is>
          <t>SOCIETE C1882</t>
        </is>
      </c>
      <c r="B1277" t="inlineStr">
        <is>
          <t>C1882</t>
        </is>
      </c>
      <c r="C1277" t="inlineStr">
        <is>
          <t>CORPORATE BANKING</t>
        </is>
      </c>
      <c r="D1277" t="inlineStr">
        <is>
          <t>I</t>
        </is>
      </c>
      <c r="E1277" t="inlineStr">
        <is>
          <t>Stage 1</t>
        </is>
      </c>
      <c r="F1277" t="inlineStr">
        <is>
          <t>N/A</t>
        </is>
      </c>
      <c r="G1277" s="26">
        <v>734966229</v>
      </c>
      <c r="H1277" s="26">
        <v>7349662</v>
      </c>
      <c r="I1277" s="26">
        <v>0</v>
      </c>
      <c r="J1277" s="26">
        <v>287</v>
      </c>
      <c r="K1277" t="inlineStr">
        <is>
          <t>Non</t>
        </is>
      </c>
      <c r="L1277">
        <f>SUBTOTAL(103,A1277)</f>
        <v>1</v>
      </c>
    </row>
    <row r="1278">
      <c r="A1278" t="inlineStr">
        <is>
          <t>SOCIETE C570</t>
        </is>
      </c>
      <c r="B1278" t="inlineStr">
        <is>
          <t>C570</t>
        </is>
      </c>
      <c r="C1278" t="inlineStr">
        <is>
          <t>COMMERCIAL BANKING</t>
        </is>
      </c>
      <c r="D1278" t="inlineStr">
        <is>
          <t>IA</t>
        </is>
      </c>
      <c r="E1278" t="inlineStr">
        <is>
          <t>Stage 2</t>
        </is>
      </c>
      <c r="F1278" t="inlineStr">
        <is>
          <t>N/A</t>
        </is>
      </c>
      <c r="G1278" s="26">
        <v>12007037</v>
      </c>
      <c r="H1278" s="26">
        <v>720422</v>
      </c>
      <c r="I1278" s="26">
        <v>1780596</v>
      </c>
      <c r="J1278" s="26">
        <v>14</v>
      </c>
      <c r="K1278" t="inlineStr">
        <is>
          <t>Non</t>
        </is>
      </c>
      <c r="L1278">
        <f>SUBTOTAL(103,A1278)</f>
        <v>1</v>
      </c>
    </row>
    <row r="1279">
      <c r="A1279" t="inlineStr">
        <is>
          <t>SOCIETE C1582</t>
        </is>
      </c>
      <c r="B1279" t="inlineStr">
        <is>
          <t>C1582</t>
        </is>
      </c>
      <c r="C1279" t="inlineStr">
        <is>
          <t>CORPORATE BANKING</t>
        </is>
      </c>
      <c r="D1279" t="inlineStr">
        <is>
          <t>III</t>
        </is>
      </c>
      <c r="E1279" t="inlineStr">
        <is>
          <t>Stage 3</t>
        </is>
      </c>
      <c r="F1279" t="inlineStr">
        <is>
          <t>N/A</t>
        </is>
      </c>
      <c r="G1279" s="26">
        <v>673087460</v>
      </c>
      <c r="H1279" s="26">
        <v>370198103</v>
      </c>
      <c r="I1279" s="26">
        <v>0</v>
      </c>
      <c r="J1279" s="26">
        <v>291</v>
      </c>
      <c r="K1279" t="inlineStr">
        <is>
          <t>Oui</t>
        </is>
      </c>
      <c r="L1279">
        <f>SUBTOTAL(103,A1279)</f>
        <v>1</v>
      </c>
    </row>
    <row r="1280">
      <c r="A1280" t="inlineStr">
        <is>
          <t>SOCIETE C567</t>
        </is>
      </c>
      <c r="B1280" t="inlineStr">
        <is>
          <t>C567</t>
        </is>
      </c>
      <c r="C1280" t="inlineStr">
        <is>
          <t>SME</t>
        </is>
      </c>
      <c r="D1280" t="inlineStr">
        <is>
          <t>I</t>
        </is>
      </c>
      <c r="E1280" t="inlineStr">
        <is>
          <t>Stage 1</t>
        </is>
      </c>
      <c r="F1280" t="inlineStr">
        <is>
          <t>N/A</t>
        </is>
      </c>
      <c r="G1280" s="26">
        <v>2795550534</v>
      </c>
      <c r="H1280" s="26">
        <v>27955505</v>
      </c>
      <c r="I1280" s="26">
        <v>0</v>
      </c>
      <c r="J1280" s="26">
        <v>41</v>
      </c>
      <c r="K1280" t="inlineStr">
        <is>
          <t>Non</t>
        </is>
      </c>
      <c r="L1280">
        <f>SUBTOTAL(103,A1280)</f>
        <v>1</v>
      </c>
    </row>
    <row r="1281">
      <c r="A1281" t="inlineStr">
        <is>
          <t>SOCIETE C2358</t>
        </is>
      </c>
      <c r="B1281" t="inlineStr">
        <is>
          <t>C2358</t>
        </is>
      </c>
      <c r="C1281" t="inlineStr">
        <is>
          <t>CONSUMER BANKING</t>
        </is>
      </c>
      <c r="D1281" t="inlineStr">
        <is>
          <t>IA</t>
        </is>
      </c>
      <c r="E1281" t="inlineStr">
        <is>
          <t>Stage 2</t>
        </is>
      </c>
      <c r="F1281" t="inlineStr">
        <is>
          <t>N/A</t>
        </is>
      </c>
      <c r="G1281" s="26">
        <v>703827197</v>
      </c>
      <c r="H1281" s="26">
        <v>42229632</v>
      </c>
      <c r="I1281" s="26">
        <v>0</v>
      </c>
      <c r="J1281" s="26">
        <v>232</v>
      </c>
      <c r="K1281" t="inlineStr">
        <is>
          <t>Non</t>
        </is>
      </c>
      <c r="L1281">
        <f>SUBTOTAL(103,A1281)</f>
        <v>1</v>
      </c>
    </row>
    <row r="1282">
      <c r="A1282" t="inlineStr">
        <is>
          <t>SOCIETE C164</t>
        </is>
      </c>
      <c r="B1282" t="inlineStr">
        <is>
          <t>C164</t>
        </is>
      </c>
      <c r="C1282" t="inlineStr">
        <is>
          <t>CORPORATE BANKING</t>
        </is>
      </c>
      <c r="D1282" t="inlineStr">
        <is>
          <t>V</t>
        </is>
      </c>
      <c r="E1282" t="inlineStr">
        <is>
          <t>Stage 3</t>
        </is>
      </c>
      <c r="F1282" t="inlineStr">
        <is>
          <t>N/A</t>
        </is>
      </c>
      <c r="G1282" s="26">
        <v>164336182</v>
      </c>
      <c r="H1282" s="26">
        <v>90384900</v>
      </c>
      <c r="I1282" s="26">
        <v>3322956</v>
      </c>
      <c r="J1282" s="26">
        <v>2</v>
      </c>
      <c r="K1282" t="inlineStr">
        <is>
          <t>Oui</t>
        </is>
      </c>
      <c r="L1282">
        <f>SUBTOTAL(103,A1282)</f>
        <v>1</v>
      </c>
    </row>
    <row r="1283">
      <c r="A1283" t="inlineStr">
        <is>
          <t>SOCIETE C508</t>
        </is>
      </c>
      <c r="B1283" t="inlineStr">
        <is>
          <t>C508</t>
        </is>
      </c>
      <c r="C1283" t="inlineStr">
        <is>
          <t>COMMERCIAL BANKING</t>
        </is>
      </c>
      <c r="D1283" t="inlineStr">
        <is>
          <t>IV</t>
        </is>
      </c>
      <c r="E1283" t="inlineStr">
        <is>
          <t>Stage 3</t>
        </is>
      </c>
      <c r="F1283" t="inlineStr">
        <is>
          <t>N/A</t>
        </is>
      </c>
      <c r="G1283" s="26">
        <v>886451176</v>
      </c>
      <c r="H1283" s="26">
        <v>487548147</v>
      </c>
      <c r="I1283" s="26">
        <v>127451950</v>
      </c>
      <c r="J1283" s="26">
        <v>129</v>
      </c>
      <c r="K1283" t="inlineStr">
        <is>
          <t>Oui</t>
        </is>
      </c>
      <c r="L1283">
        <f>SUBTOTAL(103,A1283)</f>
        <v>1</v>
      </c>
    </row>
    <row r="1284">
      <c r="A1284" t="inlineStr">
        <is>
          <t>SOCIETE C123</t>
        </is>
      </c>
      <c r="B1284" t="inlineStr">
        <is>
          <t>C123</t>
        </is>
      </c>
      <c r="C1284" t="inlineStr">
        <is>
          <t>SME</t>
        </is>
      </c>
      <c r="D1284" t="inlineStr">
        <is>
          <t>I</t>
        </is>
      </c>
      <c r="E1284" t="inlineStr">
        <is>
          <t>Stage 1</t>
        </is>
      </c>
      <c r="F1284" t="inlineStr">
        <is>
          <t>N/A</t>
        </is>
      </c>
      <c r="G1284" s="26">
        <v>519019217</v>
      </c>
      <c r="H1284" s="26">
        <v>5190192</v>
      </c>
      <c r="I1284" s="26">
        <v>33903103</v>
      </c>
      <c r="J1284" s="26">
        <v>30</v>
      </c>
      <c r="K1284" t="inlineStr">
        <is>
          <t>Non</t>
        </is>
      </c>
      <c r="L1284">
        <f>SUBTOTAL(103,A1284)</f>
        <v>1</v>
      </c>
    </row>
    <row r="1285">
      <c r="A1285" t="inlineStr">
        <is>
          <t>SOCIETE C889</t>
        </is>
      </c>
      <c r="B1285" t="inlineStr">
        <is>
          <t>C889</t>
        </is>
      </c>
      <c r="C1285" t="inlineStr">
        <is>
          <t>SME</t>
        </is>
      </c>
      <c r="D1285" t="inlineStr">
        <is>
          <t>IA</t>
        </is>
      </c>
      <c r="E1285" t="inlineStr">
        <is>
          <t>Stage 2</t>
        </is>
      </c>
      <c r="F1285" t="inlineStr">
        <is>
          <t>N/A</t>
        </is>
      </c>
      <c r="G1285" s="26">
        <v>322519345</v>
      </c>
      <c r="H1285" s="26">
        <v>19351161</v>
      </c>
      <c r="I1285" s="26">
        <v>0</v>
      </c>
      <c r="J1285" s="26">
        <v>99</v>
      </c>
      <c r="K1285" t="inlineStr">
        <is>
          <t>Non</t>
        </is>
      </c>
      <c r="L1285">
        <f>SUBTOTAL(103,A1285)</f>
        <v>1</v>
      </c>
    </row>
    <row r="1286">
      <c r="A1286" t="inlineStr">
        <is>
          <t>SOCIETE C1390</t>
        </is>
      </c>
      <c r="B1286" t="inlineStr">
        <is>
          <t>C1390</t>
        </is>
      </c>
      <c r="C1286" t="inlineStr">
        <is>
          <t>COMMERCIAL BANKING</t>
        </is>
      </c>
      <c r="D1286" t="inlineStr">
        <is>
          <t>IA</t>
        </is>
      </c>
      <c r="E1286" t="inlineStr">
        <is>
          <t>Stage 2</t>
        </is>
      </c>
      <c r="F1286" t="inlineStr">
        <is>
          <t>N/A</t>
        </is>
      </c>
      <c r="G1286" s="26">
        <v>339382580</v>
      </c>
      <c r="H1286" s="26">
        <v>20362955</v>
      </c>
      <c r="I1286" s="26">
        <v>0</v>
      </c>
      <c r="J1286" s="26">
        <v>169</v>
      </c>
      <c r="K1286" t="inlineStr">
        <is>
          <t>Non</t>
        </is>
      </c>
      <c r="L1286">
        <f>SUBTOTAL(103,A1286)</f>
        <v>1</v>
      </c>
    </row>
    <row r="1287">
      <c r="A1287" t="inlineStr">
        <is>
          <t>SOCIETE C1021</t>
        </is>
      </c>
      <c r="B1287" t="inlineStr">
        <is>
          <t>C1021</t>
        </is>
      </c>
      <c r="C1287" t="inlineStr">
        <is>
          <t>CORPORATE BANKING</t>
        </is>
      </c>
      <c r="D1287" t="inlineStr">
        <is>
          <t>I</t>
        </is>
      </c>
      <c r="E1287" t="inlineStr">
        <is>
          <t>Stage 1</t>
        </is>
      </c>
      <c r="F1287" t="inlineStr">
        <is>
          <t>N/A</t>
        </is>
      </c>
      <c r="G1287" s="26">
        <v>627875771</v>
      </c>
      <c r="H1287" s="26">
        <v>6278758</v>
      </c>
      <c r="I1287" s="26">
        <v>0</v>
      </c>
      <c r="J1287" s="26">
        <v>58</v>
      </c>
      <c r="K1287" t="inlineStr">
        <is>
          <t>Non</t>
        </is>
      </c>
      <c r="L1287">
        <f>SUBTOTAL(103,A1287)</f>
        <v>1</v>
      </c>
    </row>
    <row r="1288">
      <c r="A1288" t="inlineStr">
        <is>
          <t>SOCIETE C1363</t>
        </is>
      </c>
      <c r="B1288" t="inlineStr">
        <is>
          <t>C1363</t>
        </is>
      </c>
      <c r="C1288" t="inlineStr">
        <is>
          <t>SME</t>
        </is>
      </c>
      <c r="D1288" t="inlineStr">
        <is>
          <t>II</t>
        </is>
      </c>
      <c r="E1288" t="inlineStr">
        <is>
          <t>Stage 2</t>
        </is>
      </c>
      <c r="F1288" t="inlineStr">
        <is>
          <t>N/A</t>
        </is>
      </c>
      <c r="G1288" s="26">
        <v>681201148</v>
      </c>
      <c r="H1288" s="26">
        <v>40872069</v>
      </c>
      <c r="I1288" s="26">
        <v>0</v>
      </c>
      <c r="J1288" s="26">
        <v>0</v>
      </c>
      <c r="K1288" t="inlineStr">
        <is>
          <t>Non</t>
        </is>
      </c>
      <c r="L1288">
        <f>SUBTOTAL(103,A1288)</f>
        <v>1</v>
      </c>
    </row>
    <row r="1289">
      <c r="A1289" t="inlineStr">
        <is>
          <t>SOCIETE C239</t>
        </is>
      </c>
      <c r="B1289" t="inlineStr">
        <is>
          <t>C239</t>
        </is>
      </c>
      <c r="C1289" t="inlineStr">
        <is>
          <t>CORPORATE BANKING</t>
        </is>
      </c>
      <c r="D1289" t="inlineStr">
        <is>
          <t>IA</t>
        </is>
      </c>
      <c r="E1289" t="inlineStr">
        <is>
          <t>Stage 2</t>
        </is>
      </c>
      <c r="F1289" t="inlineStr">
        <is>
          <t>N/A</t>
        </is>
      </c>
      <c r="G1289" s="26">
        <v>3875368</v>
      </c>
      <c r="H1289" s="26">
        <v>232522</v>
      </c>
      <c r="I1289" s="26">
        <v>183948</v>
      </c>
      <c r="J1289" s="26">
        <v>301</v>
      </c>
      <c r="K1289" t="inlineStr">
        <is>
          <t>Non</t>
        </is>
      </c>
      <c r="L1289">
        <f>SUBTOTAL(103,A1289)</f>
        <v>1</v>
      </c>
    </row>
    <row r="1290">
      <c r="A1290" t="inlineStr">
        <is>
          <t>SOCIETE C689</t>
        </is>
      </c>
      <c r="B1290" t="inlineStr">
        <is>
          <t>C689</t>
        </is>
      </c>
      <c r="C1290" t="inlineStr">
        <is>
          <t>PUBLIC SECTOR</t>
        </is>
      </c>
      <c r="D1290" t="inlineStr">
        <is>
          <t>I</t>
        </is>
      </c>
      <c r="E1290" t="inlineStr">
        <is>
          <t>Stage 1</t>
        </is>
      </c>
      <c r="F1290" t="inlineStr">
        <is>
          <t>N/A</t>
        </is>
      </c>
      <c r="G1290" s="26">
        <v>2205385211</v>
      </c>
      <c r="H1290" s="26">
        <v>22053852</v>
      </c>
      <c r="I1290" s="26">
        <v>0</v>
      </c>
      <c r="J1290" s="26">
        <v>168</v>
      </c>
      <c r="K1290" t="inlineStr">
        <is>
          <t>Non</t>
        </is>
      </c>
      <c r="L1290">
        <f>SUBTOTAL(103,A1290)</f>
        <v>1</v>
      </c>
    </row>
    <row r="1291">
      <c r="A1291" t="inlineStr">
        <is>
          <t>SOCIETE C470</t>
        </is>
      </c>
      <c r="B1291" t="inlineStr">
        <is>
          <t>C470</t>
        </is>
      </c>
      <c r="C1291" t="inlineStr">
        <is>
          <t>CORPORATE BANKING</t>
        </is>
      </c>
      <c r="D1291" t="inlineStr">
        <is>
          <t>III</t>
        </is>
      </c>
      <c r="E1291" t="inlineStr">
        <is>
          <t>Stage 3</t>
        </is>
      </c>
      <c r="F1291" t="inlineStr">
        <is>
          <t>N/A</t>
        </is>
      </c>
      <c r="G1291" s="26">
        <v>1035595910</v>
      </c>
      <c r="H1291" s="26">
        <v>569577751</v>
      </c>
      <c r="I1291" s="26">
        <v>0</v>
      </c>
      <c r="J1291" s="26">
        <v>274</v>
      </c>
      <c r="K1291" t="inlineStr">
        <is>
          <t>Oui</t>
        </is>
      </c>
      <c r="L1291">
        <f>SUBTOTAL(103,A1291)</f>
        <v>1</v>
      </c>
    </row>
    <row r="1292">
      <c r="A1292" t="inlineStr">
        <is>
          <t>SOCIETE C796</t>
        </is>
      </c>
      <c r="B1292" t="inlineStr">
        <is>
          <t>C796</t>
        </is>
      </c>
      <c r="C1292" t="inlineStr">
        <is>
          <t>CORPORATE BANKING</t>
        </is>
      </c>
      <c r="D1292" t="inlineStr">
        <is>
          <t>I</t>
        </is>
      </c>
      <c r="E1292" t="inlineStr">
        <is>
          <t>Stage 1</t>
        </is>
      </c>
      <c r="F1292" t="inlineStr">
        <is>
          <t>N/A</t>
        </is>
      </c>
      <c r="G1292" s="26">
        <v>663393651</v>
      </c>
      <c r="H1292" s="26">
        <v>6633937</v>
      </c>
      <c r="I1292" s="26">
        <v>0</v>
      </c>
      <c r="J1292" s="26">
        <v>18</v>
      </c>
      <c r="K1292" t="inlineStr">
        <is>
          <t>Non</t>
        </is>
      </c>
      <c r="L1292">
        <f>SUBTOTAL(103,A1292)</f>
        <v>1</v>
      </c>
    </row>
    <row r="1293">
      <c r="A1293" t="inlineStr">
        <is>
          <t>SOCIETE C2089</t>
        </is>
      </c>
      <c r="B1293" t="inlineStr">
        <is>
          <t>C2089</t>
        </is>
      </c>
      <c r="C1293" t="inlineStr">
        <is>
          <t>CONSUMER BANKING</t>
        </is>
      </c>
      <c r="D1293" t="inlineStr">
        <is>
          <t>I</t>
        </is>
      </c>
      <c r="E1293" t="inlineStr">
        <is>
          <t>Stage 1</t>
        </is>
      </c>
      <c r="F1293" t="inlineStr">
        <is>
          <t>N/A</t>
        </is>
      </c>
      <c r="G1293" s="26">
        <v>570586767</v>
      </c>
      <c r="H1293" s="26">
        <v>5705868</v>
      </c>
      <c r="I1293" s="26">
        <v>0</v>
      </c>
      <c r="J1293" s="26">
        <v>104</v>
      </c>
      <c r="K1293" t="inlineStr">
        <is>
          <t>Non</t>
        </is>
      </c>
      <c r="L1293">
        <f>SUBTOTAL(103,A1293)</f>
        <v>1</v>
      </c>
    </row>
    <row r="1294">
      <c r="A1294" t="inlineStr">
        <is>
          <t>SOCIETE C1991</t>
        </is>
      </c>
      <c r="B1294" t="inlineStr">
        <is>
          <t>C1991</t>
        </is>
      </c>
      <c r="C1294" t="inlineStr">
        <is>
          <t>CORPORATE BANKING</t>
        </is>
      </c>
      <c r="D1294" t="inlineStr">
        <is>
          <t>IA</t>
        </is>
      </c>
      <c r="E1294" t="inlineStr">
        <is>
          <t>Stage 2</t>
        </is>
      </c>
      <c r="F1294" t="inlineStr">
        <is>
          <t>N/A</t>
        </is>
      </c>
      <c r="G1294" s="26">
        <v>2905009596</v>
      </c>
      <c r="H1294" s="26">
        <v>174300576</v>
      </c>
      <c r="I1294" s="26">
        <v>0</v>
      </c>
      <c r="J1294" s="26">
        <v>16</v>
      </c>
      <c r="K1294" t="inlineStr">
        <is>
          <t>Non</t>
        </is>
      </c>
      <c r="L1294">
        <f>SUBTOTAL(103,A1294)</f>
        <v>1</v>
      </c>
    </row>
    <row r="1295">
      <c r="A1295" t="inlineStr">
        <is>
          <t>SOCIETE C2260</t>
        </is>
      </c>
      <c r="B1295" t="inlineStr">
        <is>
          <t>C2260</t>
        </is>
      </c>
      <c r="C1295" t="inlineStr">
        <is>
          <t>COMMERCIAL BANKING</t>
        </is>
      </c>
      <c r="D1295" t="inlineStr">
        <is>
          <t>IA</t>
        </is>
      </c>
      <c r="E1295" t="inlineStr">
        <is>
          <t>Stage 2</t>
        </is>
      </c>
      <c r="F1295" t="inlineStr">
        <is>
          <t>N/A</t>
        </is>
      </c>
      <c r="G1295" s="26">
        <v>1357154335</v>
      </c>
      <c r="H1295" s="26">
        <v>81429260</v>
      </c>
      <c r="I1295" s="26">
        <v>0</v>
      </c>
      <c r="J1295" s="26">
        <v>0</v>
      </c>
      <c r="K1295" t="inlineStr">
        <is>
          <t>Non</t>
        </is>
      </c>
      <c r="L1295">
        <f>SUBTOTAL(103,A1295)</f>
        <v>1</v>
      </c>
    </row>
    <row r="1296">
      <c r="A1296" t="inlineStr">
        <is>
          <t>SOCIETE C760</t>
        </is>
      </c>
      <c r="B1296" t="inlineStr">
        <is>
          <t>C760</t>
        </is>
      </c>
      <c r="C1296" t="inlineStr">
        <is>
          <t>COMMERCIAL BANKING</t>
        </is>
      </c>
      <c r="D1296" t="inlineStr">
        <is>
          <t>II</t>
        </is>
      </c>
      <c r="E1296" t="inlineStr">
        <is>
          <t>Stage 2</t>
        </is>
      </c>
      <c r="F1296" t="inlineStr">
        <is>
          <t>N/A</t>
        </is>
      </c>
      <c r="G1296" s="26">
        <v>3322766</v>
      </c>
      <c r="H1296" s="26">
        <v>199366</v>
      </c>
      <c r="I1296" s="26">
        <v>0</v>
      </c>
      <c r="J1296" s="26">
        <v>149</v>
      </c>
      <c r="K1296" t="inlineStr">
        <is>
          <t>Non</t>
        </is>
      </c>
      <c r="L1296">
        <f>SUBTOTAL(103,A1296)</f>
        <v>1</v>
      </c>
    </row>
    <row r="1297">
      <c r="A1297" t="inlineStr">
        <is>
          <t>SOCIETE C1885</t>
        </is>
      </c>
      <c r="B1297" t="inlineStr">
        <is>
          <t>C1885</t>
        </is>
      </c>
      <c r="C1297" t="inlineStr">
        <is>
          <t>COMMERCIAL BANKING</t>
        </is>
      </c>
      <c r="D1297" t="inlineStr">
        <is>
          <t>III</t>
        </is>
      </c>
      <c r="E1297" t="inlineStr">
        <is>
          <t>Stage 3</t>
        </is>
      </c>
      <c r="F1297" t="inlineStr">
        <is>
          <t>N/A</t>
        </is>
      </c>
      <c r="G1297" s="26">
        <v>1314971528</v>
      </c>
      <c r="H1297" s="26">
        <v>723234340</v>
      </c>
      <c r="I1297" s="26">
        <v>68058265</v>
      </c>
      <c r="J1297" s="26">
        <v>37</v>
      </c>
      <c r="K1297" t="inlineStr">
        <is>
          <t>Oui</t>
        </is>
      </c>
      <c r="L1297">
        <f>SUBTOTAL(103,A1297)</f>
        <v>1</v>
      </c>
    </row>
    <row r="1298">
      <c r="A1298" t="inlineStr">
        <is>
          <t>SOCIETE C2373</t>
        </is>
      </c>
      <c r="B1298" t="inlineStr">
        <is>
          <t>C2373</t>
        </is>
      </c>
      <c r="C1298" t="inlineStr">
        <is>
          <t>COMMERCIAL BANKING</t>
        </is>
      </c>
      <c r="D1298" t="inlineStr">
        <is>
          <t>IA</t>
        </is>
      </c>
      <c r="E1298" t="inlineStr">
        <is>
          <t>Stage 2</t>
        </is>
      </c>
      <c r="F1298" t="inlineStr">
        <is>
          <t>N/A</t>
        </is>
      </c>
      <c r="G1298" s="26">
        <v>1100028050</v>
      </c>
      <c r="H1298" s="26">
        <v>66001683</v>
      </c>
      <c r="I1298" s="26">
        <v>0</v>
      </c>
      <c r="J1298" s="26">
        <v>11</v>
      </c>
      <c r="K1298" t="inlineStr">
        <is>
          <t>Non</t>
        </is>
      </c>
      <c r="L1298">
        <f>SUBTOTAL(103,A1298)</f>
        <v>1</v>
      </c>
    </row>
    <row r="1299">
      <c r="A1299" t="inlineStr">
        <is>
          <t>SOCIETE C1457</t>
        </is>
      </c>
      <c r="B1299" t="inlineStr">
        <is>
          <t>C1457</t>
        </is>
      </c>
      <c r="C1299" t="inlineStr">
        <is>
          <t>CORPORATE BANKING</t>
        </is>
      </c>
      <c r="D1299" t="inlineStr">
        <is>
          <t>IA</t>
        </is>
      </c>
      <c r="E1299" t="inlineStr">
        <is>
          <t>Stage 2</t>
        </is>
      </c>
      <c r="F1299" t="inlineStr">
        <is>
          <t>N/A</t>
        </is>
      </c>
      <c r="G1299" s="26">
        <v>1318205</v>
      </c>
      <c r="H1299" s="26">
        <v>79092</v>
      </c>
      <c r="I1299" s="26">
        <v>0</v>
      </c>
      <c r="J1299" s="26">
        <v>63</v>
      </c>
      <c r="K1299" t="inlineStr">
        <is>
          <t>Non</t>
        </is>
      </c>
      <c r="L1299">
        <f>SUBTOTAL(103,A1299)</f>
        <v>1</v>
      </c>
    </row>
    <row r="1300">
      <c r="A1300" t="inlineStr">
        <is>
          <t>SOCIETE C1315</t>
        </is>
      </c>
      <c r="B1300" t="inlineStr">
        <is>
          <t>C1315</t>
        </is>
      </c>
      <c r="C1300" t="inlineStr">
        <is>
          <t>CORPORATE BANKING</t>
        </is>
      </c>
      <c r="D1300" t="inlineStr">
        <is>
          <t>V</t>
        </is>
      </c>
      <c r="E1300" t="inlineStr">
        <is>
          <t>Stage 3</t>
        </is>
      </c>
      <c r="F1300" t="inlineStr">
        <is>
          <t>N/A</t>
        </is>
      </c>
      <c r="G1300" s="26">
        <v>491697181</v>
      </c>
      <c r="H1300" s="26">
        <v>270433449</v>
      </c>
      <c r="I1300" s="26">
        <v>0</v>
      </c>
      <c r="J1300" s="26">
        <v>84</v>
      </c>
      <c r="K1300" t="inlineStr">
        <is>
          <t>Oui</t>
        </is>
      </c>
      <c r="L1300">
        <f>SUBTOTAL(103,A1300)</f>
        <v>1</v>
      </c>
    </row>
    <row r="1301">
      <c r="A1301" t="inlineStr">
        <is>
          <t>SOCIETE C2182</t>
        </is>
      </c>
      <c r="B1301" t="inlineStr">
        <is>
          <t>C2182</t>
        </is>
      </c>
      <c r="C1301" t="inlineStr">
        <is>
          <t>PUBLIC SECTOR</t>
        </is>
      </c>
      <c r="D1301" t="inlineStr">
        <is>
          <t>II</t>
        </is>
      </c>
      <c r="E1301" t="inlineStr">
        <is>
          <t>Stage 2</t>
        </is>
      </c>
      <c r="F1301" t="inlineStr">
        <is>
          <t>N/A</t>
        </is>
      </c>
      <c r="G1301" s="26">
        <v>26967943</v>
      </c>
      <c r="H1301" s="26">
        <v>1618077</v>
      </c>
      <c r="I1301" s="26">
        <v>0</v>
      </c>
      <c r="J1301" s="26">
        <v>3</v>
      </c>
      <c r="K1301" t="inlineStr">
        <is>
          <t>Non</t>
        </is>
      </c>
      <c r="L1301">
        <f>SUBTOTAL(103,A1301)</f>
        <v>1</v>
      </c>
    </row>
    <row r="1302">
      <c r="A1302" t="inlineStr">
        <is>
          <t>SOCIETE C1186</t>
        </is>
      </c>
      <c r="B1302" t="inlineStr">
        <is>
          <t>C1186</t>
        </is>
      </c>
      <c r="C1302" t="inlineStr">
        <is>
          <t>COMMERCIAL BANKING</t>
        </is>
      </c>
      <c r="D1302" t="inlineStr">
        <is>
          <t>IV</t>
        </is>
      </c>
      <c r="E1302" t="inlineStr">
        <is>
          <t>Stage 3</t>
        </is>
      </c>
      <c r="F1302" t="inlineStr">
        <is>
          <t>N/A</t>
        </is>
      </c>
      <c r="G1302" s="26">
        <v>86035184</v>
      </c>
      <c r="H1302" s="26">
        <v>47319351</v>
      </c>
      <c r="I1302" s="26">
        <v>0</v>
      </c>
      <c r="J1302" s="26">
        <v>63</v>
      </c>
      <c r="K1302" t="inlineStr">
        <is>
          <t>Oui</t>
        </is>
      </c>
      <c r="L1302">
        <f>SUBTOTAL(103,A1302)</f>
        <v>1</v>
      </c>
    </row>
    <row r="1303">
      <c r="A1303" t="inlineStr">
        <is>
          <t>SOCIETE C1526</t>
        </is>
      </c>
      <c r="B1303" t="inlineStr">
        <is>
          <t>C1526</t>
        </is>
      </c>
      <c r="C1303" t="inlineStr">
        <is>
          <t>COMMERCIAL BANKING</t>
        </is>
      </c>
      <c r="D1303" t="inlineStr">
        <is>
          <t>I</t>
        </is>
      </c>
      <c r="E1303" t="inlineStr">
        <is>
          <t>Stage 1</t>
        </is>
      </c>
      <c r="F1303" t="inlineStr">
        <is>
          <t>N/A</t>
        </is>
      </c>
      <c r="G1303" s="26">
        <v>328384834</v>
      </c>
      <c r="H1303" s="26">
        <v>3283848</v>
      </c>
      <c r="I1303" s="26">
        <v>0</v>
      </c>
      <c r="J1303" s="26">
        <v>45</v>
      </c>
      <c r="K1303" t="inlineStr">
        <is>
          <t>Non</t>
        </is>
      </c>
      <c r="L1303">
        <f>SUBTOTAL(103,A1303)</f>
        <v>1</v>
      </c>
    </row>
    <row r="1304">
      <c r="A1304" t="inlineStr">
        <is>
          <t>SOCIETE C1007</t>
        </is>
      </c>
      <c r="B1304" t="inlineStr">
        <is>
          <t>C1007</t>
        </is>
      </c>
      <c r="C1304" t="inlineStr">
        <is>
          <t>CORPORATE BANKING</t>
        </is>
      </c>
      <c r="D1304" t="inlineStr">
        <is>
          <t>V</t>
        </is>
      </c>
      <c r="E1304" t="inlineStr">
        <is>
          <t>Stage 3</t>
        </is>
      </c>
      <c r="F1304" t="inlineStr">
        <is>
          <t>N/A</t>
        </is>
      </c>
      <c r="G1304" s="26">
        <v>978536475</v>
      </c>
      <c r="H1304" s="26">
        <v>538195061</v>
      </c>
      <c r="I1304" s="26">
        <v>0</v>
      </c>
      <c r="J1304" s="26">
        <v>66</v>
      </c>
      <c r="K1304" t="inlineStr">
        <is>
          <t>Oui</t>
        </is>
      </c>
      <c r="L1304">
        <f>SUBTOTAL(103,A1304)</f>
        <v>1</v>
      </c>
    </row>
    <row r="1305">
      <c r="A1305" t="inlineStr">
        <is>
          <t>SOCIETE C1487</t>
        </is>
      </c>
      <c r="B1305" t="inlineStr">
        <is>
          <t>C1487</t>
        </is>
      </c>
      <c r="C1305" t="inlineStr">
        <is>
          <t>SME</t>
        </is>
      </c>
      <c r="D1305" t="inlineStr">
        <is>
          <t>II</t>
        </is>
      </c>
      <c r="E1305" t="inlineStr">
        <is>
          <t>Stage 2</t>
        </is>
      </c>
      <c r="F1305" t="inlineStr">
        <is>
          <t>N/A</t>
        </is>
      </c>
      <c r="G1305" s="26">
        <v>1000007</v>
      </c>
      <c r="H1305" s="26">
        <v>60000</v>
      </c>
      <c r="I1305" s="26">
        <v>65020</v>
      </c>
      <c r="J1305" s="26">
        <v>256</v>
      </c>
      <c r="K1305" t="inlineStr">
        <is>
          <t>Non</t>
        </is>
      </c>
      <c r="L1305">
        <f>SUBTOTAL(103,A1305)</f>
        <v>1</v>
      </c>
    </row>
    <row r="1306">
      <c r="A1306" t="inlineStr">
        <is>
          <t>SOCIETE C1945</t>
        </is>
      </c>
      <c r="B1306" t="inlineStr">
        <is>
          <t>C1945</t>
        </is>
      </c>
      <c r="C1306" t="inlineStr">
        <is>
          <t>SME</t>
        </is>
      </c>
      <c r="D1306" t="inlineStr">
        <is>
          <t>IA</t>
        </is>
      </c>
      <c r="E1306" t="inlineStr">
        <is>
          <t>Stage 2</t>
        </is>
      </c>
      <c r="F1306" t="inlineStr">
        <is>
          <t>N/A</t>
        </is>
      </c>
      <c r="G1306" s="26">
        <v>2155405901</v>
      </c>
      <c r="H1306" s="26">
        <v>129324354</v>
      </c>
      <c r="I1306" s="26">
        <v>28441530</v>
      </c>
      <c r="J1306" s="26">
        <v>227</v>
      </c>
      <c r="K1306" t="inlineStr">
        <is>
          <t>Non</t>
        </is>
      </c>
      <c r="L1306">
        <f>SUBTOTAL(103,A1306)</f>
        <v>1</v>
      </c>
    </row>
    <row r="1307">
      <c r="A1307" t="inlineStr">
        <is>
          <t>SOCIETE C502</t>
        </is>
      </c>
      <c r="B1307" t="inlineStr">
        <is>
          <t>C502</t>
        </is>
      </c>
      <c r="C1307" t="inlineStr">
        <is>
          <t>COMMERCIAL BANKING</t>
        </is>
      </c>
      <c r="D1307" t="inlineStr">
        <is>
          <t>IA</t>
        </is>
      </c>
      <c r="E1307" t="inlineStr">
        <is>
          <t>Stage 2</t>
        </is>
      </c>
      <c r="F1307" t="inlineStr">
        <is>
          <t>N/A</t>
        </is>
      </c>
      <c r="G1307" s="26">
        <v>97666011</v>
      </c>
      <c r="H1307" s="26">
        <v>5859961</v>
      </c>
      <c r="I1307" s="26">
        <v>0</v>
      </c>
      <c r="J1307" s="26">
        <v>26</v>
      </c>
      <c r="K1307" t="inlineStr">
        <is>
          <t>Non</t>
        </is>
      </c>
      <c r="L1307">
        <f>SUBTOTAL(103,A1307)</f>
        <v>1</v>
      </c>
    </row>
    <row r="1308">
      <c r="A1308" t="inlineStr">
        <is>
          <t>SOCIETE C850</t>
        </is>
      </c>
      <c r="B1308" t="inlineStr">
        <is>
          <t>C850</t>
        </is>
      </c>
      <c r="C1308" t="inlineStr">
        <is>
          <t>COMMERCIAL BANKING</t>
        </is>
      </c>
      <c r="D1308" t="inlineStr">
        <is>
          <t>V</t>
        </is>
      </c>
      <c r="E1308" t="inlineStr">
        <is>
          <t>Stage 3</t>
        </is>
      </c>
      <c r="F1308" t="inlineStr">
        <is>
          <t>N/A</t>
        </is>
      </c>
      <c r="G1308" s="26">
        <v>1805104818</v>
      </c>
      <c r="H1308" s="26">
        <v>992807650</v>
      </c>
      <c r="I1308" s="26">
        <v>0</v>
      </c>
      <c r="J1308" s="26">
        <v>20</v>
      </c>
      <c r="K1308" t="inlineStr">
        <is>
          <t>Oui</t>
        </is>
      </c>
      <c r="L1308">
        <f>SUBTOTAL(103,A1308)</f>
        <v>1</v>
      </c>
    </row>
    <row r="1309">
      <c r="A1309" t="inlineStr">
        <is>
          <t>SOCIETE C1074</t>
        </is>
      </c>
      <c r="B1309" t="inlineStr">
        <is>
          <t>C1074</t>
        </is>
      </c>
      <c r="C1309" t="inlineStr">
        <is>
          <t>CORPORATE BANKING</t>
        </is>
      </c>
      <c r="D1309" t="inlineStr">
        <is>
          <t>V</t>
        </is>
      </c>
      <c r="E1309" t="inlineStr">
        <is>
          <t>Stage 3</t>
        </is>
      </c>
      <c r="F1309" t="inlineStr">
        <is>
          <t>N/A</t>
        </is>
      </c>
      <c r="G1309" s="26">
        <v>339992186</v>
      </c>
      <c r="H1309" s="26">
        <v>186995702</v>
      </c>
      <c r="I1309" s="26">
        <v>0</v>
      </c>
      <c r="J1309" s="26">
        <v>202</v>
      </c>
      <c r="K1309" t="inlineStr">
        <is>
          <t>Oui</t>
        </is>
      </c>
      <c r="L1309">
        <f>SUBTOTAL(103,A1309)</f>
        <v>1</v>
      </c>
    </row>
    <row r="1310">
      <c r="A1310" t="inlineStr">
        <is>
          <t>SOCIETE C1787</t>
        </is>
      </c>
      <c r="B1310" t="inlineStr">
        <is>
          <t>C1787</t>
        </is>
      </c>
      <c r="C1310" t="inlineStr">
        <is>
          <t>CORPORATE BANKING</t>
        </is>
      </c>
      <c r="D1310" t="inlineStr">
        <is>
          <t>I</t>
        </is>
      </c>
      <c r="E1310" t="inlineStr">
        <is>
          <t>Stage 1</t>
        </is>
      </c>
      <c r="F1310" t="inlineStr">
        <is>
          <t>N/A</t>
        </is>
      </c>
      <c r="G1310" s="26">
        <v>2747782</v>
      </c>
      <c r="H1310" s="26">
        <v>27478</v>
      </c>
      <c r="I1310" s="26">
        <v>0</v>
      </c>
      <c r="J1310" s="26">
        <v>55</v>
      </c>
      <c r="K1310" t="inlineStr">
        <is>
          <t>Non</t>
        </is>
      </c>
      <c r="L1310">
        <f>SUBTOTAL(103,A1310)</f>
        <v>1</v>
      </c>
    </row>
    <row r="1311">
      <c r="A1311" t="inlineStr">
        <is>
          <t>SOCIETE C1590</t>
        </is>
      </c>
      <c r="B1311" t="inlineStr">
        <is>
          <t>C1590</t>
        </is>
      </c>
      <c r="C1311" t="inlineStr">
        <is>
          <t>PUBLIC SECTOR</t>
        </is>
      </c>
      <c r="D1311" t="inlineStr">
        <is>
          <t>II</t>
        </is>
      </c>
      <c r="E1311" t="inlineStr">
        <is>
          <t>Stage 2</t>
        </is>
      </c>
      <c r="F1311" t="inlineStr">
        <is>
          <t>N/A</t>
        </is>
      </c>
      <c r="G1311" s="26">
        <v>12781280</v>
      </c>
      <c r="H1311" s="26">
        <v>766877</v>
      </c>
      <c r="I1311" s="26">
        <v>0</v>
      </c>
      <c r="J1311" s="26">
        <v>83</v>
      </c>
      <c r="K1311" t="inlineStr">
        <is>
          <t>Non</t>
        </is>
      </c>
      <c r="L1311">
        <f>SUBTOTAL(103,A1311)</f>
        <v>1</v>
      </c>
    </row>
    <row r="1312">
      <c r="A1312" t="inlineStr">
        <is>
          <t>SOCIETE C1242</t>
        </is>
      </c>
      <c r="B1312" t="inlineStr">
        <is>
          <t>C1242</t>
        </is>
      </c>
      <c r="C1312" t="inlineStr">
        <is>
          <t>CORPORATE BANKING</t>
        </is>
      </c>
      <c r="D1312" t="inlineStr">
        <is>
          <t>IA</t>
        </is>
      </c>
      <c r="E1312" t="inlineStr">
        <is>
          <t>Stage 2</t>
        </is>
      </c>
      <c r="F1312" t="inlineStr">
        <is>
          <t>N/A</t>
        </is>
      </c>
      <c r="G1312" s="26">
        <v>1767280444</v>
      </c>
      <c r="H1312" s="26">
        <v>106036827</v>
      </c>
      <c r="I1312" s="26">
        <v>0</v>
      </c>
      <c r="J1312" s="26">
        <v>71</v>
      </c>
      <c r="K1312" t="inlineStr">
        <is>
          <t>Non</t>
        </is>
      </c>
      <c r="L1312">
        <f>SUBTOTAL(103,A1312)</f>
        <v>1</v>
      </c>
    </row>
    <row r="1313">
      <c r="A1313" t="inlineStr">
        <is>
          <t>SOCIETE C1686</t>
        </is>
      </c>
      <c r="B1313" t="inlineStr">
        <is>
          <t>C1686</t>
        </is>
      </c>
      <c r="C1313" t="inlineStr">
        <is>
          <t>CONSUMER BANKING</t>
        </is>
      </c>
      <c r="D1313" t="inlineStr">
        <is>
          <t>IA</t>
        </is>
      </c>
      <c r="E1313" t="inlineStr">
        <is>
          <t>Stage 2</t>
        </is>
      </c>
      <c r="F1313" t="inlineStr">
        <is>
          <t>N/A</t>
        </is>
      </c>
      <c r="G1313" s="26">
        <v>2302892041</v>
      </c>
      <c r="H1313" s="26">
        <v>138173522</v>
      </c>
      <c r="I1313" s="26">
        <v>154137935</v>
      </c>
      <c r="J1313" s="26">
        <v>224</v>
      </c>
      <c r="K1313" t="inlineStr">
        <is>
          <t>Non</t>
        </is>
      </c>
      <c r="L1313">
        <f>SUBTOTAL(103,A1313)</f>
        <v>1</v>
      </c>
    </row>
    <row r="1314">
      <c r="A1314" t="inlineStr">
        <is>
          <t>SOCIETE C498</t>
        </is>
      </c>
      <c r="B1314" t="inlineStr">
        <is>
          <t>C498</t>
        </is>
      </c>
      <c r="C1314" t="inlineStr">
        <is>
          <t>CORPORATE BANKING</t>
        </is>
      </c>
      <c r="D1314" t="inlineStr">
        <is>
          <t>II</t>
        </is>
      </c>
      <c r="E1314" t="inlineStr">
        <is>
          <t>Stage 2</t>
        </is>
      </c>
      <c r="F1314" t="inlineStr">
        <is>
          <t>N/A</t>
        </is>
      </c>
      <c r="G1314" s="26">
        <v>2936248314</v>
      </c>
      <c r="H1314" s="26">
        <v>176174899</v>
      </c>
      <c r="I1314" s="26">
        <v>0</v>
      </c>
      <c r="J1314" s="26">
        <v>183</v>
      </c>
      <c r="K1314" t="inlineStr">
        <is>
          <t>Non</t>
        </is>
      </c>
      <c r="L1314">
        <f>SUBTOTAL(103,A1314)</f>
        <v>1</v>
      </c>
    </row>
    <row r="1315">
      <c r="A1315" t="inlineStr">
        <is>
          <t>SOCIETE C154</t>
        </is>
      </c>
      <c r="B1315" t="inlineStr">
        <is>
          <t>C154</t>
        </is>
      </c>
      <c r="C1315" t="inlineStr">
        <is>
          <t>CONSUMER BANKING</t>
        </is>
      </c>
      <c r="D1315" t="inlineStr">
        <is>
          <t>V</t>
        </is>
      </c>
      <c r="E1315" t="inlineStr">
        <is>
          <t>Stage 3</t>
        </is>
      </c>
      <c r="F1315" t="inlineStr">
        <is>
          <t>N/A</t>
        </is>
      </c>
      <c r="G1315" s="26">
        <v>164643756</v>
      </c>
      <c r="H1315" s="26">
        <v>90554066</v>
      </c>
      <c r="I1315" s="26">
        <v>0</v>
      </c>
      <c r="J1315" s="26">
        <v>234</v>
      </c>
      <c r="K1315" t="inlineStr">
        <is>
          <t>Oui</t>
        </is>
      </c>
      <c r="L1315">
        <f>SUBTOTAL(103,A1315)</f>
        <v>1</v>
      </c>
    </row>
    <row r="1316">
      <c r="A1316" t="inlineStr">
        <is>
          <t>SOCIETE C107</t>
        </is>
      </c>
      <c r="B1316" t="inlineStr">
        <is>
          <t>C107</t>
        </is>
      </c>
      <c r="C1316" t="inlineStr">
        <is>
          <t>PUBLIC SECTOR</t>
        </is>
      </c>
      <c r="D1316" t="inlineStr">
        <is>
          <t>IA</t>
        </is>
      </c>
      <c r="E1316" t="inlineStr">
        <is>
          <t>Stage 2</t>
        </is>
      </c>
      <c r="F1316" t="inlineStr">
        <is>
          <t>N/A</t>
        </is>
      </c>
      <c r="G1316" s="26">
        <v>2001830</v>
      </c>
      <c r="H1316" s="26">
        <v>120110</v>
      </c>
      <c r="I1316" s="26">
        <v>0</v>
      </c>
      <c r="J1316" s="26">
        <v>265</v>
      </c>
      <c r="K1316" t="inlineStr">
        <is>
          <t>Non</t>
        </is>
      </c>
      <c r="L1316">
        <f>SUBTOTAL(103,A1316)</f>
        <v>1</v>
      </c>
    </row>
    <row r="1317">
      <c r="A1317" t="inlineStr">
        <is>
          <t>SOCIETE C333</t>
        </is>
      </c>
      <c r="B1317" t="inlineStr">
        <is>
          <t>C333</t>
        </is>
      </c>
      <c r="C1317" t="inlineStr">
        <is>
          <t>COMMERCIAL BANKING</t>
        </is>
      </c>
      <c r="D1317" t="inlineStr">
        <is>
          <t>I</t>
        </is>
      </c>
      <c r="E1317" t="inlineStr">
        <is>
          <t>Stage 1</t>
        </is>
      </c>
      <c r="F1317" t="inlineStr">
        <is>
          <t>N/A</t>
        </is>
      </c>
      <c r="G1317" s="26">
        <v>36700258</v>
      </c>
      <c r="H1317" s="26">
        <v>367003</v>
      </c>
      <c r="I1317" s="26">
        <v>0</v>
      </c>
      <c r="J1317" s="26">
        <v>374</v>
      </c>
      <c r="K1317" t="inlineStr">
        <is>
          <t>Non</t>
        </is>
      </c>
      <c r="L1317">
        <f>SUBTOTAL(103,A1317)</f>
        <v>1</v>
      </c>
    </row>
    <row r="1318">
      <c r="A1318" t="inlineStr">
        <is>
          <t>SOCIETE C1393</t>
        </is>
      </c>
      <c r="B1318" t="inlineStr">
        <is>
          <t>C1393</t>
        </is>
      </c>
      <c r="C1318" t="inlineStr">
        <is>
          <t>CORPORATE BANKING</t>
        </is>
      </c>
      <c r="D1318" t="inlineStr">
        <is>
          <t>I</t>
        </is>
      </c>
      <c r="E1318" t="inlineStr">
        <is>
          <t>Stage 1</t>
        </is>
      </c>
      <c r="F1318" t="inlineStr">
        <is>
          <t>N/A</t>
        </is>
      </c>
      <c r="G1318" s="26">
        <v>2387789602</v>
      </c>
      <c r="H1318" s="26">
        <v>23877896</v>
      </c>
      <c r="I1318" s="26">
        <v>0</v>
      </c>
      <c r="J1318" s="26">
        <v>71</v>
      </c>
      <c r="K1318" t="inlineStr">
        <is>
          <t>Non</t>
        </is>
      </c>
      <c r="L1318">
        <f>SUBTOTAL(103,A1318)</f>
        <v>1</v>
      </c>
    </row>
    <row r="1319">
      <c r="A1319" t="inlineStr">
        <is>
          <t>SOCIETE C1932</t>
        </is>
      </c>
      <c r="B1319" t="inlineStr">
        <is>
          <t>C1932</t>
        </is>
      </c>
      <c r="C1319" t="inlineStr">
        <is>
          <t>COMMERCIAL BANKING</t>
        </is>
      </c>
      <c r="D1319" t="inlineStr">
        <is>
          <t>IA</t>
        </is>
      </c>
      <c r="E1319" t="inlineStr">
        <is>
          <t>Stage 2</t>
        </is>
      </c>
      <c r="F1319" t="inlineStr">
        <is>
          <t>N/A</t>
        </is>
      </c>
      <c r="G1319" s="26">
        <v>109188328</v>
      </c>
      <c r="H1319" s="26">
        <v>6551300</v>
      </c>
      <c r="I1319" s="26">
        <v>0</v>
      </c>
      <c r="J1319" s="26">
        <v>73</v>
      </c>
      <c r="K1319" t="inlineStr">
        <is>
          <t>Non</t>
        </is>
      </c>
      <c r="L1319">
        <f>SUBTOTAL(103,A1319)</f>
        <v>1</v>
      </c>
    </row>
    <row r="1320">
      <c r="A1320" t="inlineStr">
        <is>
          <t>SOCIETE C1245</t>
        </is>
      </c>
      <c r="B1320" t="inlineStr">
        <is>
          <t>C1245</t>
        </is>
      </c>
      <c r="C1320" t="inlineStr">
        <is>
          <t>CORPORATE BANKING</t>
        </is>
      </c>
      <c r="D1320" t="inlineStr">
        <is>
          <t>III</t>
        </is>
      </c>
      <c r="E1320" t="inlineStr">
        <is>
          <t>Stage 3</t>
        </is>
      </c>
      <c r="F1320" t="inlineStr">
        <is>
          <t>N/A</t>
        </is>
      </c>
      <c r="G1320" s="26">
        <v>13639194</v>
      </c>
      <c r="H1320" s="26">
        <v>7501557</v>
      </c>
      <c r="I1320" s="26">
        <v>2169084</v>
      </c>
      <c r="J1320" s="26">
        <v>12</v>
      </c>
      <c r="K1320" t="inlineStr">
        <is>
          <t>Oui</t>
        </is>
      </c>
      <c r="L1320">
        <f>SUBTOTAL(103,A1320)</f>
        <v>1</v>
      </c>
    </row>
    <row r="1321">
      <c r="A1321" t="inlineStr">
        <is>
          <t>SOCIETE C1743</t>
        </is>
      </c>
      <c r="B1321" t="inlineStr">
        <is>
          <t>C1743</t>
        </is>
      </c>
      <c r="C1321" t="inlineStr">
        <is>
          <t>CORPORATE BANKING</t>
        </is>
      </c>
      <c r="D1321" t="inlineStr">
        <is>
          <t>I</t>
        </is>
      </c>
      <c r="E1321" t="inlineStr">
        <is>
          <t>Stage 1</t>
        </is>
      </c>
      <c r="F1321" t="inlineStr">
        <is>
          <t>N/A</t>
        </is>
      </c>
      <c r="G1321" s="26">
        <v>1264136</v>
      </c>
      <c r="H1321" s="26">
        <v>12641</v>
      </c>
      <c r="I1321" s="26">
        <v>146266</v>
      </c>
      <c r="J1321" s="26">
        <v>6</v>
      </c>
      <c r="K1321" t="inlineStr">
        <is>
          <t>Non</t>
        </is>
      </c>
      <c r="L1321">
        <f>SUBTOTAL(103,A1321)</f>
        <v>1</v>
      </c>
    </row>
    <row r="1322">
      <c r="A1322" t="inlineStr">
        <is>
          <t>SOCIETE C2155</t>
        </is>
      </c>
      <c r="B1322" t="inlineStr">
        <is>
          <t>C2155</t>
        </is>
      </c>
      <c r="C1322" t="inlineStr">
        <is>
          <t>CORPORATE BANKING</t>
        </is>
      </c>
      <c r="D1322" t="inlineStr">
        <is>
          <t>II</t>
        </is>
      </c>
      <c r="E1322" t="inlineStr">
        <is>
          <t>Stage 2</t>
        </is>
      </c>
      <c r="F1322" t="inlineStr">
        <is>
          <t>N/A</t>
        </is>
      </c>
      <c r="G1322" s="26">
        <v>80456229</v>
      </c>
      <c r="H1322" s="26">
        <v>4827374</v>
      </c>
      <c r="I1322" s="26">
        <v>0</v>
      </c>
      <c r="J1322" s="26">
        <v>96</v>
      </c>
      <c r="K1322" t="inlineStr">
        <is>
          <t>Non</t>
        </is>
      </c>
      <c r="L1322">
        <f>SUBTOTAL(103,A1322)</f>
        <v>1</v>
      </c>
    </row>
    <row r="1323">
      <c r="A1323" t="inlineStr">
        <is>
          <t>SOCIETE C1001</t>
        </is>
      </c>
      <c r="B1323" t="inlineStr">
        <is>
          <t>C1001</t>
        </is>
      </c>
      <c r="C1323" t="inlineStr">
        <is>
          <t>CORPORATE BANKING</t>
        </is>
      </c>
      <c r="D1323" t="inlineStr">
        <is>
          <t>IA</t>
        </is>
      </c>
      <c r="E1323" t="inlineStr">
        <is>
          <t>Stage 2</t>
        </is>
      </c>
      <c r="F1323" t="inlineStr">
        <is>
          <t>N/A</t>
        </is>
      </c>
      <c r="G1323" s="26">
        <v>3287261</v>
      </c>
      <c r="H1323" s="26">
        <v>197236</v>
      </c>
      <c r="I1323" s="26">
        <v>0</v>
      </c>
      <c r="J1323" s="26">
        <v>104</v>
      </c>
      <c r="K1323" t="inlineStr">
        <is>
          <t>Non</t>
        </is>
      </c>
      <c r="L1323">
        <f>SUBTOTAL(103,A1323)</f>
        <v>1</v>
      </c>
    </row>
    <row r="1324">
      <c r="A1324" t="inlineStr">
        <is>
          <t>SOCIETE C974</t>
        </is>
      </c>
      <c r="B1324" t="inlineStr">
        <is>
          <t>C974</t>
        </is>
      </c>
      <c r="C1324" t="inlineStr">
        <is>
          <t>CORPORATE BANKING</t>
        </is>
      </c>
      <c r="D1324" t="inlineStr">
        <is>
          <t>III</t>
        </is>
      </c>
      <c r="E1324" t="inlineStr">
        <is>
          <t>Stage 3</t>
        </is>
      </c>
      <c r="F1324" t="inlineStr">
        <is>
          <t>N/A</t>
        </is>
      </c>
      <c r="G1324" s="26">
        <v>135277692</v>
      </c>
      <c r="H1324" s="26">
        <v>74402731</v>
      </c>
      <c r="I1324" s="26">
        <v>0</v>
      </c>
      <c r="J1324" s="26">
        <v>25</v>
      </c>
      <c r="K1324" t="inlineStr">
        <is>
          <t>Oui</t>
        </is>
      </c>
      <c r="L1324">
        <f>SUBTOTAL(103,A1324)</f>
        <v>1</v>
      </c>
    </row>
    <row r="1325">
      <c r="A1325" t="inlineStr">
        <is>
          <t>SOCIETE C2124</t>
        </is>
      </c>
      <c r="B1325" t="inlineStr">
        <is>
          <t>C2124</t>
        </is>
      </c>
      <c r="C1325" t="inlineStr">
        <is>
          <t>PUBLIC SECTOR</t>
        </is>
      </c>
      <c r="D1325" t="inlineStr">
        <is>
          <t>III</t>
        </is>
      </c>
      <c r="E1325" t="inlineStr">
        <is>
          <t>Stage 3</t>
        </is>
      </c>
      <c r="F1325" t="inlineStr">
        <is>
          <t>N/A</t>
        </is>
      </c>
      <c r="G1325" s="26">
        <v>22569142</v>
      </c>
      <c r="H1325" s="26">
        <v>12413028</v>
      </c>
      <c r="I1325" s="26">
        <v>0</v>
      </c>
      <c r="J1325" s="26">
        <v>263</v>
      </c>
      <c r="K1325" t="inlineStr">
        <is>
          <t>Oui</t>
        </is>
      </c>
      <c r="L1325">
        <f>SUBTOTAL(103,A1325)</f>
        <v>1</v>
      </c>
    </row>
    <row r="1326">
      <c r="A1326" t="inlineStr">
        <is>
          <t>SOCIETE C859</t>
        </is>
      </c>
      <c r="B1326" t="inlineStr">
        <is>
          <t>C859</t>
        </is>
      </c>
      <c r="C1326" t="inlineStr">
        <is>
          <t>COMMERCIAL BANKING</t>
        </is>
      </c>
      <c r="D1326" t="inlineStr">
        <is>
          <t>V</t>
        </is>
      </c>
      <c r="E1326" t="inlineStr">
        <is>
          <t>Stage 3</t>
        </is>
      </c>
      <c r="F1326" t="inlineStr">
        <is>
          <t>N/A</t>
        </is>
      </c>
      <c r="G1326" s="26">
        <v>28240441</v>
      </c>
      <c r="H1326" s="26">
        <v>15532242</v>
      </c>
      <c r="I1326" s="26">
        <v>0</v>
      </c>
      <c r="J1326" s="26">
        <v>0</v>
      </c>
      <c r="K1326" t="inlineStr">
        <is>
          <t>Oui</t>
        </is>
      </c>
      <c r="L1326">
        <f>SUBTOTAL(103,A1326)</f>
        <v>1</v>
      </c>
    </row>
    <row r="1327">
      <c r="A1327" t="inlineStr">
        <is>
          <t>SOCIETE C1146</t>
        </is>
      </c>
      <c r="B1327" t="inlineStr">
        <is>
          <t>C1146</t>
        </is>
      </c>
      <c r="C1327" t="inlineStr">
        <is>
          <t>SME</t>
        </is>
      </c>
      <c r="D1327" t="inlineStr">
        <is>
          <t>IA</t>
        </is>
      </c>
      <c r="E1327" t="inlineStr">
        <is>
          <t>Stage 2</t>
        </is>
      </c>
      <c r="F1327" t="inlineStr">
        <is>
          <t>N/A</t>
        </is>
      </c>
      <c r="G1327" s="26">
        <v>689580687</v>
      </c>
      <c r="H1327" s="26">
        <v>41374841</v>
      </c>
      <c r="I1327" s="26">
        <v>40448489</v>
      </c>
      <c r="J1327" s="26">
        <v>62</v>
      </c>
      <c r="K1327" t="inlineStr">
        <is>
          <t>Non</t>
        </is>
      </c>
      <c r="L1327">
        <f>SUBTOTAL(103,A1327)</f>
        <v>1</v>
      </c>
    </row>
    <row r="1328">
      <c r="A1328" t="inlineStr">
        <is>
          <t>SOCIETE C1531</t>
        </is>
      </c>
      <c r="B1328" t="inlineStr">
        <is>
          <t>C1531</t>
        </is>
      </c>
      <c r="C1328" t="inlineStr">
        <is>
          <t>CORPORATE BANKING</t>
        </is>
      </c>
      <c r="D1328" t="inlineStr">
        <is>
          <t>I</t>
        </is>
      </c>
      <c r="E1328" t="inlineStr">
        <is>
          <t>Stage 1</t>
        </is>
      </c>
      <c r="F1328" t="inlineStr">
        <is>
          <t>N/A</t>
        </is>
      </c>
      <c r="G1328" s="26">
        <v>1294839</v>
      </c>
      <c r="H1328" s="26">
        <v>12948</v>
      </c>
      <c r="I1328" s="26">
        <v>0</v>
      </c>
      <c r="J1328" s="26">
        <v>70</v>
      </c>
      <c r="K1328" t="inlineStr">
        <is>
          <t>Non</t>
        </is>
      </c>
      <c r="L1328">
        <f>SUBTOTAL(103,A1328)</f>
        <v>1</v>
      </c>
    </row>
    <row r="1329">
      <c r="A1329" t="inlineStr">
        <is>
          <t>SOCIETE C1941</t>
        </is>
      </c>
      <c r="B1329" t="inlineStr">
        <is>
          <t>C1941</t>
        </is>
      </c>
      <c r="C1329" t="inlineStr">
        <is>
          <t>CORPORATE BANKING</t>
        </is>
      </c>
      <c r="D1329" t="inlineStr">
        <is>
          <t>I</t>
        </is>
      </c>
      <c r="E1329" t="inlineStr">
        <is>
          <t>Stage 1</t>
        </is>
      </c>
      <c r="F1329" t="inlineStr">
        <is>
          <t>N/A</t>
        </is>
      </c>
      <c r="G1329" s="26">
        <v>98295045</v>
      </c>
      <c r="H1329" s="26">
        <v>982950</v>
      </c>
      <c r="I1329" s="26">
        <v>10556143</v>
      </c>
      <c r="J1329" s="26">
        <v>260</v>
      </c>
      <c r="K1329" t="inlineStr">
        <is>
          <t>Non</t>
        </is>
      </c>
      <c r="L1329">
        <f>SUBTOTAL(103,A1329)</f>
        <v>1</v>
      </c>
    </row>
    <row r="1330">
      <c r="A1330" t="inlineStr">
        <is>
          <t>SOCIETE C1324</t>
        </is>
      </c>
      <c r="B1330" t="inlineStr">
        <is>
          <t>C1324</t>
        </is>
      </c>
      <c r="C1330" t="inlineStr">
        <is>
          <t>CORPORATE BANKING</t>
        </is>
      </c>
      <c r="D1330" t="inlineStr">
        <is>
          <t>IA</t>
        </is>
      </c>
      <c r="E1330" t="inlineStr">
        <is>
          <t>Stage 2</t>
        </is>
      </c>
      <c r="F1330" t="inlineStr">
        <is>
          <t>N/A</t>
        </is>
      </c>
      <c r="G1330" s="26">
        <v>423097694</v>
      </c>
      <c r="H1330" s="26">
        <v>25385862</v>
      </c>
      <c r="I1330" s="26">
        <v>0</v>
      </c>
      <c r="J1330" s="26">
        <v>19</v>
      </c>
      <c r="K1330" t="inlineStr">
        <is>
          <t>Non</t>
        </is>
      </c>
      <c r="L1330">
        <f>SUBTOTAL(103,A1330)</f>
        <v>1</v>
      </c>
    </row>
    <row r="1331">
      <c r="A1331" t="inlineStr">
        <is>
          <t>SOCIETE C721</t>
        </is>
      </c>
      <c r="B1331" t="inlineStr">
        <is>
          <t>C721</t>
        </is>
      </c>
      <c r="C1331" t="inlineStr">
        <is>
          <t>PUBLIC SECTOR</t>
        </is>
      </c>
      <c r="D1331" t="inlineStr">
        <is>
          <t>IA</t>
        </is>
      </c>
      <c r="E1331" t="inlineStr">
        <is>
          <t>Stage 2</t>
        </is>
      </c>
      <c r="F1331" t="inlineStr">
        <is>
          <t>N/A</t>
        </is>
      </c>
      <c r="G1331" s="26">
        <v>829803009</v>
      </c>
      <c r="H1331" s="26">
        <v>49788181</v>
      </c>
      <c r="I1331" s="26">
        <v>0</v>
      </c>
      <c r="J1331" s="26">
        <v>205</v>
      </c>
      <c r="K1331" t="inlineStr">
        <is>
          <t>Non</t>
        </is>
      </c>
      <c r="L1331">
        <f>SUBTOTAL(103,A1331)</f>
        <v>1</v>
      </c>
    </row>
    <row r="1332">
      <c r="A1332" t="inlineStr">
        <is>
          <t>SOCIETE C398</t>
        </is>
      </c>
      <c r="B1332" t="inlineStr">
        <is>
          <t>C398</t>
        </is>
      </c>
      <c r="C1332" t="inlineStr">
        <is>
          <t>PUBLIC SECTOR</t>
        </is>
      </c>
      <c r="D1332" t="inlineStr">
        <is>
          <t>I</t>
        </is>
      </c>
      <c r="E1332" t="inlineStr">
        <is>
          <t>Stage 1</t>
        </is>
      </c>
      <c r="F1332" t="inlineStr">
        <is>
          <t>N/A</t>
        </is>
      </c>
      <c r="G1332" s="26">
        <v>1872235517</v>
      </c>
      <c r="H1332" s="26">
        <v>18722355</v>
      </c>
      <c r="I1332" s="26">
        <v>78500083</v>
      </c>
      <c r="J1332" s="26">
        <v>14</v>
      </c>
      <c r="K1332" t="inlineStr">
        <is>
          <t>Non</t>
        </is>
      </c>
      <c r="L1332">
        <f>SUBTOTAL(103,A1332)</f>
        <v>1</v>
      </c>
    </row>
    <row r="1333">
      <c r="A1333" t="inlineStr">
        <is>
          <t>SOCIETE C646</t>
        </is>
      </c>
      <c r="B1333" t="inlineStr">
        <is>
          <t>C646</t>
        </is>
      </c>
      <c r="C1333" t="inlineStr">
        <is>
          <t>CORPORATE BANKING</t>
        </is>
      </c>
      <c r="D1333" t="inlineStr">
        <is>
          <t>I</t>
        </is>
      </c>
      <c r="E1333" t="inlineStr">
        <is>
          <t>Stage 1</t>
        </is>
      </c>
      <c r="F1333" t="inlineStr">
        <is>
          <t>N/A</t>
        </is>
      </c>
      <c r="G1333" s="26">
        <v>902224167</v>
      </c>
      <c r="H1333" s="26">
        <v>9022242</v>
      </c>
      <c r="I1333" s="26">
        <v>31969972</v>
      </c>
      <c r="J1333" s="26">
        <v>171</v>
      </c>
      <c r="K1333" t="inlineStr">
        <is>
          <t>Non</t>
        </is>
      </c>
      <c r="L1333">
        <f>SUBTOTAL(103,A1333)</f>
        <v>1</v>
      </c>
    </row>
    <row r="1334">
      <c r="A1334" t="inlineStr">
        <is>
          <t>SOCIETE C1754</t>
        </is>
      </c>
      <c r="B1334" t="inlineStr">
        <is>
          <t>C1754</t>
        </is>
      </c>
      <c r="C1334" t="inlineStr">
        <is>
          <t>CORPORATE BANKING</t>
        </is>
      </c>
      <c r="D1334" t="inlineStr">
        <is>
          <t>IA</t>
        </is>
      </c>
      <c r="E1334" t="inlineStr">
        <is>
          <t>Stage 2</t>
        </is>
      </c>
      <c r="F1334" t="inlineStr">
        <is>
          <t>N/A</t>
        </is>
      </c>
      <c r="G1334" s="26">
        <v>406117277</v>
      </c>
      <c r="H1334" s="26">
        <v>24367037</v>
      </c>
      <c r="I1334" s="26">
        <v>0</v>
      </c>
      <c r="J1334" s="26">
        <v>136</v>
      </c>
      <c r="K1334" t="inlineStr">
        <is>
          <t>Non</t>
        </is>
      </c>
      <c r="L1334">
        <f>SUBTOTAL(103,A1334)</f>
        <v>1</v>
      </c>
    </row>
    <row r="1335">
      <c r="A1335" t="inlineStr">
        <is>
          <t>SOCIETE C931</t>
        </is>
      </c>
      <c r="B1335" t="inlineStr">
        <is>
          <t>C931</t>
        </is>
      </c>
      <c r="C1335" t="inlineStr">
        <is>
          <t>CORPORATE BANKING</t>
        </is>
      </c>
      <c r="D1335" t="inlineStr">
        <is>
          <t>I</t>
        </is>
      </c>
      <c r="E1335" t="inlineStr">
        <is>
          <t>Stage 1</t>
        </is>
      </c>
      <c r="F1335" t="inlineStr">
        <is>
          <t>N/A</t>
        </is>
      </c>
      <c r="G1335" s="26">
        <v>2412046</v>
      </c>
      <c r="H1335" s="26">
        <v>24120</v>
      </c>
      <c r="I1335" s="26">
        <v>0</v>
      </c>
      <c r="J1335" s="26">
        <v>61</v>
      </c>
      <c r="K1335" t="inlineStr">
        <is>
          <t>Non</t>
        </is>
      </c>
      <c r="L1335">
        <f>SUBTOTAL(103,A1335)</f>
        <v>1</v>
      </c>
    </row>
    <row r="1336">
      <c r="A1336" t="inlineStr">
        <is>
          <t>SOCIETE C1595</t>
        </is>
      </c>
      <c r="B1336" t="inlineStr">
        <is>
          <t>C1595</t>
        </is>
      </c>
      <c r="C1336" t="inlineStr">
        <is>
          <t>CORPORATE BANKING</t>
        </is>
      </c>
      <c r="D1336" t="inlineStr">
        <is>
          <t>I</t>
        </is>
      </c>
      <c r="E1336" t="inlineStr">
        <is>
          <t>Stage 1</t>
        </is>
      </c>
      <c r="F1336" t="inlineStr">
        <is>
          <t>N/A</t>
        </is>
      </c>
      <c r="G1336" s="26">
        <v>35173587</v>
      </c>
      <c r="H1336" s="26">
        <v>351736</v>
      </c>
      <c r="I1336" s="26">
        <v>2178865</v>
      </c>
      <c r="J1336" s="26">
        <v>236</v>
      </c>
      <c r="K1336" t="inlineStr">
        <is>
          <t>Non</t>
        </is>
      </c>
      <c r="L1336">
        <f>SUBTOTAL(103,A1336)</f>
        <v>1</v>
      </c>
    </row>
    <row r="1337">
      <c r="A1337" t="inlineStr">
        <is>
          <t>SOCIETE C224</t>
        </is>
      </c>
      <c r="B1337" t="inlineStr">
        <is>
          <t>C224</t>
        </is>
      </c>
      <c r="C1337" t="inlineStr">
        <is>
          <t>CONSUMER BANKING</t>
        </is>
      </c>
      <c r="D1337" t="inlineStr">
        <is>
          <t>I</t>
        </is>
      </c>
      <c r="E1337" t="inlineStr">
        <is>
          <t>Stage 1</t>
        </is>
      </c>
      <c r="F1337" t="inlineStr">
        <is>
          <t>N/A</t>
        </is>
      </c>
      <c r="G1337" s="26">
        <v>1829150848</v>
      </c>
      <c r="H1337" s="26">
        <v>18291508</v>
      </c>
      <c r="I1337" s="26">
        <v>0</v>
      </c>
      <c r="J1337" s="26">
        <v>53</v>
      </c>
      <c r="K1337" t="inlineStr">
        <is>
          <t>Non</t>
        </is>
      </c>
      <c r="L1337">
        <f>SUBTOTAL(103,A1337)</f>
        <v>1</v>
      </c>
    </row>
    <row r="1338">
      <c r="A1338" t="inlineStr">
        <is>
          <t>SOCIETE C323</t>
        </is>
      </c>
      <c r="B1338" t="inlineStr">
        <is>
          <t>C323</t>
        </is>
      </c>
      <c r="C1338" t="inlineStr">
        <is>
          <t>COMMERCIAL BANKING</t>
        </is>
      </c>
      <c r="D1338" t="inlineStr">
        <is>
          <t>IA</t>
        </is>
      </c>
      <c r="E1338" t="inlineStr">
        <is>
          <t>Stage 2</t>
        </is>
      </c>
      <c r="F1338" t="inlineStr">
        <is>
          <t>N/A</t>
        </is>
      </c>
      <c r="G1338" s="26">
        <v>1033358</v>
      </c>
      <c r="H1338" s="26">
        <v>62001</v>
      </c>
      <c r="I1338" s="26">
        <v>105888</v>
      </c>
      <c r="J1338" s="26">
        <v>11</v>
      </c>
      <c r="K1338" t="inlineStr">
        <is>
          <t>Non</t>
        </is>
      </c>
      <c r="L1338">
        <f>SUBTOTAL(103,A1338)</f>
        <v>1</v>
      </c>
    </row>
    <row r="1339">
      <c r="A1339" t="inlineStr">
        <is>
          <t>SOCIETE C487</t>
        </is>
      </c>
      <c r="B1339" t="inlineStr">
        <is>
          <t>C487</t>
        </is>
      </c>
      <c r="C1339" t="inlineStr">
        <is>
          <t>PUBLIC SECTOR</t>
        </is>
      </c>
      <c r="D1339" t="inlineStr">
        <is>
          <t>I</t>
        </is>
      </c>
      <c r="E1339" t="inlineStr">
        <is>
          <t>Stage 1</t>
        </is>
      </c>
      <c r="F1339" t="inlineStr">
        <is>
          <t>N/A</t>
        </is>
      </c>
      <c r="G1339" s="26">
        <v>2069158787</v>
      </c>
      <c r="H1339" s="26">
        <v>20691588</v>
      </c>
      <c r="I1339" s="26">
        <v>318661177</v>
      </c>
      <c r="J1339" s="26">
        <v>171</v>
      </c>
      <c r="K1339" t="inlineStr">
        <is>
          <t>Non</t>
        </is>
      </c>
      <c r="L1339">
        <f>SUBTOTAL(103,A1339)</f>
        <v>1</v>
      </c>
    </row>
    <row r="1340">
      <c r="A1340" t="inlineStr">
        <is>
          <t>SOCIETE C1075</t>
        </is>
      </c>
      <c r="B1340" t="inlineStr">
        <is>
          <t>C1075</t>
        </is>
      </c>
      <c r="C1340" t="inlineStr">
        <is>
          <t>CORPORATE BANKING</t>
        </is>
      </c>
      <c r="D1340" t="inlineStr">
        <is>
          <t>V</t>
        </is>
      </c>
      <c r="E1340" t="inlineStr">
        <is>
          <t>Stage 3</t>
        </is>
      </c>
      <c r="F1340" t="inlineStr">
        <is>
          <t>N/A</t>
        </is>
      </c>
      <c r="G1340" s="26">
        <v>461416504</v>
      </c>
      <c r="H1340" s="26">
        <v>253779077</v>
      </c>
      <c r="I1340" s="26">
        <v>0</v>
      </c>
      <c r="J1340" s="26">
        <v>14</v>
      </c>
      <c r="K1340" t="inlineStr">
        <is>
          <t>Oui</t>
        </is>
      </c>
      <c r="L1340">
        <f>SUBTOTAL(103,A1340)</f>
        <v>1</v>
      </c>
    </row>
    <row r="1341">
      <c r="A1341" t="inlineStr">
        <is>
          <t>SOCIETE C604</t>
        </is>
      </c>
      <c r="B1341" t="inlineStr">
        <is>
          <t>C604</t>
        </is>
      </c>
      <c r="C1341" t="inlineStr">
        <is>
          <t>CORPORATE BANKING</t>
        </is>
      </c>
      <c r="D1341" t="inlineStr">
        <is>
          <t>IV</t>
        </is>
      </c>
      <c r="E1341" t="inlineStr">
        <is>
          <t>Stage 3</t>
        </is>
      </c>
      <c r="F1341" t="inlineStr">
        <is>
          <t>N/A</t>
        </is>
      </c>
      <c r="G1341" s="26">
        <v>245534521</v>
      </c>
      <c r="H1341" s="26">
        <v>135043986</v>
      </c>
      <c r="I1341" s="26">
        <v>0</v>
      </c>
      <c r="J1341" s="26">
        <v>224</v>
      </c>
      <c r="K1341" t="inlineStr">
        <is>
          <t>Oui</t>
        </is>
      </c>
      <c r="L1341">
        <f>SUBTOTAL(103,A1341)</f>
        <v>1</v>
      </c>
    </row>
    <row r="1342">
      <c r="A1342" t="inlineStr">
        <is>
          <t>SOCIETE C1225</t>
        </is>
      </c>
      <c r="B1342" t="inlineStr">
        <is>
          <t>C1225</t>
        </is>
      </c>
      <c r="C1342" t="inlineStr">
        <is>
          <t>CORPORATE BANKING</t>
        </is>
      </c>
      <c r="D1342" t="inlineStr">
        <is>
          <t>I</t>
        </is>
      </c>
      <c r="E1342" t="inlineStr">
        <is>
          <t>Stage 1</t>
        </is>
      </c>
      <c r="F1342" t="inlineStr">
        <is>
          <t>N/A</t>
        </is>
      </c>
      <c r="G1342" s="26">
        <v>1936814066</v>
      </c>
      <c r="H1342" s="26">
        <v>19368141</v>
      </c>
      <c r="I1342" s="26">
        <v>0</v>
      </c>
      <c r="J1342" s="26">
        <v>180</v>
      </c>
      <c r="K1342" t="inlineStr">
        <is>
          <t>Non</t>
        </is>
      </c>
      <c r="L1342">
        <f>SUBTOTAL(103,A1342)</f>
        <v>1</v>
      </c>
    </row>
    <row r="1343">
      <c r="A1343" t="inlineStr">
        <is>
          <t>SOCIETE C1952</t>
        </is>
      </c>
      <c r="B1343" t="inlineStr">
        <is>
          <t>C1952</t>
        </is>
      </c>
      <c r="C1343" t="inlineStr">
        <is>
          <t>COMMERCIAL BANKING</t>
        </is>
      </c>
      <c r="D1343" t="inlineStr">
        <is>
          <t>I</t>
        </is>
      </c>
      <c r="E1343" t="inlineStr">
        <is>
          <t>Stage 1</t>
        </is>
      </c>
      <c r="F1343" t="inlineStr">
        <is>
          <t>N/A</t>
        </is>
      </c>
      <c r="G1343" s="26">
        <v>2381920046</v>
      </c>
      <c r="H1343" s="26">
        <v>23819200</v>
      </c>
      <c r="I1343" s="26">
        <v>0</v>
      </c>
      <c r="J1343" s="26">
        <v>64</v>
      </c>
      <c r="K1343" t="inlineStr">
        <is>
          <t>Non</t>
        </is>
      </c>
      <c r="L1343">
        <f>SUBTOTAL(103,A1343)</f>
        <v>1</v>
      </c>
    </row>
    <row r="1344">
      <c r="A1344" t="inlineStr">
        <is>
          <t>SOCIETE C79</t>
        </is>
      </c>
      <c r="B1344" t="inlineStr">
        <is>
          <t>C79</t>
        </is>
      </c>
      <c r="C1344" t="inlineStr">
        <is>
          <t>COMMERCIAL BANKING</t>
        </is>
      </c>
      <c r="D1344" t="inlineStr">
        <is>
          <t>I</t>
        </is>
      </c>
      <c r="E1344" t="inlineStr">
        <is>
          <t>Stage 1</t>
        </is>
      </c>
      <c r="F1344" t="inlineStr">
        <is>
          <t>N/A</t>
        </is>
      </c>
      <c r="G1344" s="26">
        <v>101502142</v>
      </c>
      <c r="H1344" s="26">
        <v>1015021</v>
      </c>
      <c r="I1344" s="26">
        <v>1876076</v>
      </c>
      <c r="J1344" s="26">
        <v>48</v>
      </c>
      <c r="K1344" t="inlineStr">
        <is>
          <t>Non</t>
        </is>
      </c>
      <c r="L1344">
        <f>SUBTOTAL(103,A1344)</f>
        <v>1</v>
      </c>
    </row>
    <row r="1345">
      <c r="A1345" t="inlineStr">
        <is>
          <t>SOCIETE C2109</t>
        </is>
      </c>
      <c r="B1345" t="inlineStr">
        <is>
          <t>C2109</t>
        </is>
      </c>
      <c r="C1345" t="inlineStr">
        <is>
          <t>CORPORATE BANKING</t>
        </is>
      </c>
      <c r="D1345" t="inlineStr">
        <is>
          <t>IA</t>
        </is>
      </c>
      <c r="E1345" t="inlineStr">
        <is>
          <t>Stage 2</t>
        </is>
      </c>
      <c r="F1345" t="inlineStr">
        <is>
          <t>N/A</t>
        </is>
      </c>
      <c r="G1345" s="26">
        <v>1460590570</v>
      </c>
      <c r="H1345" s="26">
        <v>87635434</v>
      </c>
      <c r="I1345" s="26">
        <v>153794177</v>
      </c>
      <c r="J1345" s="26">
        <v>125</v>
      </c>
      <c r="K1345" t="inlineStr">
        <is>
          <t>Non</t>
        </is>
      </c>
      <c r="L1345">
        <f>SUBTOTAL(103,A1345)</f>
        <v>1</v>
      </c>
    </row>
    <row r="1346">
      <c r="A1346" t="inlineStr">
        <is>
          <t>SOCIETE C617</t>
        </is>
      </c>
      <c r="B1346" t="inlineStr">
        <is>
          <t>C617</t>
        </is>
      </c>
      <c r="C1346" t="inlineStr">
        <is>
          <t>COMMERCIAL BANKING</t>
        </is>
      </c>
      <c r="D1346" t="inlineStr">
        <is>
          <t>V</t>
        </is>
      </c>
      <c r="E1346" t="inlineStr">
        <is>
          <t>Stage 3</t>
        </is>
      </c>
      <c r="F1346" t="inlineStr">
        <is>
          <t>N/A</t>
        </is>
      </c>
      <c r="G1346" s="26">
        <v>214162990</v>
      </c>
      <c r="H1346" s="26">
        <v>117789645</v>
      </c>
      <c r="I1346" s="26">
        <v>0</v>
      </c>
      <c r="J1346" s="26">
        <v>64</v>
      </c>
      <c r="K1346" t="inlineStr">
        <is>
          <t>Oui</t>
        </is>
      </c>
      <c r="L1346">
        <f>SUBTOTAL(103,A1346)</f>
        <v>1</v>
      </c>
    </row>
    <row r="1347">
      <c r="A1347" t="inlineStr">
        <is>
          <t>SOCIETE C1783</t>
        </is>
      </c>
      <c r="B1347" t="inlineStr">
        <is>
          <t>C1783</t>
        </is>
      </c>
      <c r="C1347" t="inlineStr">
        <is>
          <t>CORPORATE BANKING</t>
        </is>
      </c>
      <c r="D1347" t="inlineStr">
        <is>
          <t>IA</t>
        </is>
      </c>
      <c r="E1347" t="inlineStr">
        <is>
          <t>Stage 2</t>
        </is>
      </c>
      <c r="F1347" t="inlineStr">
        <is>
          <t>N/A</t>
        </is>
      </c>
      <c r="G1347" s="26">
        <v>171567121</v>
      </c>
      <c r="H1347" s="26">
        <v>10294027</v>
      </c>
      <c r="I1347" s="26">
        <v>0</v>
      </c>
      <c r="J1347" s="26">
        <v>22</v>
      </c>
      <c r="K1347" t="inlineStr">
        <is>
          <t>Non</t>
        </is>
      </c>
      <c r="L1347">
        <f>SUBTOTAL(103,A1347)</f>
        <v>1</v>
      </c>
    </row>
    <row r="1348">
      <c r="A1348" t="inlineStr">
        <is>
          <t>SOCIETE C2127</t>
        </is>
      </c>
      <c r="B1348" t="inlineStr">
        <is>
          <t>C2127</t>
        </is>
      </c>
      <c r="C1348" t="inlineStr">
        <is>
          <t>COMMERCIAL BANKING</t>
        </is>
      </c>
      <c r="D1348" t="inlineStr">
        <is>
          <t>V</t>
        </is>
      </c>
      <c r="E1348" t="inlineStr">
        <is>
          <t>Stage 3</t>
        </is>
      </c>
      <c r="F1348" t="inlineStr">
        <is>
          <t>N/A</t>
        </is>
      </c>
      <c r="G1348" s="26">
        <v>1446724555</v>
      </c>
      <c r="H1348" s="26">
        <v>795698505</v>
      </c>
      <c r="I1348" s="26">
        <v>0</v>
      </c>
      <c r="J1348" s="26">
        <v>106</v>
      </c>
      <c r="K1348" t="inlineStr">
        <is>
          <t>Oui</t>
        </is>
      </c>
      <c r="L1348">
        <f>SUBTOTAL(103,A1348)</f>
        <v>1</v>
      </c>
    </row>
    <row r="1349">
      <c r="A1349" t="inlineStr">
        <is>
          <t>SOCIETE C329</t>
        </is>
      </c>
      <c r="B1349" t="inlineStr">
        <is>
          <t>C329</t>
        </is>
      </c>
      <c r="C1349" t="inlineStr">
        <is>
          <t>PUBLIC SECTOR</t>
        </is>
      </c>
      <c r="D1349" t="inlineStr">
        <is>
          <t>I</t>
        </is>
      </c>
      <c r="E1349" t="inlineStr">
        <is>
          <t>Stage 1</t>
        </is>
      </c>
      <c r="F1349" t="inlineStr">
        <is>
          <t>N/A</t>
        </is>
      </c>
      <c r="G1349" s="26">
        <v>1925895023</v>
      </c>
      <c r="H1349" s="26">
        <v>19258950</v>
      </c>
      <c r="I1349" s="26">
        <v>0</v>
      </c>
      <c r="J1349" s="26">
        <v>184</v>
      </c>
      <c r="K1349" t="inlineStr">
        <is>
          <t>Non</t>
        </is>
      </c>
      <c r="L1349">
        <f>SUBTOTAL(103,A1349)</f>
        <v>1</v>
      </c>
    </row>
    <row r="1350">
      <c r="A1350" t="inlineStr">
        <is>
          <t>SOCIETE C540</t>
        </is>
      </c>
      <c r="B1350" t="inlineStr">
        <is>
          <t>C540</t>
        </is>
      </c>
      <c r="C1350" t="inlineStr">
        <is>
          <t>PUBLIC SECTOR</t>
        </is>
      </c>
      <c r="D1350" t="inlineStr">
        <is>
          <t>I</t>
        </is>
      </c>
      <c r="E1350" t="inlineStr">
        <is>
          <t>Stage 1</t>
        </is>
      </c>
      <c r="F1350" t="inlineStr">
        <is>
          <t>N/A</t>
        </is>
      </c>
      <c r="G1350" s="26">
        <v>1018840787</v>
      </c>
      <c r="H1350" s="26">
        <v>10188408</v>
      </c>
      <c r="I1350" s="26">
        <v>0</v>
      </c>
      <c r="J1350" s="26">
        <v>48</v>
      </c>
      <c r="K1350" t="inlineStr">
        <is>
          <t>Non</t>
        </is>
      </c>
      <c r="L1350">
        <f>SUBTOTAL(103,A1350)</f>
        <v>1</v>
      </c>
    </row>
    <row r="1351">
      <c r="A1351" t="inlineStr">
        <is>
          <t>SOCIETE C1023</t>
        </is>
      </c>
      <c r="B1351" t="inlineStr">
        <is>
          <t>C1023</t>
        </is>
      </c>
      <c r="C1351" t="inlineStr">
        <is>
          <t>CORPORATE BANKING</t>
        </is>
      </c>
      <c r="D1351" t="inlineStr">
        <is>
          <t>IA</t>
        </is>
      </c>
      <c r="E1351" t="inlineStr">
        <is>
          <t>Stage 2</t>
        </is>
      </c>
      <c r="F1351" t="inlineStr">
        <is>
          <t>N/A</t>
        </is>
      </c>
      <c r="G1351" s="26">
        <v>57985773</v>
      </c>
      <c r="H1351" s="26">
        <v>3479146</v>
      </c>
      <c r="I1351" s="26">
        <v>0</v>
      </c>
      <c r="J1351" s="26">
        <v>9</v>
      </c>
      <c r="K1351" t="inlineStr">
        <is>
          <t>Non</t>
        </is>
      </c>
      <c r="L1351">
        <f>SUBTOTAL(103,A1351)</f>
        <v>1</v>
      </c>
    </row>
    <row r="1352">
      <c r="A1352" t="inlineStr">
        <is>
          <t>SOCIETE C1011</t>
        </is>
      </c>
      <c r="B1352" t="inlineStr">
        <is>
          <t>C1011</t>
        </is>
      </c>
      <c r="C1352" t="inlineStr">
        <is>
          <t>CORPORATE BANKING</t>
        </is>
      </c>
      <c r="D1352" t="inlineStr">
        <is>
          <t>I</t>
        </is>
      </c>
      <c r="E1352" t="inlineStr">
        <is>
          <t>Stage 1</t>
        </is>
      </c>
      <c r="F1352" t="inlineStr">
        <is>
          <t>N/A</t>
        </is>
      </c>
      <c r="G1352" s="26">
        <v>173370070</v>
      </c>
      <c r="H1352" s="26">
        <v>1733701</v>
      </c>
      <c r="I1352" s="26">
        <v>10444647</v>
      </c>
      <c r="J1352" s="26">
        <v>203</v>
      </c>
      <c r="K1352" t="inlineStr">
        <is>
          <t>Non</t>
        </is>
      </c>
      <c r="L1352">
        <f>SUBTOTAL(103,A1352)</f>
        <v>1</v>
      </c>
    </row>
    <row r="1353">
      <c r="A1353" t="inlineStr">
        <is>
          <t>SOCIETE C1527</t>
        </is>
      </c>
      <c r="B1353" t="inlineStr">
        <is>
          <t>C1527</t>
        </is>
      </c>
      <c r="C1353" t="inlineStr">
        <is>
          <t>CORPORATE BANKING</t>
        </is>
      </c>
      <c r="D1353" t="inlineStr">
        <is>
          <t>I</t>
        </is>
      </c>
      <c r="E1353" t="inlineStr">
        <is>
          <t>Stage 1</t>
        </is>
      </c>
      <c r="F1353" t="inlineStr">
        <is>
          <t>N/A</t>
        </is>
      </c>
      <c r="G1353" s="26">
        <v>2498448868</v>
      </c>
      <c r="H1353" s="26">
        <v>24984489</v>
      </c>
      <c r="I1353" s="26">
        <v>0</v>
      </c>
      <c r="J1353" s="26">
        <v>263</v>
      </c>
      <c r="K1353" t="inlineStr">
        <is>
          <t>Non</t>
        </is>
      </c>
      <c r="L1353">
        <f>SUBTOTAL(103,A1353)</f>
        <v>1</v>
      </c>
    </row>
    <row r="1354">
      <c r="A1354" t="inlineStr">
        <is>
          <t>SOCIETE C589</t>
        </is>
      </c>
      <c r="B1354" t="inlineStr">
        <is>
          <t>C589</t>
        </is>
      </c>
      <c r="C1354" t="inlineStr">
        <is>
          <t>CORPORATE BANKING</t>
        </is>
      </c>
      <c r="D1354" t="inlineStr">
        <is>
          <t>IA</t>
        </is>
      </c>
      <c r="E1354" t="inlineStr">
        <is>
          <t>Stage 2</t>
        </is>
      </c>
      <c r="F1354" t="inlineStr">
        <is>
          <t>N/A</t>
        </is>
      </c>
      <c r="G1354" s="26">
        <v>112105314</v>
      </c>
      <c r="H1354" s="26">
        <v>6726319</v>
      </c>
      <c r="I1354" s="26">
        <v>0</v>
      </c>
      <c r="J1354" s="26">
        <v>44</v>
      </c>
      <c r="K1354" t="inlineStr">
        <is>
          <t>Non</t>
        </is>
      </c>
      <c r="L1354">
        <f>SUBTOTAL(103,A1354)</f>
        <v>1</v>
      </c>
    </row>
    <row r="1355">
      <c r="A1355" t="inlineStr">
        <is>
          <t>SOCIETE C499</t>
        </is>
      </c>
      <c r="B1355" t="inlineStr">
        <is>
          <t>C499</t>
        </is>
      </c>
      <c r="C1355" t="inlineStr">
        <is>
          <t>CORPORATE BANKING</t>
        </is>
      </c>
      <c r="D1355" t="inlineStr">
        <is>
          <t>I</t>
        </is>
      </c>
      <c r="E1355" t="inlineStr">
        <is>
          <t>Stage 1</t>
        </is>
      </c>
      <c r="F1355" t="inlineStr">
        <is>
          <t>N/A</t>
        </is>
      </c>
      <c r="G1355" s="26">
        <v>570297446</v>
      </c>
      <c r="H1355" s="26">
        <v>5702974</v>
      </c>
      <c r="I1355" s="26">
        <v>0</v>
      </c>
      <c r="J1355" s="26">
        <v>19</v>
      </c>
      <c r="K1355" t="inlineStr">
        <is>
          <t>Non</t>
        </is>
      </c>
      <c r="L1355">
        <f>SUBTOTAL(103,A1355)</f>
        <v>1</v>
      </c>
    </row>
    <row r="1356">
      <c r="A1356" t="inlineStr">
        <is>
          <t>SOCIETE C749</t>
        </is>
      </c>
      <c r="B1356" t="inlineStr">
        <is>
          <t>C749</t>
        </is>
      </c>
      <c r="C1356" t="inlineStr">
        <is>
          <t>COMMERCIAL BANKING</t>
        </is>
      </c>
      <c r="D1356" t="inlineStr">
        <is>
          <t>I</t>
        </is>
      </c>
      <c r="E1356" t="inlineStr">
        <is>
          <t>Stage 1</t>
        </is>
      </c>
      <c r="F1356" t="inlineStr">
        <is>
          <t>N/A</t>
        </is>
      </c>
      <c r="G1356" s="26">
        <v>1133355104</v>
      </c>
      <c r="H1356" s="26">
        <v>11333551</v>
      </c>
      <c r="I1356" s="26">
        <v>36370727</v>
      </c>
      <c r="J1356" s="26">
        <v>13</v>
      </c>
      <c r="K1356" t="inlineStr">
        <is>
          <t>Non</t>
        </is>
      </c>
      <c r="L1356">
        <f>SUBTOTAL(103,A1356)</f>
        <v>1</v>
      </c>
    </row>
    <row r="1357">
      <c r="A1357" t="inlineStr">
        <is>
          <t>SOCIETE C1402</t>
        </is>
      </c>
      <c r="B1357" t="inlineStr">
        <is>
          <t>C1402</t>
        </is>
      </c>
      <c r="C1357" t="inlineStr">
        <is>
          <t>CORPORATE BANKING</t>
        </is>
      </c>
      <c r="D1357" t="inlineStr">
        <is>
          <t>IA</t>
        </is>
      </c>
      <c r="E1357" t="inlineStr">
        <is>
          <t>Stage 2</t>
        </is>
      </c>
      <c r="F1357" t="inlineStr">
        <is>
          <t>N/A</t>
        </is>
      </c>
      <c r="G1357" s="26">
        <v>62369101</v>
      </c>
      <c r="H1357" s="26">
        <v>3742146</v>
      </c>
      <c r="I1357" s="26">
        <v>0</v>
      </c>
      <c r="J1357" s="26">
        <v>59</v>
      </c>
      <c r="K1357" t="inlineStr">
        <is>
          <t>Non</t>
        </is>
      </c>
      <c r="L1357">
        <f>SUBTOTAL(103,A1357)</f>
        <v>1</v>
      </c>
    </row>
    <row r="1358">
      <c r="A1358" t="inlineStr">
        <is>
          <t>SOCIETE C960</t>
        </is>
      </c>
      <c r="B1358" t="inlineStr">
        <is>
          <t>C960</t>
        </is>
      </c>
      <c r="C1358" t="inlineStr">
        <is>
          <t>CORPORATE BANKING</t>
        </is>
      </c>
      <c r="D1358" t="inlineStr">
        <is>
          <t>I</t>
        </is>
      </c>
      <c r="E1358" t="inlineStr">
        <is>
          <t>Stage 1</t>
        </is>
      </c>
      <c r="F1358" t="inlineStr">
        <is>
          <t>N/A</t>
        </is>
      </c>
      <c r="G1358" s="26">
        <v>1183646</v>
      </c>
      <c r="H1358" s="26">
        <v>11836</v>
      </c>
      <c r="I1358" s="26">
        <v>0</v>
      </c>
      <c r="J1358" s="26">
        <v>78</v>
      </c>
      <c r="K1358" t="inlineStr">
        <is>
          <t>Non</t>
        </is>
      </c>
      <c r="L1358">
        <f>SUBTOTAL(103,A1358)</f>
        <v>1</v>
      </c>
    </row>
    <row r="1359">
      <c r="A1359" t="inlineStr">
        <is>
          <t>SOCIETE C1470</t>
        </is>
      </c>
      <c r="B1359" t="inlineStr">
        <is>
          <t>C1470</t>
        </is>
      </c>
      <c r="C1359" t="inlineStr">
        <is>
          <t>CONSUMER BANKING</t>
        </is>
      </c>
      <c r="D1359" t="inlineStr">
        <is>
          <t>IA</t>
        </is>
      </c>
      <c r="E1359" t="inlineStr">
        <is>
          <t>Stage 2</t>
        </is>
      </c>
      <c r="F1359" t="inlineStr">
        <is>
          <t>N/A</t>
        </is>
      </c>
      <c r="G1359" s="26">
        <v>705180276</v>
      </c>
      <c r="H1359" s="26">
        <v>42310817</v>
      </c>
      <c r="I1359" s="26">
        <v>99175895</v>
      </c>
      <c r="J1359" s="26">
        <v>104</v>
      </c>
      <c r="K1359" t="inlineStr">
        <is>
          <t>Non</t>
        </is>
      </c>
      <c r="L1359">
        <f>SUBTOTAL(103,A1359)</f>
        <v>1</v>
      </c>
    </row>
    <row r="1360">
      <c r="A1360" t="inlineStr">
        <is>
          <t>SOCIETE C1377</t>
        </is>
      </c>
      <c r="B1360" t="inlineStr">
        <is>
          <t>C1377</t>
        </is>
      </c>
      <c r="C1360" t="inlineStr">
        <is>
          <t>SME</t>
        </is>
      </c>
      <c r="D1360" t="inlineStr">
        <is>
          <t>II</t>
        </is>
      </c>
      <c r="E1360" t="inlineStr">
        <is>
          <t>Stage 2</t>
        </is>
      </c>
      <c r="F1360" t="inlineStr">
        <is>
          <t>N/A</t>
        </is>
      </c>
      <c r="G1360" s="26">
        <v>1948457824</v>
      </c>
      <c r="H1360" s="26">
        <v>116907469</v>
      </c>
      <c r="I1360" s="26">
        <v>0</v>
      </c>
      <c r="J1360" s="26">
        <v>86</v>
      </c>
      <c r="K1360" t="inlineStr">
        <is>
          <t>Non</t>
        </is>
      </c>
      <c r="L1360">
        <f>SUBTOTAL(103,A1360)</f>
        <v>1</v>
      </c>
    </row>
    <row r="1361">
      <c r="A1361" t="inlineStr">
        <is>
          <t>SOCIETE C1030</t>
        </is>
      </c>
      <c r="B1361" t="inlineStr">
        <is>
          <t>C1030</t>
        </is>
      </c>
      <c r="C1361" t="inlineStr">
        <is>
          <t>CORPORATE BANKING</t>
        </is>
      </c>
      <c r="D1361" t="inlineStr">
        <is>
          <t>II</t>
        </is>
      </c>
      <c r="E1361" t="inlineStr">
        <is>
          <t>Stage 2</t>
        </is>
      </c>
      <c r="F1361" t="inlineStr">
        <is>
          <t>N/A</t>
        </is>
      </c>
      <c r="G1361" s="26">
        <v>13046846</v>
      </c>
      <c r="H1361" s="26">
        <v>782811</v>
      </c>
      <c r="I1361" s="26">
        <v>947464</v>
      </c>
      <c r="J1361" s="26">
        <v>145</v>
      </c>
      <c r="K1361" t="inlineStr">
        <is>
          <t>Non</t>
        </is>
      </c>
      <c r="L1361">
        <f>SUBTOTAL(103,A1361)</f>
        <v>1</v>
      </c>
    </row>
    <row r="1362">
      <c r="A1362" t="inlineStr">
        <is>
          <t>SOCIETE C2069</t>
        </is>
      </c>
      <c r="B1362" t="inlineStr">
        <is>
          <t>C2069</t>
        </is>
      </c>
      <c r="C1362" t="inlineStr">
        <is>
          <t>CORPORATE BANKING</t>
        </is>
      </c>
      <c r="D1362" t="inlineStr">
        <is>
          <t>I</t>
        </is>
      </c>
      <c r="E1362" t="inlineStr">
        <is>
          <t>Stage 1</t>
        </is>
      </c>
      <c r="F1362" t="inlineStr">
        <is>
          <t>N/A</t>
        </is>
      </c>
      <c r="G1362" s="26">
        <v>309231800</v>
      </c>
      <c r="H1362" s="26">
        <v>3092318</v>
      </c>
      <c r="I1362" s="26">
        <v>0</v>
      </c>
      <c r="J1362" s="26">
        <v>57</v>
      </c>
      <c r="K1362" t="inlineStr">
        <is>
          <t>Non</t>
        </is>
      </c>
      <c r="L1362">
        <f>SUBTOTAL(103,A1362)</f>
        <v>1</v>
      </c>
    </row>
    <row r="1363">
      <c r="A1363" t="inlineStr">
        <is>
          <t>SOCIETE C2088</t>
        </is>
      </c>
      <c r="B1363" t="inlineStr">
        <is>
          <t>C2088</t>
        </is>
      </c>
      <c r="C1363" t="inlineStr">
        <is>
          <t>CONSUMER BANKING</t>
        </is>
      </c>
      <c r="D1363" t="inlineStr">
        <is>
          <t>IA</t>
        </is>
      </c>
      <c r="E1363" t="inlineStr">
        <is>
          <t>Stage 2</t>
        </is>
      </c>
      <c r="F1363" t="inlineStr">
        <is>
          <t>N/A</t>
        </is>
      </c>
      <c r="G1363" s="26">
        <v>259753719</v>
      </c>
      <c r="H1363" s="26">
        <v>15585223</v>
      </c>
      <c r="I1363" s="26">
        <v>0</v>
      </c>
      <c r="J1363" s="26">
        <v>7</v>
      </c>
      <c r="K1363" t="inlineStr">
        <is>
          <t>Non</t>
        </is>
      </c>
      <c r="L1363">
        <f>SUBTOTAL(103,A1363)</f>
        <v>1</v>
      </c>
    </row>
    <row r="1364">
      <c r="A1364" t="inlineStr">
        <is>
          <t>SOCIETE C2144</t>
        </is>
      </c>
      <c r="B1364" t="inlineStr">
        <is>
          <t>C2144</t>
        </is>
      </c>
      <c r="C1364" t="inlineStr">
        <is>
          <t>CONSUMER BANKING</t>
        </is>
      </c>
      <c r="D1364" t="inlineStr">
        <is>
          <t>V</t>
        </is>
      </c>
      <c r="E1364" t="inlineStr">
        <is>
          <t>Stage 3</t>
        </is>
      </c>
      <c r="F1364" t="inlineStr">
        <is>
          <t>N/A</t>
        </is>
      </c>
      <c r="G1364" s="26">
        <v>809878140</v>
      </c>
      <c r="H1364" s="26">
        <v>445432977</v>
      </c>
      <c r="I1364" s="26">
        <v>0</v>
      </c>
      <c r="J1364" s="26">
        <v>289</v>
      </c>
      <c r="K1364" t="inlineStr">
        <is>
          <t>Oui</t>
        </is>
      </c>
      <c r="L1364">
        <f>SUBTOTAL(103,A1364)</f>
        <v>1</v>
      </c>
    </row>
    <row r="1365">
      <c r="A1365" t="inlineStr">
        <is>
          <t>SOCIETE C496</t>
        </is>
      </c>
      <c r="B1365" t="inlineStr">
        <is>
          <t>C496</t>
        </is>
      </c>
      <c r="C1365" t="inlineStr">
        <is>
          <t>CORPORATE BANKING</t>
        </is>
      </c>
      <c r="D1365" t="inlineStr">
        <is>
          <t>V</t>
        </is>
      </c>
      <c r="E1365" t="inlineStr">
        <is>
          <t>Stage 3</t>
        </is>
      </c>
      <c r="F1365" t="inlineStr">
        <is>
          <t>N/A</t>
        </is>
      </c>
      <c r="G1365" s="26">
        <v>576865128</v>
      </c>
      <c r="H1365" s="26">
        <v>317275820</v>
      </c>
      <c r="I1365" s="26">
        <v>0</v>
      </c>
      <c r="J1365" s="26">
        <v>137</v>
      </c>
      <c r="K1365" t="inlineStr">
        <is>
          <t>Oui</t>
        </is>
      </c>
      <c r="L1365">
        <f>SUBTOTAL(103,A1365)</f>
        <v>1</v>
      </c>
    </row>
    <row r="1366">
      <c r="A1366" t="inlineStr">
        <is>
          <t>SOCIETE C1174</t>
        </is>
      </c>
      <c r="B1366" t="inlineStr">
        <is>
          <t>C1174</t>
        </is>
      </c>
      <c r="C1366" t="inlineStr">
        <is>
          <t>SME</t>
        </is>
      </c>
      <c r="D1366" t="inlineStr">
        <is>
          <t>I</t>
        </is>
      </c>
      <c r="E1366" t="inlineStr">
        <is>
          <t>Stage 1</t>
        </is>
      </c>
      <c r="F1366" t="inlineStr">
        <is>
          <t>N/A</t>
        </is>
      </c>
      <c r="G1366" s="26">
        <v>5510875</v>
      </c>
      <c r="H1366" s="26">
        <v>55109</v>
      </c>
      <c r="I1366" s="26">
        <v>191483</v>
      </c>
      <c r="J1366" s="26">
        <v>7</v>
      </c>
      <c r="K1366" t="inlineStr">
        <is>
          <t>Non</t>
        </is>
      </c>
      <c r="L1366">
        <f>SUBTOTAL(103,A1366)</f>
        <v>1</v>
      </c>
    </row>
    <row r="1367">
      <c r="A1367" t="inlineStr">
        <is>
          <t>SOCIETE C436</t>
        </is>
      </c>
      <c r="B1367" t="inlineStr">
        <is>
          <t>C436</t>
        </is>
      </c>
      <c r="C1367" t="inlineStr">
        <is>
          <t>CORPORATE BANKING</t>
        </is>
      </c>
      <c r="D1367" t="inlineStr">
        <is>
          <t>IA</t>
        </is>
      </c>
      <c r="E1367" t="inlineStr">
        <is>
          <t>Stage 2</t>
        </is>
      </c>
      <c r="F1367" t="inlineStr">
        <is>
          <t>N/A</t>
        </is>
      </c>
      <c r="G1367" s="26">
        <v>2936762992</v>
      </c>
      <c r="H1367" s="26">
        <v>176205780</v>
      </c>
      <c r="I1367" s="26">
        <v>0</v>
      </c>
      <c r="J1367" s="26">
        <v>34</v>
      </c>
      <c r="K1367" t="inlineStr">
        <is>
          <t>Non</t>
        </is>
      </c>
      <c r="L1367">
        <f>SUBTOTAL(103,A1367)</f>
        <v>1</v>
      </c>
    </row>
    <row r="1368">
      <c r="A1368" t="inlineStr">
        <is>
          <t>SOCIETE C1786</t>
        </is>
      </c>
      <c r="B1368" t="inlineStr">
        <is>
          <t>C1786</t>
        </is>
      </c>
      <c r="C1368" t="inlineStr">
        <is>
          <t>COMMERCIAL BANKING</t>
        </is>
      </c>
      <c r="D1368" t="inlineStr">
        <is>
          <t>II</t>
        </is>
      </c>
      <c r="E1368" t="inlineStr">
        <is>
          <t>Stage 2</t>
        </is>
      </c>
      <c r="F1368" t="inlineStr">
        <is>
          <t>N/A</t>
        </is>
      </c>
      <c r="G1368" s="26">
        <v>44637972</v>
      </c>
      <c r="H1368" s="26">
        <v>2678278</v>
      </c>
      <c r="I1368" s="26">
        <v>0</v>
      </c>
      <c r="J1368" s="26">
        <v>25</v>
      </c>
      <c r="K1368" t="inlineStr">
        <is>
          <t>Non</t>
        </is>
      </c>
      <c r="L1368">
        <f>SUBTOTAL(103,A1368)</f>
        <v>1</v>
      </c>
    </row>
    <row r="1369">
      <c r="A1369" t="inlineStr">
        <is>
          <t>SOCIETE C1529</t>
        </is>
      </c>
      <c r="B1369" t="inlineStr">
        <is>
          <t>C1529</t>
        </is>
      </c>
      <c r="C1369" t="inlineStr">
        <is>
          <t>COMMERCIAL BANKING</t>
        </is>
      </c>
      <c r="D1369" t="inlineStr">
        <is>
          <t>I</t>
        </is>
      </c>
      <c r="E1369" t="inlineStr">
        <is>
          <t>Stage 1</t>
        </is>
      </c>
      <c r="F1369" t="inlineStr">
        <is>
          <t>N/A</t>
        </is>
      </c>
      <c r="G1369" s="26">
        <v>2870986010</v>
      </c>
      <c r="H1369" s="26">
        <v>28709860</v>
      </c>
      <c r="I1369" s="26">
        <v>0</v>
      </c>
      <c r="J1369" s="26">
        <v>11</v>
      </c>
      <c r="K1369" t="inlineStr">
        <is>
          <t>Non</t>
        </is>
      </c>
      <c r="L1369">
        <f>SUBTOTAL(103,A1369)</f>
        <v>1</v>
      </c>
    </row>
    <row r="1370">
      <c r="A1370" t="inlineStr">
        <is>
          <t>SOCIETE C1522</t>
        </is>
      </c>
      <c r="B1370" t="inlineStr">
        <is>
          <t>C1522</t>
        </is>
      </c>
      <c r="C1370" t="inlineStr">
        <is>
          <t>CORPORATE BANKING</t>
        </is>
      </c>
      <c r="D1370" t="inlineStr">
        <is>
          <t>V</t>
        </is>
      </c>
      <c r="E1370" t="inlineStr">
        <is>
          <t>Stage 3</t>
        </is>
      </c>
      <c r="F1370" t="inlineStr">
        <is>
          <t>N/A</t>
        </is>
      </c>
      <c r="G1370" s="26">
        <v>12490108</v>
      </c>
      <c r="H1370" s="26">
        <v>6869560</v>
      </c>
      <c r="I1370" s="26">
        <v>0</v>
      </c>
      <c r="J1370" s="26">
        <v>334</v>
      </c>
      <c r="K1370" t="inlineStr">
        <is>
          <t>Oui</t>
        </is>
      </c>
      <c r="L1370">
        <f>SUBTOTAL(103,A1370)</f>
        <v>1</v>
      </c>
    </row>
    <row r="1371">
      <c r="A1371" t="inlineStr">
        <is>
          <t>SOCIETE C1811</t>
        </is>
      </c>
      <c r="B1371" t="inlineStr">
        <is>
          <t>C1811</t>
        </is>
      </c>
      <c r="C1371" t="inlineStr">
        <is>
          <t>COMMERCIAL BANKING</t>
        </is>
      </c>
      <c r="D1371" t="inlineStr">
        <is>
          <t>I</t>
        </is>
      </c>
      <c r="E1371" t="inlineStr">
        <is>
          <t>Stage 1</t>
        </is>
      </c>
      <c r="F1371" t="inlineStr">
        <is>
          <t>N/A</t>
        </is>
      </c>
      <c r="G1371" s="26">
        <v>1524388</v>
      </c>
      <c r="H1371" s="26">
        <v>15244</v>
      </c>
      <c r="I1371" s="26">
        <v>0</v>
      </c>
      <c r="J1371" s="26">
        <v>107</v>
      </c>
      <c r="K1371" t="inlineStr">
        <is>
          <t>Non</t>
        </is>
      </c>
      <c r="L1371">
        <f>SUBTOTAL(103,A1371)</f>
        <v>1</v>
      </c>
    </row>
    <row r="1372">
      <c r="A1372" t="inlineStr">
        <is>
          <t>SOCIETE C1798</t>
        </is>
      </c>
      <c r="B1372" t="inlineStr">
        <is>
          <t>C1798</t>
        </is>
      </c>
      <c r="C1372" t="inlineStr">
        <is>
          <t>COMMERCIAL BANKING</t>
        </is>
      </c>
      <c r="D1372" t="inlineStr">
        <is>
          <t>IA</t>
        </is>
      </c>
      <c r="E1372" t="inlineStr">
        <is>
          <t>Stage 2</t>
        </is>
      </c>
      <c r="F1372" t="inlineStr">
        <is>
          <t>N/A</t>
        </is>
      </c>
      <c r="G1372" s="26">
        <v>7939124</v>
      </c>
      <c r="H1372" s="26">
        <v>476347</v>
      </c>
      <c r="I1372" s="26">
        <v>0</v>
      </c>
      <c r="J1372" s="26">
        <v>258</v>
      </c>
      <c r="K1372" t="inlineStr">
        <is>
          <t>Non</t>
        </is>
      </c>
      <c r="L1372">
        <f>SUBTOTAL(103,A1372)</f>
        <v>1</v>
      </c>
    </row>
    <row r="1373">
      <c r="A1373" t="inlineStr">
        <is>
          <t>SOCIETE C1852</t>
        </is>
      </c>
      <c r="B1373" t="inlineStr">
        <is>
          <t>C1852</t>
        </is>
      </c>
      <c r="C1373" t="inlineStr">
        <is>
          <t>COMMERCIAL BANKING</t>
        </is>
      </c>
      <c r="D1373" t="inlineStr">
        <is>
          <t>I</t>
        </is>
      </c>
      <c r="E1373" t="inlineStr">
        <is>
          <t>Stage 1</t>
        </is>
      </c>
      <c r="F1373" t="inlineStr">
        <is>
          <t>N/A</t>
        </is>
      </c>
      <c r="G1373" s="26">
        <v>168969750</v>
      </c>
      <c r="H1373" s="26">
        <v>1689697</v>
      </c>
      <c r="I1373" s="26">
        <v>0</v>
      </c>
      <c r="J1373" s="26">
        <v>6</v>
      </c>
      <c r="K1373" t="inlineStr">
        <is>
          <t>Non</t>
        </is>
      </c>
      <c r="L1373">
        <f>SUBTOTAL(103,A1373)</f>
        <v>1</v>
      </c>
    </row>
    <row r="1374">
      <c r="A1374" t="inlineStr">
        <is>
          <t>SOCIETE C1603</t>
        </is>
      </c>
      <c r="B1374" t="inlineStr">
        <is>
          <t>C1603</t>
        </is>
      </c>
      <c r="C1374" t="inlineStr">
        <is>
          <t>CORPORATE BANKING</t>
        </is>
      </c>
      <c r="D1374" t="inlineStr">
        <is>
          <t>IV</t>
        </is>
      </c>
      <c r="E1374" t="inlineStr">
        <is>
          <t>Stage 3</t>
        </is>
      </c>
      <c r="F1374" t="inlineStr">
        <is>
          <t>N/A</t>
        </is>
      </c>
      <c r="G1374" s="26">
        <v>61733665</v>
      </c>
      <c r="H1374" s="26">
        <v>33953515</v>
      </c>
      <c r="I1374" s="26">
        <v>0</v>
      </c>
      <c r="J1374" s="26">
        <v>15</v>
      </c>
      <c r="K1374" t="inlineStr">
        <is>
          <t>Oui</t>
        </is>
      </c>
      <c r="L1374">
        <f>SUBTOTAL(103,A1374)</f>
        <v>1</v>
      </c>
    </row>
    <row r="1375">
      <c r="A1375" t="inlineStr">
        <is>
          <t>SOCIETE C465</t>
        </is>
      </c>
      <c r="B1375" t="inlineStr">
        <is>
          <t>C465</t>
        </is>
      </c>
      <c r="C1375" t="inlineStr">
        <is>
          <t>CORPORATE BANKING</t>
        </is>
      </c>
      <c r="D1375" t="inlineStr">
        <is>
          <t>I</t>
        </is>
      </c>
      <c r="E1375" t="inlineStr">
        <is>
          <t>Stage 1</t>
        </is>
      </c>
      <c r="F1375" t="inlineStr">
        <is>
          <t>N/A</t>
        </is>
      </c>
      <c r="G1375" s="26">
        <v>2596653044</v>
      </c>
      <c r="H1375" s="26">
        <v>25966530</v>
      </c>
      <c r="I1375" s="26">
        <v>0</v>
      </c>
      <c r="J1375" s="26">
        <v>8</v>
      </c>
      <c r="K1375" t="inlineStr">
        <is>
          <t>Non</t>
        </is>
      </c>
      <c r="L1375">
        <f>SUBTOTAL(103,A1375)</f>
        <v>1</v>
      </c>
    </row>
    <row r="1376">
      <c r="A1376" t="inlineStr">
        <is>
          <t>SOCIETE C1228</t>
        </is>
      </c>
      <c r="B1376" t="inlineStr">
        <is>
          <t>C1228</t>
        </is>
      </c>
      <c r="C1376" t="inlineStr">
        <is>
          <t>CORPORATE BANKING</t>
        </is>
      </c>
      <c r="D1376" t="inlineStr">
        <is>
          <t>IA</t>
        </is>
      </c>
      <c r="E1376" t="inlineStr">
        <is>
          <t>Stage 2</t>
        </is>
      </c>
      <c r="F1376" t="inlineStr">
        <is>
          <t>N/A</t>
        </is>
      </c>
      <c r="G1376" s="26">
        <v>535198881</v>
      </c>
      <c r="H1376" s="26">
        <v>32111933</v>
      </c>
      <c r="I1376" s="26">
        <v>102541052</v>
      </c>
      <c r="J1376" s="26">
        <v>94</v>
      </c>
      <c r="K1376" t="inlineStr">
        <is>
          <t>Non</t>
        </is>
      </c>
      <c r="L1376">
        <f>SUBTOTAL(103,A1376)</f>
        <v>1</v>
      </c>
    </row>
    <row r="1377">
      <c r="A1377" t="inlineStr">
        <is>
          <t>SOCIETE C2292</t>
        </is>
      </c>
      <c r="B1377" t="inlineStr">
        <is>
          <t>C2292</t>
        </is>
      </c>
      <c r="C1377" t="inlineStr">
        <is>
          <t>CORPORATE BANKING</t>
        </is>
      </c>
      <c r="D1377" t="inlineStr">
        <is>
          <t>IV</t>
        </is>
      </c>
      <c r="E1377" t="inlineStr">
        <is>
          <t>Stage 3</t>
        </is>
      </c>
      <c r="F1377" t="inlineStr">
        <is>
          <t>N/A</t>
        </is>
      </c>
      <c r="G1377" s="26">
        <v>206061599</v>
      </c>
      <c r="H1377" s="26">
        <v>113333879</v>
      </c>
      <c r="I1377" s="26">
        <v>0</v>
      </c>
      <c r="J1377" s="26">
        <v>148</v>
      </c>
      <c r="K1377" t="inlineStr">
        <is>
          <t>Oui</t>
        </is>
      </c>
      <c r="L1377">
        <f>SUBTOTAL(103,A1377)</f>
        <v>1</v>
      </c>
    </row>
    <row r="1378">
      <c r="A1378" t="inlineStr">
        <is>
          <t>SOCIETE C161</t>
        </is>
      </c>
      <c r="B1378" t="inlineStr">
        <is>
          <t>C161</t>
        </is>
      </c>
      <c r="C1378" t="inlineStr">
        <is>
          <t>CORPORATE BANKING</t>
        </is>
      </c>
      <c r="D1378" t="inlineStr">
        <is>
          <t>III</t>
        </is>
      </c>
      <c r="E1378" t="inlineStr">
        <is>
          <t>Stage 3</t>
        </is>
      </c>
      <c r="F1378" t="inlineStr">
        <is>
          <t>N/A</t>
        </is>
      </c>
      <c r="G1378" s="26">
        <v>1173588</v>
      </c>
      <c r="H1378" s="26">
        <v>645474</v>
      </c>
      <c r="I1378" s="26">
        <v>0</v>
      </c>
      <c r="J1378" s="26">
        <v>211</v>
      </c>
      <c r="K1378" t="inlineStr">
        <is>
          <t>Oui</t>
        </is>
      </c>
      <c r="L1378">
        <f>SUBTOTAL(103,A1378)</f>
        <v>1</v>
      </c>
    </row>
    <row r="1379">
      <c r="A1379" t="inlineStr">
        <is>
          <t>SOCIETE C2339</t>
        </is>
      </c>
      <c r="B1379" t="inlineStr">
        <is>
          <t>C2339</t>
        </is>
      </c>
      <c r="C1379" t="inlineStr">
        <is>
          <t>PUBLIC SECTOR</t>
        </is>
      </c>
      <c r="D1379" t="inlineStr">
        <is>
          <t>I</t>
        </is>
      </c>
      <c r="E1379" t="inlineStr">
        <is>
          <t>Stage 1</t>
        </is>
      </c>
      <c r="F1379" t="inlineStr">
        <is>
          <t>N/A</t>
        </is>
      </c>
      <c r="G1379" s="26">
        <v>326349989</v>
      </c>
      <c r="H1379" s="26">
        <v>3263500</v>
      </c>
      <c r="I1379" s="26">
        <v>0</v>
      </c>
      <c r="J1379" s="26">
        <v>85</v>
      </c>
      <c r="K1379" t="inlineStr">
        <is>
          <t>Non</t>
        </is>
      </c>
      <c r="L1379">
        <f>SUBTOTAL(103,A1379)</f>
        <v>1</v>
      </c>
    </row>
    <row r="1380">
      <c r="A1380" t="inlineStr">
        <is>
          <t>SOCIETE C2149</t>
        </is>
      </c>
      <c r="B1380" t="inlineStr">
        <is>
          <t>C2149</t>
        </is>
      </c>
      <c r="C1380" t="inlineStr">
        <is>
          <t>CONSUMER BANKING</t>
        </is>
      </c>
      <c r="D1380" t="inlineStr">
        <is>
          <t>I</t>
        </is>
      </c>
      <c r="E1380" t="inlineStr">
        <is>
          <t>Stage 1</t>
        </is>
      </c>
      <c r="F1380" t="inlineStr">
        <is>
          <t>N/A</t>
        </is>
      </c>
      <c r="G1380" s="26">
        <v>2103896175</v>
      </c>
      <c r="H1380" s="26">
        <v>21038962</v>
      </c>
      <c r="I1380" s="26">
        <v>0</v>
      </c>
      <c r="J1380" s="26">
        <v>17</v>
      </c>
      <c r="K1380" t="inlineStr">
        <is>
          <t>Non</t>
        </is>
      </c>
      <c r="L1380">
        <f>SUBTOTAL(103,A1380)</f>
        <v>1</v>
      </c>
    </row>
    <row r="1381">
      <c r="A1381" t="inlineStr">
        <is>
          <t>SOCIETE C2129</t>
        </is>
      </c>
      <c r="B1381" t="inlineStr">
        <is>
          <t>C2129</t>
        </is>
      </c>
      <c r="C1381" t="inlineStr">
        <is>
          <t>COMMERCIAL BANKING</t>
        </is>
      </c>
      <c r="D1381" t="inlineStr">
        <is>
          <t>V</t>
        </is>
      </c>
      <c r="E1381" t="inlineStr">
        <is>
          <t>Stage 3</t>
        </is>
      </c>
      <c r="F1381" t="inlineStr">
        <is>
          <t>N/A</t>
        </is>
      </c>
      <c r="G1381" s="26">
        <v>865175991</v>
      </c>
      <c r="H1381" s="26">
        <v>475846795</v>
      </c>
      <c r="I1381" s="26">
        <v>40230313</v>
      </c>
      <c r="J1381" s="26">
        <v>171</v>
      </c>
      <c r="K1381" t="inlineStr">
        <is>
          <t>Oui</t>
        </is>
      </c>
      <c r="L1381">
        <f>SUBTOTAL(103,A1381)</f>
        <v>1</v>
      </c>
    </row>
    <row r="1382">
      <c r="A1382" t="inlineStr">
        <is>
          <t>SOCIETE C331</t>
        </is>
      </c>
      <c r="B1382" t="inlineStr">
        <is>
          <t>C331</t>
        </is>
      </c>
      <c r="C1382" t="inlineStr">
        <is>
          <t>CORPORATE BANKING</t>
        </is>
      </c>
      <c r="D1382" t="inlineStr">
        <is>
          <t>IA</t>
        </is>
      </c>
      <c r="E1382" t="inlineStr">
        <is>
          <t>Stage 2</t>
        </is>
      </c>
      <c r="F1382" t="inlineStr">
        <is>
          <t>N/A</t>
        </is>
      </c>
      <c r="G1382" s="26">
        <v>4335387</v>
      </c>
      <c r="H1382" s="26">
        <v>260123</v>
      </c>
      <c r="I1382" s="26">
        <v>0</v>
      </c>
      <c r="J1382" s="26">
        <v>105</v>
      </c>
      <c r="K1382" t="inlineStr">
        <is>
          <t>Non</t>
        </is>
      </c>
      <c r="L1382">
        <f>SUBTOTAL(103,A1382)</f>
        <v>1</v>
      </c>
    </row>
    <row r="1383">
      <c r="A1383" t="inlineStr">
        <is>
          <t>SOCIETE C1256</t>
        </is>
      </c>
      <c r="B1383" t="inlineStr">
        <is>
          <t>C1256</t>
        </is>
      </c>
      <c r="C1383" t="inlineStr">
        <is>
          <t>CORPORATE BANKING</t>
        </is>
      </c>
      <c r="D1383" t="inlineStr">
        <is>
          <t>I</t>
        </is>
      </c>
      <c r="E1383" t="inlineStr">
        <is>
          <t>Stage 1</t>
        </is>
      </c>
      <c r="F1383" t="inlineStr">
        <is>
          <t>N/A</t>
        </is>
      </c>
      <c r="G1383" s="26">
        <v>798897754</v>
      </c>
      <c r="H1383" s="26">
        <v>7988978</v>
      </c>
      <c r="I1383" s="26">
        <v>0</v>
      </c>
      <c r="J1383" s="26">
        <v>194</v>
      </c>
      <c r="K1383" t="inlineStr">
        <is>
          <t>Non</t>
        </is>
      </c>
      <c r="L1383">
        <f>SUBTOTAL(103,A1383)</f>
        <v>1</v>
      </c>
    </row>
    <row r="1384">
      <c r="A1384" t="inlineStr">
        <is>
          <t>SOCIETE C736</t>
        </is>
      </c>
      <c r="B1384" t="inlineStr">
        <is>
          <t>C736</t>
        </is>
      </c>
      <c r="C1384" t="inlineStr">
        <is>
          <t>PUBLIC SECTOR</t>
        </is>
      </c>
      <c r="D1384" t="inlineStr">
        <is>
          <t>III</t>
        </is>
      </c>
      <c r="E1384" t="inlineStr">
        <is>
          <t>Stage 3</t>
        </is>
      </c>
      <c r="F1384" t="inlineStr">
        <is>
          <t>N/A</t>
        </is>
      </c>
      <c r="G1384" s="26">
        <v>1028102</v>
      </c>
      <c r="H1384" s="26">
        <v>565456</v>
      </c>
      <c r="I1384" s="26">
        <v>0</v>
      </c>
      <c r="J1384" s="26">
        <v>249</v>
      </c>
      <c r="K1384" t="inlineStr">
        <is>
          <t>Oui</t>
        </is>
      </c>
      <c r="L1384">
        <f>SUBTOTAL(103,A1384)</f>
        <v>1</v>
      </c>
    </row>
    <row r="1385">
      <c r="A1385" t="inlineStr">
        <is>
          <t>SOCIETE C2252</t>
        </is>
      </c>
      <c r="B1385" t="inlineStr">
        <is>
          <t>C2252</t>
        </is>
      </c>
      <c r="C1385" t="inlineStr">
        <is>
          <t>CORPORATE BANKING</t>
        </is>
      </c>
      <c r="D1385" t="inlineStr">
        <is>
          <t>III</t>
        </is>
      </c>
      <c r="E1385" t="inlineStr">
        <is>
          <t>Stage 3</t>
        </is>
      </c>
      <c r="F1385" t="inlineStr">
        <is>
          <t>N/A</t>
        </is>
      </c>
      <c r="G1385" s="26">
        <v>705447858</v>
      </c>
      <c r="H1385" s="26">
        <v>387996322</v>
      </c>
      <c r="I1385" s="26">
        <v>0</v>
      </c>
      <c r="J1385" s="26">
        <v>9</v>
      </c>
      <c r="K1385" t="inlineStr">
        <is>
          <t>Oui</t>
        </is>
      </c>
      <c r="L1385">
        <f>SUBTOTAL(103,A1385)</f>
        <v>1</v>
      </c>
    </row>
    <row r="1386">
      <c r="A1386" t="inlineStr">
        <is>
          <t>SOCIETE C1059</t>
        </is>
      </c>
      <c r="B1386" t="inlineStr">
        <is>
          <t>C1059</t>
        </is>
      </c>
      <c r="C1386" t="inlineStr">
        <is>
          <t>INSTITUTIONAL</t>
        </is>
      </c>
      <c r="D1386" t="inlineStr">
        <is>
          <t>I</t>
        </is>
      </c>
      <c r="E1386" t="inlineStr">
        <is>
          <t>Stage 1</t>
        </is>
      </c>
      <c r="F1386" t="inlineStr">
        <is>
          <t>N/A</t>
        </is>
      </c>
      <c r="G1386" s="26">
        <v>1557593856</v>
      </c>
      <c r="H1386" s="26">
        <v>15575939</v>
      </c>
      <c r="I1386" s="26">
        <v>0</v>
      </c>
      <c r="J1386" s="26">
        <v>149</v>
      </c>
      <c r="K1386" t="inlineStr">
        <is>
          <t>Non</t>
        </is>
      </c>
      <c r="L1386">
        <f>SUBTOTAL(103,A1386)</f>
        <v>1</v>
      </c>
    </row>
    <row r="1387">
      <c r="A1387" t="inlineStr">
        <is>
          <t>SOCIETE C697</t>
        </is>
      </c>
      <c r="B1387" t="inlineStr">
        <is>
          <t>C697</t>
        </is>
      </c>
      <c r="C1387" t="inlineStr">
        <is>
          <t>PUBLIC SECTOR</t>
        </is>
      </c>
      <c r="D1387" t="inlineStr">
        <is>
          <t>IV</t>
        </is>
      </c>
      <c r="E1387" t="inlineStr">
        <is>
          <t>Stage 3</t>
        </is>
      </c>
      <c r="F1387" t="inlineStr">
        <is>
          <t>N/A</t>
        </is>
      </c>
      <c r="G1387" s="26">
        <v>371171844</v>
      </c>
      <c r="H1387" s="26">
        <v>204144514</v>
      </c>
      <c r="I1387" s="26">
        <v>35413822</v>
      </c>
      <c r="J1387" s="26">
        <v>72</v>
      </c>
      <c r="K1387" t="inlineStr">
        <is>
          <t>Oui</t>
        </is>
      </c>
      <c r="L1387">
        <f>SUBTOTAL(103,A1387)</f>
        <v>1</v>
      </c>
    </row>
    <row r="1388">
      <c r="A1388" t="inlineStr">
        <is>
          <t>SOCIETE C1474</t>
        </is>
      </c>
      <c r="B1388" t="inlineStr">
        <is>
          <t>C1474</t>
        </is>
      </c>
      <c r="C1388" t="inlineStr">
        <is>
          <t>CORPORATE BANKING</t>
        </is>
      </c>
      <c r="D1388" t="inlineStr">
        <is>
          <t>IA</t>
        </is>
      </c>
      <c r="E1388" t="inlineStr">
        <is>
          <t>Stage 2</t>
        </is>
      </c>
      <c r="F1388" t="inlineStr">
        <is>
          <t>N/A</t>
        </is>
      </c>
      <c r="G1388" s="26">
        <v>1218259042</v>
      </c>
      <c r="H1388" s="26">
        <v>73095542</v>
      </c>
      <c r="I1388" s="26">
        <v>133397524</v>
      </c>
      <c r="J1388" s="26">
        <v>75</v>
      </c>
      <c r="K1388" t="inlineStr">
        <is>
          <t>Non</t>
        </is>
      </c>
      <c r="L1388">
        <f>SUBTOTAL(103,A1388)</f>
        <v>1</v>
      </c>
    </row>
    <row r="1389">
      <c r="A1389" t="inlineStr">
        <is>
          <t>SOCIETE C1426</t>
        </is>
      </c>
      <c r="B1389" t="inlineStr">
        <is>
          <t>C1426</t>
        </is>
      </c>
      <c r="C1389" t="inlineStr">
        <is>
          <t>COMMERCIAL BANKING</t>
        </is>
      </c>
      <c r="D1389" t="inlineStr">
        <is>
          <t>I</t>
        </is>
      </c>
      <c r="E1389" t="inlineStr">
        <is>
          <t>Stage 1</t>
        </is>
      </c>
      <c r="F1389" t="inlineStr">
        <is>
          <t>N/A</t>
        </is>
      </c>
      <c r="G1389" s="26">
        <v>2212498242</v>
      </c>
      <c r="H1389" s="26">
        <v>22124982</v>
      </c>
      <c r="I1389" s="26">
        <v>177945867</v>
      </c>
      <c r="J1389" s="26">
        <v>155</v>
      </c>
      <c r="K1389" t="inlineStr">
        <is>
          <t>Non</t>
        </is>
      </c>
      <c r="L1389">
        <f>SUBTOTAL(103,A1389)</f>
        <v>1</v>
      </c>
    </row>
    <row r="1390">
      <c r="A1390" t="inlineStr">
        <is>
          <t>SOCIETE C1170</t>
        </is>
      </c>
      <c r="B1390" t="inlineStr">
        <is>
          <t>C1170</t>
        </is>
      </c>
      <c r="C1390" t="inlineStr">
        <is>
          <t>COMMERCIAL BANKING</t>
        </is>
      </c>
      <c r="D1390" t="inlineStr">
        <is>
          <t>I</t>
        </is>
      </c>
      <c r="E1390" t="inlineStr">
        <is>
          <t>Stage 1</t>
        </is>
      </c>
      <c r="F1390" t="inlineStr">
        <is>
          <t>N/A</t>
        </is>
      </c>
      <c r="G1390" s="26">
        <v>972227391</v>
      </c>
      <c r="H1390" s="26">
        <v>9722274</v>
      </c>
      <c r="I1390" s="26">
        <v>0</v>
      </c>
      <c r="J1390" s="26">
        <v>262</v>
      </c>
      <c r="K1390" t="inlineStr">
        <is>
          <t>Non</t>
        </is>
      </c>
      <c r="L1390">
        <f>SUBTOTAL(103,A1390)</f>
        <v>1</v>
      </c>
    </row>
    <row r="1391">
      <c r="A1391" t="inlineStr">
        <is>
          <t>SOCIETE C659</t>
        </is>
      </c>
      <c r="B1391" t="inlineStr">
        <is>
          <t>C659</t>
        </is>
      </c>
      <c r="C1391" t="inlineStr">
        <is>
          <t>PUBLIC SECTOR</t>
        </is>
      </c>
      <c r="D1391" t="inlineStr">
        <is>
          <t>I</t>
        </is>
      </c>
      <c r="E1391" t="inlineStr">
        <is>
          <t>Stage 1</t>
        </is>
      </c>
      <c r="F1391" t="inlineStr">
        <is>
          <t>N/A</t>
        </is>
      </c>
      <c r="G1391" s="26">
        <v>1218852</v>
      </c>
      <c r="H1391" s="26">
        <v>12189</v>
      </c>
      <c r="I1391" s="26">
        <v>0</v>
      </c>
      <c r="J1391" s="26">
        <v>122</v>
      </c>
      <c r="K1391" t="inlineStr">
        <is>
          <t>Non</t>
        </is>
      </c>
      <c r="L1391">
        <f>SUBTOTAL(103,A1391)</f>
        <v>1</v>
      </c>
    </row>
    <row r="1392">
      <c r="A1392" t="inlineStr">
        <is>
          <t>SOCIETE C447</t>
        </is>
      </c>
      <c r="B1392" t="inlineStr">
        <is>
          <t>C447</t>
        </is>
      </c>
      <c r="C1392" t="inlineStr">
        <is>
          <t>CORPORATE BANKING</t>
        </is>
      </c>
      <c r="D1392" t="inlineStr">
        <is>
          <t>IA</t>
        </is>
      </c>
      <c r="E1392" t="inlineStr">
        <is>
          <t>Stage 2</t>
        </is>
      </c>
      <c r="F1392" t="inlineStr">
        <is>
          <t>N/A</t>
        </is>
      </c>
      <c r="G1392" s="26">
        <v>457093621</v>
      </c>
      <c r="H1392" s="26">
        <v>27425617</v>
      </c>
      <c r="I1392" s="26">
        <v>0</v>
      </c>
      <c r="J1392" s="26">
        <v>6</v>
      </c>
      <c r="K1392" t="inlineStr">
        <is>
          <t>Non</t>
        </is>
      </c>
      <c r="L1392">
        <f>SUBTOTAL(103,A1392)</f>
        <v>1</v>
      </c>
    </row>
    <row r="1393">
      <c r="A1393" t="inlineStr">
        <is>
          <t>SOCIETE C626</t>
        </is>
      </c>
      <c r="B1393" t="inlineStr">
        <is>
          <t>C626</t>
        </is>
      </c>
      <c r="C1393" t="inlineStr">
        <is>
          <t>PUBLIC SECTOR</t>
        </is>
      </c>
      <c r="D1393" t="inlineStr">
        <is>
          <t>IA</t>
        </is>
      </c>
      <c r="E1393" t="inlineStr">
        <is>
          <t>Stage 2</t>
        </is>
      </c>
      <c r="F1393" t="inlineStr">
        <is>
          <t>N/A</t>
        </is>
      </c>
      <c r="G1393" s="26">
        <v>1088635280</v>
      </c>
      <c r="H1393" s="26">
        <v>65318117</v>
      </c>
      <c r="I1393" s="26">
        <v>77682296</v>
      </c>
      <c r="J1393" s="26">
        <v>42</v>
      </c>
      <c r="K1393" t="inlineStr">
        <is>
          <t>Non</t>
        </is>
      </c>
      <c r="L1393">
        <f>SUBTOTAL(103,A1393)</f>
        <v>1</v>
      </c>
    </row>
    <row r="1394">
      <c r="A1394" t="inlineStr">
        <is>
          <t>SOCIETE C826</t>
        </is>
      </c>
      <c r="B1394" t="inlineStr">
        <is>
          <t>C826</t>
        </is>
      </c>
      <c r="C1394" t="inlineStr">
        <is>
          <t>CORPORATE BANKING</t>
        </is>
      </c>
      <c r="D1394" t="inlineStr">
        <is>
          <t>I</t>
        </is>
      </c>
      <c r="E1394" t="inlineStr">
        <is>
          <t>Stage 1</t>
        </is>
      </c>
      <c r="F1394" t="inlineStr">
        <is>
          <t>N/A</t>
        </is>
      </c>
      <c r="G1394" s="26">
        <v>1912064885</v>
      </c>
      <c r="H1394" s="26">
        <v>19120649</v>
      </c>
      <c r="I1394" s="26">
        <v>0</v>
      </c>
      <c r="J1394" s="26">
        <v>175</v>
      </c>
      <c r="K1394" t="inlineStr">
        <is>
          <t>Non</t>
        </is>
      </c>
      <c r="L1394">
        <f>SUBTOTAL(103,A1394)</f>
        <v>1</v>
      </c>
    </row>
    <row r="1395">
      <c r="A1395" t="inlineStr">
        <is>
          <t>SOCIETE C435</t>
        </is>
      </c>
      <c r="B1395" t="inlineStr">
        <is>
          <t>C435</t>
        </is>
      </c>
      <c r="C1395" t="inlineStr">
        <is>
          <t>PUBLIC SECTOR</t>
        </is>
      </c>
      <c r="D1395" t="inlineStr">
        <is>
          <t>I</t>
        </is>
      </c>
      <c r="E1395" t="inlineStr">
        <is>
          <t>Stage 1</t>
        </is>
      </c>
      <c r="F1395" t="inlineStr">
        <is>
          <t>N/A</t>
        </is>
      </c>
      <c r="G1395" s="26">
        <v>35323885</v>
      </c>
      <c r="H1395" s="26">
        <v>353239</v>
      </c>
      <c r="I1395" s="26">
        <v>0</v>
      </c>
      <c r="J1395" s="26">
        <v>66</v>
      </c>
      <c r="K1395" t="inlineStr">
        <is>
          <t>Non</t>
        </is>
      </c>
      <c r="L1395">
        <f>SUBTOTAL(103,A1395)</f>
        <v>1</v>
      </c>
    </row>
    <row r="1396">
      <c r="A1396" t="inlineStr">
        <is>
          <t>SOCIETE C824</t>
        </is>
      </c>
      <c r="B1396" t="inlineStr">
        <is>
          <t>C824</t>
        </is>
      </c>
      <c r="C1396" t="inlineStr">
        <is>
          <t>CORPORATE BANKING</t>
        </is>
      </c>
      <c r="D1396" t="inlineStr">
        <is>
          <t>I</t>
        </is>
      </c>
      <c r="E1396" t="inlineStr">
        <is>
          <t>Stage 1</t>
        </is>
      </c>
      <c r="F1396" t="inlineStr">
        <is>
          <t>N/A</t>
        </is>
      </c>
      <c r="G1396" s="26">
        <v>155965179</v>
      </c>
      <c r="H1396" s="26">
        <v>1559652</v>
      </c>
      <c r="I1396" s="26">
        <v>0</v>
      </c>
      <c r="J1396" s="26">
        <v>193</v>
      </c>
      <c r="K1396" t="inlineStr">
        <is>
          <t>Non</t>
        </is>
      </c>
      <c r="L1396">
        <f>SUBTOTAL(103,A1396)</f>
        <v>1</v>
      </c>
    </row>
    <row r="1397">
      <c r="A1397" t="inlineStr">
        <is>
          <t>SOCIETE C1344</t>
        </is>
      </c>
      <c r="B1397" t="inlineStr">
        <is>
          <t>C1344</t>
        </is>
      </c>
      <c r="C1397" t="inlineStr">
        <is>
          <t>CORPORATE BANKING</t>
        </is>
      </c>
      <c r="D1397" t="inlineStr">
        <is>
          <t>I</t>
        </is>
      </c>
      <c r="E1397" t="inlineStr">
        <is>
          <t>Stage 1</t>
        </is>
      </c>
      <c r="F1397" t="inlineStr">
        <is>
          <t>N/A</t>
        </is>
      </c>
      <c r="G1397" s="26">
        <v>1077047451</v>
      </c>
      <c r="H1397" s="26">
        <v>10770475</v>
      </c>
      <c r="I1397" s="26">
        <v>82003883</v>
      </c>
      <c r="J1397" s="26">
        <v>34</v>
      </c>
      <c r="K1397" t="inlineStr">
        <is>
          <t>Non</t>
        </is>
      </c>
      <c r="L1397">
        <f>SUBTOTAL(103,A1397)</f>
        <v>1</v>
      </c>
    </row>
    <row r="1398">
      <c r="A1398" t="inlineStr">
        <is>
          <t>SOCIETE C995</t>
        </is>
      </c>
      <c r="B1398" t="inlineStr">
        <is>
          <t>C995</t>
        </is>
      </c>
      <c r="C1398" t="inlineStr">
        <is>
          <t>COMMERCIAL BANKING</t>
        </is>
      </c>
      <c r="D1398" t="inlineStr">
        <is>
          <t>III</t>
        </is>
      </c>
      <c r="E1398" t="inlineStr">
        <is>
          <t>Stage 3</t>
        </is>
      </c>
      <c r="F1398" t="inlineStr">
        <is>
          <t>N/A</t>
        </is>
      </c>
      <c r="G1398" s="26">
        <v>38958685</v>
      </c>
      <c r="H1398" s="26">
        <v>21427277</v>
      </c>
      <c r="I1398" s="26">
        <v>0</v>
      </c>
      <c r="J1398" s="26">
        <v>301</v>
      </c>
      <c r="K1398" t="inlineStr">
        <is>
          <t>Oui</t>
        </is>
      </c>
      <c r="L1398">
        <f>SUBTOTAL(103,A1398)</f>
        <v>1</v>
      </c>
    </row>
    <row r="1399">
      <c r="A1399" t="inlineStr">
        <is>
          <t>SOCIETE C56</t>
        </is>
      </c>
      <c r="B1399" t="inlineStr">
        <is>
          <t>C56</t>
        </is>
      </c>
      <c r="C1399" t="inlineStr">
        <is>
          <t>PUBLIC SECTOR</t>
        </is>
      </c>
      <c r="D1399" t="inlineStr">
        <is>
          <t>II</t>
        </is>
      </c>
      <c r="E1399" t="inlineStr">
        <is>
          <t>Stage 2</t>
        </is>
      </c>
      <c r="F1399" t="inlineStr">
        <is>
          <t>N/A</t>
        </is>
      </c>
      <c r="G1399" s="26">
        <v>71849757</v>
      </c>
      <c r="H1399" s="26">
        <v>4310985</v>
      </c>
      <c r="I1399" s="26">
        <v>0</v>
      </c>
      <c r="J1399" s="26">
        <v>97</v>
      </c>
      <c r="K1399" t="inlineStr">
        <is>
          <t>Non</t>
        </is>
      </c>
      <c r="L1399">
        <f>SUBTOTAL(103,A1399)</f>
        <v>1</v>
      </c>
    </row>
    <row r="1400">
      <c r="A1400" t="inlineStr">
        <is>
          <t>SOCIETE C2439</t>
        </is>
      </c>
      <c r="B1400" t="inlineStr">
        <is>
          <t>C2439</t>
        </is>
      </c>
      <c r="C1400" t="inlineStr">
        <is>
          <t>SME</t>
        </is>
      </c>
      <c r="D1400" t="inlineStr">
        <is>
          <t>IV</t>
        </is>
      </c>
      <c r="E1400" t="inlineStr">
        <is>
          <t>Stage 3</t>
        </is>
      </c>
      <c r="F1400" t="inlineStr">
        <is>
          <t>N/A</t>
        </is>
      </c>
      <c r="G1400" s="26">
        <v>547750660</v>
      </c>
      <c r="H1400" s="26">
        <v>301262863</v>
      </c>
      <c r="I1400" s="26">
        <v>106265362</v>
      </c>
      <c r="J1400" s="26">
        <v>5</v>
      </c>
      <c r="K1400" t="inlineStr">
        <is>
          <t>Oui</t>
        </is>
      </c>
      <c r="L1400">
        <f>SUBTOTAL(103,A1400)</f>
        <v>1</v>
      </c>
    </row>
    <row r="1401">
      <c r="A1401" t="inlineStr">
        <is>
          <t>SOCIETE C1872</t>
        </is>
      </c>
      <c r="B1401" t="inlineStr">
        <is>
          <t>C1872</t>
        </is>
      </c>
      <c r="C1401" t="inlineStr">
        <is>
          <t>CORPORATE BANKING</t>
        </is>
      </c>
      <c r="D1401" t="inlineStr">
        <is>
          <t>IA</t>
        </is>
      </c>
      <c r="E1401" t="inlineStr">
        <is>
          <t>Stage 2</t>
        </is>
      </c>
      <c r="F1401" t="inlineStr">
        <is>
          <t>N/A</t>
        </is>
      </c>
      <c r="G1401" s="26">
        <v>165005052</v>
      </c>
      <c r="H1401" s="26">
        <v>9900303</v>
      </c>
      <c r="I1401" s="26">
        <v>0</v>
      </c>
      <c r="J1401" s="26">
        <v>31</v>
      </c>
      <c r="K1401" t="inlineStr">
        <is>
          <t>Non</t>
        </is>
      </c>
      <c r="L1401">
        <f>SUBTOTAL(103,A1401)</f>
        <v>1</v>
      </c>
    </row>
    <row r="1402">
      <c r="A1402" t="inlineStr">
        <is>
          <t>SOCIETE C1957</t>
        </is>
      </c>
      <c r="B1402" t="inlineStr">
        <is>
          <t>C1957</t>
        </is>
      </c>
      <c r="C1402" t="inlineStr">
        <is>
          <t>CORPORATE BANKING</t>
        </is>
      </c>
      <c r="D1402" t="inlineStr">
        <is>
          <t>I</t>
        </is>
      </c>
      <c r="E1402" t="inlineStr">
        <is>
          <t>Stage 1</t>
        </is>
      </c>
      <c r="F1402" t="inlineStr">
        <is>
          <t>N/A</t>
        </is>
      </c>
      <c r="G1402" s="26">
        <v>1091848</v>
      </c>
      <c r="H1402" s="26">
        <v>10918</v>
      </c>
      <c r="I1402" s="26">
        <v>0</v>
      </c>
      <c r="J1402" s="26">
        <v>34</v>
      </c>
      <c r="K1402" t="inlineStr">
        <is>
          <t>Non</t>
        </is>
      </c>
      <c r="L1402">
        <f>SUBTOTAL(103,A1402)</f>
        <v>1</v>
      </c>
    </row>
    <row r="1403">
      <c r="A1403" t="inlineStr">
        <is>
          <t>SOCIETE C636</t>
        </is>
      </c>
      <c r="B1403" t="inlineStr">
        <is>
          <t>C636</t>
        </is>
      </c>
      <c r="C1403" t="inlineStr">
        <is>
          <t>COMMERCIAL BANKING</t>
        </is>
      </c>
      <c r="D1403" t="inlineStr">
        <is>
          <t>IA</t>
        </is>
      </c>
      <c r="E1403" t="inlineStr">
        <is>
          <t>Stage 2</t>
        </is>
      </c>
      <c r="F1403" t="inlineStr">
        <is>
          <t>N/A</t>
        </is>
      </c>
      <c r="G1403" s="26">
        <v>2710632656</v>
      </c>
      <c r="H1403" s="26">
        <v>162637959</v>
      </c>
      <c r="I1403" s="26">
        <v>0</v>
      </c>
      <c r="J1403" s="26">
        <v>31</v>
      </c>
      <c r="K1403" t="inlineStr">
        <is>
          <t>Non</t>
        </is>
      </c>
      <c r="L1403">
        <f>SUBTOTAL(103,A1403)</f>
        <v>1</v>
      </c>
    </row>
    <row r="1404">
      <c r="A1404" t="inlineStr">
        <is>
          <t>SOCIETE C871</t>
        </is>
      </c>
      <c r="B1404" t="inlineStr">
        <is>
          <t>C871</t>
        </is>
      </c>
      <c r="C1404" t="inlineStr">
        <is>
          <t>CORPORATE BANKING</t>
        </is>
      </c>
      <c r="D1404" t="inlineStr">
        <is>
          <t>I</t>
        </is>
      </c>
      <c r="E1404" t="inlineStr">
        <is>
          <t>Stage 1</t>
        </is>
      </c>
      <c r="F1404" t="inlineStr">
        <is>
          <t>N/A</t>
        </is>
      </c>
      <c r="G1404" s="26">
        <v>3527363</v>
      </c>
      <c r="H1404" s="26">
        <v>35274</v>
      </c>
      <c r="I1404" s="26">
        <v>635159</v>
      </c>
      <c r="J1404" s="26">
        <v>21</v>
      </c>
      <c r="K1404" t="inlineStr">
        <is>
          <t>Non</t>
        </is>
      </c>
      <c r="L1404">
        <f>SUBTOTAL(103,A1404)</f>
        <v>1</v>
      </c>
    </row>
    <row r="1405">
      <c r="A1405" t="inlineStr">
        <is>
          <t>SOCIETE C1671</t>
        </is>
      </c>
      <c r="B1405" t="inlineStr">
        <is>
          <t>C1671</t>
        </is>
      </c>
      <c r="C1405" t="inlineStr">
        <is>
          <t>CONSUMER BANKING</t>
        </is>
      </c>
      <c r="D1405" t="inlineStr">
        <is>
          <t>IA</t>
        </is>
      </c>
      <c r="E1405" t="inlineStr">
        <is>
          <t>Stage 2</t>
        </is>
      </c>
      <c r="F1405" t="inlineStr">
        <is>
          <t>N/A</t>
        </is>
      </c>
      <c r="G1405" s="26">
        <v>2556256097</v>
      </c>
      <c r="H1405" s="26">
        <v>153375366</v>
      </c>
      <c r="I1405" s="26">
        <v>0</v>
      </c>
      <c r="J1405" s="26">
        <v>61</v>
      </c>
      <c r="K1405" t="inlineStr">
        <is>
          <t>Non</t>
        </is>
      </c>
      <c r="L1405">
        <f>SUBTOTAL(103,A1405)</f>
        <v>1</v>
      </c>
    </row>
    <row r="1406">
      <c r="A1406" t="inlineStr">
        <is>
          <t>SOCIETE C317</t>
        </is>
      </c>
      <c r="B1406" t="inlineStr">
        <is>
          <t>C317</t>
        </is>
      </c>
      <c r="C1406" t="inlineStr">
        <is>
          <t>COMMERCIAL BANKING</t>
        </is>
      </c>
      <c r="D1406" t="inlineStr">
        <is>
          <t>V</t>
        </is>
      </c>
      <c r="E1406" t="inlineStr">
        <is>
          <t>Stage 3</t>
        </is>
      </c>
      <c r="F1406" t="inlineStr">
        <is>
          <t>N/A</t>
        </is>
      </c>
      <c r="G1406" s="26">
        <v>244116365</v>
      </c>
      <c r="H1406" s="26">
        <v>134264001</v>
      </c>
      <c r="I1406" s="26">
        <v>0</v>
      </c>
      <c r="J1406" s="26">
        <v>123</v>
      </c>
      <c r="K1406" t="inlineStr">
        <is>
          <t>Oui</t>
        </is>
      </c>
      <c r="L1406">
        <f>SUBTOTAL(103,A1406)</f>
        <v>1</v>
      </c>
    </row>
    <row r="1407">
      <c r="A1407" t="inlineStr">
        <is>
          <t>SOCIETE C2287</t>
        </is>
      </c>
      <c r="B1407" t="inlineStr">
        <is>
          <t>C2287</t>
        </is>
      </c>
      <c r="C1407" t="inlineStr">
        <is>
          <t>CORPORATE BANKING</t>
        </is>
      </c>
      <c r="D1407" t="inlineStr">
        <is>
          <t>V</t>
        </is>
      </c>
      <c r="E1407" t="inlineStr">
        <is>
          <t>Stage 3</t>
        </is>
      </c>
      <c r="F1407" t="inlineStr">
        <is>
          <t>N/A</t>
        </is>
      </c>
      <c r="G1407" s="26">
        <v>1673236011</v>
      </c>
      <c r="H1407" s="26">
        <v>920279806</v>
      </c>
      <c r="I1407" s="26">
        <v>0</v>
      </c>
      <c r="J1407" s="26">
        <v>146</v>
      </c>
      <c r="K1407" t="inlineStr">
        <is>
          <t>Oui</t>
        </is>
      </c>
      <c r="L1407">
        <f>SUBTOTAL(103,A1407)</f>
        <v>1</v>
      </c>
    </row>
    <row r="1408">
      <c r="A1408" t="inlineStr">
        <is>
          <t>SOCIETE C84</t>
        </is>
      </c>
      <c r="B1408" t="inlineStr">
        <is>
          <t>C84</t>
        </is>
      </c>
      <c r="C1408" t="inlineStr">
        <is>
          <t>COMMERCIAL BANKING</t>
        </is>
      </c>
      <c r="D1408" t="inlineStr">
        <is>
          <t>V</t>
        </is>
      </c>
      <c r="E1408" t="inlineStr">
        <is>
          <t>Stage 3</t>
        </is>
      </c>
      <c r="F1408" t="inlineStr">
        <is>
          <t>N/A</t>
        </is>
      </c>
      <c r="G1408" s="26">
        <v>579691433</v>
      </c>
      <c r="H1408" s="26">
        <v>318830288</v>
      </c>
      <c r="I1408" s="26">
        <v>0</v>
      </c>
      <c r="J1408" s="26">
        <v>16</v>
      </c>
      <c r="K1408" t="inlineStr">
        <is>
          <t>Oui</t>
        </is>
      </c>
      <c r="L1408">
        <f>SUBTOTAL(103,A1408)</f>
        <v>1</v>
      </c>
    </row>
    <row r="1409">
      <c r="A1409" t="inlineStr">
        <is>
          <t>SOCIETE C1985</t>
        </is>
      </c>
      <c r="B1409" t="inlineStr">
        <is>
          <t>C1985</t>
        </is>
      </c>
      <c r="C1409" t="inlineStr">
        <is>
          <t>PUBLIC SECTOR</t>
        </is>
      </c>
      <c r="D1409" t="inlineStr">
        <is>
          <t>II</t>
        </is>
      </c>
      <c r="E1409" t="inlineStr">
        <is>
          <t>Stage 2</t>
        </is>
      </c>
      <c r="F1409" t="inlineStr">
        <is>
          <t>N/A</t>
        </is>
      </c>
      <c r="G1409" s="26">
        <v>2952954438</v>
      </c>
      <c r="H1409" s="26">
        <v>177177266</v>
      </c>
      <c r="I1409" s="26">
        <v>86735758</v>
      </c>
      <c r="J1409" s="26">
        <v>123</v>
      </c>
      <c r="K1409" t="inlineStr">
        <is>
          <t>Non</t>
        </is>
      </c>
      <c r="L1409">
        <f>SUBTOTAL(103,A1409)</f>
        <v>1</v>
      </c>
    </row>
    <row r="1410">
      <c r="A1410" t="inlineStr">
        <is>
          <t>SOCIETE C152</t>
        </is>
      </c>
      <c r="B1410" t="inlineStr">
        <is>
          <t>C152</t>
        </is>
      </c>
      <c r="C1410" t="inlineStr">
        <is>
          <t>COMMERCIAL BANKING</t>
        </is>
      </c>
      <c r="D1410" t="inlineStr">
        <is>
          <t>IV</t>
        </is>
      </c>
      <c r="E1410" t="inlineStr">
        <is>
          <t>Stage 3</t>
        </is>
      </c>
      <c r="F1410" t="inlineStr">
        <is>
          <t>N/A</t>
        </is>
      </c>
      <c r="G1410" s="26">
        <v>76811647</v>
      </c>
      <c r="H1410" s="26">
        <v>42246406</v>
      </c>
      <c r="I1410" s="26">
        <v>6414987</v>
      </c>
      <c r="J1410" s="26">
        <v>49</v>
      </c>
      <c r="K1410" t="inlineStr">
        <is>
          <t>Oui</t>
        </is>
      </c>
      <c r="L1410">
        <f>SUBTOTAL(103,A1410)</f>
        <v>1</v>
      </c>
    </row>
    <row r="1411">
      <c r="A1411" t="inlineStr">
        <is>
          <t>SOCIETE C2050</t>
        </is>
      </c>
      <c r="B1411" t="inlineStr">
        <is>
          <t>C2050</t>
        </is>
      </c>
      <c r="C1411" t="inlineStr">
        <is>
          <t>CORPORATE BANKING</t>
        </is>
      </c>
      <c r="D1411" t="inlineStr">
        <is>
          <t>III</t>
        </is>
      </c>
      <c r="E1411" t="inlineStr">
        <is>
          <t>Stage 3</t>
        </is>
      </c>
      <c r="F1411" t="inlineStr">
        <is>
          <t>N/A</t>
        </is>
      </c>
      <c r="G1411" s="26">
        <v>1129589347</v>
      </c>
      <c r="H1411" s="26">
        <v>621274141</v>
      </c>
      <c r="I1411" s="26">
        <v>0</v>
      </c>
      <c r="J1411" s="26">
        <v>299</v>
      </c>
      <c r="K1411" t="inlineStr">
        <is>
          <t>Oui</t>
        </is>
      </c>
      <c r="L1411">
        <f>SUBTOTAL(103,A1411)</f>
        <v>1</v>
      </c>
    </row>
    <row r="1412">
      <c r="A1412" t="inlineStr">
        <is>
          <t>SOCIETE C2021</t>
        </is>
      </c>
      <c r="B1412" t="inlineStr">
        <is>
          <t>C2021</t>
        </is>
      </c>
      <c r="C1412" t="inlineStr">
        <is>
          <t>CORPORATE BANKING</t>
        </is>
      </c>
      <c r="D1412" t="inlineStr">
        <is>
          <t>I</t>
        </is>
      </c>
      <c r="E1412" t="inlineStr">
        <is>
          <t>Stage 1</t>
        </is>
      </c>
      <c r="F1412" t="inlineStr">
        <is>
          <t>N/A</t>
        </is>
      </c>
      <c r="G1412" s="26">
        <v>300964254</v>
      </c>
      <c r="H1412" s="26">
        <v>3009643</v>
      </c>
      <c r="I1412" s="26">
        <v>0</v>
      </c>
      <c r="J1412" s="26">
        <v>0</v>
      </c>
      <c r="K1412" t="inlineStr">
        <is>
          <t>Non</t>
        </is>
      </c>
      <c r="L1412">
        <f>SUBTOTAL(103,A1412)</f>
        <v>1</v>
      </c>
    </row>
    <row r="1413">
      <c r="A1413" t="inlineStr">
        <is>
          <t>SOCIETE C902</t>
        </is>
      </c>
      <c r="B1413" t="inlineStr">
        <is>
          <t>C902</t>
        </is>
      </c>
      <c r="C1413" t="inlineStr">
        <is>
          <t>COMMERCIAL BANKING</t>
        </is>
      </c>
      <c r="D1413" t="inlineStr">
        <is>
          <t>IA</t>
        </is>
      </c>
      <c r="E1413" t="inlineStr">
        <is>
          <t>Stage 2</t>
        </is>
      </c>
      <c r="F1413" t="inlineStr">
        <is>
          <t>N/A</t>
        </is>
      </c>
      <c r="G1413" s="26">
        <v>67083011</v>
      </c>
      <c r="H1413" s="26">
        <v>4024981</v>
      </c>
      <c r="I1413" s="26">
        <v>0</v>
      </c>
      <c r="J1413" s="26">
        <v>257</v>
      </c>
      <c r="K1413" t="inlineStr">
        <is>
          <t>Non</t>
        </is>
      </c>
      <c r="L1413">
        <f>SUBTOTAL(103,A1413)</f>
        <v>1</v>
      </c>
    </row>
    <row r="1414">
      <c r="A1414" t="inlineStr">
        <is>
          <t>SOCIETE C1529</t>
        </is>
      </c>
      <c r="B1414" t="inlineStr">
        <is>
          <t>C1529</t>
        </is>
      </c>
      <c r="C1414" t="inlineStr">
        <is>
          <t>CORPORATE BANKING</t>
        </is>
      </c>
      <c r="D1414" t="inlineStr">
        <is>
          <t>IA</t>
        </is>
      </c>
      <c r="E1414" t="inlineStr">
        <is>
          <t>Stage 2</t>
        </is>
      </c>
      <c r="F1414" t="inlineStr">
        <is>
          <t>N/A</t>
        </is>
      </c>
      <c r="G1414" s="26">
        <v>3800628</v>
      </c>
      <c r="H1414" s="26">
        <v>228038</v>
      </c>
      <c r="I1414" s="26">
        <v>467437</v>
      </c>
      <c r="J1414" s="26">
        <v>153</v>
      </c>
      <c r="K1414" t="inlineStr">
        <is>
          <t>Non</t>
        </is>
      </c>
      <c r="L1414">
        <f>SUBTOTAL(103,A1414)</f>
        <v>1</v>
      </c>
    </row>
    <row r="1415">
      <c r="A1415" t="inlineStr">
        <is>
          <t>SOCIETE C2179</t>
        </is>
      </c>
      <c r="B1415" t="inlineStr">
        <is>
          <t>C2179</t>
        </is>
      </c>
      <c r="C1415" t="inlineStr">
        <is>
          <t>SME</t>
        </is>
      </c>
      <c r="D1415" t="inlineStr">
        <is>
          <t>IA</t>
        </is>
      </c>
      <c r="E1415" t="inlineStr">
        <is>
          <t>Stage 2</t>
        </is>
      </c>
      <c r="F1415" t="inlineStr">
        <is>
          <t>N/A</t>
        </is>
      </c>
      <c r="G1415" s="26">
        <v>514354463</v>
      </c>
      <c r="H1415" s="26">
        <v>30861268</v>
      </c>
      <c r="I1415" s="26">
        <v>0</v>
      </c>
      <c r="J1415" s="26">
        <v>94</v>
      </c>
      <c r="K1415" t="inlineStr">
        <is>
          <t>Non</t>
        </is>
      </c>
      <c r="L1415">
        <f>SUBTOTAL(103,A1415)</f>
        <v>1</v>
      </c>
    </row>
    <row r="1416">
      <c r="A1416" t="inlineStr">
        <is>
          <t>SOCIETE C899</t>
        </is>
      </c>
      <c r="B1416" t="inlineStr">
        <is>
          <t>C899</t>
        </is>
      </c>
      <c r="C1416" t="inlineStr">
        <is>
          <t>CORPORATE BANKING</t>
        </is>
      </c>
      <c r="D1416" t="inlineStr">
        <is>
          <t>IA</t>
        </is>
      </c>
      <c r="E1416" t="inlineStr">
        <is>
          <t>Stage 2</t>
        </is>
      </c>
      <c r="F1416" t="inlineStr">
        <is>
          <t>N/A</t>
        </is>
      </c>
      <c r="G1416" s="26">
        <v>752406269</v>
      </c>
      <c r="H1416" s="26">
        <v>45144376</v>
      </c>
      <c r="I1416" s="26">
        <v>0</v>
      </c>
      <c r="J1416" s="26">
        <v>234</v>
      </c>
      <c r="K1416" t="inlineStr">
        <is>
          <t>Non</t>
        </is>
      </c>
      <c r="L1416">
        <f>SUBTOTAL(103,A1416)</f>
        <v>1</v>
      </c>
    </row>
    <row r="1417">
      <c r="A1417" t="inlineStr">
        <is>
          <t>SOCIETE C653</t>
        </is>
      </c>
      <c r="B1417" t="inlineStr">
        <is>
          <t>C653</t>
        </is>
      </c>
      <c r="C1417" t="inlineStr">
        <is>
          <t>CORPORATE BANKING</t>
        </is>
      </c>
      <c r="D1417" t="inlineStr">
        <is>
          <t>IA</t>
        </is>
      </c>
      <c r="E1417" t="inlineStr">
        <is>
          <t>Stage 2</t>
        </is>
      </c>
      <c r="F1417" t="inlineStr">
        <is>
          <t>N/A</t>
        </is>
      </c>
      <c r="G1417" s="26">
        <v>1160690327</v>
      </c>
      <c r="H1417" s="26">
        <v>69641420</v>
      </c>
      <c r="I1417" s="26">
        <v>16052693</v>
      </c>
      <c r="J1417" s="26">
        <v>88</v>
      </c>
      <c r="K1417" t="inlineStr">
        <is>
          <t>Non</t>
        </is>
      </c>
      <c r="L1417">
        <f>SUBTOTAL(103,A1417)</f>
        <v>1</v>
      </c>
    </row>
    <row r="1418">
      <c r="A1418" t="inlineStr">
        <is>
          <t>SOCIETE C1662</t>
        </is>
      </c>
      <c r="B1418" t="inlineStr">
        <is>
          <t>C1662</t>
        </is>
      </c>
      <c r="C1418" t="inlineStr">
        <is>
          <t>CORPORATE BANKING</t>
        </is>
      </c>
      <c r="D1418" t="inlineStr">
        <is>
          <t>I</t>
        </is>
      </c>
      <c r="E1418" t="inlineStr">
        <is>
          <t>Stage 1</t>
        </is>
      </c>
      <c r="F1418" t="inlineStr">
        <is>
          <t>N/A</t>
        </is>
      </c>
      <c r="G1418" s="26">
        <v>15226243</v>
      </c>
      <c r="H1418" s="26">
        <v>152262</v>
      </c>
      <c r="I1418" s="26">
        <v>0</v>
      </c>
      <c r="J1418" s="26">
        <v>234</v>
      </c>
      <c r="K1418" t="inlineStr">
        <is>
          <t>Non</t>
        </is>
      </c>
      <c r="L1418">
        <f>SUBTOTAL(103,A1418)</f>
        <v>1</v>
      </c>
    </row>
    <row r="1419">
      <c r="A1419" t="inlineStr">
        <is>
          <t>SOCIETE C150</t>
        </is>
      </c>
      <c r="B1419" t="inlineStr">
        <is>
          <t>C150</t>
        </is>
      </c>
      <c r="C1419" t="inlineStr">
        <is>
          <t>COMMERCIAL BANKING</t>
        </is>
      </c>
      <c r="D1419" t="inlineStr">
        <is>
          <t>I</t>
        </is>
      </c>
      <c r="E1419" t="inlineStr">
        <is>
          <t>Stage 1</t>
        </is>
      </c>
      <c r="F1419" t="inlineStr">
        <is>
          <t>N/A</t>
        </is>
      </c>
      <c r="G1419" s="26">
        <v>602148416</v>
      </c>
      <c r="H1419" s="26">
        <v>6021484</v>
      </c>
      <c r="I1419" s="26">
        <v>0</v>
      </c>
      <c r="J1419" s="26">
        <v>120</v>
      </c>
      <c r="K1419" t="inlineStr">
        <is>
          <t>Non</t>
        </is>
      </c>
      <c r="L1419">
        <f>SUBTOTAL(103,A1419)</f>
        <v>1</v>
      </c>
    </row>
    <row r="1420">
      <c r="A1420" t="inlineStr">
        <is>
          <t>SOCIETE C439</t>
        </is>
      </c>
      <c r="B1420" t="inlineStr">
        <is>
          <t>C439</t>
        </is>
      </c>
      <c r="C1420" t="inlineStr">
        <is>
          <t>CORPORATE BANKING</t>
        </is>
      </c>
      <c r="D1420" t="inlineStr">
        <is>
          <t>IA</t>
        </is>
      </c>
      <c r="E1420" t="inlineStr">
        <is>
          <t>Stage 2</t>
        </is>
      </c>
      <c r="F1420" t="inlineStr">
        <is>
          <t>N/A</t>
        </is>
      </c>
      <c r="G1420" s="26">
        <v>83409380</v>
      </c>
      <c r="H1420" s="26">
        <v>5004563</v>
      </c>
      <c r="I1420" s="26">
        <v>0</v>
      </c>
      <c r="J1420" s="26">
        <v>22</v>
      </c>
      <c r="K1420" t="inlineStr">
        <is>
          <t>Non</t>
        </is>
      </c>
      <c r="L1420">
        <f>SUBTOTAL(103,A1420)</f>
        <v>1</v>
      </c>
    </row>
    <row r="1421">
      <c r="A1421" t="inlineStr">
        <is>
          <t>SOCIETE C2368</t>
        </is>
      </c>
      <c r="B1421" t="inlineStr">
        <is>
          <t>C2368</t>
        </is>
      </c>
      <c r="C1421" t="inlineStr">
        <is>
          <t>SME</t>
        </is>
      </c>
      <c r="D1421" t="inlineStr">
        <is>
          <t>III</t>
        </is>
      </c>
      <c r="E1421" t="inlineStr">
        <is>
          <t>Stage 3</t>
        </is>
      </c>
      <c r="F1421" t="inlineStr">
        <is>
          <t>N/A</t>
        </is>
      </c>
      <c r="G1421" s="26">
        <v>937426008</v>
      </c>
      <c r="H1421" s="26">
        <v>515584304</v>
      </c>
      <c r="I1421" s="26">
        <v>0</v>
      </c>
      <c r="J1421" s="26">
        <v>80</v>
      </c>
      <c r="K1421" t="inlineStr">
        <is>
          <t>Oui</t>
        </is>
      </c>
      <c r="L1421">
        <f>SUBTOTAL(103,A1421)</f>
        <v>1</v>
      </c>
    </row>
    <row r="1422">
      <c r="A1422" t="inlineStr">
        <is>
          <t>SOCIETE C307</t>
        </is>
      </c>
      <c r="B1422" t="inlineStr">
        <is>
          <t>C307</t>
        </is>
      </c>
      <c r="C1422" t="inlineStr">
        <is>
          <t>CORPORATE BANKING</t>
        </is>
      </c>
      <c r="D1422" t="inlineStr">
        <is>
          <t>IA</t>
        </is>
      </c>
      <c r="E1422" t="inlineStr">
        <is>
          <t>Stage 2</t>
        </is>
      </c>
      <c r="F1422" t="inlineStr">
        <is>
          <t>N/A</t>
        </is>
      </c>
      <c r="G1422" s="26">
        <v>731279517</v>
      </c>
      <c r="H1422" s="26">
        <v>43876771</v>
      </c>
      <c r="I1422" s="26">
        <v>0</v>
      </c>
      <c r="J1422" s="26">
        <v>101</v>
      </c>
      <c r="K1422" t="inlineStr">
        <is>
          <t>Non</t>
        </is>
      </c>
      <c r="L1422">
        <f>SUBTOTAL(103,A1422)</f>
        <v>1</v>
      </c>
    </row>
    <row r="1423">
      <c r="A1423" t="inlineStr">
        <is>
          <t>SOCIETE C172</t>
        </is>
      </c>
      <c r="B1423" t="inlineStr">
        <is>
          <t>C172</t>
        </is>
      </c>
      <c r="C1423" t="inlineStr">
        <is>
          <t>CONSUMER BANKING</t>
        </is>
      </c>
      <c r="D1423" t="inlineStr">
        <is>
          <t>IA</t>
        </is>
      </c>
      <c r="E1423" t="inlineStr">
        <is>
          <t>Stage 2</t>
        </is>
      </c>
      <c r="F1423" t="inlineStr">
        <is>
          <t>N/A</t>
        </is>
      </c>
      <c r="G1423" s="26">
        <v>222992896</v>
      </c>
      <c r="H1423" s="26">
        <v>13379574</v>
      </c>
      <c r="I1423" s="26">
        <v>0</v>
      </c>
      <c r="J1423" s="26">
        <v>61</v>
      </c>
      <c r="K1423" t="inlineStr">
        <is>
          <t>Non</t>
        </is>
      </c>
      <c r="L1423">
        <f>SUBTOTAL(103,A1423)</f>
        <v>1</v>
      </c>
    </row>
    <row r="1424">
      <c r="A1424" t="inlineStr">
        <is>
          <t>SOCIETE C2450</t>
        </is>
      </c>
      <c r="B1424" t="inlineStr">
        <is>
          <t>C2450</t>
        </is>
      </c>
      <c r="C1424" t="inlineStr">
        <is>
          <t>CORPORATE BANKING</t>
        </is>
      </c>
      <c r="D1424" t="inlineStr">
        <is>
          <t>IA</t>
        </is>
      </c>
      <c r="E1424" t="inlineStr">
        <is>
          <t>Stage 2</t>
        </is>
      </c>
      <c r="F1424" t="inlineStr">
        <is>
          <t>N/A</t>
        </is>
      </c>
      <c r="G1424" s="26">
        <v>1501714</v>
      </c>
      <c r="H1424" s="26">
        <v>90103</v>
      </c>
      <c r="I1424" s="26">
        <v>13957</v>
      </c>
      <c r="J1424" s="26">
        <v>5</v>
      </c>
      <c r="K1424" t="inlineStr">
        <is>
          <t>Non</t>
        </is>
      </c>
      <c r="L1424">
        <f>SUBTOTAL(103,A1424)</f>
        <v>1</v>
      </c>
    </row>
    <row r="1425">
      <c r="A1425" t="inlineStr">
        <is>
          <t>SOCIETE C946</t>
        </is>
      </c>
      <c r="B1425" t="inlineStr">
        <is>
          <t>C946</t>
        </is>
      </c>
      <c r="C1425" t="inlineStr">
        <is>
          <t>CORPORATE BANKING</t>
        </is>
      </c>
      <c r="D1425" t="inlineStr">
        <is>
          <t>I</t>
        </is>
      </c>
      <c r="E1425" t="inlineStr">
        <is>
          <t>Stage 1</t>
        </is>
      </c>
      <c r="F1425" t="inlineStr">
        <is>
          <t>N/A</t>
        </is>
      </c>
      <c r="G1425" s="26">
        <v>1471061586</v>
      </c>
      <c r="H1425" s="26">
        <v>14710616</v>
      </c>
      <c r="I1425" s="26">
        <v>0</v>
      </c>
      <c r="J1425" s="26">
        <v>122</v>
      </c>
      <c r="K1425" t="inlineStr">
        <is>
          <t>Non</t>
        </is>
      </c>
      <c r="L1425">
        <f>SUBTOTAL(103,A1425)</f>
        <v>1</v>
      </c>
    </row>
    <row r="1426">
      <c r="A1426" t="inlineStr">
        <is>
          <t>SOCIETE C683</t>
        </is>
      </c>
      <c r="B1426" t="inlineStr">
        <is>
          <t>C683</t>
        </is>
      </c>
      <c r="C1426" t="inlineStr">
        <is>
          <t>CONSUMER BANKING</t>
        </is>
      </c>
      <c r="D1426" t="inlineStr">
        <is>
          <t>I</t>
        </is>
      </c>
      <c r="E1426" t="inlineStr">
        <is>
          <t>Stage 1</t>
        </is>
      </c>
      <c r="F1426" t="inlineStr">
        <is>
          <t>N/A</t>
        </is>
      </c>
      <c r="G1426" s="26">
        <v>119463382</v>
      </c>
      <c r="H1426" s="26">
        <v>1194634</v>
      </c>
      <c r="I1426" s="26">
        <v>0</v>
      </c>
      <c r="J1426" s="26">
        <v>50</v>
      </c>
      <c r="K1426" t="inlineStr">
        <is>
          <t>Non</t>
        </is>
      </c>
      <c r="L1426">
        <f>SUBTOTAL(103,A1426)</f>
        <v>1</v>
      </c>
    </row>
    <row r="1427">
      <c r="A1427" t="inlineStr">
        <is>
          <t>SOCIETE C287</t>
        </is>
      </c>
      <c r="B1427" t="inlineStr">
        <is>
          <t>C287</t>
        </is>
      </c>
      <c r="C1427" t="inlineStr">
        <is>
          <t>CORPORATE BANKING</t>
        </is>
      </c>
      <c r="D1427" t="inlineStr">
        <is>
          <t>IA</t>
        </is>
      </c>
      <c r="E1427" t="inlineStr">
        <is>
          <t>Stage 2</t>
        </is>
      </c>
      <c r="F1427" t="inlineStr">
        <is>
          <t>N/A</t>
        </is>
      </c>
      <c r="G1427" s="26">
        <v>61118176</v>
      </c>
      <c r="H1427" s="26">
        <v>3667091</v>
      </c>
      <c r="I1427" s="26">
        <v>3706132</v>
      </c>
      <c r="J1427" s="26">
        <v>283</v>
      </c>
      <c r="K1427" t="inlineStr">
        <is>
          <t>Non</t>
        </is>
      </c>
      <c r="L1427">
        <f>SUBTOTAL(103,A1427)</f>
        <v>1</v>
      </c>
    </row>
    <row r="1428">
      <c r="A1428" t="inlineStr">
        <is>
          <t>SOCIETE C1446</t>
        </is>
      </c>
      <c r="B1428" t="inlineStr">
        <is>
          <t>C1446</t>
        </is>
      </c>
      <c r="C1428" t="inlineStr">
        <is>
          <t>CORPORATE BANKING</t>
        </is>
      </c>
      <c r="D1428" t="inlineStr">
        <is>
          <t>IV</t>
        </is>
      </c>
      <c r="E1428" t="inlineStr">
        <is>
          <t>Stage 3</t>
        </is>
      </c>
      <c r="F1428" t="inlineStr">
        <is>
          <t>N/A</t>
        </is>
      </c>
      <c r="G1428" s="26">
        <v>1162201887</v>
      </c>
      <c r="H1428" s="26">
        <v>639211038</v>
      </c>
      <c r="I1428" s="26">
        <v>0</v>
      </c>
      <c r="J1428" s="26">
        <v>116</v>
      </c>
      <c r="K1428" t="inlineStr">
        <is>
          <t>Oui</t>
        </is>
      </c>
      <c r="L1428">
        <f>SUBTOTAL(103,A1428)</f>
        <v>1</v>
      </c>
    </row>
    <row r="1429">
      <c r="A1429" t="inlineStr">
        <is>
          <t>SOCIETE C2107</t>
        </is>
      </c>
      <c r="B1429" t="inlineStr">
        <is>
          <t>C2107</t>
        </is>
      </c>
      <c r="C1429" t="inlineStr">
        <is>
          <t>COMMERCIAL BANKING</t>
        </is>
      </c>
      <c r="D1429" t="inlineStr">
        <is>
          <t>V</t>
        </is>
      </c>
      <c r="E1429" t="inlineStr">
        <is>
          <t>Stage 3</t>
        </is>
      </c>
      <c r="F1429" t="inlineStr">
        <is>
          <t>N/A</t>
        </is>
      </c>
      <c r="G1429" s="26">
        <v>313363301</v>
      </c>
      <c r="H1429" s="26">
        <v>172349816</v>
      </c>
      <c r="I1429" s="26">
        <v>20566787</v>
      </c>
      <c r="J1429" s="26">
        <v>27</v>
      </c>
      <c r="K1429" t="inlineStr">
        <is>
          <t>Oui</t>
        </is>
      </c>
      <c r="L1429">
        <f>SUBTOTAL(103,A1429)</f>
        <v>1</v>
      </c>
    </row>
    <row r="1430">
      <c r="A1430" t="inlineStr">
        <is>
          <t>SOCIETE C57</t>
        </is>
      </c>
      <c r="B1430" t="inlineStr">
        <is>
          <t>C57</t>
        </is>
      </c>
      <c r="C1430" t="inlineStr">
        <is>
          <t>CORPORATE BANKING</t>
        </is>
      </c>
      <c r="D1430" t="inlineStr">
        <is>
          <t>II</t>
        </is>
      </c>
      <c r="E1430" t="inlineStr">
        <is>
          <t>Stage 2</t>
        </is>
      </c>
      <c r="F1430" t="inlineStr">
        <is>
          <t>N/A</t>
        </is>
      </c>
      <c r="G1430" s="26">
        <v>151893614</v>
      </c>
      <c r="H1430" s="26">
        <v>9113617</v>
      </c>
      <c r="I1430" s="26">
        <v>0</v>
      </c>
      <c r="J1430" s="26">
        <v>36</v>
      </c>
      <c r="K1430" t="inlineStr">
        <is>
          <t>Non</t>
        </is>
      </c>
      <c r="L1430">
        <f>SUBTOTAL(103,A1430)</f>
        <v>1</v>
      </c>
    </row>
    <row r="1431">
      <c r="A1431" t="inlineStr">
        <is>
          <t>SOCIETE C2352</t>
        </is>
      </c>
      <c r="B1431" t="inlineStr">
        <is>
          <t>C2352</t>
        </is>
      </c>
      <c r="C1431" t="inlineStr">
        <is>
          <t>COMMERCIAL BANKING</t>
        </is>
      </c>
      <c r="D1431" t="inlineStr">
        <is>
          <t>III</t>
        </is>
      </c>
      <c r="E1431" t="inlineStr">
        <is>
          <t>Stage 3</t>
        </is>
      </c>
      <c r="F1431" t="inlineStr">
        <is>
          <t>N/A</t>
        </is>
      </c>
      <c r="G1431" s="26">
        <v>1419931041</v>
      </c>
      <c r="H1431" s="26">
        <v>780962072</v>
      </c>
      <c r="I1431" s="26">
        <v>0</v>
      </c>
      <c r="J1431" s="26">
        <v>43</v>
      </c>
      <c r="K1431" t="inlineStr">
        <is>
          <t>Oui</t>
        </is>
      </c>
      <c r="L1431">
        <f>SUBTOTAL(103,A1431)</f>
        <v>1</v>
      </c>
    </row>
    <row r="1432">
      <c r="A1432" t="inlineStr">
        <is>
          <t>SOCIETE C496</t>
        </is>
      </c>
      <c r="B1432" t="inlineStr">
        <is>
          <t>C496</t>
        </is>
      </c>
      <c r="C1432" t="inlineStr">
        <is>
          <t>CORPORATE BANKING</t>
        </is>
      </c>
      <c r="D1432" t="inlineStr">
        <is>
          <t>IV</t>
        </is>
      </c>
      <c r="E1432" t="inlineStr">
        <is>
          <t>Stage 3</t>
        </is>
      </c>
      <c r="F1432" t="inlineStr">
        <is>
          <t>N/A</t>
        </is>
      </c>
      <c r="G1432" s="26">
        <v>2519637850</v>
      </c>
      <c r="H1432" s="26">
        <v>1385800817</v>
      </c>
      <c r="I1432" s="26">
        <v>250676394</v>
      </c>
      <c r="J1432" s="26">
        <v>202</v>
      </c>
      <c r="K1432" t="inlineStr">
        <is>
          <t>Oui</t>
        </is>
      </c>
      <c r="L1432">
        <f>SUBTOTAL(103,A1432)</f>
        <v>1</v>
      </c>
    </row>
    <row r="1433">
      <c r="A1433" t="inlineStr">
        <is>
          <t>SOCIETE C569</t>
        </is>
      </c>
      <c r="B1433" t="inlineStr">
        <is>
          <t>C569</t>
        </is>
      </c>
      <c r="C1433" t="inlineStr">
        <is>
          <t>COMMERCIAL BANKING</t>
        </is>
      </c>
      <c r="D1433" t="inlineStr">
        <is>
          <t>IA</t>
        </is>
      </c>
      <c r="E1433" t="inlineStr">
        <is>
          <t>Stage 2</t>
        </is>
      </c>
      <c r="F1433" t="inlineStr">
        <is>
          <t>N/A</t>
        </is>
      </c>
      <c r="G1433" s="26">
        <v>969140344</v>
      </c>
      <c r="H1433" s="26">
        <v>58148421</v>
      </c>
      <c r="I1433" s="26">
        <v>0</v>
      </c>
      <c r="J1433" s="26">
        <v>47</v>
      </c>
      <c r="K1433" t="inlineStr">
        <is>
          <t>Non</t>
        </is>
      </c>
      <c r="L1433">
        <f>SUBTOTAL(103,A1433)</f>
        <v>1</v>
      </c>
    </row>
    <row r="1434">
      <c r="A1434" t="inlineStr">
        <is>
          <t>SOCIETE C2236</t>
        </is>
      </c>
      <c r="B1434" t="inlineStr">
        <is>
          <t>C2236</t>
        </is>
      </c>
      <c r="C1434" t="inlineStr">
        <is>
          <t>CONSUMER BANKING</t>
        </is>
      </c>
      <c r="D1434" t="inlineStr">
        <is>
          <t>II</t>
        </is>
      </c>
      <c r="E1434" t="inlineStr">
        <is>
          <t>Stage 2</t>
        </is>
      </c>
      <c r="F1434" t="inlineStr">
        <is>
          <t>N/A</t>
        </is>
      </c>
      <c r="G1434" s="26">
        <v>1629726027</v>
      </c>
      <c r="H1434" s="26">
        <v>97783562</v>
      </c>
      <c r="I1434" s="26">
        <v>0</v>
      </c>
      <c r="J1434" s="26">
        <v>9</v>
      </c>
      <c r="K1434" t="inlineStr">
        <is>
          <t>Non</t>
        </is>
      </c>
      <c r="L1434">
        <f>SUBTOTAL(103,A1434)</f>
        <v>1</v>
      </c>
    </row>
    <row r="1435">
      <c r="A1435" t="inlineStr">
        <is>
          <t>SOCIETE C1004</t>
        </is>
      </c>
      <c r="B1435" t="inlineStr">
        <is>
          <t>C1004</t>
        </is>
      </c>
      <c r="C1435" t="inlineStr">
        <is>
          <t>COMMERCIAL BANKING</t>
        </is>
      </c>
      <c r="D1435" t="inlineStr">
        <is>
          <t>IV</t>
        </is>
      </c>
      <c r="E1435" t="inlineStr">
        <is>
          <t>Stage 3</t>
        </is>
      </c>
      <c r="F1435" t="inlineStr">
        <is>
          <t>N/A</t>
        </is>
      </c>
      <c r="G1435" s="26">
        <v>28171932</v>
      </c>
      <c r="H1435" s="26">
        <v>15494562</v>
      </c>
      <c r="I1435" s="26">
        <v>0</v>
      </c>
      <c r="J1435" s="26">
        <v>5</v>
      </c>
      <c r="K1435" t="inlineStr">
        <is>
          <t>Oui</t>
        </is>
      </c>
      <c r="L1435">
        <f>SUBTOTAL(103,A1435)</f>
        <v>1</v>
      </c>
    </row>
    <row r="1436">
      <c r="A1436" t="inlineStr">
        <is>
          <t>SOCIETE C1547</t>
        </is>
      </c>
      <c r="B1436" t="inlineStr">
        <is>
          <t>C1547</t>
        </is>
      </c>
      <c r="C1436" t="inlineStr">
        <is>
          <t>PUBLIC SECTOR</t>
        </is>
      </c>
      <c r="D1436" t="inlineStr">
        <is>
          <t>IA</t>
        </is>
      </c>
      <c r="E1436" t="inlineStr">
        <is>
          <t>Stage 2</t>
        </is>
      </c>
      <c r="F1436" t="inlineStr">
        <is>
          <t>N/A</t>
        </is>
      </c>
      <c r="G1436" s="26">
        <v>1256705</v>
      </c>
      <c r="H1436" s="26">
        <v>75402</v>
      </c>
      <c r="I1436" s="26">
        <v>0</v>
      </c>
      <c r="J1436" s="26">
        <v>59</v>
      </c>
      <c r="K1436" t="inlineStr">
        <is>
          <t>Non</t>
        </is>
      </c>
      <c r="L1436">
        <f>SUBTOTAL(103,A1436)</f>
        <v>1</v>
      </c>
    </row>
    <row r="1437">
      <c r="A1437" t="inlineStr">
        <is>
          <t>SOCIETE C1659</t>
        </is>
      </c>
      <c r="B1437" t="inlineStr">
        <is>
          <t>C1659</t>
        </is>
      </c>
      <c r="C1437" t="inlineStr">
        <is>
          <t>PUBLIC SECTOR</t>
        </is>
      </c>
      <c r="D1437" t="inlineStr">
        <is>
          <t>IA</t>
        </is>
      </c>
      <c r="E1437" t="inlineStr">
        <is>
          <t>Stage 2</t>
        </is>
      </c>
      <c r="F1437" t="inlineStr">
        <is>
          <t>N/A</t>
        </is>
      </c>
      <c r="G1437" s="26">
        <v>205949448</v>
      </c>
      <c r="H1437" s="26">
        <v>12356967</v>
      </c>
      <c r="I1437" s="26">
        <v>0</v>
      </c>
      <c r="J1437" s="26">
        <v>39</v>
      </c>
      <c r="K1437" t="inlineStr">
        <is>
          <t>Non</t>
        </is>
      </c>
      <c r="L1437">
        <f>SUBTOTAL(103,A1437)</f>
        <v>1</v>
      </c>
    </row>
    <row r="1438">
      <c r="A1438" t="inlineStr">
        <is>
          <t>SOCIETE C77</t>
        </is>
      </c>
      <c r="B1438" t="inlineStr">
        <is>
          <t>C77</t>
        </is>
      </c>
      <c r="C1438" t="inlineStr">
        <is>
          <t>SME</t>
        </is>
      </c>
      <c r="D1438" t="inlineStr">
        <is>
          <t>V</t>
        </is>
      </c>
      <c r="E1438" t="inlineStr">
        <is>
          <t>Stage 3</t>
        </is>
      </c>
      <c r="F1438" t="inlineStr">
        <is>
          <t>N/A</t>
        </is>
      </c>
      <c r="G1438" s="26">
        <v>6010099</v>
      </c>
      <c r="H1438" s="26">
        <v>3305555</v>
      </c>
      <c r="I1438" s="26">
        <v>0</v>
      </c>
      <c r="J1438" s="26">
        <v>96</v>
      </c>
      <c r="K1438" t="inlineStr">
        <is>
          <t>Oui</t>
        </is>
      </c>
      <c r="L1438">
        <f>SUBTOTAL(103,A1438)</f>
        <v>1</v>
      </c>
    </row>
    <row r="1439">
      <c r="A1439" t="inlineStr">
        <is>
          <t>SOCIETE C1777</t>
        </is>
      </c>
      <c r="B1439" t="inlineStr">
        <is>
          <t>C1777</t>
        </is>
      </c>
      <c r="C1439" t="inlineStr">
        <is>
          <t>CORPORATE BANKING</t>
        </is>
      </c>
      <c r="D1439" t="inlineStr">
        <is>
          <t>I</t>
        </is>
      </c>
      <c r="E1439" t="inlineStr">
        <is>
          <t>Stage 1</t>
        </is>
      </c>
      <c r="F1439" t="inlineStr">
        <is>
          <t>N/A</t>
        </is>
      </c>
      <c r="G1439" s="26">
        <v>223147922</v>
      </c>
      <c r="H1439" s="26">
        <v>2231479</v>
      </c>
      <c r="I1439" s="26">
        <v>40435376</v>
      </c>
      <c r="J1439" s="26">
        <v>104</v>
      </c>
      <c r="K1439" t="inlineStr">
        <is>
          <t>Non</t>
        </is>
      </c>
      <c r="L1439">
        <f>SUBTOTAL(103,A1439)</f>
        <v>1</v>
      </c>
    </row>
    <row r="1440">
      <c r="A1440" t="inlineStr">
        <is>
          <t>SOCIETE C2453</t>
        </is>
      </c>
      <c r="B1440" t="inlineStr">
        <is>
          <t>C2453</t>
        </is>
      </c>
      <c r="C1440" t="inlineStr">
        <is>
          <t>COMMERCIAL BANKING</t>
        </is>
      </c>
      <c r="D1440" t="inlineStr">
        <is>
          <t>II</t>
        </is>
      </c>
      <c r="E1440" t="inlineStr">
        <is>
          <t>Stage 2</t>
        </is>
      </c>
      <c r="F1440" t="inlineStr">
        <is>
          <t>N/A</t>
        </is>
      </c>
      <c r="G1440" s="26">
        <v>1373010582</v>
      </c>
      <c r="H1440" s="26">
        <v>82380635</v>
      </c>
      <c r="I1440" s="26">
        <v>0</v>
      </c>
      <c r="J1440" s="26">
        <v>124</v>
      </c>
      <c r="K1440" t="inlineStr">
        <is>
          <t>Non</t>
        </is>
      </c>
      <c r="L1440">
        <f>SUBTOTAL(103,A1440)</f>
        <v>1</v>
      </c>
    </row>
    <row r="1441">
      <c r="A1441" t="inlineStr">
        <is>
          <t>SOCIETE C608</t>
        </is>
      </c>
      <c r="B1441" t="inlineStr">
        <is>
          <t>C608</t>
        </is>
      </c>
      <c r="C1441" t="inlineStr">
        <is>
          <t>CORPORATE BANKING</t>
        </is>
      </c>
      <c r="D1441" t="inlineStr">
        <is>
          <t>I</t>
        </is>
      </c>
      <c r="E1441" t="inlineStr">
        <is>
          <t>Stage 1</t>
        </is>
      </c>
      <c r="F1441" t="inlineStr">
        <is>
          <t>N/A</t>
        </is>
      </c>
      <c r="G1441" s="26">
        <v>1996498589</v>
      </c>
      <c r="H1441" s="26">
        <v>19964986</v>
      </c>
      <c r="I1441" s="26">
        <v>0</v>
      </c>
      <c r="J1441" s="26">
        <v>344</v>
      </c>
      <c r="K1441" t="inlineStr">
        <is>
          <t>Non</t>
        </is>
      </c>
      <c r="L1441">
        <f>SUBTOTAL(103,A1441)</f>
        <v>1</v>
      </c>
    </row>
    <row r="1442">
      <c r="A1442" t="inlineStr">
        <is>
          <t>SOCIETE C575</t>
        </is>
      </c>
      <c r="B1442" t="inlineStr">
        <is>
          <t>C575</t>
        </is>
      </c>
      <c r="C1442" t="inlineStr">
        <is>
          <t>COMMERCIAL BANKING</t>
        </is>
      </c>
      <c r="D1442" t="inlineStr">
        <is>
          <t>I</t>
        </is>
      </c>
      <c r="E1442" t="inlineStr">
        <is>
          <t>Stage 1</t>
        </is>
      </c>
      <c r="F1442" t="inlineStr">
        <is>
          <t>N/A</t>
        </is>
      </c>
      <c r="G1442" s="26">
        <v>2698629689</v>
      </c>
      <c r="H1442" s="26">
        <v>26986297</v>
      </c>
      <c r="I1442" s="26">
        <v>0</v>
      </c>
      <c r="J1442" s="26">
        <v>212</v>
      </c>
      <c r="K1442" t="inlineStr">
        <is>
          <t>Non</t>
        </is>
      </c>
      <c r="L1442">
        <f>SUBTOTAL(103,A1442)</f>
        <v>1</v>
      </c>
    </row>
    <row r="1443">
      <c r="A1443" t="inlineStr">
        <is>
          <t>SOCIETE C2083</t>
        </is>
      </c>
      <c r="B1443" t="inlineStr">
        <is>
          <t>C2083</t>
        </is>
      </c>
      <c r="C1443" t="inlineStr">
        <is>
          <t>COMMERCIAL BANKING</t>
        </is>
      </c>
      <c r="D1443" t="inlineStr">
        <is>
          <t>I</t>
        </is>
      </c>
      <c r="E1443" t="inlineStr">
        <is>
          <t>Stage 1</t>
        </is>
      </c>
      <c r="F1443" t="inlineStr">
        <is>
          <t>N/A</t>
        </is>
      </c>
      <c r="G1443" s="26">
        <v>1137424721</v>
      </c>
      <c r="H1443" s="26">
        <v>11374247</v>
      </c>
      <c r="I1443" s="26">
        <v>41508792</v>
      </c>
      <c r="J1443" s="26">
        <v>81</v>
      </c>
      <c r="K1443" t="inlineStr">
        <is>
          <t>Non</t>
        </is>
      </c>
      <c r="L1443">
        <f>SUBTOTAL(103,A1443)</f>
        <v>1</v>
      </c>
    </row>
    <row r="1444">
      <c r="A1444" t="inlineStr">
        <is>
          <t>SOCIETE C1865</t>
        </is>
      </c>
      <c r="B1444" t="inlineStr">
        <is>
          <t>C1865</t>
        </is>
      </c>
      <c r="C1444" t="inlineStr">
        <is>
          <t>CONSUMER BANKING</t>
        </is>
      </c>
      <c r="D1444" t="inlineStr">
        <is>
          <t>II</t>
        </is>
      </c>
      <c r="E1444" t="inlineStr">
        <is>
          <t>Stage 2</t>
        </is>
      </c>
      <c r="F1444" t="inlineStr">
        <is>
          <t>N/A</t>
        </is>
      </c>
      <c r="G1444" s="26">
        <v>8137925</v>
      </c>
      <c r="H1444" s="26">
        <v>488275</v>
      </c>
      <c r="I1444" s="26">
        <v>0</v>
      </c>
      <c r="J1444" s="26">
        <v>84</v>
      </c>
      <c r="K1444" t="inlineStr">
        <is>
          <t>Non</t>
        </is>
      </c>
      <c r="L1444">
        <f>SUBTOTAL(103,A1444)</f>
        <v>1</v>
      </c>
    </row>
    <row r="1445">
      <c r="A1445" t="inlineStr">
        <is>
          <t>SOCIETE C2444</t>
        </is>
      </c>
      <c r="B1445" t="inlineStr">
        <is>
          <t>C2444</t>
        </is>
      </c>
      <c r="C1445" t="inlineStr">
        <is>
          <t>CORPORATE BANKING</t>
        </is>
      </c>
      <c r="D1445" t="inlineStr">
        <is>
          <t>IA</t>
        </is>
      </c>
      <c r="E1445" t="inlineStr">
        <is>
          <t>Stage 2</t>
        </is>
      </c>
      <c r="F1445" t="inlineStr">
        <is>
          <t>N/A</t>
        </is>
      </c>
      <c r="G1445" s="26">
        <v>1624060253</v>
      </c>
      <c r="H1445" s="26">
        <v>97443615</v>
      </c>
      <c r="I1445" s="26">
        <v>0</v>
      </c>
      <c r="J1445" s="26">
        <v>45</v>
      </c>
      <c r="K1445" t="inlineStr">
        <is>
          <t>Non</t>
        </is>
      </c>
      <c r="L1445">
        <f>SUBTOTAL(103,A1445)</f>
        <v>1</v>
      </c>
    </row>
    <row r="1446">
      <c r="A1446" t="inlineStr">
        <is>
          <t>SOCIETE C1358</t>
        </is>
      </c>
      <c r="B1446" t="inlineStr">
        <is>
          <t>C1358</t>
        </is>
      </c>
      <c r="C1446" t="inlineStr">
        <is>
          <t>CORPORATE BANKING</t>
        </is>
      </c>
      <c r="D1446" t="inlineStr">
        <is>
          <t>IA</t>
        </is>
      </c>
      <c r="E1446" t="inlineStr">
        <is>
          <t>Stage 2</t>
        </is>
      </c>
      <c r="F1446" t="inlineStr">
        <is>
          <t>N/A</t>
        </is>
      </c>
      <c r="G1446" s="26">
        <v>83524864</v>
      </c>
      <c r="H1446" s="26">
        <v>5011492</v>
      </c>
      <c r="I1446" s="26">
        <v>4119508</v>
      </c>
      <c r="J1446" s="26">
        <v>78</v>
      </c>
      <c r="K1446" t="inlineStr">
        <is>
          <t>Non</t>
        </is>
      </c>
      <c r="L1446">
        <f>SUBTOTAL(103,A1446)</f>
        <v>1</v>
      </c>
    </row>
    <row r="1447">
      <c r="A1447" t="inlineStr">
        <is>
          <t>SOCIETE C1248</t>
        </is>
      </c>
      <c r="B1447" t="inlineStr">
        <is>
          <t>C1248</t>
        </is>
      </c>
      <c r="C1447" t="inlineStr">
        <is>
          <t>COMMERCIAL BANKING</t>
        </is>
      </c>
      <c r="D1447" t="inlineStr">
        <is>
          <t>V</t>
        </is>
      </c>
      <c r="E1447" t="inlineStr">
        <is>
          <t>Stage 3</t>
        </is>
      </c>
      <c r="F1447" t="inlineStr">
        <is>
          <t>N/A</t>
        </is>
      </c>
      <c r="G1447" s="26">
        <v>1827384609</v>
      </c>
      <c r="H1447" s="26">
        <v>1005061535</v>
      </c>
      <c r="I1447" s="26">
        <v>0</v>
      </c>
      <c r="J1447" s="26">
        <v>123</v>
      </c>
      <c r="K1447" t="inlineStr">
        <is>
          <t>Oui</t>
        </is>
      </c>
      <c r="L1447">
        <f>SUBTOTAL(103,A1447)</f>
        <v>1</v>
      </c>
    </row>
    <row r="1448">
      <c r="A1448" t="inlineStr">
        <is>
          <t>SOCIETE C503</t>
        </is>
      </c>
      <c r="B1448" t="inlineStr">
        <is>
          <t>C503</t>
        </is>
      </c>
      <c r="C1448" t="inlineStr">
        <is>
          <t>CORPORATE BANKING</t>
        </is>
      </c>
      <c r="D1448" t="inlineStr">
        <is>
          <t>IV</t>
        </is>
      </c>
      <c r="E1448" t="inlineStr">
        <is>
          <t>Stage 3</t>
        </is>
      </c>
      <c r="F1448" t="inlineStr">
        <is>
          <t>N/A</t>
        </is>
      </c>
      <c r="G1448" s="26">
        <v>73099130</v>
      </c>
      <c r="H1448" s="26">
        <v>40204521</v>
      </c>
      <c r="I1448" s="26">
        <v>10490415</v>
      </c>
      <c r="J1448" s="26">
        <v>76</v>
      </c>
      <c r="K1448" t="inlineStr">
        <is>
          <t>Oui</t>
        </is>
      </c>
      <c r="L1448">
        <f>SUBTOTAL(103,A1448)</f>
        <v>1</v>
      </c>
    </row>
    <row r="1449">
      <c r="A1449" t="inlineStr">
        <is>
          <t>SOCIETE C136</t>
        </is>
      </c>
      <c r="B1449" t="inlineStr">
        <is>
          <t>C136</t>
        </is>
      </c>
      <c r="C1449" t="inlineStr">
        <is>
          <t>CORPORATE BANKING</t>
        </is>
      </c>
      <c r="D1449" t="inlineStr">
        <is>
          <t>II</t>
        </is>
      </c>
      <c r="E1449" t="inlineStr">
        <is>
          <t>Stage 2</t>
        </is>
      </c>
      <c r="F1449" t="inlineStr">
        <is>
          <t>N/A</t>
        </is>
      </c>
      <c r="G1449" s="26">
        <v>125960952</v>
      </c>
      <c r="H1449" s="26">
        <v>7557657</v>
      </c>
      <c r="I1449" s="26">
        <v>0</v>
      </c>
      <c r="J1449" s="26">
        <v>82</v>
      </c>
      <c r="K1449" t="inlineStr">
        <is>
          <t>Non</t>
        </is>
      </c>
      <c r="L1449">
        <f>SUBTOTAL(103,A1449)</f>
        <v>1</v>
      </c>
    </row>
    <row r="1450">
      <c r="A1450" t="inlineStr">
        <is>
          <t>SOCIETE C671</t>
        </is>
      </c>
      <c r="B1450" t="inlineStr">
        <is>
          <t>C671</t>
        </is>
      </c>
      <c r="C1450" t="inlineStr">
        <is>
          <t>CORPORATE BANKING</t>
        </is>
      </c>
      <c r="D1450" t="inlineStr">
        <is>
          <t>V</t>
        </is>
      </c>
      <c r="E1450" t="inlineStr">
        <is>
          <t>Stage 3</t>
        </is>
      </c>
      <c r="F1450" t="inlineStr">
        <is>
          <t>N/A</t>
        </is>
      </c>
      <c r="G1450" s="26">
        <v>20549522</v>
      </c>
      <c r="H1450" s="26">
        <v>11302237</v>
      </c>
      <c r="I1450" s="26">
        <v>0</v>
      </c>
      <c r="J1450" s="26">
        <v>24</v>
      </c>
      <c r="K1450" t="inlineStr">
        <is>
          <t>Oui</t>
        </is>
      </c>
      <c r="L1450">
        <f>SUBTOTAL(103,A1450)</f>
        <v>1</v>
      </c>
    </row>
    <row r="1451">
      <c r="A1451" t="inlineStr">
        <is>
          <t>SOCIETE C1175</t>
        </is>
      </c>
      <c r="B1451" t="inlineStr">
        <is>
          <t>C1175</t>
        </is>
      </c>
      <c r="C1451" t="inlineStr">
        <is>
          <t>COMMERCIAL BANKING</t>
        </is>
      </c>
      <c r="D1451" t="inlineStr">
        <is>
          <t>I</t>
        </is>
      </c>
      <c r="E1451" t="inlineStr">
        <is>
          <t>Stage 1</t>
        </is>
      </c>
      <c r="F1451" t="inlineStr">
        <is>
          <t>N/A</t>
        </is>
      </c>
      <c r="G1451" s="26">
        <v>1503276674</v>
      </c>
      <c r="H1451" s="26">
        <v>15032767</v>
      </c>
      <c r="I1451" s="26">
        <v>0</v>
      </c>
      <c r="J1451" s="26">
        <v>51</v>
      </c>
      <c r="K1451" t="inlineStr">
        <is>
          <t>Non</t>
        </is>
      </c>
      <c r="L1451">
        <f>SUBTOTAL(103,A1451)</f>
        <v>1</v>
      </c>
    </row>
    <row r="1452">
      <c r="A1452" t="inlineStr">
        <is>
          <t>SOCIETE C501</t>
        </is>
      </c>
      <c r="B1452" t="inlineStr">
        <is>
          <t>C501</t>
        </is>
      </c>
      <c r="C1452" t="inlineStr">
        <is>
          <t>CORPORATE BANKING</t>
        </is>
      </c>
      <c r="D1452" t="inlineStr">
        <is>
          <t>IA</t>
        </is>
      </c>
      <c r="E1452" t="inlineStr">
        <is>
          <t>Stage 2</t>
        </is>
      </c>
      <c r="F1452" t="inlineStr">
        <is>
          <t>N/A</t>
        </is>
      </c>
      <c r="G1452" s="26">
        <v>1047219</v>
      </c>
      <c r="H1452" s="26">
        <v>62833</v>
      </c>
      <c r="I1452" s="26">
        <v>0</v>
      </c>
      <c r="J1452" s="26">
        <v>9</v>
      </c>
      <c r="K1452" t="inlineStr">
        <is>
          <t>Non</t>
        </is>
      </c>
      <c r="L1452">
        <f>SUBTOTAL(103,A1452)</f>
        <v>1</v>
      </c>
    </row>
    <row r="1453">
      <c r="A1453" t="inlineStr">
        <is>
          <t>SOCIETE C1401</t>
        </is>
      </c>
      <c r="B1453" t="inlineStr">
        <is>
          <t>C1401</t>
        </is>
      </c>
      <c r="C1453" t="inlineStr">
        <is>
          <t>CORPORATE BANKING</t>
        </is>
      </c>
      <c r="D1453" t="inlineStr">
        <is>
          <t>I</t>
        </is>
      </c>
      <c r="E1453" t="inlineStr">
        <is>
          <t>Stage 1</t>
        </is>
      </c>
      <c r="F1453" t="inlineStr">
        <is>
          <t>N/A</t>
        </is>
      </c>
      <c r="G1453" s="26">
        <v>1972244392</v>
      </c>
      <c r="H1453" s="26">
        <v>19722444</v>
      </c>
      <c r="I1453" s="26">
        <v>0</v>
      </c>
      <c r="J1453" s="26">
        <v>56</v>
      </c>
      <c r="K1453" t="inlineStr">
        <is>
          <t>Non</t>
        </is>
      </c>
      <c r="L1453">
        <f>SUBTOTAL(103,A1453)</f>
        <v>1</v>
      </c>
    </row>
    <row r="1454">
      <c r="A1454" t="inlineStr">
        <is>
          <t>SOCIETE C292</t>
        </is>
      </c>
      <c r="B1454" t="inlineStr">
        <is>
          <t>C292</t>
        </is>
      </c>
      <c r="C1454" t="inlineStr">
        <is>
          <t>SME</t>
        </is>
      </c>
      <c r="D1454" t="inlineStr">
        <is>
          <t>I</t>
        </is>
      </c>
      <c r="E1454" t="inlineStr">
        <is>
          <t>Stage 1</t>
        </is>
      </c>
      <c r="F1454" t="inlineStr">
        <is>
          <t>N/A</t>
        </is>
      </c>
      <c r="G1454" s="26">
        <v>1252181996</v>
      </c>
      <c r="H1454" s="26">
        <v>12521820</v>
      </c>
      <c r="I1454" s="26">
        <v>0</v>
      </c>
      <c r="J1454" s="26">
        <v>114</v>
      </c>
      <c r="K1454" t="inlineStr">
        <is>
          <t>Non</t>
        </is>
      </c>
      <c r="L1454">
        <f>SUBTOTAL(103,A1454)</f>
        <v>1</v>
      </c>
    </row>
    <row r="1455">
      <c r="A1455" t="inlineStr">
        <is>
          <t>SOCIETE C826</t>
        </is>
      </c>
      <c r="B1455" t="inlineStr">
        <is>
          <t>C826</t>
        </is>
      </c>
      <c r="C1455" t="inlineStr">
        <is>
          <t>CORPORATE BANKING</t>
        </is>
      </c>
      <c r="D1455" t="inlineStr">
        <is>
          <t>I</t>
        </is>
      </c>
      <c r="E1455" t="inlineStr">
        <is>
          <t>Stage 1</t>
        </is>
      </c>
      <c r="F1455" t="inlineStr">
        <is>
          <t>N/A</t>
        </is>
      </c>
      <c r="G1455" s="26">
        <v>394894351</v>
      </c>
      <c r="H1455" s="26">
        <v>3948944</v>
      </c>
      <c r="I1455" s="26">
        <v>63414116</v>
      </c>
      <c r="J1455" s="26">
        <v>47</v>
      </c>
      <c r="K1455" t="inlineStr">
        <is>
          <t>Non</t>
        </is>
      </c>
      <c r="L1455">
        <f>SUBTOTAL(103,A1455)</f>
        <v>1</v>
      </c>
    </row>
    <row r="1456">
      <c r="A1456" t="inlineStr">
        <is>
          <t>SOCIETE C448</t>
        </is>
      </c>
      <c r="B1456" t="inlineStr">
        <is>
          <t>C448</t>
        </is>
      </c>
      <c r="C1456" t="inlineStr">
        <is>
          <t>PUBLIC SECTOR</t>
        </is>
      </c>
      <c r="D1456" t="inlineStr">
        <is>
          <t>I</t>
        </is>
      </c>
      <c r="E1456" t="inlineStr">
        <is>
          <t>Stage 1</t>
        </is>
      </c>
      <c r="F1456" t="inlineStr">
        <is>
          <t>N/A</t>
        </is>
      </c>
      <c r="G1456" s="26">
        <v>68345686</v>
      </c>
      <c r="H1456" s="26">
        <v>683457</v>
      </c>
      <c r="I1456" s="26">
        <v>11491026</v>
      </c>
      <c r="J1456" s="26">
        <v>217</v>
      </c>
      <c r="K1456" t="inlineStr">
        <is>
          <t>Non</t>
        </is>
      </c>
      <c r="L1456">
        <f>SUBTOTAL(103,A1456)</f>
        <v>1</v>
      </c>
    </row>
    <row r="1457">
      <c r="A1457" t="inlineStr">
        <is>
          <t>SOCIETE C1260</t>
        </is>
      </c>
      <c r="B1457" t="inlineStr">
        <is>
          <t>C1260</t>
        </is>
      </c>
      <c r="C1457" t="inlineStr">
        <is>
          <t>COMMERCIAL BANKING</t>
        </is>
      </c>
      <c r="D1457" t="inlineStr">
        <is>
          <t>IV</t>
        </is>
      </c>
      <c r="E1457" t="inlineStr">
        <is>
          <t>Stage 3</t>
        </is>
      </c>
      <c r="F1457" t="inlineStr">
        <is>
          <t>N/A</t>
        </is>
      </c>
      <c r="G1457" s="26">
        <v>4453836</v>
      </c>
      <c r="H1457" s="26">
        <v>2449610</v>
      </c>
      <c r="I1457" s="26">
        <v>752476</v>
      </c>
      <c r="J1457" s="26">
        <v>101</v>
      </c>
      <c r="K1457" t="inlineStr">
        <is>
          <t>Oui</t>
        </is>
      </c>
      <c r="L1457">
        <f>SUBTOTAL(103,A1457)</f>
        <v>1</v>
      </c>
    </row>
    <row r="1458">
      <c r="A1458" t="inlineStr">
        <is>
          <t>SOCIETE C808</t>
        </is>
      </c>
      <c r="B1458" t="inlineStr">
        <is>
          <t>C808</t>
        </is>
      </c>
      <c r="C1458" t="inlineStr">
        <is>
          <t>CONSUMER BANKING</t>
        </is>
      </c>
      <c r="D1458" t="inlineStr">
        <is>
          <t>I</t>
        </is>
      </c>
      <c r="E1458" t="inlineStr">
        <is>
          <t>Stage 1</t>
        </is>
      </c>
      <c r="F1458" t="inlineStr">
        <is>
          <t>N/A</t>
        </is>
      </c>
      <c r="G1458" s="26">
        <v>458031466</v>
      </c>
      <c r="H1458" s="26">
        <v>4580315</v>
      </c>
      <c r="I1458" s="26">
        <v>0</v>
      </c>
      <c r="J1458" s="26">
        <v>161</v>
      </c>
      <c r="K1458" t="inlineStr">
        <is>
          <t>Non</t>
        </is>
      </c>
      <c r="L1458">
        <f>SUBTOTAL(103,A1458)</f>
        <v>1</v>
      </c>
    </row>
    <row r="1459">
      <c r="A1459" t="inlineStr">
        <is>
          <t>SOCIETE C1527</t>
        </is>
      </c>
      <c r="B1459" t="inlineStr">
        <is>
          <t>C1527</t>
        </is>
      </c>
      <c r="C1459" t="inlineStr">
        <is>
          <t>CORPORATE BANKING</t>
        </is>
      </c>
      <c r="D1459" t="inlineStr">
        <is>
          <t>I</t>
        </is>
      </c>
      <c r="E1459" t="inlineStr">
        <is>
          <t>Stage 1</t>
        </is>
      </c>
      <c r="F1459" t="inlineStr">
        <is>
          <t>N/A</t>
        </is>
      </c>
      <c r="G1459" s="26">
        <v>16937275</v>
      </c>
      <c r="H1459" s="26">
        <v>169373</v>
      </c>
      <c r="I1459" s="26">
        <v>0</v>
      </c>
      <c r="J1459" s="26">
        <v>5</v>
      </c>
      <c r="K1459" t="inlineStr">
        <is>
          <t>Non</t>
        </is>
      </c>
      <c r="L1459">
        <f>SUBTOTAL(103,A1459)</f>
        <v>1</v>
      </c>
    </row>
    <row r="1460">
      <c r="A1460" t="inlineStr">
        <is>
          <t>SOCIETE C2318</t>
        </is>
      </c>
      <c r="B1460" t="inlineStr">
        <is>
          <t>C2318</t>
        </is>
      </c>
      <c r="C1460" t="inlineStr">
        <is>
          <t>CORPORATE BANKING</t>
        </is>
      </c>
      <c r="D1460" t="inlineStr">
        <is>
          <t>I</t>
        </is>
      </c>
      <c r="E1460" t="inlineStr">
        <is>
          <t>Stage 1</t>
        </is>
      </c>
      <c r="F1460" t="inlineStr">
        <is>
          <t>N/A</t>
        </is>
      </c>
      <c r="G1460" s="26">
        <v>2842132637</v>
      </c>
      <c r="H1460" s="26">
        <v>28421326</v>
      </c>
      <c r="I1460" s="26">
        <v>0</v>
      </c>
      <c r="J1460" s="26">
        <v>105</v>
      </c>
      <c r="K1460" t="inlineStr">
        <is>
          <t>Non</t>
        </is>
      </c>
      <c r="L1460">
        <f>SUBTOTAL(103,A1460)</f>
        <v>1</v>
      </c>
    </row>
    <row r="1461">
      <c r="A1461" t="inlineStr">
        <is>
          <t>SOCIETE C362</t>
        </is>
      </c>
      <c r="B1461" t="inlineStr">
        <is>
          <t>C362</t>
        </is>
      </c>
      <c r="C1461" t="inlineStr">
        <is>
          <t>PUBLIC SECTOR</t>
        </is>
      </c>
      <c r="D1461" t="inlineStr">
        <is>
          <t>IA</t>
        </is>
      </c>
      <c r="E1461" t="inlineStr">
        <is>
          <t>Stage 2</t>
        </is>
      </c>
      <c r="F1461" t="inlineStr">
        <is>
          <t>N/A</t>
        </is>
      </c>
      <c r="G1461" s="26">
        <v>2544474377</v>
      </c>
      <c r="H1461" s="26">
        <v>152668463</v>
      </c>
      <c r="I1461" s="26">
        <v>0</v>
      </c>
      <c r="J1461" s="26">
        <v>8</v>
      </c>
      <c r="K1461" t="inlineStr">
        <is>
          <t>Non</t>
        </is>
      </c>
      <c r="L1461">
        <f>SUBTOTAL(103,A1461)</f>
        <v>1</v>
      </c>
    </row>
    <row r="1462">
      <c r="A1462" t="inlineStr">
        <is>
          <t>SOCIETE C2256</t>
        </is>
      </c>
      <c r="B1462" t="inlineStr">
        <is>
          <t>C2256</t>
        </is>
      </c>
      <c r="C1462" t="inlineStr">
        <is>
          <t>PUBLIC SECTOR</t>
        </is>
      </c>
      <c r="D1462" t="inlineStr">
        <is>
          <t>I</t>
        </is>
      </c>
      <c r="E1462" t="inlineStr">
        <is>
          <t>Stage 1</t>
        </is>
      </c>
      <c r="F1462" t="inlineStr">
        <is>
          <t>N/A</t>
        </is>
      </c>
      <c r="G1462" s="26">
        <v>129720306</v>
      </c>
      <c r="H1462" s="26">
        <v>1297203</v>
      </c>
      <c r="I1462" s="26">
        <v>5076792</v>
      </c>
      <c r="J1462" s="26">
        <v>207</v>
      </c>
      <c r="K1462" t="inlineStr">
        <is>
          <t>Non</t>
        </is>
      </c>
      <c r="L1462">
        <f>SUBTOTAL(103,A1462)</f>
        <v>1</v>
      </c>
    </row>
    <row r="1463">
      <c r="A1463" t="inlineStr">
        <is>
          <t>SOCIETE C143</t>
        </is>
      </c>
      <c r="B1463" t="inlineStr">
        <is>
          <t>C143</t>
        </is>
      </c>
      <c r="C1463" t="inlineStr">
        <is>
          <t>PUBLIC SECTOR</t>
        </is>
      </c>
      <c r="D1463" t="inlineStr">
        <is>
          <t>IV</t>
        </is>
      </c>
      <c r="E1463" t="inlineStr">
        <is>
          <t>Stage 3</t>
        </is>
      </c>
      <c r="F1463" t="inlineStr">
        <is>
          <t>N/A</t>
        </is>
      </c>
      <c r="G1463" s="26">
        <v>1321871607</v>
      </c>
      <c r="H1463" s="26">
        <v>727029384</v>
      </c>
      <c r="I1463" s="26">
        <v>0</v>
      </c>
      <c r="J1463" s="26">
        <v>24</v>
      </c>
      <c r="K1463" t="inlineStr">
        <is>
          <t>Oui</t>
        </is>
      </c>
      <c r="L1463">
        <f>SUBTOTAL(103,A1463)</f>
        <v>1</v>
      </c>
    </row>
    <row r="1464">
      <c r="A1464" t="inlineStr">
        <is>
          <t>SOCIETE C2228</t>
        </is>
      </c>
      <c r="B1464" t="inlineStr">
        <is>
          <t>C2228</t>
        </is>
      </c>
      <c r="C1464" t="inlineStr">
        <is>
          <t>PUBLIC SECTOR</t>
        </is>
      </c>
      <c r="D1464" t="inlineStr">
        <is>
          <t>IA</t>
        </is>
      </c>
      <c r="E1464" t="inlineStr">
        <is>
          <t>Stage 2</t>
        </is>
      </c>
      <c r="F1464" t="inlineStr">
        <is>
          <t>N/A</t>
        </is>
      </c>
      <c r="G1464" s="26">
        <v>5919152</v>
      </c>
      <c r="H1464" s="26">
        <v>355149</v>
      </c>
      <c r="I1464" s="26">
        <v>500172</v>
      </c>
      <c r="J1464" s="26">
        <v>1</v>
      </c>
      <c r="K1464" t="inlineStr">
        <is>
          <t>Non</t>
        </is>
      </c>
      <c r="L1464">
        <f>SUBTOTAL(103,A1464)</f>
        <v>1</v>
      </c>
    </row>
    <row r="1465">
      <c r="A1465" t="inlineStr">
        <is>
          <t>SOCIETE C2081</t>
        </is>
      </c>
      <c r="B1465" t="inlineStr">
        <is>
          <t>C2081</t>
        </is>
      </c>
      <c r="C1465" t="inlineStr">
        <is>
          <t>CORPORATE BANKING</t>
        </is>
      </c>
      <c r="D1465" t="inlineStr">
        <is>
          <t>V</t>
        </is>
      </c>
      <c r="E1465" t="inlineStr">
        <is>
          <t>Stage 3</t>
        </is>
      </c>
      <c r="F1465" t="inlineStr">
        <is>
          <t>N/A</t>
        </is>
      </c>
      <c r="G1465" s="26">
        <v>860974158</v>
      </c>
      <c r="H1465" s="26">
        <v>473535787</v>
      </c>
      <c r="I1465" s="26">
        <v>0</v>
      </c>
      <c r="J1465" s="26">
        <v>193</v>
      </c>
      <c r="K1465" t="inlineStr">
        <is>
          <t>Oui</t>
        </is>
      </c>
      <c r="L1465">
        <f>SUBTOTAL(103,A1465)</f>
        <v>1</v>
      </c>
    </row>
    <row r="1466">
      <c r="A1466" t="inlineStr">
        <is>
          <t>SOCIETE C715</t>
        </is>
      </c>
      <c r="B1466" t="inlineStr">
        <is>
          <t>C715</t>
        </is>
      </c>
      <c r="C1466" t="inlineStr">
        <is>
          <t>CORPORATE BANKING</t>
        </is>
      </c>
      <c r="D1466" t="inlineStr">
        <is>
          <t>I</t>
        </is>
      </c>
      <c r="E1466" t="inlineStr">
        <is>
          <t>Stage 1</t>
        </is>
      </c>
      <c r="F1466" t="inlineStr">
        <is>
          <t>N/A</t>
        </is>
      </c>
      <c r="G1466" s="26">
        <v>665541422</v>
      </c>
      <c r="H1466" s="26">
        <v>6655414</v>
      </c>
      <c r="I1466" s="26">
        <v>0</v>
      </c>
      <c r="J1466" s="26">
        <v>68</v>
      </c>
      <c r="K1466" t="inlineStr">
        <is>
          <t>Non</t>
        </is>
      </c>
      <c r="L1466">
        <f>SUBTOTAL(103,A1466)</f>
        <v>1</v>
      </c>
    </row>
    <row r="1467">
      <c r="A1467" t="inlineStr">
        <is>
          <t>SOCIETE C954</t>
        </is>
      </c>
      <c r="B1467" t="inlineStr">
        <is>
          <t>C954</t>
        </is>
      </c>
      <c r="C1467" t="inlineStr">
        <is>
          <t>CORPORATE BANKING</t>
        </is>
      </c>
      <c r="D1467" t="inlineStr">
        <is>
          <t>IA</t>
        </is>
      </c>
      <c r="E1467" t="inlineStr">
        <is>
          <t>Stage 2</t>
        </is>
      </c>
      <c r="F1467" t="inlineStr">
        <is>
          <t>N/A</t>
        </is>
      </c>
      <c r="G1467" s="26">
        <v>17982720</v>
      </c>
      <c r="H1467" s="26">
        <v>1078963</v>
      </c>
      <c r="I1467" s="26">
        <v>0</v>
      </c>
      <c r="J1467" s="26">
        <v>204</v>
      </c>
      <c r="K1467" t="inlineStr">
        <is>
          <t>Non</t>
        </is>
      </c>
      <c r="L1467">
        <f>SUBTOTAL(103,A1467)</f>
        <v>1</v>
      </c>
    </row>
    <row r="1468">
      <c r="A1468" t="inlineStr">
        <is>
          <t>SOCIETE C1508</t>
        </is>
      </c>
      <c r="B1468" t="inlineStr">
        <is>
          <t>C1508</t>
        </is>
      </c>
      <c r="C1468" t="inlineStr">
        <is>
          <t>CONSUMER BANKING</t>
        </is>
      </c>
      <c r="D1468" t="inlineStr">
        <is>
          <t>I</t>
        </is>
      </c>
      <c r="E1468" t="inlineStr">
        <is>
          <t>Stage 1</t>
        </is>
      </c>
      <c r="F1468" t="inlineStr">
        <is>
          <t>N/A</t>
        </is>
      </c>
      <c r="G1468" s="26">
        <v>443715554</v>
      </c>
      <c r="H1468" s="26">
        <v>4437156</v>
      </c>
      <c r="I1468" s="26">
        <v>0</v>
      </c>
      <c r="J1468" s="26">
        <v>55</v>
      </c>
      <c r="K1468" t="inlineStr">
        <is>
          <t>Non</t>
        </is>
      </c>
      <c r="L1468">
        <f>SUBTOTAL(103,A1468)</f>
        <v>1</v>
      </c>
    </row>
    <row r="1469">
      <c r="A1469" t="inlineStr">
        <is>
          <t>SOCIETE C2300</t>
        </is>
      </c>
      <c r="B1469" t="inlineStr">
        <is>
          <t>C2300</t>
        </is>
      </c>
      <c r="C1469" t="inlineStr">
        <is>
          <t>COMMERCIAL BANKING</t>
        </is>
      </c>
      <c r="D1469" t="inlineStr">
        <is>
          <t>III</t>
        </is>
      </c>
      <c r="E1469" t="inlineStr">
        <is>
          <t>Stage 3</t>
        </is>
      </c>
      <c r="F1469" t="inlineStr">
        <is>
          <t>N/A</t>
        </is>
      </c>
      <c r="G1469" s="26">
        <v>2418431856</v>
      </c>
      <c r="H1469" s="26">
        <v>1330137521</v>
      </c>
      <c r="I1469" s="26">
        <v>0</v>
      </c>
      <c r="J1469" s="26">
        <v>12</v>
      </c>
      <c r="K1469" t="inlineStr">
        <is>
          <t>Oui</t>
        </is>
      </c>
      <c r="L1469">
        <f>SUBTOTAL(103,A1469)</f>
        <v>1</v>
      </c>
    </row>
    <row r="1470">
      <c r="A1470" t="inlineStr">
        <is>
          <t>SOCIETE C2447</t>
        </is>
      </c>
      <c r="B1470" t="inlineStr">
        <is>
          <t>C2447</t>
        </is>
      </c>
      <c r="C1470" t="inlineStr">
        <is>
          <t>CONSUMER BANKING</t>
        </is>
      </c>
      <c r="D1470" t="inlineStr">
        <is>
          <t>I</t>
        </is>
      </c>
      <c r="E1470" t="inlineStr">
        <is>
          <t>Stage 1</t>
        </is>
      </c>
      <c r="F1470" t="inlineStr">
        <is>
          <t>N/A</t>
        </is>
      </c>
      <c r="G1470" s="26">
        <v>2970528</v>
      </c>
      <c r="H1470" s="26">
        <v>29705</v>
      </c>
      <c r="I1470" s="26">
        <v>0</v>
      </c>
      <c r="J1470" s="26">
        <v>237</v>
      </c>
      <c r="K1470" t="inlineStr">
        <is>
          <t>Non</t>
        </is>
      </c>
      <c r="L1470">
        <f>SUBTOTAL(103,A1470)</f>
        <v>1</v>
      </c>
    </row>
    <row r="1471">
      <c r="A1471" t="inlineStr">
        <is>
          <t>SOCIETE C272</t>
        </is>
      </c>
      <c r="B1471" t="inlineStr">
        <is>
          <t>C272</t>
        </is>
      </c>
      <c r="C1471" t="inlineStr">
        <is>
          <t>SME</t>
        </is>
      </c>
      <c r="D1471" t="inlineStr">
        <is>
          <t>II</t>
        </is>
      </c>
      <c r="E1471" t="inlineStr">
        <is>
          <t>Stage 2</t>
        </is>
      </c>
      <c r="F1471" t="inlineStr">
        <is>
          <t>N/A</t>
        </is>
      </c>
      <c r="G1471" s="26">
        <v>1084867</v>
      </c>
      <c r="H1471" s="26">
        <v>65092</v>
      </c>
      <c r="I1471" s="26">
        <v>1613</v>
      </c>
      <c r="J1471" s="26">
        <v>286</v>
      </c>
      <c r="K1471" t="inlineStr">
        <is>
          <t>Non</t>
        </is>
      </c>
      <c r="L1471">
        <f>SUBTOTAL(103,A1471)</f>
        <v>1</v>
      </c>
    </row>
    <row r="1472">
      <c r="A1472" t="inlineStr">
        <is>
          <t>SOCIETE C1780</t>
        </is>
      </c>
      <c r="B1472" t="inlineStr">
        <is>
          <t>C1780</t>
        </is>
      </c>
      <c r="C1472" t="inlineStr">
        <is>
          <t>CORPORATE BANKING</t>
        </is>
      </c>
      <c r="D1472" t="inlineStr">
        <is>
          <t>IA</t>
        </is>
      </c>
      <c r="E1472" t="inlineStr">
        <is>
          <t>Stage 2</t>
        </is>
      </c>
      <c r="F1472" t="inlineStr">
        <is>
          <t>N/A</t>
        </is>
      </c>
      <c r="G1472" s="26">
        <v>372691393</v>
      </c>
      <c r="H1472" s="26">
        <v>22361484</v>
      </c>
      <c r="I1472" s="26">
        <v>0</v>
      </c>
      <c r="J1472" s="26">
        <v>145</v>
      </c>
      <c r="K1472" t="inlineStr">
        <is>
          <t>Non</t>
        </is>
      </c>
      <c r="L1472">
        <f>SUBTOTAL(103,A1472)</f>
        <v>1</v>
      </c>
    </row>
    <row r="1473">
      <c r="A1473" t="inlineStr">
        <is>
          <t>SOCIETE C941</t>
        </is>
      </c>
      <c r="B1473" t="inlineStr">
        <is>
          <t>C941</t>
        </is>
      </c>
      <c r="C1473" t="inlineStr">
        <is>
          <t>CORPORATE BANKING</t>
        </is>
      </c>
      <c r="D1473" t="inlineStr">
        <is>
          <t>III</t>
        </is>
      </c>
      <c r="E1473" t="inlineStr">
        <is>
          <t>Stage 3</t>
        </is>
      </c>
      <c r="F1473" t="inlineStr">
        <is>
          <t>N/A</t>
        </is>
      </c>
      <c r="G1473" s="26">
        <v>5922767</v>
      </c>
      <c r="H1473" s="26">
        <v>3257522</v>
      </c>
      <c r="I1473" s="26">
        <v>0</v>
      </c>
      <c r="J1473" s="26">
        <v>97</v>
      </c>
      <c r="K1473" t="inlineStr">
        <is>
          <t>Oui</t>
        </is>
      </c>
      <c r="L1473">
        <f>SUBTOTAL(103,A1473)</f>
        <v>1</v>
      </c>
    </row>
    <row r="1474">
      <c r="A1474" t="inlineStr">
        <is>
          <t>SOCIETE C1366</t>
        </is>
      </c>
      <c r="B1474" t="inlineStr">
        <is>
          <t>C1366</t>
        </is>
      </c>
      <c r="C1474" t="inlineStr">
        <is>
          <t>PUBLIC SECTOR</t>
        </is>
      </c>
      <c r="D1474" t="inlineStr">
        <is>
          <t>I</t>
        </is>
      </c>
      <c r="E1474" t="inlineStr">
        <is>
          <t>Stage 1</t>
        </is>
      </c>
      <c r="F1474" t="inlineStr">
        <is>
          <t>N/A</t>
        </is>
      </c>
      <c r="G1474" s="26">
        <v>2525696</v>
      </c>
      <c r="H1474" s="26">
        <v>25257</v>
      </c>
      <c r="I1474" s="26">
        <v>0</v>
      </c>
      <c r="J1474" s="26">
        <v>173</v>
      </c>
      <c r="K1474" t="inlineStr">
        <is>
          <t>Non</t>
        </is>
      </c>
      <c r="L1474">
        <f>SUBTOTAL(103,A1474)</f>
        <v>1</v>
      </c>
    </row>
    <row r="1475">
      <c r="A1475" t="inlineStr">
        <is>
          <t>SOCIETE C657</t>
        </is>
      </c>
      <c r="B1475" t="inlineStr">
        <is>
          <t>C657</t>
        </is>
      </c>
      <c r="C1475" t="inlineStr">
        <is>
          <t>CORPORATE BANKING</t>
        </is>
      </c>
      <c r="D1475" t="inlineStr">
        <is>
          <t>I</t>
        </is>
      </c>
      <c r="E1475" t="inlineStr">
        <is>
          <t>Stage 1</t>
        </is>
      </c>
      <c r="F1475" t="inlineStr">
        <is>
          <t>N/A</t>
        </is>
      </c>
      <c r="G1475" s="26">
        <v>1997322754</v>
      </c>
      <c r="H1475" s="26">
        <v>19973228</v>
      </c>
      <c r="I1475" s="26">
        <v>315167728</v>
      </c>
      <c r="J1475" s="26">
        <v>1</v>
      </c>
      <c r="K1475" t="inlineStr">
        <is>
          <t>Non</t>
        </is>
      </c>
      <c r="L1475">
        <f>SUBTOTAL(103,A1475)</f>
        <v>1</v>
      </c>
    </row>
    <row r="1476">
      <c r="A1476" t="inlineStr">
        <is>
          <t>SOCIETE C857</t>
        </is>
      </c>
      <c r="B1476" t="inlineStr">
        <is>
          <t>C857</t>
        </is>
      </c>
      <c r="C1476" t="inlineStr">
        <is>
          <t>CORPORATE BANKING</t>
        </is>
      </c>
      <c r="D1476" t="inlineStr">
        <is>
          <t>II</t>
        </is>
      </c>
      <c r="E1476" t="inlineStr">
        <is>
          <t>Stage 2</t>
        </is>
      </c>
      <c r="F1476" t="inlineStr">
        <is>
          <t>N/A</t>
        </is>
      </c>
      <c r="G1476" s="26">
        <v>155150615</v>
      </c>
      <c r="H1476" s="26">
        <v>9309037</v>
      </c>
      <c r="I1476" s="26">
        <v>0</v>
      </c>
      <c r="J1476" s="26">
        <v>48</v>
      </c>
      <c r="K1476" t="inlineStr">
        <is>
          <t>Non</t>
        </is>
      </c>
      <c r="L1476">
        <f>SUBTOTAL(103,A1476)</f>
        <v>1</v>
      </c>
    </row>
    <row r="1477">
      <c r="A1477" t="inlineStr">
        <is>
          <t>SOCIETE C169</t>
        </is>
      </c>
      <c r="B1477" t="inlineStr">
        <is>
          <t>C169</t>
        </is>
      </c>
      <c r="C1477" t="inlineStr">
        <is>
          <t>COMMERCIAL BANKING</t>
        </is>
      </c>
      <c r="D1477" t="inlineStr">
        <is>
          <t>I</t>
        </is>
      </c>
      <c r="E1477" t="inlineStr">
        <is>
          <t>Stage 1</t>
        </is>
      </c>
      <c r="F1477" t="inlineStr">
        <is>
          <t>N/A</t>
        </is>
      </c>
      <c r="G1477" s="26">
        <v>72959464</v>
      </c>
      <c r="H1477" s="26">
        <v>729595</v>
      </c>
      <c r="I1477" s="26">
        <v>6742051</v>
      </c>
      <c r="J1477" s="26">
        <v>101</v>
      </c>
      <c r="K1477" t="inlineStr">
        <is>
          <t>Non</t>
        </is>
      </c>
      <c r="L1477">
        <f>SUBTOTAL(103,A1477)</f>
        <v>1</v>
      </c>
    </row>
    <row r="1478">
      <c r="A1478" t="inlineStr">
        <is>
          <t>SOCIETE C1844</t>
        </is>
      </c>
      <c r="B1478" t="inlineStr">
        <is>
          <t>C1844</t>
        </is>
      </c>
      <c r="C1478" t="inlineStr">
        <is>
          <t>COMMERCIAL BANKING</t>
        </is>
      </c>
      <c r="D1478" t="inlineStr">
        <is>
          <t>III</t>
        </is>
      </c>
      <c r="E1478" t="inlineStr">
        <is>
          <t>Stage 3</t>
        </is>
      </c>
      <c r="F1478" t="inlineStr">
        <is>
          <t>N/A</t>
        </is>
      </c>
      <c r="G1478" s="26">
        <v>465466564</v>
      </c>
      <c r="H1478" s="26">
        <v>256006610</v>
      </c>
      <c r="I1478" s="26">
        <v>0</v>
      </c>
      <c r="J1478" s="26">
        <v>179</v>
      </c>
      <c r="K1478" t="inlineStr">
        <is>
          <t>Oui</t>
        </is>
      </c>
      <c r="L1478">
        <f>SUBTOTAL(103,A1478)</f>
        <v>1</v>
      </c>
    </row>
    <row r="1479">
      <c r="A1479" t="inlineStr">
        <is>
          <t>SOCIETE C362</t>
        </is>
      </c>
      <c r="B1479" t="inlineStr">
        <is>
          <t>C362</t>
        </is>
      </c>
      <c r="C1479" t="inlineStr">
        <is>
          <t>CORPORATE BANKING</t>
        </is>
      </c>
      <c r="D1479" t="inlineStr">
        <is>
          <t>V</t>
        </is>
      </c>
      <c r="E1479" t="inlineStr">
        <is>
          <t>Stage 3</t>
        </is>
      </c>
      <c r="F1479" t="inlineStr">
        <is>
          <t>N/A</t>
        </is>
      </c>
      <c r="G1479" s="26">
        <v>40483286</v>
      </c>
      <c r="H1479" s="26">
        <v>22265807</v>
      </c>
      <c r="I1479" s="26">
        <v>1992556</v>
      </c>
      <c r="J1479" s="26">
        <v>36</v>
      </c>
      <c r="K1479" t="inlineStr">
        <is>
          <t>Oui</t>
        </is>
      </c>
      <c r="L1479">
        <f>SUBTOTAL(103,A1479)</f>
        <v>1</v>
      </c>
    </row>
    <row r="1480">
      <c r="A1480" t="inlineStr">
        <is>
          <t>SOCIETE C1488</t>
        </is>
      </c>
      <c r="B1480" t="inlineStr">
        <is>
          <t>C1488</t>
        </is>
      </c>
      <c r="C1480" t="inlineStr">
        <is>
          <t>CONSUMER BANKING</t>
        </is>
      </c>
      <c r="D1480" t="inlineStr">
        <is>
          <t>IA</t>
        </is>
      </c>
      <c r="E1480" t="inlineStr">
        <is>
          <t>Stage 2</t>
        </is>
      </c>
      <c r="F1480" t="inlineStr">
        <is>
          <t>N/A</t>
        </is>
      </c>
      <c r="G1480" s="26">
        <v>608688072</v>
      </c>
      <c r="H1480" s="26">
        <v>36521284</v>
      </c>
      <c r="I1480" s="26">
        <v>0</v>
      </c>
      <c r="J1480" s="26">
        <v>160</v>
      </c>
      <c r="K1480" t="inlineStr">
        <is>
          <t>Non</t>
        </is>
      </c>
      <c r="L1480">
        <f>SUBTOTAL(103,A1480)</f>
        <v>1</v>
      </c>
    </row>
    <row r="1481">
      <c r="A1481" t="inlineStr">
        <is>
          <t>SOCIETE C1025</t>
        </is>
      </c>
      <c r="B1481" t="inlineStr">
        <is>
          <t>C1025</t>
        </is>
      </c>
      <c r="C1481" t="inlineStr">
        <is>
          <t>COMMERCIAL BANKING</t>
        </is>
      </c>
      <c r="D1481" t="inlineStr">
        <is>
          <t>V</t>
        </is>
      </c>
      <c r="E1481" t="inlineStr">
        <is>
          <t>Stage 3</t>
        </is>
      </c>
      <c r="F1481" t="inlineStr">
        <is>
          <t>N/A</t>
        </is>
      </c>
      <c r="G1481" s="26">
        <v>307073361</v>
      </c>
      <c r="H1481" s="26">
        <v>168890349</v>
      </c>
      <c r="I1481" s="26">
        <v>610239</v>
      </c>
      <c r="J1481" s="26">
        <v>0</v>
      </c>
      <c r="K1481" t="inlineStr">
        <is>
          <t>Oui</t>
        </is>
      </c>
      <c r="L1481">
        <f>SUBTOTAL(103,A1481)</f>
        <v>1</v>
      </c>
    </row>
    <row r="1482">
      <c r="A1482" t="inlineStr">
        <is>
          <t>SOCIETE C852</t>
        </is>
      </c>
      <c r="B1482" t="inlineStr">
        <is>
          <t>C852</t>
        </is>
      </c>
      <c r="C1482" t="inlineStr">
        <is>
          <t>COMMERCIAL BANKING</t>
        </is>
      </c>
      <c r="D1482" t="inlineStr">
        <is>
          <t>I</t>
        </is>
      </c>
      <c r="E1482" t="inlineStr">
        <is>
          <t>Stage 1</t>
        </is>
      </c>
      <c r="F1482" t="inlineStr">
        <is>
          <t>N/A</t>
        </is>
      </c>
      <c r="G1482" s="26">
        <v>2236518258</v>
      </c>
      <c r="H1482" s="26">
        <v>22365183</v>
      </c>
      <c r="I1482" s="26">
        <v>312343330</v>
      </c>
      <c r="J1482" s="26">
        <v>356</v>
      </c>
      <c r="K1482" t="inlineStr">
        <is>
          <t>Non</t>
        </is>
      </c>
      <c r="L1482">
        <f>SUBTOTAL(103,A1482)</f>
        <v>1</v>
      </c>
    </row>
    <row r="1483">
      <c r="A1483" t="inlineStr">
        <is>
          <t>SOCIETE C139</t>
        </is>
      </c>
      <c r="B1483" t="inlineStr">
        <is>
          <t>C139</t>
        </is>
      </c>
      <c r="C1483" t="inlineStr">
        <is>
          <t>CORPORATE BANKING</t>
        </is>
      </c>
      <c r="D1483" t="inlineStr">
        <is>
          <t>I</t>
        </is>
      </c>
      <c r="E1483" t="inlineStr">
        <is>
          <t>Stage 1</t>
        </is>
      </c>
      <c r="F1483" t="inlineStr">
        <is>
          <t>N/A</t>
        </is>
      </c>
      <c r="G1483" s="26">
        <v>279822410</v>
      </c>
      <c r="H1483" s="26">
        <v>2798224</v>
      </c>
      <c r="I1483" s="26">
        <v>17563878</v>
      </c>
      <c r="J1483" s="26">
        <v>271</v>
      </c>
      <c r="K1483" t="inlineStr">
        <is>
          <t>Non</t>
        </is>
      </c>
      <c r="L1483">
        <f>SUBTOTAL(103,A1483)</f>
        <v>1</v>
      </c>
    </row>
    <row r="1484">
      <c r="A1484" t="inlineStr">
        <is>
          <t>SOCIETE C2442</t>
        </is>
      </c>
      <c r="B1484" t="inlineStr">
        <is>
          <t>C2442</t>
        </is>
      </c>
      <c r="C1484" t="inlineStr">
        <is>
          <t>CORPORATE BANKING</t>
        </is>
      </c>
      <c r="D1484" t="inlineStr">
        <is>
          <t>IA</t>
        </is>
      </c>
      <c r="E1484" t="inlineStr">
        <is>
          <t>Stage 2</t>
        </is>
      </c>
      <c r="F1484" t="inlineStr">
        <is>
          <t>N/A</t>
        </is>
      </c>
      <c r="G1484" s="26">
        <v>381715304</v>
      </c>
      <c r="H1484" s="26">
        <v>22902918</v>
      </c>
      <c r="I1484" s="26">
        <v>58060783</v>
      </c>
      <c r="J1484" s="26">
        <v>45</v>
      </c>
      <c r="K1484" t="inlineStr">
        <is>
          <t>Non</t>
        </is>
      </c>
      <c r="L1484">
        <f>SUBTOTAL(103,A1484)</f>
        <v>1</v>
      </c>
    </row>
    <row r="1485">
      <c r="A1485" t="inlineStr">
        <is>
          <t>SOCIETE C38</t>
        </is>
      </c>
      <c r="B1485" t="inlineStr">
        <is>
          <t>C38</t>
        </is>
      </c>
      <c r="C1485" t="inlineStr">
        <is>
          <t>CORPORATE BANKING</t>
        </is>
      </c>
      <c r="D1485" t="inlineStr">
        <is>
          <t>V</t>
        </is>
      </c>
      <c r="E1485" t="inlineStr">
        <is>
          <t>Stage 3</t>
        </is>
      </c>
      <c r="F1485" t="inlineStr">
        <is>
          <t>N/A</t>
        </is>
      </c>
      <c r="G1485" s="26">
        <v>165643471</v>
      </c>
      <c r="H1485" s="26">
        <v>91103909</v>
      </c>
      <c r="I1485" s="26">
        <v>0</v>
      </c>
      <c r="J1485" s="26">
        <v>20</v>
      </c>
      <c r="K1485" t="inlineStr">
        <is>
          <t>Oui</t>
        </is>
      </c>
      <c r="L1485">
        <f>SUBTOTAL(103,A1485)</f>
        <v>1</v>
      </c>
    </row>
    <row r="1486">
      <c r="A1486" t="inlineStr">
        <is>
          <t>SOCIETE C1945</t>
        </is>
      </c>
      <c r="B1486" t="inlineStr">
        <is>
          <t>C1945</t>
        </is>
      </c>
      <c r="C1486" t="inlineStr">
        <is>
          <t>CORPORATE BANKING</t>
        </is>
      </c>
      <c r="D1486" t="inlineStr">
        <is>
          <t>I</t>
        </is>
      </c>
      <c r="E1486" t="inlineStr">
        <is>
          <t>Stage 1</t>
        </is>
      </c>
      <c r="F1486" t="inlineStr">
        <is>
          <t>N/A</t>
        </is>
      </c>
      <c r="G1486" s="26">
        <v>2740558</v>
      </c>
      <c r="H1486" s="26">
        <v>27406</v>
      </c>
      <c r="I1486" s="26">
        <v>0</v>
      </c>
      <c r="J1486" s="26">
        <v>38</v>
      </c>
      <c r="K1486" t="inlineStr">
        <is>
          <t>Non</t>
        </is>
      </c>
      <c r="L1486">
        <f>SUBTOTAL(103,A1486)</f>
        <v>1</v>
      </c>
    </row>
    <row r="1487">
      <c r="A1487" t="inlineStr">
        <is>
          <t>SOCIETE C699</t>
        </is>
      </c>
      <c r="B1487" t="inlineStr">
        <is>
          <t>C699</t>
        </is>
      </c>
      <c r="C1487" t="inlineStr">
        <is>
          <t>CORPORATE BANKING</t>
        </is>
      </c>
      <c r="D1487" t="inlineStr">
        <is>
          <t>III</t>
        </is>
      </c>
      <c r="E1487" t="inlineStr">
        <is>
          <t>Stage 3</t>
        </is>
      </c>
      <c r="F1487" t="inlineStr">
        <is>
          <t>N/A</t>
        </is>
      </c>
      <c r="G1487" s="26">
        <v>39042536</v>
      </c>
      <c r="H1487" s="26">
        <v>21473395</v>
      </c>
      <c r="I1487" s="26">
        <v>0</v>
      </c>
      <c r="J1487" s="26">
        <v>42</v>
      </c>
      <c r="K1487" t="inlineStr">
        <is>
          <t>Oui</t>
        </is>
      </c>
      <c r="L1487">
        <f>SUBTOTAL(103,A1487)</f>
        <v>1</v>
      </c>
    </row>
    <row r="1488">
      <c r="A1488" t="inlineStr">
        <is>
          <t>SOCIETE C1501</t>
        </is>
      </c>
      <c r="B1488" t="inlineStr">
        <is>
          <t>C1501</t>
        </is>
      </c>
      <c r="C1488" t="inlineStr">
        <is>
          <t>CONSUMER BANKING</t>
        </is>
      </c>
      <c r="D1488" t="inlineStr">
        <is>
          <t>I</t>
        </is>
      </c>
      <c r="E1488" t="inlineStr">
        <is>
          <t>Stage 1</t>
        </is>
      </c>
      <c r="F1488" t="inlineStr">
        <is>
          <t>N/A</t>
        </is>
      </c>
      <c r="G1488" s="26">
        <v>2321308943</v>
      </c>
      <c r="H1488" s="26">
        <v>23213089</v>
      </c>
      <c r="I1488" s="26">
        <v>0</v>
      </c>
      <c r="J1488" s="26">
        <v>78</v>
      </c>
      <c r="K1488" t="inlineStr">
        <is>
          <t>Non</t>
        </is>
      </c>
      <c r="L1488">
        <f>SUBTOTAL(103,A1488)</f>
        <v>1</v>
      </c>
    </row>
    <row r="1489">
      <c r="A1489" t="inlineStr">
        <is>
          <t>SOCIETE C2091</t>
        </is>
      </c>
      <c r="B1489" t="inlineStr">
        <is>
          <t>C2091</t>
        </is>
      </c>
      <c r="C1489" t="inlineStr">
        <is>
          <t>COMMERCIAL BANKING</t>
        </is>
      </c>
      <c r="D1489" t="inlineStr">
        <is>
          <t>I</t>
        </is>
      </c>
      <c r="E1489" t="inlineStr">
        <is>
          <t>Stage 1</t>
        </is>
      </c>
      <c r="F1489" t="inlineStr">
        <is>
          <t>N/A</t>
        </is>
      </c>
      <c r="G1489" s="26">
        <v>6023722</v>
      </c>
      <c r="H1489" s="26">
        <v>60237</v>
      </c>
      <c r="I1489" s="26">
        <v>0</v>
      </c>
      <c r="J1489" s="26">
        <v>74</v>
      </c>
      <c r="K1489" t="inlineStr">
        <is>
          <t>Non</t>
        </is>
      </c>
      <c r="L1489">
        <f>SUBTOTAL(103,A1489)</f>
        <v>1</v>
      </c>
    </row>
    <row r="1490">
      <c r="A1490" t="inlineStr">
        <is>
          <t>SOCIETE C840</t>
        </is>
      </c>
      <c r="B1490" t="inlineStr">
        <is>
          <t>C840</t>
        </is>
      </c>
      <c r="C1490" t="inlineStr">
        <is>
          <t>CONSUMER BANKING</t>
        </is>
      </c>
      <c r="D1490" t="inlineStr">
        <is>
          <t>I</t>
        </is>
      </c>
      <c r="E1490" t="inlineStr">
        <is>
          <t>Stage 1</t>
        </is>
      </c>
      <c r="F1490" t="inlineStr">
        <is>
          <t>N/A</t>
        </is>
      </c>
      <c r="G1490" s="26">
        <v>265598991</v>
      </c>
      <c r="H1490" s="26">
        <v>2655990</v>
      </c>
      <c r="I1490" s="26">
        <v>0</v>
      </c>
      <c r="J1490" s="26">
        <v>19</v>
      </c>
      <c r="K1490" t="inlineStr">
        <is>
          <t>Non</t>
        </is>
      </c>
      <c r="L1490">
        <f>SUBTOTAL(103,A1490)</f>
        <v>1</v>
      </c>
    </row>
    <row r="1491">
      <c r="A1491" t="inlineStr">
        <is>
          <t>SOCIETE C1746</t>
        </is>
      </c>
      <c r="B1491" t="inlineStr">
        <is>
          <t>C1746</t>
        </is>
      </c>
      <c r="C1491" t="inlineStr">
        <is>
          <t>CORPORATE BANKING</t>
        </is>
      </c>
      <c r="D1491" t="inlineStr">
        <is>
          <t>I</t>
        </is>
      </c>
      <c r="E1491" t="inlineStr">
        <is>
          <t>Stage 1</t>
        </is>
      </c>
      <c r="F1491" t="inlineStr">
        <is>
          <t>N/A</t>
        </is>
      </c>
      <c r="G1491" s="26">
        <v>11461793</v>
      </c>
      <c r="H1491" s="26">
        <v>114618</v>
      </c>
      <c r="I1491" s="26">
        <v>1364333</v>
      </c>
      <c r="J1491" s="26">
        <v>266</v>
      </c>
      <c r="K1491" t="inlineStr">
        <is>
          <t>Non</t>
        </is>
      </c>
      <c r="L1491">
        <f>SUBTOTAL(103,A1491)</f>
        <v>1</v>
      </c>
    </row>
    <row r="1492">
      <c r="A1492" t="inlineStr">
        <is>
          <t>SOCIETE C762</t>
        </is>
      </c>
      <c r="B1492" t="inlineStr">
        <is>
          <t>C762</t>
        </is>
      </c>
      <c r="C1492" t="inlineStr">
        <is>
          <t>CONSUMER BANKING</t>
        </is>
      </c>
      <c r="D1492" t="inlineStr">
        <is>
          <t>I</t>
        </is>
      </c>
      <c r="E1492" t="inlineStr">
        <is>
          <t>Stage 1</t>
        </is>
      </c>
      <c r="F1492" t="inlineStr">
        <is>
          <t>N/A</t>
        </is>
      </c>
      <c r="G1492" s="26">
        <v>21653935</v>
      </c>
      <c r="H1492" s="26">
        <v>216539</v>
      </c>
      <c r="I1492" s="26">
        <v>0</v>
      </c>
      <c r="J1492" s="26">
        <v>34</v>
      </c>
      <c r="K1492" t="inlineStr">
        <is>
          <t>Non</t>
        </is>
      </c>
      <c r="L1492">
        <f>SUBTOTAL(103,A1492)</f>
        <v>1</v>
      </c>
    </row>
    <row r="1493">
      <c r="A1493" t="inlineStr">
        <is>
          <t>SOCIETE C388</t>
        </is>
      </c>
      <c r="B1493" t="inlineStr">
        <is>
          <t>C388</t>
        </is>
      </c>
      <c r="C1493" t="inlineStr">
        <is>
          <t>CORPORATE BANKING</t>
        </is>
      </c>
      <c r="D1493" t="inlineStr">
        <is>
          <t>IA</t>
        </is>
      </c>
      <c r="E1493" t="inlineStr">
        <is>
          <t>Stage 2</t>
        </is>
      </c>
      <c r="F1493" t="inlineStr">
        <is>
          <t>N/A</t>
        </is>
      </c>
      <c r="G1493" s="26">
        <v>139559458</v>
      </c>
      <c r="H1493" s="26">
        <v>8373567</v>
      </c>
      <c r="I1493" s="26">
        <v>1370934</v>
      </c>
      <c r="J1493" s="26">
        <v>136</v>
      </c>
      <c r="K1493" t="inlineStr">
        <is>
          <t>Non</t>
        </is>
      </c>
      <c r="L1493">
        <f>SUBTOTAL(103,A1493)</f>
        <v>1</v>
      </c>
    </row>
    <row r="1494">
      <c r="A1494" t="inlineStr">
        <is>
          <t>SOCIETE C682</t>
        </is>
      </c>
      <c r="B1494" t="inlineStr">
        <is>
          <t>C682</t>
        </is>
      </c>
      <c r="C1494" t="inlineStr">
        <is>
          <t>CORPORATE BANKING</t>
        </is>
      </c>
      <c r="D1494" t="inlineStr">
        <is>
          <t>I</t>
        </is>
      </c>
      <c r="E1494" t="inlineStr">
        <is>
          <t>Stage 1</t>
        </is>
      </c>
      <c r="F1494" t="inlineStr">
        <is>
          <t>N/A</t>
        </is>
      </c>
      <c r="G1494" s="26">
        <v>24046315</v>
      </c>
      <c r="H1494" s="26">
        <v>240463</v>
      </c>
      <c r="I1494" s="26">
        <v>0</v>
      </c>
      <c r="J1494" s="26">
        <v>309</v>
      </c>
      <c r="K1494" t="inlineStr">
        <is>
          <t>Non</t>
        </is>
      </c>
      <c r="L1494">
        <f>SUBTOTAL(103,A1494)</f>
        <v>1</v>
      </c>
    </row>
    <row r="1495">
      <c r="A1495" t="inlineStr">
        <is>
          <t>SOCIETE C1053</t>
        </is>
      </c>
      <c r="B1495" t="inlineStr">
        <is>
          <t>C1053</t>
        </is>
      </c>
      <c r="C1495" t="inlineStr">
        <is>
          <t>CORPORATE BANKING</t>
        </is>
      </c>
      <c r="D1495" t="inlineStr">
        <is>
          <t>V</t>
        </is>
      </c>
      <c r="E1495" t="inlineStr">
        <is>
          <t>Stage 3</t>
        </is>
      </c>
      <c r="F1495" t="inlineStr">
        <is>
          <t>N/A</t>
        </is>
      </c>
      <c r="G1495" s="26">
        <v>488643733</v>
      </c>
      <c r="H1495" s="26">
        <v>268754053</v>
      </c>
      <c r="I1495" s="26">
        <v>7757753</v>
      </c>
      <c r="J1495" s="26">
        <v>52</v>
      </c>
      <c r="K1495" t="inlineStr">
        <is>
          <t>Oui</t>
        </is>
      </c>
      <c r="L1495">
        <f>SUBTOTAL(103,A1495)</f>
        <v>1</v>
      </c>
    </row>
    <row r="1496">
      <c r="A1496" t="inlineStr">
        <is>
          <t>SOCIETE C518</t>
        </is>
      </c>
      <c r="B1496" t="inlineStr">
        <is>
          <t>C518</t>
        </is>
      </c>
      <c r="C1496" t="inlineStr">
        <is>
          <t>CORPORATE BANKING</t>
        </is>
      </c>
      <c r="D1496" t="inlineStr">
        <is>
          <t>I</t>
        </is>
      </c>
      <c r="E1496" t="inlineStr">
        <is>
          <t>Stage 1</t>
        </is>
      </c>
      <c r="F1496" t="inlineStr">
        <is>
          <t>N/A</t>
        </is>
      </c>
      <c r="G1496" s="26">
        <v>153812263</v>
      </c>
      <c r="H1496" s="26">
        <v>1538123</v>
      </c>
      <c r="I1496" s="26">
        <v>0</v>
      </c>
      <c r="J1496" s="26">
        <v>74</v>
      </c>
      <c r="K1496" t="inlineStr">
        <is>
          <t>Non</t>
        </is>
      </c>
      <c r="L1496">
        <f>SUBTOTAL(103,A1496)</f>
        <v>1</v>
      </c>
    </row>
    <row r="1497">
      <c r="A1497" t="inlineStr">
        <is>
          <t>SOCIETE C944</t>
        </is>
      </c>
      <c r="B1497" t="inlineStr">
        <is>
          <t>C944</t>
        </is>
      </c>
      <c r="C1497" t="inlineStr">
        <is>
          <t>PUBLIC SECTOR</t>
        </is>
      </c>
      <c r="D1497" t="inlineStr">
        <is>
          <t>I</t>
        </is>
      </c>
      <c r="E1497" t="inlineStr">
        <is>
          <t>Stage 1</t>
        </is>
      </c>
      <c r="F1497" t="inlineStr">
        <is>
          <t>N/A</t>
        </is>
      </c>
      <c r="G1497" s="26">
        <v>2349749476</v>
      </c>
      <c r="H1497" s="26">
        <v>23497495</v>
      </c>
      <c r="I1497" s="26">
        <v>0</v>
      </c>
      <c r="J1497" s="26">
        <v>306</v>
      </c>
      <c r="K1497" t="inlineStr">
        <is>
          <t>Non</t>
        </is>
      </c>
      <c r="L1497">
        <f>SUBTOTAL(103,A1497)</f>
        <v>1</v>
      </c>
    </row>
    <row r="1498">
      <c r="A1498" t="inlineStr">
        <is>
          <t>SOCIETE C708</t>
        </is>
      </c>
      <c r="B1498" t="inlineStr">
        <is>
          <t>C708</t>
        </is>
      </c>
      <c r="C1498" t="inlineStr">
        <is>
          <t>CORPORATE BANKING</t>
        </is>
      </c>
      <c r="D1498" t="inlineStr">
        <is>
          <t>IA</t>
        </is>
      </c>
      <c r="E1498" t="inlineStr">
        <is>
          <t>Stage 2</t>
        </is>
      </c>
      <c r="F1498" t="inlineStr">
        <is>
          <t>N/A</t>
        </is>
      </c>
      <c r="G1498" s="26">
        <v>2012881283</v>
      </c>
      <c r="H1498" s="26">
        <v>120772877</v>
      </c>
      <c r="I1498" s="26">
        <v>90550352</v>
      </c>
      <c r="J1498" s="26">
        <v>5</v>
      </c>
      <c r="K1498" t="inlineStr">
        <is>
          <t>Non</t>
        </is>
      </c>
      <c r="L1498">
        <f>SUBTOTAL(103,A1498)</f>
        <v>1</v>
      </c>
    </row>
    <row r="1499">
      <c r="A1499" t="inlineStr">
        <is>
          <t>SOCIETE C99</t>
        </is>
      </c>
      <c r="B1499" t="inlineStr">
        <is>
          <t>C99</t>
        </is>
      </c>
      <c r="C1499" t="inlineStr">
        <is>
          <t>CORPORATE BANKING</t>
        </is>
      </c>
      <c r="D1499" t="inlineStr">
        <is>
          <t>IA</t>
        </is>
      </c>
      <c r="E1499" t="inlineStr">
        <is>
          <t>Stage 2</t>
        </is>
      </c>
      <c r="F1499" t="inlineStr">
        <is>
          <t>N/A</t>
        </is>
      </c>
      <c r="G1499" s="26">
        <v>175020651</v>
      </c>
      <c r="H1499" s="26">
        <v>10501239</v>
      </c>
      <c r="I1499" s="26">
        <v>32034707</v>
      </c>
      <c r="J1499" s="26">
        <v>5</v>
      </c>
      <c r="K1499" t="inlineStr">
        <is>
          <t>Non</t>
        </is>
      </c>
      <c r="L1499">
        <f>SUBTOTAL(103,A1499)</f>
        <v>1</v>
      </c>
    </row>
    <row r="1500">
      <c r="A1500" t="inlineStr">
        <is>
          <t>SOCIETE C2189</t>
        </is>
      </c>
      <c r="B1500" t="inlineStr">
        <is>
          <t>C2189</t>
        </is>
      </c>
      <c r="C1500" t="inlineStr">
        <is>
          <t>COMMERCIAL BANKING</t>
        </is>
      </c>
      <c r="D1500" t="inlineStr">
        <is>
          <t>I</t>
        </is>
      </c>
      <c r="E1500" t="inlineStr">
        <is>
          <t>Stage 1</t>
        </is>
      </c>
      <c r="F1500" t="inlineStr">
        <is>
          <t>N/A</t>
        </is>
      </c>
      <c r="G1500" s="26">
        <v>2206519189</v>
      </c>
      <c r="H1500" s="26">
        <v>22065192</v>
      </c>
      <c r="I1500" s="26">
        <v>0</v>
      </c>
      <c r="J1500" s="26">
        <v>131</v>
      </c>
      <c r="K1500" t="inlineStr">
        <is>
          <t>Non</t>
        </is>
      </c>
      <c r="L1500">
        <f>SUBTOTAL(103,A1500)</f>
        <v>1</v>
      </c>
    </row>
    <row r="1501">
      <c r="A1501" t="inlineStr">
        <is>
          <t>SOCIETE C1280</t>
        </is>
      </c>
      <c r="B1501" t="inlineStr">
        <is>
          <t>C1280</t>
        </is>
      </c>
      <c r="C1501" t="inlineStr">
        <is>
          <t>CORPORATE BANKING</t>
        </is>
      </c>
      <c r="D1501" t="inlineStr">
        <is>
          <t>IA</t>
        </is>
      </c>
      <c r="E1501" t="inlineStr">
        <is>
          <t>Stage 2</t>
        </is>
      </c>
      <c r="F1501" t="inlineStr">
        <is>
          <t>N/A</t>
        </is>
      </c>
      <c r="G1501" s="26">
        <v>665389728</v>
      </c>
      <c r="H1501" s="26">
        <v>39923384</v>
      </c>
      <c r="I1501" s="26">
        <v>0</v>
      </c>
      <c r="J1501" s="26">
        <v>107</v>
      </c>
      <c r="K1501" t="inlineStr">
        <is>
          <t>Non</t>
        </is>
      </c>
      <c r="L1501">
        <f>SUBTOTAL(103,A1501)</f>
        <v>1</v>
      </c>
    </row>
    <row r="1502">
      <c r="A1502" t="inlineStr">
        <is>
          <t>SOCIETE C2374</t>
        </is>
      </c>
      <c r="B1502" t="inlineStr">
        <is>
          <t>C2374</t>
        </is>
      </c>
      <c r="C1502" t="inlineStr">
        <is>
          <t>CORPORATE BANKING</t>
        </is>
      </c>
      <c r="D1502" t="inlineStr">
        <is>
          <t>V</t>
        </is>
      </c>
      <c r="E1502" t="inlineStr">
        <is>
          <t>Stage 3</t>
        </is>
      </c>
      <c r="F1502" t="inlineStr">
        <is>
          <t>N/A</t>
        </is>
      </c>
      <c r="G1502" s="26">
        <v>238427575</v>
      </c>
      <c r="H1502" s="26">
        <v>131135166</v>
      </c>
      <c r="I1502" s="26">
        <v>0</v>
      </c>
      <c r="J1502" s="26">
        <v>8</v>
      </c>
      <c r="K1502" t="inlineStr">
        <is>
          <t>Oui</t>
        </is>
      </c>
      <c r="L1502">
        <f>SUBTOTAL(103,A1502)</f>
        <v>1</v>
      </c>
    </row>
    <row r="1503">
      <c r="A1503" t="inlineStr">
        <is>
          <t>SOCIETE C1770</t>
        </is>
      </c>
      <c r="B1503" t="inlineStr">
        <is>
          <t>C1770</t>
        </is>
      </c>
      <c r="C1503" t="inlineStr">
        <is>
          <t>COMMERCIAL BANKING</t>
        </is>
      </c>
      <c r="D1503" t="inlineStr">
        <is>
          <t>I</t>
        </is>
      </c>
      <c r="E1503" t="inlineStr">
        <is>
          <t>Stage 1</t>
        </is>
      </c>
      <c r="F1503" t="inlineStr">
        <is>
          <t>N/A</t>
        </is>
      </c>
      <c r="G1503" s="26">
        <v>226183054</v>
      </c>
      <c r="H1503" s="26">
        <v>2261831</v>
      </c>
      <c r="I1503" s="26">
        <v>0</v>
      </c>
      <c r="J1503" s="26">
        <v>134</v>
      </c>
      <c r="K1503" t="inlineStr">
        <is>
          <t>Non</t>
        </is>
      </c>
      <c r="L1503">
        <f>SUBTOTAL(103,A1503)</f>
        <v>1</v>
      </c>
    </row>
    <row r="1504">
      <c r="A1504" t="inlineStr">
        <is>
          <t>SOCIETE C2042</t>
        </is>
      </c>
      <c r="B1504" t="inlineStr">
        <is>
          <t>C2042</t>
        </is>
      </c>
      <c r="C1504" t="inlineStr">
        <is>
          <t>CORPORATE BANKING</t>
        </is>
      </c>
      <c r="D1504" t="inlineStr">
        <is>
          <t>I</t>
        </is>
      </c>
      <c r="E1504" t="inlineStr">
        <is>
          <t>Stage 1</t>
        </is>
      </c>
      <c r="F1504" t="inlineStr">
        <is>
          <t>N/A</t>
        </is>
      </c>
      <c r="G1504" s="26">
        <v>1572646258</v>
      </c>
      <c r="H1504" s="26">
        <v>15726463</v>
      </c>
      <c r="I1504" s="26">
        <v>0</v>
      </c>
      <c r="J1504" s="26">
        <v>71</v>
      </c>
      <c r="K1504" t="inlineStr">
        <is>
          <t>Non</t>
        </is>
      </c>
      <c r="L1504">
        <f>SUBTOTAL(103,A1504)</f>
        <v>1</v>
      </c>
    </row>
    <row r="1505">
      <c r="A1505" t="inlineStr">
        <is>
          <t>SOCIETE C23</t>
        </is>
      </c>
      <c r="B1505" t="inlineStr">
        <is>
          <t>C23</t>
        </is>
      </c>
      <c r="C1505" t="inlineStr">
        <is>
          <t>PUBLIC SECTOR</t>
        </is>
      </c>
      <c r="D1505" t="inlineStr">
        <is>
          <t>I</t>
        </is>
      </c>
      <c r="E1505" t="inlineStr">
        <is>
          <t>Stage 1</t>
        </is>
      </c>
      <c r="F1505" t="inlineStr">
        <is>
          <t>N/A</t>
        </is>
      </c>
      <c r="G1505" s="26">
        <v>35564674</v>
      </c>
      <c r="H1505" s="26">
        <v>355647</v>
      </c>
      <c r="I1505" s="26">
        <v>0</v>
      </c>
      <c r="J1505" s="26">
        <v>29</v>
      </c>
      <c r="K1505" t="inlineStr">
        <is>
          <t>Non</t>
        </is>
      </c>
      <c r="L1505">
        <f>SUBTOTAL(103,A1505)</f>
        <v>1</v>
      </c>
    </row>
    <row r="1506">
      <c r="A1506" t="inlineStr">
        <is>
          <t>SOCIETE C2277</t>
        </is>
      </c>
      <c r="B1506" t="inlineStr">
        <is>
          <t>C2277</t>
        </is>
      </c>
      <c r="C1506" t="inlineStr">
        <is>
          <t>PUBLIC SECTOR</t>
        </is>
      </c>
      <c r="D1506" t="inlineStr">
        <is>
          <t>III</t>
        </is>
      </c>
      <c r="E1506" t="inlineStr">
        <is>
          <t>Stage 3</t>
        </is>
      </c>
      <c r="F1506" t="inlineStr">
        <is>
          <t>N/A</t>
        </is>
      </c>
      <c r="G1506" s="26">
        <v>692485980</v>
      </c>
      <c r="H1506" s="26">
        <v>380867289</v>
      </c>
      <c r="I1506" s="26">
        <v>0</v>
      </c>
      <c r="J1506" s="26">
        <v>12</v>
      </c>
      <c r="K1506" t="inlineStr">
        <is>
          <t>Oui</t>
        </is>
      </c>
      <c r="L1506">
        <f>SUBTOTAL(103,A1506)</f>
        <v>1</v>
      </c>
    </row>
    <row r="1507">
      <c r="A1507" t="inlineStr">
        <is>
          <t>SOCIETE C230</t>
        </is>
      </c>
      <c r="B1507" t="inlineStr">
        <is>
          <t>C230</t>
        </is>
      </c>
      <c r="C1507" t="inlineStr">
        <is>
          <t>COMMERCIAL BANKING</t>
        </is>
      </c>
      <c r="D1507" t="inlineStr">
        <is>
          <t>IA</t>
        </is>
      </c>
      <c r="E1507" t="inlineStr">
        <is>
          <t>Stage 2</t>
        </is>
      </c>
      <c r="F1507" t="inlineStr">
        <is>
          <t>N/A</t>
        </is>
      </c>
      <c r="G1507" s="26">
        <v>1670763</v>
      </c>
      <c r="H1507" s="26">
        <v>100246</v>
      </c>
      <c r="I1507" s="26">
        <v>28351</v>
      </c>
      <c r="J1507" s="26">
        <v>68</v>
      </c>
      <c r="K1507" t="inlineStr">
        <is>
          <t>Non</t>
        </is>
      </c>
      <c r="L1507">
        <f>SUBTOTAL(103,A1507)</f>
        <v>1</v>
      </c>
    </row>
    <row r="1508">
      <c r="A1508" t="inlineStr">
        <is>
          <t>SOCIETE C1080</t>
        </is>
      </c>
      <c r="B1508" t="inlineStr">
        <is>
          <t>C1080</t>
        </is>
      </c>
      <c r="C1508" t="inlineStr">
        <is>
          <t>CORPORATE BANKING</t>
        </is>
      </c>
      <c r="D1508" t="inlineStr">
        <is>
          <t>I</t>
        </is>
      </c>
      <c r="E1508" t="inlineStr">
        <is>
          <t>Stage 1</t>
        </is>
      </c>
      <c r="F1508" t="inlineStr">
        <is>
          <t>N/A</t>
        </is>
      </c>
      <c r="G1508" s="26">
        <v>2039314618</v>
      </c>
      <c r="H1508" s="26">
        <v>20393146</v>
      </c>
      <c r="I1508" s="26">
        <v>0</v>
      </c>
      <c r="J1508" s="26">
        <v>25</v>
      </c>
      <c r="K1508" t="inlineStr">
        <is>
          <t>Non</t>
        </is>
      </c>
      <c r="L1508">
        <f>SUBTOTAL(103,A1508)</f>
        <v>1</v>
      </c>
    </row>
    <row r="1509">
      <c r="A1509" t="inlineStr">
        <is>
          <t>SOCIETE C2117</t>
        </is>
      </c>
      <c r="B1509" t="inlineStr">
        <is>
          <t>C2117</t>
        </is>
      </c>
      <c r="C1509" t="inlineStr">
        <is>
          <t>CORPORATE BANKING</t>
        </is>
      </c>
      <c r="D1509" t="inlineStr">
        <is>
          <t>I</t>
        </is>
      </c>
      <c r="E1509" t="inlineStr">
        <is>
          <t>Stage 1</t>
        </is>
      </c>
      <c r="F1509" t="inlineStr">
        <is>
          <t>N/A</t>
        </is>
      </c>
      <c r="G1509" s="26">
        <v>705029299</v>
      </c>
      <c r="H1509" s="26">
        <v>7050293</v>
      </c>
      <c r="I1509" s="26">
        <v>0</v>
      </c>
      <c r="J1509" s="26">
        <v>255</v>
      </c>
      <c r="K1509" t="inlineStr">
        <is>
          <t>Non</t>
        </is>
      </c>
      <c r="L1509">
        <f>SUBTOTAL(103,A1509)</f>
        <v>1</v>
      </c>
    </row>
    <row r="1510">
      <c r="A1510" t="inlineStr">
        <is>
          <t>SOCIETE C1903</t>
        </is>
      </c>
      <c r="B1510" t="inlineStr">
        <is>
          <t>C1903</t>
        </is>
      </c>
      <c r="C1510" t="inlineStr">
        <is>
          <t>CORPORATE BANKING</t>
        </is>
      </c>
      <c r="D1510" t="inlineStr">
        <is>
          <t>I</t>
        </is>
      </c>
      <c r="E1510" t="inlineStr">
        <is>
          <t>Stage 1</t>
        </is>
      </c>
      <c r="F1510" t="inlineStr">
        <is>
          <t>N/A</t>
        </is>
      </c>
      <c r="G1510" s="26">
        <v>252189848</v>
      </c>
      <c r="H1510" s="26">
        <v>2521898</v>
      </c>
      <c r="I1510" s="26">
        <v>34475934</v>
      </c>
      <c r="J1510" s="26">
        <v>40</v>
      </c>
      <c r="K1510" t="inlineStr">
        <is>
          <t>Non</t>
        </is>
      </c>
      <c r="L1510">
        <f>SUBTOTAL(103,A1510)</f>
        <v>1</v>
      </c>
    </row>
    <row r="1511">
      <c r="A1511" t="inlineStr">
        <is>
          <t>SOCIETE C498</t>
        </is>
      </c>
      <c r="B1511" t="inlineStr">
        <is>
          <t>C498</t>
        </is>
      </c>
      <c r="C1511" t="inlineStr">
        <is>
          <t>CONSUMER BANKING</t>
        </is>
      </c>
      <c r="D1511" t="inlineStr">
        <is>
          <t>I</t>
        </is>
      </c>
      <c r="E1511" t="inlineStr">
        <is>
          <t>Stage 1</t>
        </is>
      </c>
      <c r="F1511" t="inlineStr">
        <is>
          <t>N/A</t>
        </is>
      </c>
      <c r="G1511" s="26">
        <v>1503522933</v>
      </c>
      <c r="H1511" s="26">
        <v>15035229</v>
      </c>
      <c r="I1511" s="26">
        <v>0</v>
      </c>
      <c r="J1511" s="26">
        <v>13</v>
      </c>
      <c r="K1511" t="inlineStr">
        <is>
          <t>Non</t>
        </is>
      </c>
      <c r="L1511">
        <f>SUBTOTAL(103,A1511)</f>
        <v>1</v>
      </c>
    </row>
    <row r="1512">
      <c r="A1512" t="inlineStr">
        <is>
          <t>SOCIETE C806</t>
        </is>
      </c>
      <c r="B1512" t="inlineStr">
        <is>
          <t>C806</t>
        </is>
      </c>
      <c r="C1512" t="inlineStr">
        <is>
          <t>CORPORATE BANKING</t>
        </is>
      </c>
      <c r="D1512" t="inlineStr">
        <is>
          <t>IV</t>
        </is>
      </c>
      <c r="E1512" t="inlineStr">
        <is>
          <t>Stage 3</t>
        </is>
      </c>
      <c r="F1512" t="inlineStr">
        <is>
          <t>N/A</t>
        </is>
      </c>
      <c r="G1512" s="26">
        <v>2367051948</v>
      </c>
      <c r="H1512" s="26">
        <v>1301878571</v>
      </c>
      <c r="I1512" s="26">
        <v>0</v>
      </c>
      <c r="J1512" s="26">
        <v>50</v>
      </c>
      <c r="K1512" t="inlineStr">
        <is>
          <t>Oui</t>
        </is>
      </c>
      <c r="L1512">
        <f>SUBTOTAL(103,A1512)</f>
        <v>1</v>
      </c>
    </row>
    <row r="1513">
      <c r="A1513" t="inlineStr">
        <is>
          <t>SOCIETE C1439</t>
        </is>
      </c>
      <c r="B1513" t="inlineStr">
        <is>
          <t>C1439</t>
        </is>
      </c>
      <c r="C1513" t="inlineStr">
        <is>
          <t>CORPORATE BANKING</t>
        </is>
      </c>
      <c r="D1513" t="inlineStr">
        <is>
          <t>IA</t>
        </is>
      </c>
      <c r="E1513" t="inlineStr">
        <is>
          <t>Stage 2</t>
        </is>
      </c>
      <c r="F1513" t="inlineStr">
        <is>
          <t>N/A</t>
        </is>
      </c>
      <c r="G1513" s="26">
        <v>30643932</v>
      </c>
      <c r="H1513" s="26">
        <v>1838636</v>
      </c>
      <c r="I1513" s="26">
        <v>0</v>
      </c>
      <c r="J1513" s="26">
        <v>139</v>
      </c>
      <c r="K1513" t="inlineStr">
        <is>
          <t>Non</t>
        </is>
      </c>
      <c r="L1513">
        <f>SUBTOTAL(103,A1513)</f>
        <v>1</v>
      </c>
    </row>
    <row r="1514">
      <c r="A1514" t="inlineStr">
        <is>
          <t>SOCIETE C1626</t>
        </is>
      </c>
      <c r="B1514" t="inlineStr">
        <is>
          <t>C1626</t>
        </is>
      </c>
      <c r="C1514" t="inlineStr">
        <is>
          <t>COMMERCIAL BANKING</t>
        </is>
      </c>
      <c r="D1514" t="inlineStr">
        <is>
          <t>I</t>
        </is>
      </c>
      <c r="E1514" t="inlineStr">
        <is>
          <t>Stage 1</t>
        </is>
      </c>
      <c r="F1514" t="inlineStr">
        <is>
          <t>N/A</t>
        </is>
      </c>
      <c r="G1514" s="26">
        <v>2157772</v>
      </c>
      <c r="H1514" s="26">
        <v>21578</v>
      </c>
      <c r="I1514" s="26">
        <v>0</v>
      </c>
      <c r="J1514" s="26">
        <v>13</v>
      </c>
      <c r="K1514" t="inlineStr">
        <is>
          <t>Non</t>
        </is>
      </c>
      <c r="L1514">
        <f>SUBTOTAL(103,A1514)</f>
        <v>1</v>
      </c>
    </row>
    <row r="1515">
      <c r="A1515" t="inlineStr">
        <is>
          <t>SOCIETE C943</t>
        </is>
      </c>
      <c r="B1515" t="inlineStr">
        <is>
          <t>C943</t>
        </is>
      </c>
      <c r="C1515" t="inlineStr">
        <is>
          <t>CORPORATE BANKING</t>
        </is>
      </c>
      <c r="D1515" t="inlineStr">
        <is>
          <t>I</t>
        </is>
      </c>
      <c r="E1515" t="inlineStr">
        <is>
          <t>Stage 1</t>
        </is>
      </c>
      <c r="F1515" t="inlineStr">
        <is>
          <t>N/A</t>
        </is>
      </c>
      <c r="G1515" s="26">
        <v>2435376670</v>
      </c>
      <c r="H1515" s="26">
        <v>24353767</v>
      </c>
      <c r="I1515" s="26">
        <v>0</v>
      </c>
      <c r="J1515" s="26">
        <v>9</v>
      </c>
      <c r="K1515" t="inlineStr">
        <is>
          <t>Non</t>
        </is>
      </c>
      <c r="L1515">
        <f>SUBTOTAL(103,A1515)</f>
        <v>1</v>
      </c>
    </row>
    <row r="1516">
      <c r="A1516" t="inlineStr">
        <is>
          <t>SOCIETE C2240</t>
        </is>
      </c>
      <c r="B1516" t="inlineStr">
        <is>
          <t>C2240</t>
        </is>
      </c>
      <c r="C1516" t="inlineStr">
        <is>
          <t>CORPORATE BANKING</t>
        </is>
      </c>
      <c r="D1516" t="inlineStr">
        <is>
          <t>I</t>
        </is>
      </c>
      <c r="E1516" t="inlineStr">
        <is>
          <t>Stage 1</t>
        </is>
      </c>
      <c r="F1516" t="inlineStr">
        <is>
          <t>N/A</t>
        </is>
      </c>
      <c r="G1516" s="26">
        <v>2855176</v>
      </c>
      <c r="H1516" s="26">
        <v>28552</v>
      </c>
      <c r="I1516" s="26">
        <v>0</v>
      </c>
      <c r="J1516" s="26">
        <v>179</v>
      </c>
      <c r="K1516" t="inlineStr">
        <is>
          <t>Non</t>
        </is>
      </c>
      <c r="L1516">
        <f>SUBTOTAL(103,A1516)</f>
        <v>1</v>
      </c>
    </row>
    <row r="1517">
      <c r="A1517" t="inlineStr">
        <is>
          <t>SOCIETE C241</t>
        </is>
      </c>
      <c r="B1517" t="inlineStr">
        <is>
          <t>C241</t>
        </is>
      </c>
      <c r="C1517" t="inlineStr">
        <is>
          <t>CORPORATE BANKING</t>
        </is>
      </c>
      <c r="D1517" t="inlineStr">
        <is>
          <t>III</t>
        </is>
      </c>
      <c r="E1517" t="inlineStr">
        <is>
          <t>Stage 3</t>
        </is>
      </c>
      <c r="F1517" t="inlineStr">
        <is>
          <t>N/A</t>
        </is>
      </c>
      <c r="G1517" s="26">
        <v>22794266</v>
      </c>
      <c r="H1517" s="26">
        <v>12536846</v>
      </c>
      <c r="I1517" s="26">
        <v>0</v>
      </c>
      <c r="J1517" s="26">
        <v>61</v>
      </c>
      <c r="K1517" t="inlineStr">
        <is>
          <t>Oui</t>
        </is>
      </c>
      <c r="L1517">
        <f>SUBTOTAL(103,A1517)</f>
        <v>1</v>
      </c>
    </row>
    <row r="1518">
      <c r="A1518" t="inlineStr">
        <is>
          <t>SOCIETE C463</t>
        </is>
      </c>
      <c r="B1518" t="inlineStr">
        <is>
          <t>C463</t>
        </is>
      </c>
      <c r="C1518" t="inlineStr">
        <is>
          <t>CONSUMER BANKING</t>
        </is>
      </c>
      <c r="D1518" t="inlineStr">
        <is>
          <t>V</t>
        </is>
      </c>
      <c r="E1518" t="inlineStr">
        <is>
          <t>Stage 3</t>
        </is>
      </c>
      <c r="F1518" t="inlineStr">
        <is>
          <t>N/A</t>
        </is>
      </c>
      <c r="G1518" s="26">
        <v>1053073260</v>
      </c>
      <c r="H1518" s="26">
        <v>579190293</v>
      </c>
      <c r="I1518" s="26">
        <v>0</v>
      </c>
      <c r="J1518" s="26">
        <v>143</v>
      </c>
      <c r="K1518" t="inlineStr">
        <is>
          <t>Oui</t>
        </is>
      </c>
      <c r="L1518">
        <f>SUBTOTAL(103,A1518)</f>
        <v>1</v>
      </c>
    </row>
    <row r="1519">
      <c r="A1519" t="inlineStr">
        <is>
          <t>SOCIETE C2188</t>
        </is>
      </c>
      <c r="B1519" t="inlineStr">
        <is>
          <t>C2188</t>
        </is>
      </c>
      <c r="C1519" t="inlineStr">
        <is>
          <t>CORPORATE BANKING</t>
        </is>
      </c>
      <c r="D1519" t="inlineStr">
        <is>
          <t>IV</t>
        </is>
      </c>
      <c r="E1519" t="inlineStr">
        <is>
          <t>Stage 3</t>
        </is>
      </c>
      <c r="F1519" t="inlineStr">
        <is>
          <t>N/A</t>
        </is>
      </c>
      <c r="G1519" s="26">
        <v>1872124395</v>
      </c>
      <c r="H1519" s="26">
        <v>1029668417</v>
      </c>
      <c r="I1519" s="26">
        <v>0</v>
      </c>
      <c r="J1519" s="26">
        <v>147</v>
      </c>
      <c r="K1519" t="inlineStr">
        <is>
          <t>Oui</t>
        </is>
      </c>
      <c r="L1519">
        <f>SUBTOTAL(103,A1519)</f>
        <v>1</v>
      </c>
    </row>
    <row r="1520">
      <c r="A1520" t="inlineStr">
        <is>
          <t>SOCIETE C2362</t>
        </is>
      </c>
      <c r="B1520" t="inlineStr">
        <is>
          <t>C2362</t>
        </is>
      </c>
      <c r="C1520" t="inlineStr">
        <is>
          <t>CORPORATE BANKING</t>
        </is>
      </c>
      <c r="D1520" t="inlineStr">
        <is>
          <t>I</t>
        </is>
      </c>
      <c r="E1520" t="inlineStr">
        <is>
          <t>Stage 1</t>
        </is>
      </c>
      <c r="F1520" t="inlineStr">
        <is>
          <t>N/A</t>
        </is>
      </c>
      <c r="G1520" s="26">
        <v>4277181</v>
      </c>
      <c r="H1520" s="26">
        <v>42772</v>
      </c>
      <c r="I1520" s="26">
        <v>0</v>
      </c>
      <c r="J1520" s="26">
        <v>99</v>
      </c>
      <c r="K1520" t="inlineStr">
        <is>
          <t>Non</t>
        </is>
      </c>
      <c r="L1520">
        <f>SUBTOTAL(103,A1520)</f>
        <v>1</v>
      </c>
    </row>
    <row r="1521">
      <c r="A1521" t="inlineStr">
        <is>
          <t>SOCIETE C643</t>
        </is>
      </c>
      <c r="B1521" t="inlineStr">
        <is>
          <t>C643</t>
        </is>
      </c>
      <c r="C1521" t="inlineStr">
        <is>
          <t>CORPORATE BANKING</t>
        </is>
      </c>
      <c r="D1521" t="inlineStr">
        <is>
          <t>V</t>
        </is>
      </c>
      <c r="E1521" t="inlineStr">
        <is>
          <t>Stage 3</t>
        </is>
      </c>
      <c r="F1521" t="inlineStr">
        <is>
          <t>N/A</t>
        </is>
      </c>
      <c r="G1521" s="26">
        <v>110154722</v>
      </c>
      <c r="H1521" s="26">
        <v>60585097</v>
      </c>
      <c r="I1521" s="26">
        <v>0</v>
      </c>
      <c r="J1521" s="26">
        <v>227</v>
      </c>
      <c r="K1521" t="inlineStr">
        <is>
          <t>Oui</t>
        </is>
      </c>
      <c r="L1521">
        <f>SUBTOTAL(103,A1521)</f>
        <v>1</v>
      </c>
    </row>
    <row r="1522">
      <c r="A1522" t="inlineStr">
        <is>
          <t>SOCIETE C252</t>
        </is>
      </c>
      <c r="B1522" t="inlineStr">
        <is>
          <t>C252</t>
        </is>
      </c>
      <c r="C1522" t="inlineStr">
        <is>
          <t>COMMERCIAL BANKING</t>
        </is>
      </c>
      <c r="D1522" t="inlineStr">
        <is>
          <t>I</t>
        </is>
      </c>
      <c r="E1522" t="inlineStr">
        <is>
          <t>Stage 1</t>
        </is>
      </c>
      <c r="F1522" t="inlineStr">
        <is>
          <t>N/A</t>
        </is>
      </c>
      <c r="G1522" s="26">
        <v>403922365</v>
      </c>
      <c r="H1522" s="26">
        <v>4039224</v>
      </c>
      <c r="I1522" s="26">
        <v>0</v>
      </c>
      <c r="J1522" s="26">
        <v>122</v>
      </c>
      <c r="K1522" t="inlineStr">
        <is>
          <t>Non</t>
        </is>
      </c>
      <c r="L1522">
        <f>SUBTOTAL(103,A1522)</f>
        <v>1</v>
      </c>
    </row>
    <row r="1523">
      <c r="A1523" t="inlineStr">
        <is>
          <t>SOCIETE C2499</t>
        </is>
      </c>
      <c r="B1523" t="inlineStr">
        <is>
          <t>C2499</t>
        </is>
      </c>
      <c r="C1523" t="inlineStr">
        <is>
          <t>CONSUMER BANKING</t>
        </is>
      </c>
      <c r="D1523" t="inlineStr">
        <is>
          <t>I</t>
        </is>
      </c>
      <c r="E1523" t="inlineStr">
        <is>
          <t>Stage 1</t>
        </is>
      </c>
      <c r="F1523" t="inlineStr">
        <is>
          <t>N/A</t>
        </is>
      </c>
      <c r="G1523" s="26">
        <v>1294768630</v>
      </c>
      <c r="H1523" s="26">
        <v>12947686</v>
      </c>
      <c r="I1523" s="26">
        <v>101014453</v>
      </c>
      <c r="J1523" s="26">
        <v>43</v>
      </c>
      <c r="K1523" t="inlineStr">
        <is>
          <t>Non</t>
        </is>
      </c>
      <c r="L1523">
        <f>SUBTOTAL(103,A1523)</f>
        <v>1</v>
      </c>
    </row>
    <row r="1524">
      <c r="A1524" t="inlineStr">
        <is>
          <t>SOCIETE C75</t>
        </is>
      </c>
      <c r="B1524" t="inlineStr">
        <is>
          <t>C75</t>
        </is>
      </c>
      <c r="C1524" t="inlineStr">
        <is>
          <t>CORPORATE BANKING</t>
        </is>
      </c>
      <c r="D1524" t="inlineStr">
        <is>
          <t>IV</t>
        </is>
      </c>
      <c r="E1524" t="inlineStr">
        <is>
          <t>Stage 3</t>
        </is>
      </c>
      <c r="F1524" t="inlineStr">
        <is>
          <t>N/A</t>
        </is>
      </c>
      <c r="G1524" s="26">
        <v>468451624</v>
      </c>
      <c r="H1524" s="26">
        <v>257648393</v>
      </c>
      <c r="I1524" s="26">
        <v>0</v>
      </c>
      <c r="J1524" s="26">
        <v>241</v>
      </c>
      <c r="K1524" t="inlineStr">
        <is>
          <t>Oui</t>
        </is>
      </c>
      <c r="L1524">
        <f>SUBTOTAL(103,A1524)</f>
        <v>1</v>
      </c>
    </row>
    <row r="1525">
      <c r="A1525" t="inlineStr">
        <is>
          <t>SOCIETE C1496</t>
        </is>
      </c>
      <c r="B1525" t="inlineStr">
        <is>
          <t>C1496</t>
        </is>
      </c>
      <c r="C1525" t="inlineStr">
        <is>
          <t>CORPORATE BANKING</t>
        </is>
      </c>
      <c r="D1525" t="inlineStr">
        <is>
          <t>III</t>
        </is>
      </c>
      <c r="E1525" t="inlineStr">
        <is>
          <t>Stage 3</t>
        </is>
      </c>
      <c r="F1525" t="inlineStr">
        <is>
          <t>N/A</t>
        </is>
      </c>
      <c r="G1525" s="26">
        <v>527961990</v>
      </c>
      <c r="H1525" s="26">
        <v>290379095</v>
      </c>
      <c r="I1525" s="26">
        <v>42336880</v>
      </c>
      <c r="J1525" s="26">
        <v>173</v>
      </c>
      <c r="K1525" t="inlineStr">
        <is>
          <t>Oui</t>
        </is>
      </c>
      <c r="L1525">
        <f>SUBTOTAL(103,A1525)</f>
        <v>1</v>
      </c>
    </row>
    <row r="1526">
      <c r="A1526" t="inlineStr">
        <is>
          <t>SOCIETE C2292</t>
        </is>
      </c>
      <c r="B1526" t="inlineStr">
        <is>
          <t>C2292</t>
        </is>
      </c>
      <c r="C1526" t="inlineStr">
        <is>
          <t>CORPORATE BANKING</t>
        </is>
      </c>
      <c r="D1526" t="inlineStr">
        <is>
          <t>II</t>
        </is>
      </c>
      <c r="E1526" t="inlineStr">
        <is>
          <t>Stage 2</t>
        </is>
      </c>
      <c r="F1526" t="inlineStr">
        <is>
          <t>N/A</t>
        </is>
      </c>
      <c r="G1526" s="26">
        <v>101829998</v>
      </c>
      <c r="H1526" s="26">
        <v>6109800</v>
      </c>
      <c r="I1526" s="26">
        <v>0</v>
      </c>
      <c r="J1526" s="26">
        <v>70</v>
      </c>
      <c r="K1526" t="inlineStr">
        <is>
          <t>Non</t>
        </is>
      </c>
      <c r="L1526">
        <f>SUBTOTAL(103,A1526)</f>
        <v>1</v>
      </c>
    </row>
    <row r="1527">
      <c r="A1527" t="inlineStr">
        <is>
          <t>SOCIETE C2176</t>
        </is>
      </c>
      <c r="B1527" t="inlineStr">
        <is>
          <t>C2176</t>
        </is>
      </c>
      <c r="C1527" t="inlineStr">
        <is>
          <t>COMMERCIAL BANKING</t>
        </is>
      </c>
      <c r="D1527" t="inlineStr">
        <is>
          <t>I</t>
        </is>
      </c>
      <c r="E1527" t="inlineStr">
        <is>
          <t>Stage 1</t>
        </is>
      </c>
      <c r="F1527" t="inlineStr">
        <is>
          <t>N/A</t>
        </is>
      </c>
      <c r="G1527" s="26">
        <v>1000909</v>
      </c>
      <c r="H1527" s="26">
        <v>10009</v>
      </c>
      <c r="I1527" s="26">
        <v>0</v>
      </c>
      <c r="J1527" s="26">
        <v>82</v>
      </c>
      <c r="K1527" t="inlineStr">
        <is>
          <t>Non</t>
        </is>
      </c>
      <c r="L1527">
        <f>SUBTOTAL(103,A1527)</f>
        <v>1</v>
      </c>
    </row>
    <row r="1528">
      <c r="A1528" t="inlineStr">
        <is>
          <t>SOCIETE C1841</t>
        </is>
      </c>
      <c r="B1528" t="inlineStr">
        <is>
          <t>C1841</t>
        </is>
      </c>
      <c r="C1528" t="inlineStr">
        <is>
          <t>CORPORATE BANKING</t>
        </is>
      </c>
      <c r="D1528" t="inlineStr">
        <is>
          <t>II</t>
        </is>
      </c>
      <c r="E1528" t="inlineStr">
        <is>
          <t>Stage 2</t>
        </is>
      </c>
      <c r="F1528" t="inlineStr">
        <is>
          <t>N/A</t>
        </is>
      </c>
      <c r="G1528" s="26">
        <v>2991765066</v>
      </c>
      <c r="H1528" s="26">
        <v>179505904</v>
      </c>
      <c r="I1528" s="26">
        <v>0</v>
      </c>
      <c r="J1528" s="26">
        <v>170</v>
      </c>
      <c r="K1528" t="inlineStr">
        <is>
          <t>Non</t>
        </is>
      </c>
      <c r="L1528">
        <f>SUBTOTAL(103,A1528)</f>
        <v>1</v>
      </c>
    </row>
    <row r="1529">
      <c r="A1529" t="inlineStr">
        <is>
          <t>SOCIETE C2280</t>
        </is>
      </c>
      <c r="B1529" t="inlineStr">
        <is>
          <t>C2280</t>
        </is>
      </c>
      <c r="C1529" t="inlineStr">
        <is>
          <t>PUBLIC SECTOR</t>
        </is>
      </c>
      <c r="D1529" t="inlineStr">
        <is>
          <t>III</t>
        </is>
      </c>
      <c r="E1529" t="inlineStr">
        <is>
          <t>Stage 3</t>
        </is>
      </c>
      <c r="F1529" t="inlineStr">
        <is>
          <t>N/A</t>
        </is>
      </c>
      <c r="G1529" s="26">
        <v>8273975</v>
      </c>
      <c r="H1529" s="26">
        <v>4550686</v>
      </c>
      <c r="I1529" s="26">
        <v>1081828</v>
      </c>
      <c r="J1529" s="26">
        <v>1</v>
      </c>
      <c r="K1529" t="inlineStr">
        <is>
          <t>Oui</t>
        </is>
      </c>
      <c r="L1529">
        <f>SUBTOTAL(103,A1529)</f>
        <v>1</v>
      </c>
    </row>
    <row r="1530">
      <c r="A1530" t="inlineStr">
        <is>
          <t>SOCIETE C736</t>
        </is>
      </c>
      <c r="B1530" t="inlineStr">
        <is>
          <t>C736</t>
        </is>
      </c>
      <c r="C1530" t="inlineStr">
        <is>
          <t>CONSUMER BANKING</t>
        </is>
      </c>
      <c r="D1530" t="inlineStr">
        <is>
          <t>I</t>
        </is>
      </c>
      <c r="E1530" t="inlineStr">
        <is>
          <t>Stage 1</t>
        </is>
      </c>
      <c r="F1530" t="inlineStr">
        <is>
          <t>N/A</t>
        </is>
      </c>
      <c r="G1530" s="26">
        <v>870193956</v>
      </c>
      <c r="H1530" s="26">
        <v>8701940</v>
      </c>
      <c r="I1530" s="26">
        <v>0</v>
      </c>
      <c r="J1530" s="26">
        <v>198</v>
      </c>
      <c r="K1530" t="inlineStr">
        <is>
          <t>Non</t>
        </is>
      </c>
      <c r="L1530">
        <f>SUBTOTAL(103,A1530)</f>
        <v>1</v>
      </c>
    </row>
    <row r="1531">
      <c r="A1531" t="inlineStr">
        <is>
          <t>SOCIETE C852</t>
        </is>
      </c>
      <c r="B1531" t="inlineStr">
        <is>
          <t>C852</t>
        </is>
      </c>
      <c r="C1531" t="inlineStr">
        <is>
          <t>COMMERCIAL BANKING</t>
        </is>
      </c>
      <c r="D1531" t="inlineStr">
        <is>
          <t>IA</t>
        </is>
      </c>
      <c r="E1531" t="inlineStr">
        <is>
          <t>Stage 2</t>
        </is>
      </c>
      <c r="F1531" t="inlineStr">
        <is>
          <t>N/A</t>
        </is>
      </c>
      <c r="G1531" s="26">
        <v>2964383612</v>
      </c>
      <c r="H1531" s="26">
        <v>177863017</v>
      </c>
      <c r="I1531" s="26">
        <v>343649444</v>
      </c>
      <c r="J1531" s="26">
        <v>336</v>
      </c>
      <c r="K1531" t="inlineStr">
        <is>
          <t>Non</t>
        </is>
      </c>
      <c r="L1531">
        <f>SUBTOTAL(103,A1531)</f>
        <v>1</v>
      </c>
    </row>
    <row r="1532">
      <c r="A1532" t="inlineStr">
        <is>
          <t>SOCIETE C447</t>
        </is>
      </c>
      <c r="B1532" t="inlineStr">
        <is>
          <t>C447</t>
        </is>
      </c>
      <c r="C1532" t="inlineStr">
        <is>
          <t>CORPORATE BANKING</t>
        </is>
      </c>
      <c r="D1532" t="inlineStr">
        <is>
          <t>II</t>
        </is>
      </c>
      <c r="E1532" t="inlineStr">
        <is>
          <t>Stage 2</t>
        </is>
      </c>
      <c r="F1532" t="inlineStr">
        <is>
          <t>N/A</t>
        </is>
      </c>
      <c r="G1532" s="26">
        <v>131850258</v>
      </c>
      <c r="H1532" s="26">
        <v>7911015</v>
      </c>
      <c r="I1532" s="26">
        <v>0</v>
      </c>
      <c r="J1532" s="26">
        <v>203</v>
      </c>
      <c r="K1532" t="inlineStr">
        <is>
          <t>Non</t>
        </is>
      </c>
      <c r="L1532">
        <f>SUBTOTAL(103,A1532)</f>
        <v>1</v>
      </c>
    </row>
    <row r="1533">
      <c r="A1533" t="inlineStr">
        <is>
          <t>SOCIETE C1015</t>
        </is>
      </c>
      <c r="B1533" t="inlineStr">
        <is>
          <t>C1015</t>
        </is>
      </c>
      <c r="C1533" t="inlineStr">
        <is>
          <t>PUBLIC SECTOR</t>
        </is>
      </c>
      <c r="D1533" t="inlineStr">
        <is>
          <t>I</t>
        </is>
      </c>
      <c r="E1533" t="inlineStr">
        <is>
          <t>Stage 1</t>
        </is>
      </c>
      <c r="F1533" t="inlineStr">
        <is>
          <t>N/A</t>
        </is>
      </c>
      <c r="G1533" s="26">
        <v>32940537</v>
      </c>
      <c r="H1533" s="26">
        <v>329405</v>
      </c>
      <c r="I1533" s="26">
        <v>2755676</v>
      </c>
      <c r="J1533" s="26">
        <v>5</v>
      </c>
      <c r="K1533" t="inlineStr">
        <is>
          <t>Non</t>
        </is>
      </c>
      <c r="L1533">
        <f>SUBTOTAL(103,A1533)</f>
        <v>1</v>
      </c>
    </row>
    <row r="1534">
      <c r="A1534" t="inlineStr">
        <is>
          <t>SOCIETE C1952</t>
        </is>
      </c>
      <c r="B1534" t="inlineStr">
        <is>
          <t>C1952</t>
        </is>
      </c>
      <c r="C1534" t="inlineStr">
        <is>
          <t>CORPORATE BANKING</t>
        </is>
      </c>
      <c r="D1534" t="inlineStr">
        <is>
          <t>I</t>
        </is>
      </c>
      <c r="E1534" t="inlineStr">
        <is>
          <t>Stage 1</t>
        </is>
      </c>
      <c r="F1534" t="inlineStr">
        <is>
          <t>N/A</t>
        </is>
      </c>
      <c r="G1534" s="26">
        <v>1797652955</v>
      </c>
      <c r="H1534" s="26">
        <v>17976530</v>
      </c>
      <c r="I1534" s="26">
        <v>326978054</v>
      </c>
      <c r="J1534" s="26">
        <v>89</v>
      </c>
      <c r="K1534" t="inlineStr">
        <is>
          <t>Non</t>
        </is>
      </c>
      <c r="L1534">
        <f>SUBTOTAL(103,A1534)</f>
        <v>1</v>
      </c>
    </row>
    <row r="1535">
      <c r="A1535" t="inlineStr">
        <is>
          <t>SOCIETE C2118</t>
        </is>
      </c>
      <c r="B1535" t="inlineStr">
        <is>
          <t>C2118</t>
        </is>
      </c>
      <c r="C1535" t="inlineStr">
        <is>
          <t>COMMERCIAL BANKING</t>
        </is>
      </c>
      <c r="D1535" t="inlineStr">
        <is>
          <t>IV</t>
        </is>
      </c>
      <c r="E1535" t="inlineStr">
        <is>
          <t>Stage 3</t>
        </is>
      </c>
      <c r="F1535" t="inlineStr">
        <is>
          <t>N/A</t>
        </is>
      </c>
      <c r="G1535" s="26">
        <v>2420717408</v>
      </c>
      <c r="H1535" s="26">
        <v>1331394574</v>
      </c>
      <c r="I1535" s="26">
        <v>0</v>
      </c>
      <c r="J1535" s="26">
        <v>0</v>
      </c>
      <c r="K1535" t="inlineStr">
        <is>
          <t>Oui</t>
        </is>
      </c>
      <c r="L1535">
        <f>SUBTOTAL(103,A1535)</f>
        <v>1</v>
      </c>
    </row>
    <row r="1536">
      <c r="A1536" t="inlineStr">
        <is>
          <t>SOCIETE C1120</t>
        </is>
      </c>
      <c r="B1536" t="inlineStr">
        <is>
          <t>C1120</t>
        </is>
      </c>
      <c r="C1536" t="inlineStr">
        <is>
          <t>CORPORATE BANKING</t>
        </is>
      </c>
      <c r="D1536" t="inlineStr">
        <is>
          <t>II</t>
        </is>
      </c>
      <c r="E1536" t="inlineStr">
        <is>
          <t>Stage 2</t>
        </is>
      </c>
      <c r="F1536" t="inlineStr">
        <is>
          <t>N/A</t>
        </is>
      </c>
      <c r="G1536" s="26">
        <v>1381121578</v>
      </c>
      <c r="H1536" s="26">
        <v>82867295</v>
      </c>
      <c r="I1536" s="26">
        <v>0</v>
      </c>
      <c r="J1536" s="26">
        <v>112</v>
      </c>
      <c r="K1536" t="inlineStr">
        <is>
          <t>Non</t>
        </is>
      </c>
      <c r="L1536">
        <f>SUBTOTAL(103,A1536)</f>
        <v>1</v>
      </c>
    </row>
    <row r="1537">
      <c r="A1537" t="inlineStr">
        <is>
          <t>SOCIETE C878</t>
        </is>
      </c>
      <c r="B1537" t="inlineStr">
        <is>
          <t>C878</t>
        </is>
      </c>
      <c r="C1537" t="inlineStr">
        <is>
          <t>CONSUMER BANKING</t>
        </is>
      </c>
      <c r="D1537" t="inlineStr">
        <is>
          <t>I</t>
        </is>
      </c>
      <c r="E1537" t="inlineStr">
        <is>
          <t>Stage 1</t>
        </is>
      </c>
      <c r="F1537" t="inlineStr">
        <is>
          <t>N/A</t>
        </is>
      </c>
      <c r="G1537" s="26">
        <v>58289082</v>
      </c>
      <c r="H1537" s="26">
        <v>582891</v>
      </c>
      <c r="I1537" s="26">
        <v>0</v>
      </c>
      <c r="J1537" s="26">
        <v>10</v>
      </c>
      <c r="K1537" t="inlineStr">
        <is>
          <t>Non</t>
        </is>
      </c>
      <c r="L1537">
        <f>SUBTOTAL(103,A1537)</f>
        <v>1</v>
      </c>
    </row>
    <row r="1538">
      <c r="A1538" t="inlineStr">
        <is>
          <t>SOCIETE C1969</t>
        </is>
      </c>
      <c r="B1538" t="inlineStr">
        <is>
          <t>C1969</t>
        </is>
      </c>
      <c r="C1538" t="inlineStr">
        <is>
          <t>CORPORATE BANKING</t>
        </is>
      </c>
      <c r="D1538" t="inlineStr">
        <is>
          <t>IA</t>
        </is>
      </c>
      <c r="E1538" t="inlineStr">
        <is>
          <t>Stage 2</t>
        </is>
      </c>
      <c r="F1538" t="inlineStr">
        <is>
          <t>N/A</t>
        </is>
      </c>
      <c r="G1538" s="26">
        <v>292619288</v>
      </c>
      <c r="H1538" s="26">
        <v>17557157</v>
      </c>
      <c r="I1538" s="26">
        <v>0</v>
      </c>
      <c r="J1538" s="26">
        <v>107</v>
      </c>
      <c r="K1538" t="inlineStr">
        <is>
          <t>Non</t>
        </is>
      </c>
      <c r="L1538">
        <f>SUBTOTAL(103,A1538)</f>
        <v>1</v>
      </c>
    </row>
    <row r="1539">
      <c r="A1539" t="inlineStr">
        <is>
          <t>SOCIETE C152</t>
        </is>
      </c>
      <c r="B1539" t="inlineStr">
        <is>
          <t>C152</t>
        </is>
      </c>
      <c r="C1539" t="inlineStr">
        <is>
          <t>CORPORATE BANKING</t>
        </is>
      </c>
      <c r="D1539" t="inlineStr">
        <is>
          <t>I</t>
        </is>
      </c>
      <c r="E1539" t="inlineStr">
        <is>
          <t>Stage 1</t>
        </is>
      </c>
      <c r="F1539" t="inlineStr">
        <is>
          <t>N/A</t>
        </is>
      </c>
      <c r="G1539" s="26">
        <v>890696986</v>
      </c>
      <c r="H1539" s="26">
        <v>8906970</v>
      </c>
      <c r="I1539" s="26">
        <v>0</v>
      </c>
      <c r="J1539" s="26">
        <v>98</v>
      </c>
      <c r="K1539" t="inlineStr">
        <is>
          <t>Non</t>
        </is>
      </c>
      <c r="L1539">
        <f>SUBTOTAL(103,A1539)</f>
        <v>1</v>
      </c>
    </row>
    <row r="1540">
      <c r="A1540" t="inlineStr">
        <is>
          <t>SOCIETE C1406</t>
        </is>
      </c>
      <c r="B1540" t="inlineStr">
        <is>
          <t>C1406</t>
        </is>
      </c>
      <c r="C1540" t="inlineStr">
        <is>
          <t>COMMERCIAL BANKING</t>
        </is>
      </c>
      <c r="D1540" t="inlineStr">
        <is>
          <t>IV</t>
        </is>
      </c>
      <c r="E1540" t="inlineStr">
        <is>
          <t>Stage 3</t>
        </is>
      </c>
      <c r="F1540" t="inlineStr">
        <is>
          <t>N/A</t>
        </is>
      </c>
      <c r="G1540" s="26">
        <v>112482155</v>
      </c>
      <c r="H1540" s="26">
        <v>61865185</v>
      </c>
      <c r="I1540" s="26">
        <v>0</v>
      </c>
      <c r="J1540" s="26">
        <v>251</v>
      </c>
      <c r="K1540" t="inlineStr">
        <is>
          <t>Oui</t>
        </is>
      </c>
      <c r="L1540">
        <f>SUBTOTAL(103,A1540)</f>
        <v>1</v>
      </c>
    </row>
    <row r="1541">
      <c r="A1541" t="inlineStr">
        <is>
          <t>SOCIETE C1707</t>
        </is>
      </c>
      <c r="B1541" t="inlineStr">
        <is>
          <t>C1707</t>
        </is>
      </c>
      <c r="C1541" t="inlineStr">
        <is>
          <t>CORPORATE BANKING</t>
        </is>
      </c>
      <c r="D1541" t="inlineStr">
        <is>
          <t>IA</t>
        </is>
      </c>
      <c r="E1541" t="inlineStr">
        <is>
          <t>Stage 2</t>
        </is>
      </c>
      <c r="F1541" t="inlineStr">
        <is>
          <t>N/A</t>
        </is>
      </c>
      <c r="G1541" s="26">
        <v>5741086</v>
      </c>
      <c r="H1541" s="26">
        <v>344465</v>
      </c>
      <c r="I1541" s="26">
        <v>0</v>
      </c>
      <c r="J1541" s="26">
        <v>104</v>
      </c>
      <c r="K1541" t="inlineStr">
        <is>
          <t>Non</t>
        </is>
      </c>
      <c r="L1541">
        <f>SUBTOTAL(103,A1541)</f>
        <v>1</v>
      </c>
    </row>
    <row r="1542">
      <c r="A1542" t="inlineStr">
        <is>
          <t>SOCIETE C1084</t>
        </is>
      </c>
      <c r="B1542" t="inlineStr">
        <is>
          <t>C1084</t>
        </is>
      </c>
      <c r="C1542" t="inlineStr">
        <is>
          <t>CORPORATE BANKING</t>
        </is>
      </c>
      <c r="D1542" t="inlineStr">
        <is>
          <t>I</t>
        </is>
      </c>
      <c r="E1542" t="inlineStr">
        <is>
          <t>Stage 1</t>
        </is>
      </c>
      <c r="F1542" t="inlineStr">
        <is>
          <t>N/A</t>
        </is>
      </c>
      <c r="G1542" s="26">
        <v>1039370</v>
      </c>
      <c r="H1542" s="26">
        <v>10394</v>
      </c>
      <c r="I1542" s="26">
        <v>169646</v>
      </c>
      <c r="J1542" s="26">
        <v>12</v>
      </c>
      <c r="K1542" t="inlineStr">
        <is>
          <t>Non</t>
        </is>
      </c>
      <c r="L1542">
        <f>SUBTOTAL(103,A1542)</f>
        <v>1</v>
      </c>
    </row>
    <row r="1543">
      <c r="A1543" t="inlineStr">
        <is>
          <t>SOCIETE C1276</t>
        </is>
      </c>
      <c r="B1543" t="inlineStr">
        <is>
          <t>C1276</t>
        </is>
      </c>
      <c r="C1543" t="inlineStr">
        <is>
          <t>COMMERCIAL BANKING</t>
        </is>
      </c>
      <c r="D1543" t="inlineStr">
        <is>
          <t>IV</t>
        </is>
      </c>
      <c r="E1543" t="inlineStr">
        <is>
          <t>Stage 3</t>
        </is>
      </c>
      <c r="F1543" t="inlineStr">
        <is>
          <t>N/A</t>
        </is>
      </c>
      <c r="G1543" s="26">
        <v>328984423</v>
      </c>
      <c r="H1543" s="26">
        <v>180941432</v>
      </c>
      <c r="I1543" s="26">
        <v>0</v>
      </c>
      <c r="J1543" s="26">
        <v>3</v>
      </c>
      <c r="K1543" t="inlineStr">
        <is>
          <t>Oui</t>
        </is>
      </c>
      <c r="L1543">
        <f>SUBTOTAL(103,A1543)</f>
        <v>1</v>
      </c>
    </row>
    <row r="1544">
      <c r="A1544" t="inlineStr">
        <is>
          <t>SOCIETE C1689</t>
        </is>
      </c>
      <c r="B1544" t="inlineStr">
        <is>
          <t>C1689</t>
        </is>
      </c>
      <c r="C1544" t="inlineStr">
        <is>
          <t>COMMERCIAL BANKING</t>
        </is>
      </c>
      <c r="D1544" t="inlineStr">
        <is>
          <t>I</t>
        </is>
      </c>
      <c r="E1544" t="inlineStr">
        <is>
          <t>Stage 1</t>
        </is>
      </c>
      <c r="F1544" t="inlineStr">
        <is>
          <t>N/A</t>
        </is>
      </c>
      <c r="G1544" s="26">
        <v>927782494</v>
      </c>
      <c r="H1544" s="26">
        <v>9277825</v>
      </c>
      <c r="I1544" s="26">
        <v>0</v>
      </c>
      <c r="J1544" s="26">
        <v>19</v>
      </c>
      <c r="K1544" t="inlineStr">
        <is>
          <t>Non</t>
        </is>
      </c>
      <c r="L1544">
        <f>SUBTOTAL(103,A1544)</f>
        <v>1</v>
      </c>
    </row>
    <row r="1545">
      <c r="A1545" t="inlineStr">
        <is>
          <t>SOCIETE C2339</t>
        </is>
      </c>
      <c r="B1545" t="inlineStr">
        <is>
          <t>C2339</t>
        </is>
      </c>
      <c r="C1545" t="inlineStr">
        <is>
          <t>CORPORATE BANKING</t>
        </is>
      </c>
      <c r="D1545" t="inlineStr">
        <is>
          <t>IA</t>
        </is>
      </c>
      <c r="E1545" t="inlineStr">
        <is>
          <t>Stage 2</t>
        </is>
      </c>
      <c r="F1545" t="inlineStr">
        <is>
          <t>N/A</t>
        </is>
      </c>
      <c r="G1545" s="26">
        <v>615238728</v>
      </c>
      <c r="H1545" s="26">
        <v>36914324</v>
      </c>
      <c r="I1545" s="26">
        <v>0</v>
      </c>
      <c r="J1545" s="26">
        <v>36</v>
      </c>
      <c r="K1545" t="inlineStr">
        <is>
          <t>Non</t>
        </is>
      </c>
      <c r="L1545">
        <f>SUBTOTAL(103,A1545)</f>
        <v>1</v>
      </c>
    </row>
    <row r="1546">
      <c r="A1546" t="inlineStr">
        <is>
          <t>SOCIETE C1118</t>
        </is>
      </c>
      <c r="B1546" t="inlineStr">
        <is>
          <t>C1118</t>
        </is>
      </c>
      <c r="C1546" t="inlineStr">
        <is>
          <t>CORPORATE BANKING</t>
        </is>
      </c>
      <c r="D1546" t="inlineStr">
        <is>
          <t>IV</t>
        </is>
      </c>
      <c r="E1546" t="inlineStr">
        <is>
          <t>Stage 3</t>
        </is>
      </c>
      <c r="F1546" t="inlineStr">
        <is>
          <t>N/A</t>
        </is>
      </c>
      <c r="G1546" s="26">
        <v>20273930</v>
      </c>
      <c r="H1546" s="26">
        <v>11150661</v>
      </c>
      <c r="I1546" s="26">
        <v>2230774</v>
      </c>
      <c r="J1546" s="26">
        <v>173</v>
      </c>
      <c r="K1546" t="inlineStr">
        <is>
          <t>Oui</t>
        </is>
      </c>
      <c r="L1546">
        <f>SUBTOTAL(103,A1546)</f>
        <v>1</v>
      </c>
    </row>
    <row r="1547">
      <c r="A1547" t="inlineStr">
        <is>
          <t>SOCIETE C2445</t>
        </is>
      </c>
      <c r="B1547" t="inlineStr">
        <is>
          <t>C2445</t>
        </is>
      </c>
      <c r="C1547" t="inlineStr">
        <is>
          <t>PUBLIC SECTOR</t>
        </is>
      </c>
      <c r="D1547" t="inlineStr">
        <is>
          <t>IA</t>
        </is>
      </c>
      <c r="E1547" t="inlineStr">
        <is>
          <t>Stage 2</t>
        </is>
      </c>
      <c r="F1547" t="inlineStr">
        <is>
          <t>N/A</t>
        </is>
      </c>
      <c r="G1547" s="26">
        <v>532573874</v>
      </c>
      <c r="H1547" s="26">
        <v>31954432</v>
      </c>
      <c r="I1547" s="26">
        <v>49087578</v>
      </c>
      <c r="J1547" s="26">
        <v>124</v>
      </c>
      <c r="K1547" t="inlineStr">
        <is>
          <t>Non</t>
        </is>
      </c>
      <c r="L1547">
        <f>SUBTOTAL(103,A1547)</f>
        <v>1</v>
      </c>
    </row>
    <row r="1548">
      <c r="A1548" t="inlineStr">
        <is>
          <t>SOCIETE C554</t>
        </is>
      </c>
      <c r="B1548" t="inlineStr">
        <is>
          <t>C554</t>
        </is>
      </c>
      <c r="C1548" t="inlineStr">
        <is>
          <t>CORPORATE BANKING</t>
        </is>
      </c>
      <c r="D1548" t="inlineStr">
        <is>
          <t>I</t>
        </is>
      </c>
      <c r="E1548" t="inlineStr">
        <is>
          <t>Stage 1</t>
        </is>
      </c>
      <c r="F1548" t="inlineStr">
        <is>
          <t>N/A</t>
        </is>
      </c>
      <c r="G1548" s="26">
        <v>1016760</v>
      </c>
      <c r="H1548" s="26">
        <v>10168</v>
      </c>
      <c r="I1548" s="26">
        <v>0</v>
      </c>
      <c r="J1548" s="26">
        <v>38</v>
      </c>
      <c r="K1548" t="inlineStr">
        <is>
          <t>Non</t>
        </is>
      </c>
      <c r="L1548">
        <f>SUBTOTAL(103,A1548)</f>
        <v>1</v>
      </c>
    </row>
    <row r="1549">
      <c r="A1549" t="inlineStr">
        <is>
          <t>SOCIETE C2223</t>
        </is>
      </c>
      <c r="B1549" t="inlineStr">
        <is>
          <t>C2223</t>
        </is>
      </c>
      <c r="C1549" t="inlineStr">
        <is>
          <t>SME</t>
        </is>
      </c>
      <c r="D1549" t="inlineStr">
        <is>
          <t>III</t>
        </is>
      </c>
      <c r="E1549" t="inlineStr">
        <is>
          <t>Stage 3</t>
        </is>
      </c>
      <c r="F1549" t="inlineStr">
        <is>
          <t>N/A</t>
        </is>
      </c>
      <c r="G1549" s="26">
        <v>364524295</v>
      </c>
      <c r="H1549" s="26">
        <v>200488362</v>
      </c>
      <c r="I1549" s="26">
        <v>70697713</v>
      </c>
      <c r="J1549" s="26">
        <v>38</v>
      </c>
      <c r="K1549" t="inlineStr">
        <is>
          <t>Oui</t>
        </is>
      </c>
      <c r="L1549">
        <f>SUBTOTAL(103,A1549)</f>
        <v>1</v>
      </c>
    </row>
    <row r="1550">
      <c r="A1550" t="inlineStr">
        <is>
          <t>SOCIETE C2438</t>
        </is>
      </c>
      <c r="B1550" t="inlineStr">
        <is>
          <t>C2438</t>
        </is>
      </c>
      <c r="C1550" t="inlineStr">
        <is>
          <t>CORPORATE BANKING</t>
        </is>
      </c>
      <c r="D1550" t="inlineStr">
        <is>
          <t>IV</t>
        </is>
      </c>
      <c r="E1550" t="inlineStr">
        <is>
          <t>Stage 3</t>
        </is>
      </c>
      <c r="F1550" t="inlineStr">
        <is>
          <t>N/A</t>
        </is>
      </c>
      <c r="G1550" s="26">
        <v>348898549</v>
      </c>
      <c r="H1550" s="26">
        <v>191894202</v>
      </c>
      <c r="I1550" s="26">
        <v>58016945</v>
      </c>
      <c r="J1550" s="26">
        <v>100</v>
      </c>
      <c r="K1550" t="inlineStr">
        <is>
          <t>Oui</t>
        </is>
      </c>
      <c r="L1550">
        <f>SUBTOTAL(103,A1550)</f>
        <v>1</v>
      </c>
    </row>
    <row r="1551">
      <c r="A1551" t="inlineStr">
        <is>
          <t>SOCIETE C2152</t>
        </is>
      </c>
      <c r="B1551" t="inlineStr">
        <is>
          <t>C2152</t>
        </is>
      </c>
      <c r="C1551" t="inlineStr">
        <is>
          <t>CORPORATE BANKING</t>
        </is>
      </c>
      <c r="D1551" t="inlineStr">
        <is>
          <t>IV</t>
        </is>
      </c>
      <c r="E1551" t="inlineStr">
        <is>
          <t>Stage 3</t>
        </is>
      </c>
      <c r="F1551" t="inlineStr">
        <is>
          <t>N/A</t>
        </is>
      </c>
      <c r="G1551" s="26">
        <v>724979970</v>
      </c>
      <c r="H1551" s="26">
        <v>398738983</v>
      </c>
      <c r="I1551" s="26">
        <v>0</v>
      </c>
      <c r="J1551" s="26">
        <v>294</v>
      </c>
      <c r="K1551" t="inlineStr">
        <is>
          <t>Oui</t>
        </is>
      </c>
      <c r="L1551">
        <f>SUBTOTAL(103,A1551)</f>
        <v>1</v>
      </c>
    </row>
    <row r="1552">
      <c r="A1552" t="inlineStr">
        <is>
          <t>SOCIETE C2398</t>
        </is>
      </c>
      <c r="B1552" t="inlineStr">
        <is>
          <t>C2398</t>
        </is>
      </c>
      <c r="C1552" t="inlineStr">
        <is>
          <t>CONSUMER BANKING</t>
        </is>
      </c>
      <c r="D1552" t="inlineStr">
        <is>
          <t>I</t>
        </is>
      </c>
      <c r="E1552" t="inlineStr">
        <is>
          <t>Stage 1</t>
        </is>
      </c>
      <c r="F1552" t="inlineStr">
        <is>
          <t>N/A</t>
        </is>
      </c>
      <c r="G1552" s="26">
        <v>403340996</v>
      </c>
      <c r="H1552" s="26">
        <v>4033410</v>
      </c>
      <c r="I1552" s="26">
        <v>0</v>
      </c>
      <c r="J1552" s="26">
        <v>102</v>
      </c>
      <c r="K1552" t="inlineStr">
        <is>
          <t>Non</t>
        </is>
      </c>
      <c r="L1552">
        <f>SUBTOTAL(103,A1552)</f>
        <v>1</v>
      </c>
    </row>
    <row r="1553">
      <c r="A1553" t="inlineStr">
        <is>
          <t>SOCIETE C655</t>
        </is>
      </c>
      <c r="B1553" t="inlineStr">
        <is>
          <t>C655</t>
        </is>
      </c>
      <c r="C1553" t="inlineStr">
        <is>
          <t>COMMERCIAL BANKING</t>
        </is>
      </c>
      <c r="D1553" t="inlineStr">
        <is>
          <t>IV</t>
        </is>
      </c>
      <c r="E1553" t="inlineStr">
        <is>
          <t>Stage 3</t>
        </is>
      </c>
      <c r="F1553" t="inlineStr">
        <is>
          <t>N/A</t>
        </is>
      </c>
      <c r="G1553" s="26">
        <v>2358805957</v>
      </c>
      <c r="H1553" s="26">
        <v>1297343276</v>
      </c>
      <c r="I1553" s="26">
        <v>0</v>
      </c>
      <c r="J1553" s="26">
        <v>29</v>
      </c>
      <c r="K1553" t="inlineStr">
        <is>
          <t>Oui</t>
        </is>
      </c>
      <c r="L1553">
        <f>SUBTOTAL(103,A1553)</f>
        <v>1</v>
      </c>
    </row>
    <row r="1554">
      <c r="A1554" t="inlineStr">
        <is>
          <t>SOCIETE C1931</t>
        </is>
      </c>
      <c r="B1554" t="inlineStr">
        <is>
          <t>C1931</t>
        </is>
      </c>
      <c r="C1554" t="inlineStr">
        <is>
          <t>CORPORATE BANKING</t>
        </is>
      </c>
      <c r="D1554" t="inlineStr">
        <is>
          <t>III</t>
        </is>
      </c>
      <c r="E1554" t="inlineStr">
        <is>
          <t>Stage 3</t>
        </is>
      </c>
      <c r="F1554" t="inlineStr">
        <is>
          <t>N/A</t>
        </is>
      </c>
      <c r="G1554" s="26">
        <v>621554637</v>
      </c>
      <c r="H1554" s="26">
        <v>341855050</v>
      </c>
      <c r="I1554" s="26">
        <v>0</v>
      </c>
      <c r="J1554" s="26">
        <v>24</v>
      </c>
      <c r="K1554" t="inlineStr">
        <is>
          <t>Oui</t>
        </is>
      </c>
      <c r="L1554">
        <f>SUBTOTAL(103,A1554)</f>
        <v>1</v>
      </c>
    </row>
    <row r="1555">
      <c r="A1555" t="inlineStr">
        <is>
          <t>SOCIETE C241</t>
        </is>
      </c>
      <c r="B1555" t="inlineStr">
        <is>
          <t>C241</t>
        </is>
      </c>
      <c r="C1555" t="inlineStr">
        <is>
          <t>CORPORATE BANKING</t>
        </is>
      </c>
      <c r="D1555" t="inlineStr">
        <is>
          <t>II</t>
        </is>
      </c>
      <c r="E1555" t="inlineStr">
        <is>
          <t>Stage 2</t>
        </is>
      </c>
      <c r="F1555" t="inlineStr">
        <is>
          <t>N/A</t>
        </is>
      </c>
      <c r="G1555" s="26">
        <v>277525916</v>
      </c>
      <c r="H1555" s="26">
        <v>16651555</v>
      </c>
      <c r="I1555" s="26">
        <v>28917145</v>
      </c>
      <c r="J1555" s="26">
        <v>14</v>
      </c>
      <c r="K1555" t="inlineStr">
        <is>
          <t>Non</t>
        </is>
      </c>
      <c r="L1555">
        <f>SUBTOTAL(103,A1555)</f>
        <v>1</v>
      </c>
    </row>
    <row r="1556">
      <c r="A1556" t="inlineStr">
        <is>
          <t>SOCIETE C1657</t>
        </is>
      </c>
      <c r="B1556" t="inlineStr">
        <is>
          <t>C1657</t>
        </is>
      </c>
      <c r="C1556" t="inlineStr">
        <is>
          <t>CORPORATE BANKING</t>
        </is>
      </c>
      <c r="D1556" t="inlineStr">
        <is>
          <t>I</t>
        </is>
      </c>
      <c r="E1556" t="inlineStr">
        <is>
          <t>Stage 1</t>
        </is>
      </c>
      <c r="F1556" t="inlineStr">
        <is>
          <t>N/A</t>
        </is>
      </c>
      <c r="G1556" s="26">
        <v>1003484</v>
      </c>
      <c r="H1556" s="26">
        <v>10035</v>
      </c>
      <c r="I1556" s="26">
        <v>0</v>
      </c>
      <c r="J1556" s="26">
        <v>135</v>
      </c>
      <c r="K1556" t="inlineStr">
        <is>
          <t>Non</t>
        </is>
      </c>
      <c r="L1556">
        <f>SUBTOTAL(103,A1556)</f>
        <v>1</v>
      </c>
    </row>
    <row r="1557">
      <c r="A1557" t="inlineStr">
        <is>
          <t>SOCIETE C1516</t>
        </is>
      </c>
      <c r="B1557" t="inlineStr">
        <is>
          <t>C1516</t>
        </is>
      </c>
      <c r="C1557" t="inlineStr">
        <is>
          <t>COMMERCIAL BANKING</t>
        </is>
      </c>
      <c r="D1557" t="inlineStr">
        <is>
          <t>IA</t>
        </is>
      </c>
      <c r="E1557" t="inlineStr">
        <is>
          <t>Stage 2</t>
        </is>
      </c>
      <c r="F1557" t="inlineStr">
        <is>
          <t>N/A</t>
        </is>
      </c>
      <c r="G1557" s="26">
        <v>20988774</v>
      </c>
      <c r="H1557" s="26">
        <v>1259326</v>
      </c>
      <c r="I1557" s="26">
        <v>0</v>
      </c>
      <c r="J1557" s="26">
        <v>125</v>
      </c>
      <c r="K1557" t="inlineStr">
        <is>
          <t>Non</t>
        </is>
      </c>
      <c r="L1557">
        <f>SUBTOTAL(103,A1557)</f>
        <v>1</v>
      </c>
    </row>
    <row r="1558">
      <c r="A1558" t="inlineStr">
        <is>
          <t>SOCIETE C1773</t>
        </is>
      </c>
      <c r="B1558" t="inlineStr">
        <is>
          <t>C1773</t>
        </is>
      </c>
      <c r="C1558" t="inlineStr">
        <is>
          <t>COMMERCIAL BANKING</t>
        </is>
      </c>
      <c r="D1558" t="inlineStr">
        <is>
          <t>IA</t>
        </is>
      </c>
      <c r="E1558" t="inlineStr">
        <is>
          <t>Stage 2</t>
        </is>
      </c>
      <c r="F1558" t="inlineStr">
        <is>
          <t>N/A</t>
        </is>
      </c>
      <c r="G1558" s="26">
        <v>1603078741</v>
      </c>
      <c r="H1558" s="26">
        <v>96184724</v>
      </c>
      <c r="I1558" s="26">
        <v>0</v>
      </c>
      <c r="J1558" s="26">
        <v>92</v>
      </c>
      <c r="K1558" t="inlineStr">
        <is>
          <t>Non</t>
        </is>
      </c>
      <c r="L1558">
        <f>SUBTOTAL(103,A1558)</f>
        <v>1</v>
      </c>
    </row>
    <row r="1559">
      <c r="A1559" t="inlineStr">
        <is>
          <t>SOCIETE C2089</t>
        </is>
      </c>
      <c r="B1559" t="inlineStr">
        <is>
          <t>C2089</t>
        </is>
      </c>
      <c r="C1559" t="inlineStr">
        <is>
          <t>COMMERCIAL BANKING</t>
        </is>
      </c>
      <c r="D1559" t="inlineStr">
        <is>
          <t>II</t>
        </is>
      </c>
      <c r="E1559" t="inlineStr">
        <is>
          <t>Stage 2</t>
        </is>
      </c>
      <c r="F1559" t="inlineStr">
        <is>
          <t>N/A</t>
        </is>
      </c>
      <c r="G1559" s="26">
        <v>774639163</v>
      </c>
      <c r="H1559" s="26">
        <v>46478350</v>
      </c>
      <c r="I1559" s="26">
        <v>0</v>
      </c>
      <c r="J1559" s="26">
        <v>168</v>
      </c>
      <c r="K1559" t="inlineStr">
        <is>
          <t>Non</t>
        </is>
      </c>
      <c r="L1559">
        <f>SUBTOTAL(103,A1559)</f>
        <v>1</v>
      </c>
    </row>
    <row r="1560">
      <c r="A1560" t="inlineStr">
        <is>
          <t>SOCIETE C1298</t>
        </is>
      </c>
      <c r="B1560" t="inlineStr">
        <is>
          <t>C1298</t>
        </is>
      </c>
      <c r="C1560" t="inlineStr">
        <is>
          <t>COMMERCIAL BANKING</t>
        </is>
      </c>
      <c r="D1560" t="inlineStr">
        <is>
          <t>V</t>
        </is>
      </c>
      <c r="E1560" t="inlineStr">
        <is>
          <t>Stage 3</t>
        </is>
      </c>
      <c r="F1560" t="inlineStr">
        <is>
          <t>N/A</t>
        </is>
      </c>
      <c r="G1560" s="26">
        <v>236122282</v>
      </c>
      <c r="H1560" s="26">
        <v>129867255</v>
      </c>
      <c r="I1560" s="26">
        <v>0</v>
      </c>
      <c r="J1560" s="26">
        <v>0</v>
      </c>
      <c r="K1560" t="inlineStr">
        <is>
          <t>Oui</t>
        </is>
      </c>
      <c r="L1560">
        <f>SUBTOTAL(103,A1560)</f>
        <v>1</v>
      </c>
    </row>
    <row r="1561">
      <c r="A1561" t="inlineStr">
        <is>
          <t>SOCIETE C2259</t>
        </is>
      </c>
      <c r="B1561" t="inlineStr">
        <is>
          <t>C2259</t>
        </is>
      </c>
      <c r="C1561" t="inlineStr">
        <is>
          <t>CORPORATE BANKING</t>
        </is>
      </c>
      <c r="D1561" t="inlineStr">
        <is>
          <t>IV</t>
        </is>
      </c>
      <c r="E1561" t="inlineStr">
        <is>
          <t>Stage 3</t>
        </is>
      </c>
      <c r="F1561" t="inlineStr">
        <is>
          <t>N/A</t>
        </is>
      </c>
      <c r="G1561" s="26">
        <v>2936092282</v>
      </c>
      <c r="H1561" s="26">
        <v>1614850755</v>
      </c>
      <c r="I1561" s="26">
        <v>309485562</v>
      </c>
      <c r="J1561" s="26">
        <v>266</v>
      </c>
      <c r="K1561" t="inlineStr">
        <is>
          <t>Oui</t>
        </is>
      </c>
      <c r="L1561">
        <f>SUBTOTAL(103,A1561)</f>
        <v>1</v>
      </c>
    </row>
    <row r="1562">
      <c r="A1562" t="inlineStr">
        <is>
          <t>SOCIETE C2039</t>
        </is>
      </c>
      <c r="B1562" t="inlineStr">
        <is>
          <t>C2039</t>
        </is>
      </c>
      <c r="C1562" t="inlineStr">
        <is>
          <t>PUBLIC SECTOR</t>
        </is>
      </c>
      <c r="D1562" t="inlineStr">
        <is>
          <t>V</t>
        </is>
      </c>
      <c r="E1562" t="inlineStr">
        <is>
          <t>Stage 3</t>
        </is>
      </c>
      <c r="F1562" t="inlineStr">
        <is>
          <t>N/A</t>
        </is>
      </c>
      <c r="G1562" s="26">
        <v>67820211</v>
      </c>
      <c r="H1562" s="26">
        <v>37301116</v>
      </c>
      <c r="I1562" s="26">
        <v>11473885</v>
      </c>
      <c r="J1562" s="26">
        <v>18</v>
      </c>
      <c r="K1562" t="inlineStr">
        <is>
          <t>Oui</t>
        </is>
      </c>
      <c r="L1562">
        <f>SUBTOTAL(103,A1562)</f>
        <v>1</v>
      </c>
    </row>
    <row r="1563">
      <c r="A1563" t="inlineStr">
        <is>
          <t>SOCIETE C779</t>
        </is>
      </c>
      <c r="B1563" t="inlineStr">
        <is>
          <t>C779</t>
        </is>
      </c>
      <c r="C1563" t="inlineStr">
        <is>
          <t>CORPORATE BANKING</t>
        </is>
      </c>
      <c r="D1563" t="inlineStr">
        <is>
          <t>I</t>
        </is>
      </c>
      <c r="E1563" t="inlineStr">
        <is>
          <t>Stage 1</t>
        </is>
      </c>
      <c r="F1563" t="inlineStr">
        <is>
          <t>N/A</t>
        </is>
      </c>
      <c r="G1563" s="26">
        <v>124375610</v>
      </c>
      <c r="H1563" s="26">
        <v>1243756</v>
      </c>
      <c r="I1563" s="26">
        <v>16403952</v>
      </c>
      <c r="J1563" s="26">
        <v>69</v>
      </c>
      <c r="K1563" t="inlineStr">
        <is>
          <t>Non</t>
        </is>
      </c>
      <c r="L1563">
        <f>SUBTOTAL(103,A1563)</f>
        <v>1</v>
      </c>
    </row>
    <row r="1564">
      <c r="A1564" t="inlineStr">
        <is>
          <t>SOCIETE C1795</t>
        </is>
      </c>
      <c r="B1564" t="inlineStr">
        <is>
          <t>C1795</t>
        </is>
      </c>
      <c r="C1564" t="inlineStr">
        <is>
          <t>CONSUMER BANKING</t>
        </is>
      </c>
      <c r="D1564" t="inlineStr">
        <is>
          <t>I</t>
        </is>
      </c>
      <c r="E1564" t="inlineStr">
        <is>
          <t>Stage 1</t>
        </is>
      </c>
      <c r="F1564" t="inlineStr">
        <is>
          <t>N/A</t>
        </is>
      </c>
      <c r="G1564" s="26">
        <v>558796417</v>
      </c>
      <c r="H1564" s="26">
        <v>5587964</v>
      </c>
      <c r="I1564" s="26">
        <v>0</v>
      </c>
      <c r="J1564" s="26">
        <v>105</v>
      </c>
      <c r="K1564" t="inlineStr">
        <is>
          <t>Non</t>
        </is>
      </c>
      <c r="L1564">
        <f>SUBTOTAL(103,A1564)</f>
        <v>1</v>
      </c>
    </row>
    <row r="1565">
      <c r="A1565" t="inlineStr">
        <is>
          <t>SOCIETE C44</t>
        </is>
      </c>
      <c r="B1565" t="inlineStr">
        <is>
          <t>C44</t>
        </is>
      </c>
      <c r="C1565" t="inlineStr">
        <is>
          <t>CORPORATE BANKING</t>
        </is>
      </c>
      <c r="D1565" t="inlineStr">
        <is>
          <t>I</t>
        </is>
      </c>
      <c r="E1565" t="inlineStr">
        <is>
          <t>Stage 1</t>
        </is>
      </c>
      <c r="F1565" t="inlineStr">
        <is>
          <t>N/A</t>
        </is>
      </c>
      <c r="G1565" s="26">
        <v>81851545</v>
      </c>
      <c r="H1565" s="26">
        <v>818515</v>
      </c>
      <c r="I1565" s="26">
        <v>0</v>
      </c>
      <c r="J1565" s="26">
        <v>177</v>
      </c>
      <c r="K1565" t="inlineStr">
        <is>
          <t>Non</t>
        </is>
      </c>
      <c r="L1565">
        <f>SUBTOTAL(103,A1565)</f>
        <v>1</v>
      </c>
    </row>
    <row r="1566">
      <c r="A1566" t="inlineStr">
        <is>
          <t>SOCIETE C1416</t>
        </is>
      </c>
      <c r="B1566" t="inlineStr">
        <is>
          <t>C1416</t>
        </is>
      </c>
      <c r="C1566" t="inlineStr">
        <is>
          <t>CORPORATE BANKING</t>
        </is>
      </c>
      <c r="D1566" t="inlineStr">
        <is>
          <t>III</t>
        </is>
      </c>
      <c r="E1566" t="inlineStr">
        <is>
          <t>Stage 3</t>
        </is>
      </c>
      <c r="F1566" t="inlineStr">
        <is>
          <t>N/A</t>
        </is>
      </c>
      <c r="G1566" s="26">
        <v>2383704</v>
      </c>
      <c r="H1566" s="26">
        <v>1311037</v>
      </c>
      <c r="I1566" s="26">
        <v>442196</v>
      </c>
      <c r="J1566" s="26">
        <v>30</v>
      </c>
      <c r="K1566" t="inlineStr">
        <is>
          <t>Oui</t>
        </is>
      </c>
      <c r="L1566">
        <f>SUBTOTAL(103,A1566)</f>
        <v>1</v>
      </c>
    </row>
    <row r="1567">
      <c r="A1567" t="inlineStr">
        <is>
          <t>SOCIETE C2364</t>
        </is>
      </c>
      <c r="B1567" t="inlineStr">
        <is>
          <t>C2364</t>
        </is>
      </c>
      <c r="C1567" t="inlineStr">
        <is>
          <t>CORPORATE BANKING</t>
        </is>
      </c>
      <c r="D1567" t="inlineStr">
        <is>
          <t>II</t>
        </is>
      </c>
      <c r="E1567" t="inlineStr">
        <is>
          <t>Stage 2</t>
        </is>
      </c>
      <c r="F1567" t="inlineStr">
        <is>
          <t>N/A</t>
        </is>
      </c>
      <c r="G1567" s="26">
        <v>70011192</v>
      </c>
      <c r="H1567" s="26">
        <v>4200672</v>
      </c>
      <c r="I1567" s="26">
        <v>0</v>
      </c>
      <c r="J1567" s="26">
        <v>293</v>
      </c>
      <c r="K1567" t="inlineStr">
        <is>
          <t>Non</t>
        </is>
      </c>
      <c r="L1567">
        <f>SUBTOTAL(103,A1567)</f>
        <v>1</v>
      </c>
    </row>
    <row r="1568">
      <c r="A1568" t="inlineStr">
        <is>
          <t>SOCIETE C720</t>
        </is>
      </c>
      <c r="B1568" t="inlineStr">
        <is>
          <t>C720</t>
        </is>
      </c>
      <c r="C1568" t="inlineStr">
        <is>
          <t>CORPORATE BANKING</t>
        </is>
      </c>
      <c r="D1568" t="inlineStr">
        <is>
          <t>IA</t>
        </is>
      </c>
      <c r="E1568" t="inlineStr">
        <is>
          <t>Stage 2</t>
        </is>
      </c>
      <c r="F1568" t="inlineStr">
        <is>
          <t>N/A</t>
        </is>
      </c>
      <c r="G1568" s="26">
        <v>372901149</v>
      </c>
      <c r="H1568" s="26">
        <v>22374069</v>
      </c>
      <c r="I1568" s="26">
        <v>0</v>
      </c>
      <c r="J1568" s="26">
        <v>96</v>
      </c>
      <c r="K1568" t="inlineStr">
        <is>
          <t>Non</t>
        </is>
      </c>
      <c r="L1568">
        <f>SUBTOTAL(103,A1568)</f>
        <v>1</v>
      </c>
    </row>
    <row r="1569">
      <c r="A1569" t="inlineStr">
        <is>
          <t>SOCIETE C1675</t>
        </is>
      </c>
      <c r="B1569" t="inlineStr">
        <is>
          <t>C1675</t>
        </is>
      </c>
      <c r="C1569" t="inlineStr">
        <is>
          <t>PUBLIC SECTOR</t>
        </is>
      </c>
      <c r="D1569" t="inlineStr">
        <is>
          <t>I</t>
        </is>
      </c>
      <c r="E1569" t="inlineStr">
        <is>
          <t>Stage 1</t>
        </is>
      </c>
      <c r="F1569" t="inlineStr">
        <is>
          <t>N/A</t>
        </is>
      </c>
      <c r="G1569" s="26">
        <v>358497296</v>
      </c>
      <c r="H1569" s="26">
        <v>3584973</v>
      </c>
      <c r="I1569" s="26">
        <v>0</v>
      </c>
      <c r="J1569" s="26">
        <v>176</v>
      </c>
      <c r="K1569" t="inlineStr">
        <is>
          <t>Non</t>
        </is>
      </c>
      <c r="L1569">
        <f>SUBTOTAL(103,A1569)</f>
        <v>1</v>
      </c>
    </row>
    <row r="1570">
      <c r="A1570" t="inlineStr">
        <is>
          <t>SOCIETE C1154</t>
        </is>
      </c>
      <c r="B1570" t="inlineStr">
        <is>
          <t>C1154</t>
        </is>
      </c>
      <c r="C1570" t="inlineStr">
        <is>
          <t>CORPORATE BANKING</t>
        </is>
      </c>
      <c r="D1570" t="inlineStr">
        <is>
          <t>II</t>
        </is>
      </c>
      <c r="E1570" t="inlineStr">
        <is>
          <t>Stage 2</t>
        </is>
      </c>
      <c r="F1570" t="inlineStr">
        <is>
          <t>N/A</t>
        </is>
      </c>
      <c r="G1570" s="26">
        <v>732185650</v>
      </c>
      <c r="H1570" s="26">
        <v>43931139</v>
      </c>
      <c r="I1570" s="26">
        <v>0</v>
      </c>
      <c r="J1570" s="26">
        <v>20</v>
      </c>
      <c r="K1570" t="inlineStr">
        <is>
          <t>Non</t>
        </is>
      </c>
      <c r="L1570">
        <f>SUBTOTAL(103,A1570)</f>
        <v>1</v>
      </c>
    </row>
    <row r="1571">
      <c r="A1571" t="inlineStr">
        <is>
          <t>SOCIETE C1069</t>
        </is>
      </c>
      <c r="B1571" t="inlineStr">
        <is>
          <t>C1069</t>
        </is>
      </c>
      <c r="C1571" t="inlineStr">
        <is>
          <t>CORPORATE BANKING</t>
        </is>
      </c>
      <c r="D1571" t="inlineStr">
        <is>
          <t>V</t>
        </is>
      </c>
      <c r="E1571" t="inlineStr">
        <is>
          <t>Stage 3</t>
        </is>
      </c>
      <c r="F1571" t="inlineStr">
        <is>
          <t>N/A</t>
        </is>
      </c>
      <c r="G1571" s="26">
        <v>312367030</v>
      </c>
      <c r="H1571" s="26">
        <v>171801866</v>
      </c>
      <c r="I1571" s="26">
        <v>0</v>
      </c>
      <c r="J1571" s="26">
        <v>4</v>
      </c>
      <c r="K1571" t="inlineStr">
        <is>
          <t>Oui</t>
        </is>
      </c>
      <c r="L1571">
        <f>SUBTOTAL(103,A1571)</f>
        <v>1</v>
      </c>
    </row>
    <row r="1572">
      <c r="A1572" t="inlineStr">
        <is>
          <t>SOCIETE C1236</t>
        </is>
      </c>
      <c r="B1572" t="inlineStr">
        <is>
          <t>C1236</t>
        </is>
      </c>
      <c r="C1572" t="inlineStr">
        <is>
          <t>CORPORATE BANKING</t>
        </is>
      </c>
      <c r="D1572" t="inlineStr">
        <is>
          <t>I</t>
        </is>
      </c>
      <c r="E1572" t="inlineStr">
        <is>
          <t>Stage 1</t>
        </is>
      </c>
      <c r="F1572" t="inlineStr">
        <is>
          <t>N/A</t>
        </is>
      </c>
      <c r="G1572" s="26">
        <v>2175529535</v>
      </c>
      <c r="H1572" s="26">
        <v>21755295</v>
      </c>
      <c r="I1572" s="26">
        <v>224332521</v>
      </c>
      <c r="J1572" s="26">
        <v>107</v>
      </c>
      <c r="K1572" t="inlineStr">
        <is>
          <t>Non</t>
        </is>
      </c>
      <c r="L1572">
        <f>SUBTOTAL(103,A1572)</f>
        <v>1</v>
      </c>
    </row>
    <row r="1573">
      <c r="A1573" t="inlineStr">
        <is>
          <t>SOCIETE C1550</t>
        </is>
      </c>
      <c r="B1573" t="inlineStr">
        <is>
          <t>C1550</t>
        </is>
      </c>
      <c r="C1573" t="inlineStr">
        <is>
          <t>CONSUMER BANKING</t>
        </is>
      </c>
      <c r="D1573" t="inlineStr">
        <is>
          <t>I</t>
        </is>
      </c>
      <c r="E1573" t="inlineStr">
        <is>
          <t>Stage 1</t>
        </is>
      </c>
      <c r="F1573" t="inlineStr">
        <is>
          <t>N/A</t>
        </is>
      </c>
      <c r="G1573" s="26">
        <v>1697180133</v>
      </c>
      <c r="H1573" s="26">
        <v>16971801</v>
      </c>
      <c r="I1573" s="26">
        <v>0</v>
      </c>
      <c r="J1573" s="26">
        <v>60</v>
      </c>
      <c r="K1573" t="inlineStr">
        <is>
          <t>Non</t>
        </is>
      </c>
      <c r="L1573">
        <f>SUBTOTAL(103,A1573)</f>
        <v>1</v>
      </c>
    </row>
    <row r="1574">
      <c r="A1574" t="inlineStr">
        <is>
          <t>SOCIETE C1423</t>
        </is>
      </c>
      <c r="B1574" t="inlineStr">
        <is>
          <t>C1423</t>
        </is>
      </c>
      <c r="C1574" t="inlineStr">
        <is>
          <t>SME</t>
        </is>
      </c>
      <c r="D1574" t="inlineStr">
        <is>
          <t>II</t>
        </is>
      </c>
      <c r="E1574" t="inlineStr">
        <is>
          <t>Stage 2</t>
        </is>
      </c>
      <c r="F1574" t="inlineStr">
        <is>
          <t>N/A</t>
        </is>
      </c>
      <c r="G1574" s="26">
        <v>2319490472</v>
      </c>
      <c r="H1574" s="26">
        <v>139169428</v>
      </c>
      <c r="I1574" s="26">
        <v>155211308</v>
      </c>
      <c r="J1574" s="26">
        <v>83</v>
      </c>
      <c r="K1574" t="inlineStr">
        <is>
          <t>Non</t>
        </is>
      </c>
      <c r="L1574">
        <f>SUBTOTAL(103,A1574)</f>
        <v>1</v>
      </c>
    </row>
    <row r="1575">
      <c r="A1575" t="inlineStr">
        <is>
          <t>SOCIETE C153</t>
        </is>
      </c>
      <c r="B1575" t="inlineStr">
        <is>
          <t>C153</t>
        </is>
      </c>
      <c r="C1575" t="inlineStr">
        <is>
          <t>CORPORATE BANKING</t>
        </is>
      </c>
      <c r="D1575" t="inlineStr">
        <is>
          <t>IA</t>
        </is>
      </c>
      <c r="E1575" t="inlineStr">
        <is>
          <t>Stage 2</t>
        </is>
      </c>
      <c r="F1575" t="inlineStr">
        <is>
          <t>N/A</t>
        </is>
      </c>
      <c r="G1575" s="26">
        <v>2471276504</v>
      </c>
      <c r="H1575" s="26">
        <v>148276590</v>
      </c>
      <c r="I1575" s="26">
        <v>165836671</v>
      </c>
      <c r="J1575" s="26">
        <v>36</v>
      </c>
      <c r="K1575" t="inlineStr">
        <is>
          <t>Non</t>
        </is>
      </c>
      <c r="L1575">
        <f>SUBTOTAL(103,A1575)</f>
        <v>1</v>
      </c>
    </row>
    <row r="1576">
      <c r="A1576" t="inlineStr">
        <is>
          <t>SOCIETE C1083</t>
        </is>
      </c>
      <c r="B1576" t="inlineStr">
        <is>
          <t>C1083</t>
        </is>
      </c>
      <c r="C1576" t="inlineStr">
        <is>
          <t>CORPORATE BANKING</t>
        </is>
      </c>
      <c r="D1576" t="inlineStr">
        <is>
          <t>V</t>
        </is>
      </c>
      <c r="E1576" t="inlineStr">
        <is>
          <t>Stage 3</t>
        </is>
      </c>
      <c r="F1576" t="inlineStr">
        <is>
          <t>N/A</t>
        </is>
      </c>
      <c r="G1576" s="26">
        <v>481819576</v>
      </c>
      <c r="H1576" s="26">
        <v>265000767</v>
      </c>
      <c r="I1576" s="26">
        <v>695158</v>
      </c>
      <c r="J1576" s="26">
        <v>95</v>
      </c>
      <c r="K1576" t="inlineStr">
        <is>
          <t>Oui</t>
        </is>
      </c>
      <c r="L1576">
        <f>SUBTOTAL(103,A1576)</f>
        <v>1</v>
      </c>
    </row>
    <row r="1577">
      <c r="A1577" t="inlineStr">
        <is>
          <t>SOCIETE C969</t>
        </is>
      </c>
      <c r="B1577" t="inlineStr">
        <is>
          <t>C969</t>
        </is>
      </c>
      <c r="C1577" t="inlineStr">
        <is>
          <t>COMMERCIAL BANKING</t>
        </is>
      </c>
      <c r="D1577" t="inlineStr">
        <is>
          <t>I</t>
        </is>
      </c>
      <c r="E1577" t="inlineStr">
        <is>
          <t>Stage 1</t>
        </is>
      </c>
      <c r="F1577" t="inlineStr">
        <is>
          <t>N/A</t>
        </is>
      </c>
      <c r="G1577" s="26">
        <v>1654617201</v>
      </c>
      <c r="H1577" s="26">
        <v>16546172</v>
      </c>
      <c r="I1577" s="26">
        <v>0</v>
      </c>
      <c r="J1577" s="26">
        <v>296</v>
      </c>
      <c r="K1577" t="inlineStr">
        <is>
          <t>Non</t>
        </is>
      </c>
      <c r="L1577">
        <f>SUBTOTAL(103,A1577)</f>
        <v>1</v>
      </c>
    </row>
    <row r="1578">
      <c r="A1578" t="inlineStr">
        <is>
          <t>SOCIETE C520</t>
        </is>
      </c>
      <c r="B1578" t="inlineStr">
        <is>
          <t>C520</t>
        </is>
      </c>
      <c r="C1578" t="inlineStr">
        <is>
          <t>COMMERCIAL BANKING</t>
        </is>
      </c>
      <c r="D1578" t="inlineStr">
        <is>
          <t>IA</t>
        </is>
      </c>
      <c r="E1578" t="inlineStr">
        <is>
          <t>Stage 2</t>
        </is>
      </c>
      <c r="F1578" t="inlineStr">
        <is>
          <t>N/A</t>
        </is>
      </c>
      <c r="G1578" s="26">
        <v>2104043462</v>
      </c>
      <c r="H1578" s="26">
        <v>126242608</v>
      </c>
      <c r="I1578" s="26">
        <v>389327280</v>
      </c>
      <c r="J1578" s="26">
        <v>30</v>
      </c>
      <c r="K1578" t="inlineStr">
        <is>
          <t>Non</t>
        </is>
      </c>
      <c r="L1578">
        <f>SUBTOTAL(103,A1578)</f>
        <v>1</v>
      </c>
    </row>
    <row r="1579">
      <c r="A1579" t="inlineStr">
        <is>
          <t>SOCIETE C2035</t>
        </is>
      </c>
      <c r="B1579" t="inlineStr">
        <is>
          <t>C2035</t>
        </is>
      </c>
      <c r="C1579" t="inlineStr">
        <is>
          <t>PUBLIC SECTOR</t>
        </is>
      </c>
      <c r="D1579" t="inlineStr">
        <is>
          <t>IA</t>
        </is>
      </c>
      <c r="E1579" t="inlineStr">
        <is>
          <t>Stage 2</t>
        </is>
      </c>
      <c r="F1579" t="inlineStr">
        <is>
          <t>N/A</t>
        </is>
      </c>
      <c r="G1579" s="26">
        <v>2969949709</v>
      </c>
      <c r="H1579" s="26">
        <v>178196983</v>
      </c>
      <c r="I1579" s="26">
        <v>175249129</v>
      </c>
      <c r="J1579" s="26">
        <v>65</v>
      </c>
      <c r="K1579" t="inlineStr">
        <is>
          <t>Non</t>
        </is>
      </c>
      <c r="L1579">
        <f>SUBTOTAL(103,A1579)</f>
        <v>1</v>
      </c>
    </row>
    <row r="1580">
      <c r="A1580" t="inlineStr">
        <is>
          <t>SOCIETE C2499</t>
        </is>
      </c>
      <c r="B1580" t="inlineStr">
        <is>
          <t>C2499</t>
        </is>
      </c>
      <c r="C1580" t="inlineStr">
        <is>
          <t>CONSUMER BANKING</t>
        </is>
      </c>
      <c r="D1580" t="inlineStr">
        <is>
          <t>IA</t>
        </is>
      </c>
      <c r="E1580" t="inlineStr">
        <is>
          <t>Stage 2</t>
        </is>
      </c>
      <c r="F1580" t="inlineStr">
        <is>
          <t>N/A</t>
        </is>
      </c>
      <c r="G1580" s="26">
        <v>2816427238</v>
      </c>
      <c r="H1580" s="26">
        <v>168985634</v>
      </c>
      <c r="I1580" s="26">
        <v>0</v>
      </c>
      <c r="J1580" s="26">
        <v>33</v>
      </c>
      <c r="K1580" t="inlineStr">
        <is>
          <t>Non</t>
        </is>
      </c>
      <c r="L1580">
        <f>SUBTOTAL(103,A1580)</f>
        <v>1</v>
      </c>
    </row>
    <row r="1581">
      <c r="A1581" t="inlineStr">
        <is>
          <t>SOCIETE C219</t>
        </is>
      </c>
      <c r="B1581" t="inlineStr">
        <is>
          <t>C219</t>
        </is>
      </c>
      <c r="C1581" t="inlineStr">
        <is>
          <t>CORPORATE BANKING</t>
        </is>
      </c>
      <c r="D1581" t="inlineStr">
        <is>
          <t>IA</t>
        </is>
      </c>
      <c r="E1581" t="inlineStr">
        <is>
          <t>Stage 2</t>
        </is>
      </c>
      <c r="F1581" t="inlineStr">
        <is>
          <t>N/A</t>
        </is>
      </c>
      <c r="G1581" s="26">
        <v>1551952180</v>
      </c>
      <c r="H1581" s="26">
        <v>93117131</v>
      </c>
      <c r="I1581" s="26">
        <v>202685822</v>
      </c>
      <c r="J1581" s="26">
        <v>4</v>
      </c>
      <c r="K1581" t="inlineStr">
        <is>
          <t>Non</t>
        </is>
      </c>
      <c r="L1581">
        <f>SUBTOTAL(103,A1581)</f>
        <v>1</v>
      </c>
    </row>
    <row r="1582">
      <c r="A1582" t="inlineStr">
        <is>
          <t>SOCIETE C247</t>
        </is>
      </c>
      <c r="B1582" t="inlineStr">
        <is>
          <t>C247</t>
        </is>
      </c>
      <c r="C1582" t="inlineStr">
        <is>
          <t>CORPORATE BANKING</t>
        </is>
      </c>
      <c r="D1582" t="inlineStr">
        <is>
          <t>I</t>
        </is>
      </c>
      <c r="E1582" t="inlineStr">
        <is>
          <t>Stage 1</t>
        </is>
      </c>
      <c r="F1582" t="inlineStr">
        <is>
          <t>N/A</t>
        </is>
      </c>
      <c r="G1582" s="26">
        <v>2122645208</v>
      </c>
      <c r="H1582" s="26">
        <v>21226452</v>
      </c>
      <c r="I1582" s="26">
        <v>0</v>
      </c>
      <c r="J1582" s="26">
        <v>143</v>
      </c>
      <c r="K1582" t="inlineStr">
        <is>
          <t>Non</t>
        </is>
      </c>
      <c r="L1582">
        <f>SUBTOTAL(103,A1582)</f>
        <v>1</v>
      </c>
    </row>
    <row r="1583">
      <c r="A1583" t="inlineStr">
        <is>
          <t>SOCIETE C2072</t>
        </is>
      </c>
      <c r="B1583" t="inlineStr">
        <is>
          <t>C2072</t>
        </is>
      </c>
      <c r="C1583" t="inlineStr">
        <is>
          <t>CORPORATE BANKING</t>
        </is>
      </c>
      <c r="D1583" t="inlineStr">
        <is>
          <t>III</t>
        </is>
      </c>
      <c r="E1583" t="inlineStr">
        <is>
          <t>Stage 3</t>
        </is>
      </c>
      <c r="F1583" t="inlineStr">
        <is>
          <t>N/A</t>
        </is>
      </c>
      <c r="G1583" s="26">
        <v>310054945</v>
      </c>
      <c r="H1583" s="26">
        <v>170530220</v>
      </c>
      <c r="I1583" s="26">
        <v>0</v>
      </c>
      <c r="J1583" s="26">
        <v>36</v>
      </c>
      <c r="K1583" t="inlineStr">
        <is>
          <t>Oui</t>
        </is>
      </c>
      <c r="L1583">
        <f>SUBTOTAL(103,A1583)</f>
        <v>1</v>
      </c>
    </row>
    <row r="1584">
      <c r="A1584" t="inlineStr">
        <is>
          <t>SOCIETE C380</t>
        </is>
      </c>
      <c r="B1584" t="inlineStr">
        <is>
          <t>C380</t>
        </is>
      </c>
      <c r="C1584" t="inlineStr">
        <is>
          <t>INSTITUTIONAL</t>
        </is>
      </c>
      <c r="D1584" t="inlineStr">
        <is>
          <t>IA</t>
        </is>
      </c>
      <c r="E1584" t="inlineStr">
        <is>
          <t>Stage 2</t>
        </is>
      </c>
      <c r="F1584" t="inlineStr">
        <is>
          <t>N/A</t>
        </is>
      </c>
      <c r="G1584" s="26">
        <v>616395850</v>
      </c>
      <c r="H1584" s="26">
        <v>36983751</v>
      </c>
      <c r="I1584" s="26">
        <v>0</v>
      </c>
      <c r="J1584" s="26">
        <v>6</v>
      </c>
      <c r="K1584" t="inlineStr">
        <is>
          <t>Non</t>
        </is>
      </c>
      <c r="L1584">
        <f>SUBTOTAL(103,A1584)</f>
        <v>1</v>
      </c>
    </row>
    <row r="1585">
      <c r="A1585" t="inlineStr">
        <is>
          <t>SOCIETE C559</t>
        </is>
      </c>
      <c r="B1585" t="inlineStr">
        <is>
          <t>C559</t>
        </is>
      </c>
      <c r="C1585" t="inlineStr">
        <is>
          <t>SME</t>
        </is>
      </c>
      <c r="D1585" t="inlineStr">
        <is>
          <t>I</t>
        </is>
      </c>
      <c r="E1585" t="inlineStr">
        <is>
          <t>Stage 1</t>
        </is>
      </c>
      <c r="F1585" t="inlineStr">
        <is>
          <t>N/A</t>
        </is>
      </c>
      <c r="G1585" s="26">
        <v>2156561</v>
      </c>
      <c r="H1585" s="26">
        <v>21566</v>
      </c>
      <c r="I1585" s="26">
        <v>0</v>
      </c>
      <c r="J1585" s="26">
        <v>17</v>
      </c>
      <c r="K1585" t="inlineStr">
        <is>
          <t>Non</t>
        </is>
      </c>
      <c r="L1585">
        <f>SUBTOTAL(103,A1585)</f>
        <v>1</v>
      </c>
    </row>
    <row r="1586">
      <c r="A1586" t="inlineStr">
        <is>
          <t>SOCIETE C2112</t>
        </is>
      </c>
      <c r="B1586" t="inlineStr">
        <is>
          <t>C2112</t>
        </is>
      </c>
      <c r="C1586" t="inlineStr">
        <is>
          <t>CONSUMER BANKING</t>
        </is>
      </c>
      <c r="D1586" t="inlineStr">
        <is>
          <t>IA</t>
        </is>
      </c>
      <c r="E1586" t="inlineStr">
        <is>
          <t>Stage 2</t>
        </is>
      </c>
      <c r="F1586" t="inlineStr">
        <is>
          <t>N/A</t>
        </is>
      </c>
      <c r="G1586" s="26">
        <v>222877411</v>
      </c>
      <c r="H1586" s="26">
        <v>13372645</v>
      </c>
      <c r="I1586" s="26">
        <v>0</v>
      </c>
      <c r="J1586" s="26">
        <v>200</v>
      </c>
      <c r="K1586" t="inlineStr">
        <is>
          <t>Non</t>
        </is>
      </c>
      <c r="L1586">
        <f>SUBTOTAL(103,A1586)</f>
        <v>1</v>
      </c>
    </row>
    <row r="1587">
      <c r="A1587" t="inlineStr">
        <is>
          <t>SOCIETE C1540</t>
        </is>
      </c>
      <c r="B1587" t="inlineStr">
        <is>
          <t>C1540</t>
        </is>
      </c>
      <c r="C1587" t="inlineStr">
        <is>
          <t>CORPORATE BANKING</t>
        </is>
      </c>
      <c r="D1587" t="inlineStr">
        <is>
          <t>IA</t>
        </is>
      </c>
      <c r="E1587" t="inlineStr">
        <is>
          <t>Stage 2</t>
        </is>
      </c>
      <c r="F1587" t="inlineStr">
        <is>
          <t>N/A</t>
        </is>
      </c>
      <c r="G1587" s="26">
        <v>608691883</v>
      </c>
      <c r="H1587" s="26">
        <v>36521513</v>
      </c>
      <c r="I1587" s="26">
        <v>0</v>
      </c>
      <c r="J1587" s="26">
        <v>82</v>
      </c>
      <c r="K1587" t="inlineStr">
        <is>
          <t>Non</t>
        </is>
      </c>
      <c r="L1587">
        <f>SUBTOTAL(103,A1587)</f>
        <v>1</v>
      </c>
    </row>
    <row r="1588">
      <c r="A1588" t="inlineStr">
        <is>
          <t>SOCIETE C89</t>
        </is>
      </c>
      <c r="B1588" t="inlineStr">
        <is>
          <t>C89</t>
        </is>
      </c>
      <c r="C1588" t="inlineStr">
        <is>
          <t>CORPORATE BANKING</t>
        </is>
      </c>
      <c r="D1588" t="inlineStr">
        <is>
          <t>V</t>
        </is>
      </c>
      <c r="E1588" t="inlineStr">
        <is>
          <t>Stage 3</t>
        </is>
      </c>
      <c r="F1588" t="inlineStr">
        <is>
          <t>N/A</t>
        </is>
      </c>
      <c r="G1588" s="26">
        <v>2611193591</v>
      </c>
      <c r="H1588" s="26">
        <v>1436156475</v>
      </c>
      <c r="I1588" s="26">
        <v>0</v>
      </c>
      <c r="J1588" s="26">
        <v>23</v>
      </c>
      <c r="K1588" t="inlineStr">
        <is>
          <t>Oui</t>
        </is>
      </c>
      <c r="L1588">
        <f>SUBTOTAL(103,A1588)</f>
        <v>1</v>
      </c>
    </row>
    <row r="1589">
      <c r="A1589" t="inlineStr">
        <is>
          <t>SOCIETE C140</t>
        </is>
      </c>
      <c r="B1589" t="inlineStr">
        <is>
          <t>C140</t>
        </is>
      </c>
      <c r="C1589" t="inlineStr">
        <is>
          <t>CORPORATE BANKING</t>
        </is>
      </c>
      <c r="D1589" t="inlineStr">
        <is>
          <t>IA</t>
        </is>
      </c>
      <c r="E1589" t="inlineStr">
        <is>
          <t>Stage 2</t>
        </is>
      </c>
      <c r="F1589" t="inlineStr">
        <is>
          <t>N/A</t>
        </is>
      </c>
      <c r="G1589" s="26">
        <v>969853119</v>
      </c>
      <c r="H1589" s="26">
        <v>58191187</v>
      </c>
      <c r="I1589" s="26">
        <v>0</v>
      </c>
      <c r="J1589" s="26">
        <v>9</v>
      </c>
      <c r="K1589" t="inlineStr">
        <is>
          <t>Non</t>
        </is>
      </c>
      <c r="L1589">
        <f>SUBTOTAL(103,A1589)</f>
        <v>1</v>
      </c>
    </row>
    <row r="1590">
      <c r="A1590" t="inlineStr">
        <is>
          <t>SOCIETE C1539</t>
        </is>
      </c>
      <c r="B1590" t="inlineStr">
        <is>
          <t>C1539</t>
        </is>
      </c>
      <c r="C1590" t="inlineStr">
        <is>
          <t>COMMERCIAL BANKING</t>
        </is>
      </c>
      <c r="D1590" t="inlineStr">
        <is>
          <t>IA</t>
        </is>
      </c>
      <c r="E1590" t="inlineStr">
        <is>
          <t>Stage 2</t>
        </is>
      </c>
      <c r="F1590" t="inlineStr">
        <is>
          <t>N/A</t>
        </is>
      </c>
      <c r="G1590" s="26">
        <v>433773645</v>
      </c>
      <c r="H1590" s="26">
        <v>26026419</v>
      </c>
      <c r="I1590" s="26">
        <v>0</v>
      </c>
      <c r="J1590" s="26">
        <v>118</v>
      </c>
      <c r="K1590" t="inlineStr">
        <is>
          <t>Non</t>
        </is>
      </c>
      <c r="L1590">
        <f>SUBTOTAL(103,A1590)</f>
        <v>1</v>
      </c>
    </row>
    <row r="1591">
      <c r="A1591" t="inlineStr">
        <is>
          <t>SOCIETE C1973</t>
        </is>
      </c>
      <c r="B1591" t="inlineStr">
        <is>
          <t>C1973</t>
        </is>
      </c>
      <c r="C1591" t="inlineStr">
        <is>
          <t>PUBLIC SECTOR</t>
        </is>
      </c>
      <c r="D1591" t="inlineStr">
        <is>
          <t>V</t>
        </is>
      </c>
      <c r="E1591" t="inlineStr">
        <is>
          <t>Stage 3</t>
        </is>
      </c>
      <c r="F1591" t="inlineStr">
        <is>
          <t>N/A</t>
        </is>
      </c>
      <c r="G1591" s="26">
        <v>1898009049</v>
      </c>
      <c r="H1591" s="26">
        <v>1043904977</v>
      </c>
      <c r="I1591" s="26">
        <v>288528599</v>
      </c>
      <c r="J1591" s="26">
        <v>164</v>
      </c>
      <c r="K1591" t="inlineStr">
        <is>
          <t>Oui</t>
        </is>
      </c>
      <c r="L1591">
        <f>SUBTOTAL(103,A1591)</f>
        <v>1</v>
      </c>
    </row>
    <row r="1592">
      <c r="A1592" t="inlineStr">
        <is>
          <t>SOCIETE C2057</t>
        </is>
      </c>
      <c r="B1592" t="inlineStr">
        <is>
          <t>C2057</t>
        </is>
      </c>
      <c r="C1592" t="inlineStr">
        <is>
          <t>COMMERCIAL BANKING</t>
        </is>
      </c>
      <c r="D1592" t="inlineStr">
        <is>
          <t>III</t>
        </is>
      </c>
      <c r="E1592" t="inlineStr">
        <is>
          <t>Stage 3</t>
        </is>
      </c>
      <c r="F1592" t="inlineStr">
        <is>
          <t>N/A</t>
        </is>
      </c>
      <c r="G1592" s="26">
        <v>111902376</v>
      </c>
      <c r="H1592" s="26">
        <v>61546307</v>
      </c>
      <c r="I1592" s="26">
        <v>0</v>
      </c>
      <c r="J1592" s="26">
        <v>179</v>
      </c>
      <c r="K1592" t="inlineStr">
        <is>
          <t>Oui</t>
        </is>
      </c>
      <c r="L1592">
        <f>SUBTOTAL(103,A1592)</f>
        <v>1</v>
      </c>
    </row>
    <row r="1593">
      <c r="A1593" t="inlineStr">
        <is>
          <t>SOCIETE C1368</t>
        </is>
      </c>
      <c r="B1593" t="inlineStr">
        <is>
          <t>C1368</t>
        </is>
      </c>
      <c r="C1593" t="inlineStr">
        <is>
          <t>COMMERCIAL BANKING</t>
        </is>
      </c>
      <c r="D1593" t="inlineStr">
        <is>
          <t>III</t>
        </is>
      </c>
      <c r="E1593" t="inlineStr">
        <is>
          <t>Stage 3</t>
        </is>
      </c>
      <c r="F1593" t="inlineStr">
        <is>
          <t>N/A</t>
        </is>
      </c>
      <c r="G1593" s="26">
        <v>17281055</v>
      </c>
      <c r="H1593" s="26">
        <v>9504580</v>
      </c>
      <c r="I1593" s="26">
        <v>0</v>
      </c>
      <c r="J1593" s="26">
        <v>278</v>
      </c>
      <c r="K1593" t="inlineStr">
        <is>
          <t>Oui</t>
        </is>
      </c>
      <c r="L1593">
        <f>SUBTOTAL(103,A1593)</f>
        <v>1</v>
      </c>
    </row>
    <row r="1594">
      <c r="A1594" t="inlineStr">
        <is>
          <t>SOCIETE C1123</t>
        </is>
      </c>
      <c r="B1594" t="inlineStr">
        <is>
          <t>C1123</t>
        </is>
      </c>
      <c r="C1594" t="inlineStr">
        <is>
          <t>COMMERCIAL BANKING</t>
        </is>
      </c>
      <c r="D1594" t="inlineStr">
        <is>
          <t>IA</t>
        </is>
      </c>
      <c r="E1594" t="inlineStr">
        <is>
          <t>Stage 2</t>
        </is>
      </c>
      <c r="F1594" t="inlineStr">
        <is>
          <t>N/A</t>
        </is>
      </c>
      <c r="G1594" s="26">
        <v>2074702692</v>
      </c>
      <c r="H1594" s="26">
        <v>124482161</v>
      </c>
      <c r="I1594" s="26">
        <v>154274312</v>
      </c>
      <c r="J1594" s="26">
        <v>188</v>
      </c>
      <c r="K1594" t="inlineStr">
        <is>
          <t>Non</t>
        </is>
      </c>
      <c r="L1594">
        <f>SUBTOTAL(103,A1594)</f>
        <v>1</v>
      </c>
    </row>
    <row r="1595">
      <c r="A1595" t="inlineStr">
        <is>
          <t>SOCIETE C1935</t>
        </is>
      </c>
      <c r="B1595" t="inlineStr">
        <is>
          <t>C1935</t>
        </is>
      </c>
      <c r="C1595" t="inlineStr">
        <is>
          <t>CORPORATE BANKING</t>
        </is>
      </c>
      <c r="D1595" t="inlineStr">
        <is>
          <t>I</t>
        </is>
      </c>
      <c r="E1595" t="inlineStr">
        <is>
          <t>Stage 1</t>
        </is>
      </c>
      <c r="F1595" t="inlineStr">
        <is>
          <t>N/A</t>
        </is>
      </c>
      <c r="G1595" s="26">
        <v>2681973781</v>
      </c>
      <c r="H1595" s="26">
        <v>26819738</v>
      </c>
      <c r="I1595" s="26">
        <v>0</v>
      </c>
      <c r="J1595" s="26">
        <v>216</v>
      </c>
      <c r="K1595" t="inlineStr">
        <is>
          <t>Non</t>
        </is>
      </c>
      <c r="L1595">
        <f>SUBTOTAL(103,A1595)</f>
        <v>1</v>
      </c>
    </row>
    <row r="1596">
      <c r="A1596" t="inlineStr">
        <is>
          <t>SOCIETE C409</t>
        </is>
      </c>
      <c r="B1596" t="inlineStr">
        <is>
          <t>C409</t>
        </is>
      </c>
      <c r="C1596" t="inlineStr">
        <is>
          <t>CONSUMER BANKING</t>
        </is>
      </c>
      <c r="D1596" t="inlineStr">
        <is>
          <t>I</t>
        </is>
      </c>
      <c r="E1596" t="inlineStr">
        <is>
          <t>Stage 1</t>
        </is>
      </c>
      <c r="F1596" t="inlineStr">
        <is>
          <t>N/A</t>
        </is>
      </c>
      <c r="G1596" s="26">
        <v>219154479</v>
      </c>
      <c r="H1596" s="26">
        <v>2191545</v>
      </c>
      <c r="I1596" s="26">
        <v>0</v>
      </c>
      <c r="J1596" s="26">
        <v>88</v>
      </c>
      <c r="K1596" t="inlineStr">
        <is>
          <t>Non</t>
        </is>
      </c>
      <c r="L1596">
        <f>SUBTOTAL(103,A1596)</f>
        <v>1</v>
      </c>
    </row>
    <row r="1597">
      <c r="A1597" t="inlineStr">
        <is>
          <t>SOCIETE C2404</t>
        </is>
      </c>
      <c r="B1597" t="inlineStr">
        <is>
          <t>C2404</t>
        </is>
      </c>
      <c r="C1597" t="inlineStr">
        <is>
          <t>PUBLIC SECTOR</t>
        </is>
      </c>
      <c r="D1597" t="inlineStr">
        <is>
          <t>I</t>
        </is>
      </c>
      <c r="E1597" t="inlineStr">
        <is>
          <t>Stage 1</t>
        </is>
      </c>
      <c r="F1597" t="inlineStr">
        <is>
          <t>N/A</t>
        </is>
      </c>
      <c r="G1597" s="26">
        <v>909136044</v>
      </c>
      <c r="H1597" s="26">
        <v>9091360</v>
      </c>
      <c r="I1597" s="26">
        <v>0</v>
      </c>
      <c r="J1597" s="26">
        <v>235</v>
      </c>
      <c r="K1597" t="inlineStr">
        <is>
          <t>Non</t>
        </is>
      </c>
      <c r="L1597">
        <f>SUBTOTAL(103,A1597)</f>
        <v>1</v>
      </c>
    </row>
    <row r="1598">
      <c r="A1598" t="inlineStr">
        <is>
          <t>SOCIETE C518</t>
        </is>
      </c>
      <c r="B1598" t="inlineStr">
        <is>
          <t>C518</t>
        </is>
      </c>
      <c r="C1598" t="inlineStr">
        <is>
          <t>CORPORATE BANKING</t>
        </is>
      </c>
      <c r="D1598" t="inlineStr">
        <is>
          <t>I</t>
        </is>
      </c>
      <c r="E1598" t="inlineStr">
        <is>
          <t>Stage 1</t>
        </is>
      </c>
      <c r="F1598" t="inlineStr">
        <is>
          <t>N/A</t>
        </is>
      </c>
      <c r="G1598" s="26">
        <v>64707098</v>
      </c>
      <c r="H1598" s="26">
        <v>647071</v>
      </c>
      <c r="I1598" s="26">
        <v>0</v>
      </c>
      <c r="J1598" s="26">
        <v>57</v>
      </c>
      <c r="K1598" t="inlineStr">
        <is>
          <t>Non</t>
        </is>
      </c>
      <c r="L1598">
        <f>SUBTOTAL(103,A1598)</f>
        <v>1</v>
      </c>
    </row>
    <row r="1599">
      <c r="A1599" t="inlineStr">
        <is>
          <t>SOCIETE C2105</t>
        </is>
      </c>
      <c r="B1599" t="inlineStr">
        <is>
          <t>C2105</t>
        </is>
      </c>
      <c r="C1599" t="inlineStr">
        <is>
          <t>CORPORATE BANKING</t>
        </is>
      </c>
      <c r="D1599" t="inlineStr">
        <is>
          <t>IV</t>
        </is>
      </c>
      <c r="E1599" t="inlineStr">
        <is>
          <t>Stage 3</t>
        </is>
      </c>
      <c r="F1599" t="inlineStr">
        <is>
          <t>N/A</t>
        </is>
      </c>
      <c r="G1599" s="26">
        <v>1725241794</v>
      </c>
      <c r="H1599" s="26">
        <v>948882987</v>
      </c>
      <c r="I1599" s="26">
        <v>66784400</v>
      </c>
      <c r="J1599" s="26">
        <v>2</v>
      </c>
      <c r="K1599" t="inlineStr">
        <is>
          <t>Oui</t>
        </is>
      </c>
      <c r="L1599">
        <f>SUBTOTAL(103,A1599)</f>
        <v>1</v>
      </c>
    </row>
    <row r="1600">
      <c r="A1600" t="inlineStr">
        <is>
          <t>SOCIETE C116</t>
        </is>
      </c>
      <c r="B1600" t="inlineStr">
        <is>
          <t>C116</t>
        </is>
      </c>
      <c r="C1600" t="inlineStr">
        <is>
          <t>CONSUMER BANKING</t>
        </is>
      </c>
      <c r="D1600" t="inlineStr">
        <is>
          <t>I</t>
        </is>
      </c>
      <c r="E1600" t="inlineStr">
        <is>
          <t>Stage 1</t>
        </is>
      </c>
      <c r="F1600" t="inlineStr">
        <is>
          <t>N/A</t>
        </is>
      </c>
      <c r="G1600" s="26">
        <v>1001889</v>
      </c>
      <c r="H1600" s="26">
        <v>10019</v>
      </c>
      <c r="I1600" s="26">
        <v>0</v>
      </c>
      <c r="J1600" s="26">
        <v>321</v>
      </c>
      <c r="K1600" t="inlineStr">
        <is>
          <t>Non</t>
        </is>
      </c>
      <c r="L1600">
        <f>SUBTOTAL(103,A1600)</f>
        <v>1</v>
      </c>
    </row>
    <row r="1601">
      <c r="A1601" t="inlineStr">
        <is>
          <t>SOCIETE C1898</t>
        </is>
      </c>
      <c r="B1601" t="inlineStr">
        <is>
          <t>C1898</t>
        </is>
      </c>
      <c r="C1601" t="inlineStr">
        <is>
          <t>CORPORATE BANKING</t>
        </is>
      </c>
      <c r="D1601" t="inlineStr">
        <is>
          <t>IV</t>
        </is>
      </c>
      <c r="E1601" t="inlineStr">
        <is>
          <t>Stage 3</t>
        </is>
      </c>
      <c r="F1601" t="inlineStr">
        <is>
          <t>N/A</t>
        </is>
      </c>
      <c r="G1601" s="26">
        <v>203906586</v>
      </c>
      <c r="H1601" s="26">
        <v>112148622</v>
      </c>
      <c r="I1601" s="26">
        <v>0</v>
      </c>
      <c r="J1601" s="26">
        <v>6</v>
      </c>
      <c r="K1601" t="inlineStr">
        <is>
          <t>Oui</t>
        </is>
      </c>
      <c r="L1601">
        <f>SUBTOTAL(103,A1601)</f>
        <v>1</v>
      </c>
    </row>
    <row r="1602">
      <c r="A1602" t="inlineStr">
        <is>
          <t>SOCIETE C1560</t>
        </is>
      </c>
      <c r="B1602" t="inlineStr">
        <is>
          <t>C1560</t>
        </is>
      </c>
      <c r="C1602" t="inlineStr">
        <is>
          <t>CORPORATE BANKING</t>
        </is>
      </c>
      <c r="D1602" t="inlineStr">
        <is>
          <t>IV</t>
        </is>
      </c>
      <c r="E1602" t="inlineStr">
        <is>
          <t>Stage 3</t>
        </is>
      </c>
      <c r="F1602" t="inlineStr">
        <is>
          <t>N/A</t>
        </is>
      </c>
      <c r="G1602" s="26">
        <v>2390293</v>
      </c>
      <c r="H1602" s="26">
        <v>1314661</v>
      </c>
      <c r="I1602" s="26">
        <v>0</v>
      </c>
      <c r="J1602" s="26">
        <v>6</v>
      </c>
      <c r="K1602" t="inlineStr">
        <is>
          <t>Oui</t>
        </is>
      </c>
      <c r="L1602">
        <f>SUBTOTAL(103,A1602)</f>
        <v>1</v>
      </c>
    </row>
    <row r="1603">
      <c r="A1603" t="inlineStr">
        <is>
          <t>SOCIETE C212</t>
        </is>
      </c>
      <c r="B1603" t="inlineStr">
        <is>
          <t>C212</t>
        </is>
      </c>
      <c r="C1603" t="inlineStr">
        <is>
          <t>COMMERCIAL BANKING</t>
        </is>
      </c>
      <c r="D1603" t="inlineStr">
        <is>
          <t>I</t>
        </is>
      </c>
      <c r="E1603" t="inlineStr">
        <is>
          <t>Stage 1</t>
        </is>
      </c>
      <c r="F1603" t="inlineStr">
        <is>
          <t>N/A</t>
        </is>
      </c>
      <c r="G1603" s="26">
        <v>2212285913</v>
      </c>
      <c r="H1603" s="26">
        <v>22122859</v>
      </c>
      <c r="I1603" s="26">
        <v>213560217</v>
      </c>
      <c r="J1603" s="26">
        <v>57</v>
      </c>
      <c r="K1603" t="inlineStr">
        <is>
          <t>Non</t>
        </is>
      </c>
      <c r="L1603">
        <f>SUBTOTAL(103,A1603)</f>
        <v>1</v>
      </c>
    </row>
    <row r="1604">
      <c r="A1604" t="inlineStr">
        <is>
          <t>SOCIETE C765</t>
        </is>
      </c>
      <c r="B1604" t="inlineStr">
        <is>
          <t>C765</t>
        </is>
      </c>
      <c r="C1604" t="inlineStr">
        <is>
          <t>CONSUMER BANKING</t>
        </is>
      </c>
      <c r="D1604" t="inlineStr">
        <is>
          <t>IV</t>
        </is>
      </c>
      <c r="E1604" t="inlineStr">
        <is>
          <t>Stage 3</t>
        </is>
      </c>
      <c r="F1604" t="inlineStr">
        <is>
          <t>N/A</t>
        </is>
      </c>
      <c r="G1604" s="26">
        <v>178922497</v>
      </c>
      <c r="H1604" s="26">
        <v>98407373</v>
      </c>
      <c r="I1604" s="26">
        <v>10766069</v>
      </c>
      <c r="J1604" s="26">
        <v>120</v>
      </c>
      <c r="K1604" t="inlineStr">
        <is>
          <t>Oui</t>
        </is>
      </c>
      <c r="L1604">
        <f>SUBTOTAL(103,A1604)</f>
        <v>1</v>
      </c>
    </row>
    <row r="1605">
      <c r="A1605" t="inlineStr">
        <is>
          <t>SOCIETE C851</t>
        </is>
      </c>
      <c r="B1605" t="inlineStr">
        <is>
          <t>C851</t>
        </is>
      </c>
      <c r="C1605" t="inlineStr">
        <is>
          <t>CORPORATE BANKING</t>
        </is>
      </c>
      <c r="D1605" t="inlineStr">
        <is>
          <t>IA</t>
        </is>
      </c>
      <c r="E1605" t="inlineStr">
        <is>
          <t>Stage 2</t>
        </is>
      </c>
      <c r="F1605" t="inlineStr">
        <is>
          <t>N/A</t>
        </is>
      </c>
      <c r="G1605" s="26">
        <v>1277224164</v>
      </c>
      <c r="H1605" s="26">
        <v>76633450</v>
      </c>
      <c r="I1605" s="26">
        <v>0</v>
      </c>
      <c r="J1605" s="26">
        <v>370</v>
      </c>
      <c r="K1605" t="inlineStr">
        <is>
          <t>Non</t>
        </is>
      </c>
      <c r="L1605">
        <f>SUBTOTAL(103,A1605)</f>
        <v>1</v>
      </c>
    </row>
    <row r="1606">
      <c r="A1606" t="inlineStr">
        <is>
          <t>SOCIETE C1492</t>
        </is>
      </c>
      <c r="B1606" t="inlineStr">
        <is>
          <t>C1492</t>
        </is>
      </c>
      <c r="C1606" t="inlineStr">
        <is>
          <t>CONSUMER BANKING</t>
        </is>
      </c>
      <c r="D1606" t="inlineStr">
        <is>
          <t>III</t>
        </is>
      </c>
      <c r="E1606" t="inlineStr">
        <is>
          <t>Stage 3</t>
        </is>
      </c>
      <c r="F1606" t="inlineStr">
        <is>
          <t>N/A</t>
        </is>
      </c>
      <c r="G1606" s="26">
        <v>100424489</v>
      </c>
      <c r="H1606" s="26">
        <v>55233469</v>
      </c>
      <c r="I1606" s="26">
        <v>19877465</v>
      </c>
      <c r="J1606" s="26">
        <v>78</v>
      </c>
      <c r="K1606" t="inlineStr">
        <is>
          <t>Oui</t>
        </is>
      </c>
      <c r="L1606">
        <f>SUBTOTAL(103,A1606)</f>
        <v>1</v>
      </c>
    </row>
    <row r="1607">
      <c r="A1607" t="inlineStr">
        <is>
          <t>SOCIETE C1070</t>
        </is>
      </c>
      <c r="B1607" t="inlineStr">
        <is>
          <t>C1070</t>
        </is>
      </c>
      <c r="C1607" t="inlineStr">
        <is>
          <t>PUBLIC SECTOR</t>
        </is>
      </c>
      <c r="D1607" t="inlineStr">
        <is>
          <t>I</t>
        </is>
      </c>
      <c r="E1607" t="inlineStr">
        <is>
          <t>Stage 1</t>
        </is>
      </c>
      <c r="F1607" t="inlineStr">
        <is>
          <t>N/A</t>
        </is>
      </c>
      <c r="G1607" s="26">
        <v>409470658</v>
      </c>
      <c r="H1607" s="26">
        <v>4094707</v>
      </c>
      <c r="I1607" s="26">
        <v>78022086</v>
      </c>
      <c r="J1607" s="26">
        <v>103</v>
      </c>
      <c r="K1607" t="inlineStr">
        <is>
          <t>Non</t>
        </is>
      </c>
      <c r="L1607">
        <f>SUBTOTAL(103,A1607)</f>
        <v>1</v>
      </c>
    </row>
    <row r="1608">
      <c r="A1608" t="inlineStr">
        <is>
          <t>SOCIETE C286</t>
        </is>
      </c>
      <c r="B1608" t="inlineStr">
        <is>
          <t>C286</t>
        </is>
      </c>
      <c r="C1608" t="inlineStr">
        <is>
          <t>CORPORATE BANKING</t>
        </is>
      </c>
      <c r="D1608" t="inlineStr">
        <is>
          <t>IV</t>
        </is>
      </c>
      <c r="E1608" t="inlineStr">
        <is>
          <t>Stage 3</t>
        </is>
      </c>
      <c r="F1608" t="inlineStr">
        <is>
          <t>N/A</t>
        </is>
      </c>
      <c r="G1608" s="26">
        <v>1587061523</v>
      </c>
      <c r="H1608" s="26">
        <v>872883838</v>
      </c>
      <c r="I1608" s="26">
        <v>0</v>
      </c>
      <c r="J1608" s="26">
        <v>216</v>
      </c>
      <c r="K1608" t="inlineStr">
        <is>
          <t>Oui</t>
        </is>
      </c>
      <c r="L1608">
        <f>SUBTOTAL(103,A1608)</f>
        <v>1</v>
      </c>
    </row>
    <row r="1609">
      <c r="A1609" t="inlineStr">
        <is>
          <t>SOCIETE C2216</t>
        </is>
      </c>
      <c r="B1609" t="inlineStr">
        <is>
          <t>C2216</t>
        </is>
      </c>
      <c r="C1609" t="inlineStr">
        <is>
          <t>PUBLIC SECTOR</t>
        </is>
      </c>
      <c r="D1609" t="inlineStr">
        <is>
          <t>I</t>
        </is>
      </c>
      <c r="E1609" t="inlineStr">
        <is>
          <t>Stage 1</t>
        </is>
      </c>
      <c r="F1609" t="inlineStr">
        <is>
          <t>N/A</t>
        </is>
      </c>
      <c r="G1609" s="26">
        <v>1036043285</v>
      </c>
      <c r="H1609" s="26">
        <v>10360433</v>
      </c>
      <c r="I1609" s="26">
        <v>0</v>
      </c>
      <c r="J1609" s="26">
        <v>23</v>
      </c>
      <c r="K1609" t="inlineStr">
        <is>
          <t>Non</t>
        </is>
      </c>
      <c r="L1609">
        <f>SUBTOTAL(103,A1609)</f>
        <v>1</v>
      </c>
    </row>
    <row r="1610">
      <c r="A1610" t="inlineStr">
        <is>
          <t>SOCIETE C1035</t>
        </is>
      </c>
      <c r="B1610" t="inlineStr">
        <is>
          <t>C1035</t>
        </is>
      </c>
      <c r="C1610" t="inlineStr">
        <is>
          <t>CORPORATE BANKING</t>
        </is>
      </c>
      <c r="D1610" t="inlineStr">
        <is>
          <t>III</t>
        </is>
      </c>
      <c r="E1610" t="inlineStr">
        <is>
          <t>Stage 3</t>
        </is>
      </c>
      <c r="F1610" t="inlineStr">
        <is>
          <t>N/A</t>
        </is>
      </c>
      <c r="G1610" s="26">
        <v>1001676</v>
      </c>
      <c r="H1610" s="26">
        <v>550922</v>
      </c>
      <c r="I1610" s="26">
        <v>169040</v>
      </c>
      <c r="J1610" s="26">
        <v>23</v>
      </c>
      <c r="K1610" t="inlineStr">
        <is>
          <t>Oui</t>
        </is>
      </c>
      <c r="L1610">
        <f>SUBTOTAL(103,A1610)</f>
        <v>1</v>
      </c>
    </row>
    <row r="1611">
      <c r="A1611" t="inlineStr">
        <is>
          <t>SOCIETE C1262</t>
        </is>
      </c>
      <c r="B1611" t="inlineStr">
        <is>
          <t>C1262</t>
        </is>
      </c>
      <c r="C1611" t="inlineStr">
        <is>
          <t>CORPORATE BANKING</t>
        </is>
      </c>
      <c r="D1611" t="inlineStr">
        <is>
          <t>I</t>
        </is>
      </c>
      <c r="E1611" t="inlineStr">
        <is>
          <t>Stage 1</t>
        </is>
      </c>
      <c r="F1611" t="inlineStr">
        <is>
          <t>N/A</t>
        </is>
      </c>
      <c r="G1611" s="26">
        <v>1228535058</v>
      </c>
      <c r="H1611" s="26">
        <v>12285351</v>
      </c>
      <c r="I1611" s="26">
        <v>0</v>
      </c>
      <c r="J1611" s="26">
        <v>3</v>
      </c>
      <c r="K1611" t="inlineStr">
        <is>
          <t>Non</t>
        </is>
      </c>
      <c r="L1611">
        <f>SUBTOTAL(103,A1611)</f>
        <v>1</v>
      </c>
    </row>
    <row r="1612">
      <c r="A1612" t="inlineStr">
        <is>
          <t>SOCIETE C451</t>
        </is>
      </c>
      <c r="B1612" t="inlineStr">
        <is>
          <t>C451</t>
        </is>
      </c>
      <c r="C1612" t="inlineStr">
        <is>
          <t>COMMERCIAL BANKING</t>
        </is>
      </c>
      <c r="D1612" t="inlineStr">
        <is>
          <t>I</t>
        </is>
      </c>
      <c r="E1612" t="inlineStr">
        <is>
          <t>Stage 1</t>
        </is>
      </c>
      <c r="F1612" t="inlineStr">
        <is>
          <t>N/A</t>
        </is>
      </c>
      <c r="G1612" s="26">
        <v>743045165</v>
      </c>
      <c r="H1612" s="26">
        <v>7430452</v>
      </c>
      <c r="I1612" s="26">
        <v>0</v>
      </c>
      <c r="J1612" s="26">
        <v>309</v>
      </c>
      <c r="K1612" t="inlineStr">
        <is>
          <t>Non</t>
        </is>
      </c>
      <c r="L1612">
        <f>SUBTOTAL(103,A1612)</f>
        <v>1</v>
      </c>
    </row>
    <row r="1613">
      <c r="A1613" t="inlineStr">
        <is>
          <t>SOCIETE C644</t>
        </is>
      </c>
      <c r="B1613" t="inlineStr">
        <is>
          <t>C644</t>
        </is>
      </c>
      <c r="C1613" t="inlineStr">
        <is>
          <t>CORPORATE BANKING</t>
        </is>
      </c>
      <c r="D1613" t="inlineStr">
        <is>
          <t>I</t>
        </is>
      </c>
      <c r="E1613" t="inlineStr">
        <is>
          <t>Stage 1</t>
        </is>
      </c>
      <c r="F1613" t="inlineStr">
        <is>
          <t>N/A</t>
        </is>
      </c>
      <c r="G1613" s="26">
        <v>177456724</v>
      </c>
      <c r="H1613" s="26">
        <v>1774567</v>
      </c>
      <c r="I1613" s="26">
        <v>32145618</v>
      </c>
      <c r="J1613" s="26">
        <v>42</v>
      </c>
      <c r="K1613" t="inlineStr">
        <is>
          <t>Non</t>
        </is>
      </c>
      <c r="L1613">
        <f>SUBTOTAL(103,A1613)</f>
        <v>1</v>
      </c>
    </row>
    <row r="1614">
      <c r="A1614" t="inlineStr">
        <is>
          <t>SOCIETE C1979</t>
        </is>
      </c>
      <c r="B1614" t="inlineStr">
        <is>
          <t>C1979</t>
        </is>
      </c>
      <c r="C1614" t="inlineStr">
        <is>
          <t>COMMERCIAL BANKING</t>
        </is>
      </c>
      <c r="D1614" t="inlineStr">
        <is>
          <t>I</t>
        </is>
      </c>
      <c r="E1614" t="inlineStr">
        <is>
          <t>Stage 1</t>
        </is>
      </c>
      <c r="F1614" t="inlineStr">
        <is>
          <t>N/A</t>
        </is>
      </c>
      <c r="G1614" s="26">
        <v>1064272</v>
      </c>
      <c r="H1614" s="26">
        <v>10643</v>
      </c>
      <c r="I1614" s="26">
        <v>0</v>
      </c>
      <c r="J1614" s="26">
        <v>43</v>
      </c>
      <c r="K1614" t="inlineStr">
        <is>
          <t>Non</t>
        </is>
      </c>
      <c r="L1614">
        <f>SUBTOTAL(103,A1614)</f>
        <v>1</v>
      </c>
    </row>
    <row r="1615">
      <c r="A1615" t="inlineStr">
        <is>
          <t>SOCIETE C2101</t>
        </is>
      </c>
      <c r="B1615" t="inlineStr">
        <is>
          <t>C2101</t>
        </is>
      </c>
      <c r="C1615" t="inlineStr">
        <is>
          <t>CONSUMER BANKING</t>
        </is>
      </c>
      <c r="D1615" t="inlineStr">
        <is>
          <t>I</t>
        </is>
      </c>
      <c r="E1615" t="inlineStr">
        <is>
          <t>Stage 1</t>
        </is>
      </c>
      <c r="F1615" t="inlineStr">
        <is>
          <t>N/A</t>
        </is>
      </c>
      <c r="G1615" s="26">
        <v>209565882</v>
      </c>
      <c r="H1615" s="26">
        <v>2095659</v>
      </c>
      <c r="I1615" s="26">
        <v>0</v>
      </c>
      <c r="J1615" s="26">
        <v>54</v>
      </c>
      <c r="K1615" t="inlineStr">
        <is>
          <t>Non</t>
        </is>
      </c>
      <c r="L1615">
        <f>SUBTOTAL(103,A1615)</f>
        <v>1</v>
      </c>
    </row>
    <row r="1616">
      <c r="A1616" t="inlineStr">
        <is>
          <t>SOCIETE C420</t>
        </is>
      </c>
      <c r="B1616" t="inlineStr">
        <is>
          <t>C420</t>
        </is>
      </c>
      <c r="C1616" t="inlineStr">
        <is>
          <t>CORPORATE BANKING</t>
        </is>
      </c>
      <c r="D1616" t="inlineStr">
        <is>
          <t>IA</t>
        </is>
      </c>
      <c r="E1616" t="inlineStr">
        <is>
          <t>Stage 2</t>
        </is>
      </c>
      <c r="F1616" t="inlineStr">
        <is>
          <t>N/A</t>
        </is>
      </c>
      <c r="G1616" s="26">
        <v>18287045</v>
      </c>
      <c r="H1616" s="26">
        <v>1097223</v>
      </c>
      <c r="I1616" s="26">
        <v>1629203</v>
      </c>
      <c r="J1616" s="26">
        <v>144</v>
      </c>
      <c r="K1616" t="inlineStr">
        <is>
          <t>Non</t>
        </is>
      </c>
      <c r="L1616">
        <f>SUBTOTAL(103,A1616)</f>
        <v>1</v>
      </c>
    </row>
    <row r="1617">
      <c r="A1617" t="inlineStr">
        <is>
          <t>SOCIETE C797</t>
        </is>
      </c>
      <c r="B1617" t="inlineStr">
        <is>
          <t>C797</t>
        </is>
      </c>
      <c r="C1617" t="inlineStr">
        <is>
          <t>CONSUMER BANKING</t>
        </is>
      </c>
      <c r="D1617" t="inlineStr">
        <is>
          <t>V</t>
        </is>
      </c>
      <c r="E1617" t="inlineStr">
        <is>
          <t>Stage 3</t>
        </is>
      </c>
      <c r="F1617" t="inlineStr">
        <is>
          <t>N/A</t>
        </is>
      </c>
      <c r="G1617" s="26">
        <v>3012663</v>
      </c>
      <c r="H1617" s="26">
        <v>1656965</v>
      </c>
      <c r="I1617" s="26">
        <v>0</v>
      </c>
      <c r="J1617" s="26">
        <v>100</v>
      </c>
      <c r="K1617" t="inlineStr">
        <is>
          <t>Oui</t>
        </is>
      </c>
      <c r="L1617">
        <f>SUBTOTAL(103,A1617)</f>
        <v>1</v>
      </c>
    </row>
    <row r="1618">
      <c r="A1618" t="inlineStr">
        <is>
          <t>SOCIETE C1104</t>
        </is>
      </c>
      <c r="B1618" t="inlineStr">
        <is>
          <t>C1104</t>
        </is>
      </c>
      <c r="C1618" t="inlineStr">
        <is>
          <t>CORPORATE BANKING</t>
        </is>
      </c>
      <c r="D1618" t="inlineStr">
        <is>
          <t>I</t>
        </is>
      </c>
      <c r="E1618" t="inlineStr">
        <is>
          <t>Stage 1</t>
        </is>
      </c>
      <c r="F1618" t="inlineStr">
        <is>
          <t>N/A</t>
        </is>
      </c>
      <c r="G1618" s="26">
        <v>1212536</v>
      </c>
      <c r="H1618" s="26">
        <v>12125</v>
      </c>
      <c r="I1618" s="26">
        <v>0</v>
      </c>
      <c r="J1618" s="26">
        <v>86</v>
      </c>
      <c r="K1618" t="inlineStr">
        <is>
          <t>Non</t>
        </is>
      </c>
      <c r="L1618">
        <f>SUBTOTAL(103,A1618)</f>
        <v>1</v>
      </c>
    </row>
    <row r="1619">
      <c r="A1619" t="inlineStr">
        <is>
          <t>SOCIETE C1167</t>
        </is>
      </c>
      <c r="B1619" t="inlineStr">
        <is>
          <t>C1167</t>
        </is>
      </c>
      <c r="C1619" t="inlineStr">
        <is>
          <t>CORPORATE BANKING</t>
        </is>
      </c>
      <c r="D1619" t="inlineStr">
        <is>
          <t>I</t>
        </is>
      </c>
      <c r="E1619" t="inlineStr">
        <is>
          <t>Stage 1</t>
        </is>
      </c>
      <c r="F1619" t="inlineStr">
        <is>
          <t>N/A</t>
        </is>
      </c>
      <c r="G1619" s="26">
        <v>4302933</v>
      </c>
      <c r="H1619" s="26">
        <v>43029</v>
      </c>
      <c r="I1619" s="26">
        <v>0</v>
      </c>
      <c r="J1619" s="26">
        <v>50</v>
      </c>
      <c r="K1619" t="inlineStr">
        <is>
          <t>Non</t>
        </is>
      </c>
      <c r="L1619">
        <f>SUBTOTAL(103,A1619)</f>
        <v>1</v>
      </c>
    </row>
    <row r="1620">
      <c r="A1620" t="inlineStr">
        <is>
          <t>SOCIETE C2224</t>
        </is>
      </c>
      <c r="B1620" t="inlineStr">
        <is>
          <t>C2224</t>
        </is>
      </c>
      <c r="C1620" t="inlineStr">
        <is>
          <t>CONSUMER BANKING</t>
        </is>
      </c>
      <c r="D1620" t="inlineStr">
        <is>
          <t>III</t>
        </is>
      </c>
      <c r="E1620" t="inlineStr">
        <is>
          <t>Stage 3</t>
        </is>
      </c>
      <c r="F1620" t="inlineStr">
        <is>
          <t>N/A</t>
        </is>
      </c>
      <c r="G1620" s="26">
        <v>472161029</v>
      </c>
      <c r="H1620" s="26">
        <v>259688566</v>
      </c>
      <c r="I1620" s="26">
        <v>66777864</v>
      </c>
      <c r="J1620" s="26">
        <v>26</v>
      </c>
      <c r="K1620" t="inlineStr">
        <is>
          <t>Oui</t>
        </is>
      </c>
      <c r="L1620">
        <f>SUBTOTAL(103,A1620)</f>
        <v>1</v>
      </c>
    </row>
    <row r="1621">
      <c r="A1621" t="inlineStr">
        <is>
          <t>SOCIETE C2154</t>
        </is>
      </c>
      <c r="B1621" t="inlineStr">
        <is>
          <t>C2154</t>
        </is>
      </c>
      <c r="C1621" t="inlineStr">
        <is>
          <t>COMMERCIAL BANKING</t>
        </is>
      </c>
      <c r="D1621" t="inlineStr">
        <is>
          <t>I</t>
        </is>
      </c>
      <c r="E1621" t="inlineStr">
        <is>
          <t>Stage 1</t>
        </is>
      </c>
      <c r="F1621" t="inlineStr">
        <is>
          <t>N/A</t>
        </is>
      </c>
      <c r="G1621" s="26">
        <v>354645832</v>
      </c>
      <c r="H1621" s="26">
        <v>3546458</v>
      </c>
      <c r="I1621" s="26">
        <v>0</v>
      </c>
      <c r="J1621" s="26">
        <v>194</v>
      </c>
      <c r="K1621" t="inlineStr">
        <is>
          <t>Non</t>
        </is>
      </c>
      <c r="L1621">
        <f>SUBTOTAL(103,A1621)</f>
        <v>1</v>
      </c>
    </row>
    <row r="1622">
      <c r="A1622" t="inlineStr">
        <is>
          <t>SOCIETE C931</t>
        </is>
      </c>
      <c r="B1622" t="inlineStr">
        <is>
          <t>C931</t>
        </is>
      </c>
      <c r="C1622" t="inlineStr">
        <is>
          <t>CORPORATE BANKING</t>
        </is>
      </c>
      <c r="D1622" t="inlineStr">
        <is>
          <t>IV</t>
        </is>
      </c>
      <c r="E1622" t="inlineStr">
        <is>
          <t>Stage 3</t>
        </is>
      </c>
      <c r="F1622" t="inlineStr">
        <is>
          <t>N/A</t>
        </is>
      </c>
      <c r="G1622" s="26">
        <v>2396911805</v>
      </c>
      <c r="H1622" s="26">
        <v>1318301493</v>
      </c>
      <c r="I1622" s="26">
        <v>0</v>
      </c>
      <c r="J1622" s="26">
        <v>11</v>
      </c>
      <c r="K1622" t="inlineStr">
        <is>
          <t>Oui</t>
        </is>
      </c>
      <c r="L1622">
        <f>SUBTOTAL(103,A1622)</f>
        <v>1</v>
      </c>
    </row>
    <row r="1623">
      <c r="A1623" t="inlineStr">
        <is>
          <t>SOCIETE C2031</t>
        </is>
      </c>
      <c r="B1623" t="inlineStr">
        <is>
          <t>C2031</t>
        </is>
      </c>
      <c r="C1623" t="inlineStr">
        <is>
          <t>CORPORATE BANKING</t>
        </is>
      </c>
      <c r="D1623" t="inlineStr">
        <is>
          <t>III</t>
        </is>
      </c>
      <c r="E1623" t="inlineStr">
        <is>
          <t>Stage 3</t>
        </is>
      </c>
      <c r="F1623" t="inlineStr">
        <is>
          <t>N/A</t>
        </is>
      </c>
      <c r="G1623" s="26">
        <v>185476150</v>
      </c>
      <c r="H1623" s="26">
        <v>102011882</v>
      </c>
      <c r="I1623" s="26">
        <v>0</v>
      </c>
      <c r="J1623" s="26">
        <v>355</v>
      </c>
      <c r="K1623" t="inlineStr">
        <is>
          <t>Oui</t>
        </is>
      </c>
      <c r="L1623">
        <f>SUBTOTAL(103,A1623)</f>
        <v>1</v>
      </c>
    </row>
    <row r="1624">
      <c r="A1624" t="inlineStr">
        <is>
          <t>SOCIETE C1088</t>
        </is>
      </c>
      <c r="B1624" t="inlineStr">
        <is>
          <t>C1088</t>
        </is>
      </c>
      <c r="C1624" t="inlineStr">
        <is>
          <t>CONSUMER BANKING</t>
        </is>
      </c>
      <c r="D1624" t="inlineStr">
        <is>
          <t>I</t>
        </is>
      </c>
      <c r="E1624" t="inlineStr">
        <is>
          <t>Stage 1</t>
        </is>
      </c>
      <c r="F1624" t="inlineStr">
        <is>
          <t>N/A</t>
        </is>
      </c>
      <c r="G1624" s="26">
        <v>1738823107</v>
      </c>
      <c r="H1624" s="26">
        <v>17388231</v>
      </c>
      <c r="I1624" s="26">
        <v>347585409</v>
      </c>
      <c r="J1624" s="26">
        <v>42</v>
      </c>
      <c r="K1624" t="inlineStr">
        <is>
          <t>Non</t>
        </is>
      </c>
      <c r="L1624">
        <f>SUBTOTAL(103,A1624)</f>
        <v>1</v>
      </c>
    </row>
    <row r="1625">
      <c r="A1625" t="inlineStr">
        <is>
          <t>SOCIETE C1346</t>
        </is>
      </c>
      <c r="B1625" t="inlineStr">
        <is>
          <t>C1346</t>
        </is>
      </c>
      <c r="C1625" t="inlineStr">
        <is>
          <t>CORPORATE BANKING</t>
        </is>
      </c>
      <c r="D1625" t="inlineStr">
        <is>
          <t>I</t>
        </is>
      </c>
      <c r="E1625" t="inlineStr">
        <is>
          <t>Stage 1</t>
        </is>
      </c>
      <c r="F1625" t="inlineStr">
        <is>
          <t>N/A</t>
        </is>
      </c>
      <c r="G1625" s="26">
        <v>284627314</v>
      </c>
      <c r="H1625" s="26">
        <v>2846273</v>
      </c>
      <c r="I1625" s="26">
        <v>0</v>
      </c>
      <c r="J1625" s="26">
        <v>71</v>
      </c>
      <c r="K1625" t="inlineStr">
        <is>
          <t>Non</t>
        </is>
      </c>
      <c r="L1625">
        <f>SUBTOTAL(103,A1625)</f>
        <v>1</v>
      </c>
    </row>
    <row r="1626">
      <c r="A1626" t="inlineStr">
        <is>
          <t>SOCIETE C1767</t>
        </is>
      </c>
      <c r="B1626" t="inlineStr">
        <is>
          <t>C1767</t>
        </is>
      </c>
      <c r="C1626" t="inlineStr">
        <is>
          <t>CONSUMER BANKING</t>
        </is>
      </c>
      <c r="D1626" t="inlineStr">
        <is>
          <t>I</t>
        </is>
      </c>
      <c r="E1626" t="inlineStr">
        <is>
          <t>Stage 1</t>
        </is>
      </c>
      <c r="F1626" t="inlineStr">
        <is>
          <t>N/A</t>
        </is>
      </c>
      <c r="G1626" s="26">
        <v>93524604</v>
      </c>
      <c r="H1626" s="26">
        <v>935246</v>
      </c>
      <c r="I1626" s="26">
        <v>0</v>
      </c>
      <c r="J1626" s="26">
        <v>162</v>
      </c>
      <c r="K1626" t="inlineStr">
        <is>
          <t>Non</t>
        </is>
      </c>
      <c r="L1626">
        <f>SUBTOTAL(103,A1626)</f>
        <v>1</v>
      </c>
    </row>
    <row r="1627">
      <c r="A1627" t="inlineStr">
        <is>
          <t>SOCIETE C2234</t>
        </is>
      </c>
      <c r="B1627" t="inlineStr">
        <is>
          <t>C2234</t>
        </is>
      </c>
      <c r="C1627" t="inlineStr">
        <is>
          <t>COMMERCIAL BANKING</t>
        </is>
      </c>
      <c r="D1627" t="inlineStr">
        <is>
          <t>V</t>
        </is>
      </c>
      <c r="E1627" t="inlineStr">
        <is>
          <t>Stage 3</t>
        </is>
      </c>
      <c r="F1627" t="inlineStr">
        <is>
          <t>N/A</t>
        </is>
      </c>
      <c r="G1627" s="26">
        <v>1762168445</v>
      </c>
      <c r="H1627" s="26">
        <v>969192645</v>
      </c>
      <c r="I1627" s="26">
        <v>0</v>
      </c>
      <c r="J1627" s="26">
        <v>239</v>
      </c>
      <c r="K1627" t="inlineStr">
        <is>
          <t>Oui</t>
        </is>
      </c>
      <c r="L1627">
        <f>SUBTOTAL(103,A1627)</f>
        <v>1</v>
      </c>
    </row>
    <row r="1628">
      <c r="A1628" t="inlineStr">
        <is>
          <t>SOCIETE C159</t>
        </is>
      </c>
      <c r="B1628" t="inlineStr">
        <is>
          <t>C159</t>
        </is>
      </c>
      <c r="C1628" t="inlineStr">
        <is>
          <t>COMMERCIAL BANKING</t>
        </is>
      </c>
      <c r="D1628" t="inlineStr">
        <is>
          <t>III</t>
        </is>
      </c>
      <c r="E1628" t="inlineStr">
        <is>
          <t>Stage 3</t>
        </is>
      </c>
      <c r="F1628" t="inlineStr">
        <is>
          <t>N/A</t>
        </is>
      </c>
      <c r="G1628" s="26">
        <v>711203444</v>
      </c>
      <c r="H1628" s="26">
        <v>391161894</v>
      </c>
      <c r="I1628" s="26">
        <v>86368911</v>
      </c>
      <c r="J1628" s="26">
        <v>78</v>
      </c>
      <c r="K1628" t="inlineStr">
        <is>
          <t>Oui</t>
        </is>
      </c>
      <c r="L1628">
        <f>SUBTOTAL(103,A1628)</f>
        <v>1</v>
      </c>
    </row>
    <row r="1629">
      <c r="A1629" t="inlineStr">
        <is>
          <t>SOCIETE C166</t>
        </is>
      </c>
      <c r="B1629" t="inlineStr">
        <is>
          <t>C166</t>
        </is>
      </c>
      <c r="C1629" t="inlineStr">
        <is>
          <t>CONSUMER BANKING</t>
        </is>
      </c>
      <c r="D1629" t="inlineStr">
        <is>
          <t>II</t>
        </is>
      </c>
      <c r="E1629" t="inlineStr">
        <is>
          <t>Stage 2</t>
        </is>
      </c>
      <c r="F1629" t="inlineStr">
        <is>
          <t>N/A</t>
        </is>
      </c>
      <c r="G1629" s="26">
        <v>754473498</v>
      </c>
      <c r="H1629" s="26">
        <v>45268410</v>
      </c>
      <c r="I1629" s="26">
        <v>0</v>
      </c>
      <c r="J1629" s="26">
        <v>217</v>
      </c>
      <c r="K1629" t="inlineStr">
        <is>
          <t>Non</t>
        </is>
      </c>
      <c r="L1629">
        <f>SUBTOTAL(103,A1629)</f>
        <v>1</v>
      </c>
    </row>
    <row r="1630">
      <c r="A1630" t="inlineStr">
        <is>
          <t>SOCIETE C2373</t>
        </is>
      </c>
      <c r="B1630" t="inlineStr">
        <is>
          <t>C2373</t>
        </is>
      </c>
      <c r="C1630" t="inlineStr">
        <is>
          <t>CORPORATE BANKING</t>
        </is>
      </c>
      <c r="D1630" t="inlineStr">
        <is>
          <t>IA</t>
        </is>
      </c>
      <c r="E1630" t="inlineStr">
        <is>
          <t>Stage 2</t>
        </is>
      </c>
      <c r="F1630" t="inlineStr">
        <is>
          <t>N/A</t>
        </is>
      </c>
      <c r="G1630" s="26">
        <v>1009516</v>
      </c>
      <c r="H1630" s="26">
        <v>60571</v>
      </c>
      <c r="I1630" s="26">
        <v>0</v>
      </c>
      <c r="J1630" s="26">
        <v>0</v>
      </c>
      <c r="K1630" t="inlineStr">
        <is>
          <t>Non</t>
        </is>
      </c>
      <c r="L1630">
        <f>SUBTOTAL(103,A1630)</f>
        <v>1</v>
      </c>
    </row>
    <row r="1631">
      <c r="A1631" t="inlineStr">
        <is>
          <t>SOCIETE C2373</t>
        </is>
      </c>
      <c r="B1631" t="inlineStr">
        <is>
          <t>C2373</t>
        </is>
      </c>
      <c r="C1631" t="inlineStr">
        <is>
          <t>CORPORATE BANKING</t>
        </is>
      </c>
      <c r="D1631" t="inlineStr">
        <is>
          <t>V</t>
        </is>
      </c>
      <c r="E1631" t="inlineStr">
        <is>
          <t>Stage 3</t>
        </is>
      </c>
      <c r="F1631" t="inlineStr">
        <is>
          <t>N/A</t>
        </is>
      </c>
      <c r="G1631" s="26">
        <v>35154923</v>
      </c>
      <c r="H1631" s="26">
        <v>19335207</v>
      </c>
      <c r="I1631" s="26">
        <v>2690394</v>
      </c>
      <c r="J1631" s="26">
        <v>57</v>
      </c>
      <c r="K1631" t="inlineStr">
        <is>
          <t>Oui</t>
        </is>
      </c>
      <c r="L1631">
        <f>SUBTOTAL(103,A1631)</f>
        <v>1</v>
      </c>
    </row>
    <row r="1632">
      <c r="A1632" t="inlineStr">
        <is>
          <t>SOCIETE C2348</t>
        </is>
      </c>
      <c r="B1632" t="inlineStr">
        <is>
          <t>C2348</t>
        </is>
      </c>
      <c r="C1632" t="inlineStr">
        <is>
          <t>CORPORATE BANKING</t>
        </is>
      </c>
      <c r="D1632" t="inlineStr">
        <is>
          <t>I</t>
        </is>
      </c>
      <c r="E1632" t="inlineStr">
        <is>
          <t>Stage 1</t>
        </is>
      </c>
      <c r="F1632" t="inlineStr">
        <is>
          <t>N/A</t>
        </is>
      </c>
      <c r="G1632" s="26">
        <v>2924516197</v>
      </c>
      <c r="H1632" s="26">
        <v>29245162</v>
      </c>
      <c r="I1632" s="26">
        <v>0</v>
      </c>
      <c r="J1632" s="26">
        <v>180</v>
      </c>
      <c r="K1632" t="inlineStr">
        <is>
          <t>Non</t>
        </is>
      </c>
      <c r="L1632">
        <f>SUBTOTAL(103,A1632)</f>
        <v>1</v>
      </c>
    </row>
    <row r="1633">
      <c r="A1633" t="inlineStr">
        <is>
          <t>SOCIETE C2069</t>
        </is>
      </c>
      <c r="B1633" t="inlineStr">
        <is>
          <t>C2069</t>
        </is>
      </c>
      <c r="C1633" t="inlineStr">
        <is>
          <t>CORPORATE BANKING</t>
        </is>
      </c>
      <c r="D1633" t="inlineStr">
        <is>
          <t>IA</t>
        </is>
      </c>
      <c r="E1633" t="inlineStr">
        <is>
          <t>Stage 2</t>
        </is>
      </c>
      <c r="F1633" t="inlineStr">
        <is>
          <t>N/A</t>
        </is>
      </c>
      <c r="G1633" s="26">
        <v>2632133446</v>
      </c>
      <c r="H1633" s="26">
        <v>157928007</v>
      </c>
      <c r="I1633" s="26">
        <v>0</v>
      </c>
      <c r="J1633" s="26">
        <v>247</v>
      </c>
      <c r="K1633" t="inlineStr">
        <is>
          <t>Non</t>
        </is>
      </c>
      <c r="L1633">
        <f>SUBTOTAL(103,A1633)</f>
        <v>1</v>
      </c>
    </row>
    <row r="1634">
      <c r="A1634" t="inlineStr">
        <is>
          <t>SOCIETE C1589</t>
        </is>
      </c>
      <c r="B1634" t="inlineStr">
        <is>
          <t>C1589</t>
        </is>
      </c>
      <c r="C1634" t="inlineStr">
        <is>
          <t>INSTITUTIONAL</t>
        </is>
      </c>
      <c r="D1634" t="inlineStr">
        <is>
          <t>IV</t>
        </is>
      </c>
      <c r="E1634" t="inlineStr">
        <is>
          <t>Stage 3</t>
        </is>
      </c>
      <c r="F1634" t="inlineStr">
        <is>
          <t>N/A</t>
        </is>
      </c>
      <c r="G1634" s="26">
        <v>2434099660</v>
      </c>
      <c r="H1634" s="26">
        <v>1338754813</v>
      </c>
      <c r="I1634" s="26">
        <v>12974219</v>
      </c>
      <c r="J1634" s="26">
        <v>43</v>
      </c>
      <c r="K1634" t="inlineStr">
        <is>
          <t>Oui</t>
        </is>
      </c>
      <c r="L1634">
        <f>SUBTOTAL(103,A1634)</f>
        <v>1</v>
      </c>
    </row>
    <row r="1635">
      <c r="A1635" t="inlineStr">
        <is>
          <t>SOCIETE C1447</t>
        </is>
      </c>
      <c r="B1635" t="inlineStr">
        <is>
          <t>C1447</t>
        </is>
      </c>
      <c r="C1635" t="inlineStr">
        <is>
          <t>COMMERCIAL BANKING</t>
        </is>
      </c>
      <c r="D1635" t="inlineStr">
        <is>
          <t>I</t>
        </is>
      </c>
      <c r="E1635" t="inlineStr">
        <is>
          <t>Stage 1</t>
        </is>
      </c>
      <c r="F1635" t="inlineStr">
        <is>
          <t>N/A</t>
        </is>
      </c>
      <c r="G1635" s="26">
        <v>2726838563</v>
      </c>
      <c r="H1635" s="26">
        <v>27268386</v>
      </c>
      <c r="I1635" s="26">
        <v>0</v>
      </c>
      <c r="J1635" s="26">
        <v>317</v>
      </c>
      <c r="K1635" t="inlineStr">
        <is>
          <t>Non</t>
        </is>
      </c>
      <c r="L1635">
        <f>SUBTOTAL(103,A1635)</f>
        <v>1</v>
      </c>
    </row>
    <row r="1636">
      <c r="A1636" t="inlineStr">
        <is>
          <t>SOCIETE C815</t>
        </is>
      </c>
      <c r="B1636" t="inlineStr">
        <is>
          <t>C815</t>
        </is>
      </c>
      <c r="C1636" t="inlineStr">
        <is>
          <t>CORPORATE BANKING</t>
        </is>
      </c>
      <c r="D1636" t="inlineStr">
        <is>
          <t>IA</t>
        </is>
      </c>
      <c r="E1636" t="inlineStr">
        <is>
          <t>Stage 2</t>
        </is>
      </c>
      <c r="F1636" t="inlineStr">
        <is>
          <t>N/A</t>
        </is>
      </c>
      <c r="G1636" s="26">
        <v>5154233</v>
      </c>
      <c r="H1636" s="26">
        <v>309254</v>
      </c>
      <c r="I1636" s="26">
        <v>0</v>
      </c>
      <c r="J1636" s="26">
        <v>92</v>
      </c>
      <c r="K1636" t="inlineStr">
        <is>
          <t>Non</t>
        </is>
      </c>
      <c r="L1636">
        <f>SUBTOTAL(103,A1636)</f>
        <v>1</v>
      </c>
    </row>
    <row r="1637">
      <c r="A1637" t="inlineStr">
        <is>
          <t>SOCIETE C301</t>
        </is>
      </c>
      <c r="B1637" t="inlineStr">
        <is>
          <t>C301</t>
        </is>
      </c>
      <c r="C1637" t="inlineStr">
        <is>
          <t>CONSUMER BANKING</t>
        </is>
      </c>
      <c r="D1637" t="inlineStr">
        <is>
          <t>I</t>
        </is>
      </c>
      <c r="E1637" t="inlineStr">
        <is>
          <t>Stage 1</t>
        </is>
      </c>
      <c r="F1637" t="inlineStr">
        <is>
          <t>N/A</t>
        </is>
      </c>
      <c r="G1637" s="26">
        <v>999404133</v>
      </c>
      <c r="H1637" s="26">
        <v>9994041</v>
      </c>
      <c r="I1637" s="26">
        <v>0</v>
      </c>
      <c r="J1637" s="26">
        <v>284</v>
      </c>
      <c r="K1637" t="inlineStr">
        <is>
          <t>Non</t>
        </is>
      </c>
      <c r="L1637">
        <f>SUBTOTAL(103,A1637)</f>
        <v>1</v>
      </c>
    </row>
    <row r="1638">
      <c r="A1638" t="inlineStr">
        <is>
          <t>SOCIETE C677</t>
        </is>
      </c>
      <c r="B1638" t="inlineStr">
        <is>
          <t>C677</t>
        </is>
      </c>
      <c r="C1638" t="inlineStr">
        <is>
          <t>CORPORATE BANKING</t>
        </is>
      </c>
      <c r="D1638" t="inlineStr">
        <is>
          <t>I</t>
        </is>
      </c>
      <c r="E1638" t="inlineStr">
        <is>
          <t>Stage 1</t>
        </is>
      </c>
      <c r="F1638" t="inlineStr">
        <is>
          <t>N/A</t>
        </is>
      </c>
      <c r="G1638" s="26">
        <v>66408266</v>
      </c>
      <c r="H1638" s="26">
        <v>664083</v>
      </c>
      <c r="I1638" s="26">
        <v>3614596</v>
      </c>
      <c r="J1638" s="26">
        <v>1</v>
      </c>
      <c r="K1638" t="inlineStr">
        <is>
          <t>Non</t>
        </is>
      </c>
      <c r="L1638">
        <f>SUBTOTAL(103,A1638)</f>
        <v>1</v>
      </c>
    </row>
    <row r="1639">
      <c r="A1639" t="inlineStr">
        <is>
          <t>SOCIETE C2298</t>
        </is>
      </c>
      <c r="B1639" t="inlineStr">
        <is>
          <t>C2298</t>
        </is>
      </c>
      <c r="C1639" t="inlineStr">
        <is>
          <t>CORPORATE BANKING</t>
        </is>
      </c>
      <c r="D1639" t="inlineStr">
        <is>
          <t>V</t>
        </is>
      </c>
      <c r="E1639" t="inlineStr">
        <is>
          <t>Stage 3</t>
        </is>
      </c>
      <c r="F1639" t="inlineStr">
        <is>
          <t>N/A</t>
        </is>
      </c>
      <c r="G1639" s="26">
        <v>2999350597</v>
      </c>
      <c r="H1639" s="26">
        <v>1649642828</v>
      </c>
      <c r="I1639" s="26">
        <v>101078871</v>
      </c>
      <c r="J1639" s="26">
        <v>0</v>
      </c>
      <c r="K1639" t="inlineStr">
        <is>
          <t>Oui</t>
        </is>
      </c>
      <c r="L1639">
        <f>SUBTOTAL(103,A1639)</f>
        <v>1</v>
      </c>
    </row>
    <row r="1640">
      <c r="A1640" t="inlineStr">
        <is>
          <t>SOCIETE C1811</t>
        </is>
      </c>
      <c r="B1640" t="inlineStr">
        <is>
          <t>C1811</t>
        </is>
      </c>
      <c r="C1640" t="inlineStr">
        <is>
          <t>CORPORATE BANKING</t>
        </is>
      </c>
      <c r="D1640" t="inlineStr">
        <is>
          <t>IA</t>
        </is>
      </c>
      <c r="E1640" t="inlineStr">
        <is>
          <t>Stage 2</t>
        </is>
      </c>
      <c r="F1640" t="inlineStr">
        <is>
          <t>N/A</t>
        </is>
      </c>
      <c r="G1640" s="26">
        <v>5237262</v>
      </c>
      <c r="H1640" s="26">
        <v>314236</v>
      </c>
      <c r="I1640" s="26">
        <v>0</v>
      </c>
      <c r="J1640" s="26">
        <v>16</v>
      </c>
      <c r="K1640" t="inlineStr">
        <is>
          <t>Non</t>
        </is>
      </c>
      <c r="L1640">
        <f>SUBTOTAL(103,A1640)</f>
        <v>1</v>
      </c>
    </row>
    <row r="1641">
      <c r="A1641" t="inlineStr">
        <is>
          <t>SOCIETE C976</t>
        </is>
      </c>
      <c r="B1641" t="inlineStr">
        <is>
          <t>C976</t>
        </is>
      </c>
      <c r="C1641" t="inlineStr">
        <is>
          <t>COMMERCIAL BANKING</t>
        </is>
      </c>
      <c r="D1641" t="inlineStr">
        <is>
          <t>II</t>
        </is>
      </c>
      <c r="E1641" t="inlineStr">
        <is>
          <t>Stage 2</t>
        </is>
      </c>
      <c r="F1641" t="inlineStr">
        <is>
          <t>N/A</t>
        </is>
      </c>
      <c r="G1641" s="26">
        <v>3658744</v>
      </c>
      <c r="H1641" s="26">
        <v>219525</v>
      </c>
      <c r="I1641" s="26">
        <v>614929</v>
      </c>
      <c r="J1641" s="26">
        <v>60</v>
      </c>
      <c r="K1641" t="inlineStr">
        <is>
          <t>Non</t>
        </is>
      </c>
      <c r="L1641">
        <f>SUBTOTAL(103,A1641)</f>
        <v>1</v>
      </c>
    </row>
    <row r="1642">
      <c r="A1642" t="inlineStr">
        <is>
          <t>SOCIETE C1018</t>
        </is>
      </c>
      <c r="B1642" t="inlineStr">
        <is>
          <t>C1018</t>
        </is>
      </c>
      <c r="C1642" t="inlineStr">
        <is>
          <t>CORPORATE BANKING</t>
        </is>
      </c>
      <c r="D1642" t="inlineStr">
        <is>
          <t>I</t>
        </is>
      </c>
      <c r="E1642" t="inlineStr">
        <is>
          <t>Stage 1</t>
        </is>
      </c>
      <c r="F1642" t="inlineStr">
        <is>
          <t>N/A</t>
        </is>
      </c>
      <c r="G1642" s="26">
        <v>87081524</v>
      </c>
      <c r="H1642" s="26">
        <v>870815</v>
      </c>
      <c r="I1642" s="26">
        <v>0</v>
      </c>
      <c r="J1642" s="26">
        <v>364</v>
      </c>
      <c r="K1642" t="inlineStr">
        <is>
          <t>Non</t>
        </is>
      </c>
      <c r="L1642">
        <f>SUBTOTAL(103,A1642)</f>
        <v>1</v>
      </c>
    </row>
    <row r="1643">
      <c r="A1643" t="inlineStr">
        <is>
          <t>SOCIETE C1432</t>
        </is>
      </c>
      <c r="B1643" t="inlineStr">
        <is>
          <t>C1432</t>
        </is>
      </c>
      <c r="C1643" t="inlineStr">
        <is>
          <t>CONSUMER BANKING</t>
        </is>
      </c>
      <c r="D1643" t="inlineStr">
        <is>
          <t>IV</t>
        </is>
      </c>
      <c r="E1643" t="inlineStr">
        <is>
          <t>Stage 3</t>
        </is>
      </c>
      <c r="F1643" t="inlineStr">
        <is>
          <t>N/A</t>
        </is>
      </c>
      <c r="G1643" s="26">
        <v>1643548876</v>
      </c>
      <c r="H1643" s="26">
        <v>903951882</v>
      </c>
      <c r="I1643" s="26">
        <v>153750774</v>
      </c>
      <c r="J1643" s="26">
        <v>100</v>
      </c>
      <c r="K1643" t="inlineStr">
        <is>
          <t>Oui</t>
        </is>
      </c>
      <c r="L1643">
        <f>SUBTOTAL(103,A1643)</f>
        <v>1</v>
      </c>
    </row>
    <row r="1644">
      <c r="A1644" t="inlineStr">
        <is>
          <t>SOCIETE C141</t>
        </is>
      </c>
      <c r="B1644" t="inlineStr">
        <is>
          <t>C141</t>
        </is>
      </c>
      <c r="C1644" t="inlineStr">
        <is>
          <t>CORPORATE BANKING</t>
        </is>
      </c>
      <c r="D1644" t="inlineStr">
        <is>
          <t>I</t>
        </is>
      </c>
      <c r="E1644" t="inlineStr">
        <is>
          <t>Stage 1</t>
        </is>
      </c>
      <c r="F1644" t="inlineStr">
        <is>
          <t>N/A</t>
        </is>
      </c>
      <c r="G1644" s="26">
        <v>1704673849</v>
      </c>
      <c r="H1644" s="26">
        <v>17046738</v>
      </c>
      <c r="I1644" s="26">
        <v>0</v>
      </c>
      <c r="J1644" s="26">
        <v>273</v>
      </c>
      <c r="K1644" t="inlineStr">
        <is>
          <t>Non</t>
        </is>
      </c>
      <c r="L1644">
        <f>SUBTOTAL(103,A1644)</f>
        <v>1</v>
      </c>
    </row>
    <row r="1645">
      <c r="A1645" t="inlineStr">
        <is>
          <t>SOCIETE C1902</t>
        </is>
      </c>
      <c r="B1645" t="inlineStr">
        <is>
          <t>C1902</t>
        </is>
      </c>
      <c r="C1645" t="inlineStr">
        <is>
          <t>CORPORATE BANKING</t>
        </is>
      </c>
      <c r="D1645" t="inlineStr">
        <is>
          <t>I</t>
        </is>
      </c>
      <c r="E1645" t="inlineStr">
        <is>
          <t>Stage 1</t>
        </is>
      </c>
      <c r="F1645" t="inlineStr">
        <is>
          <t>N/A</t>
        </is>
      </c>
      <c r="G1645" s="26">
        <v>1969089292</v>
      </c>
      <c r="H1645" s="26">
        <v>19690893</v>
      </c>
      <c r="I1645" s="26">
        <v>0</v>
      </c>
      <c r="J1645" s="26">
        <v>24</v>
      </c>
      <c r="K1645" t="inlineStr">
        <is>
          <t>Non</t>
        </is>
      </c>
      <c r="L1645">
        <f>SUBTOTAL(103,A1645)</f>
        <v>1</v>
      </c>
    </row>
    <row r="1646">
      <c r="A1646" t="inlineStr">
        <is>
          <t>SOCIETE C892</t>
        </is>
      </c>
      <c r="B1646" t="inlineStr">
        <is>
          <t>C892</t>
        </is>
      </c>
      <c r="C1646" t="inlineStr">
        <is>
          <t>PUBLIC SECTOR</t>
        </is>
      </c>
      <c r="D1646" t="inlineStr">
        <is>
          <t>IA</t>
        </is>
      </c>
      <c r="E1646" t="inlineStr">
        <is>
          <t>Stage 2</t>
        </is>
      </c>
      <c r="F1646" t="inlineStr">
        <is>
          <t>N/A</t>
        </is>
      </c>
      <c r="G1646" s="26">
        <v>27570423</v>
      </c>
      <c r="H1646" s="26">
        <v>1654225</v>
      </c>
      <c r="I1646" s="26">
        <v>1133494</v>
      </c>
      <c r="J1646" s="26">
        <v>170</v>
      </c>
      <c r="K1646" t="inlineStr">
        <is>
          <t>Non</t>
        </is>
      </c>
      <c r="L1646">
        <f>SUBTOTAL(103,A1646)</f>
        <v>1</v>
      </c>
    </row>
    <row r="1647">
      <c r="A1647" t="inlineStr">
        <is>
          <t>SOCIETE C889</t>
        </is>
      </c>
      <c r="B1647" t="inlineStr">
        <is>
          <t>C889</t>
        </is>
      </c>
      <c r="C1647" t="inlineStr">
        <is>
          <t>CORPORATE BANKING</t>
        </is>
      </c>
      <c r="D1647" t="inlineStr">
        <is>
          <t>IV</t>
        </is>
      </c>
      <c r="E1647" t="inlineStr">
        <is>
          <t>Stage 3</t>
        </is>
      </c>
      <c r="F1647" t="inlineStr">
        <is>
          <t>N/A</t>
        </is>
      </c>
      <c r="G1647" s="26">
        <v>1960851097</v>
      </c>
      <c r="H1647" s="26">
        <v>1078468103</v>
      </c>
      <c r="I1647" s="26">
        <v>0</v>
      </c>
      <c r="J1647" s="26">
        <v>43</v>
      </c>
      <c r="K1647" t="inlineStr">
        <is>
          <t>Oui</t>
        </is>
      </c>
      <c r="L1647">
        <f>SUBTOTAL(103,A1647)</f>
        <v>1</v>
      </c>
    </row>
    <row r="1648">
      <c r="A1648" t="inlineStr">
        <is>
          <t>SOCIETE C1350</t>
        </is>
      </c>
      <c r="B1648" t="inlineStr">
        <is>
          <t>C1350</t>
        </is>
      </c>
      <c r="C1648" t="inlineStr">
        <is>
          <t>COMMERCIAL BANKING</t>
        </is>
      </c>
      <c r="D1648" t="inlineStr">
        <is>
          <t>V</t>
        </is>
      </c>
      <c r="E1648" t="inlineStr">
        <is>
          <t>Stage 3</t>
        </is>
      </c>
      <c r="F1648" t="inlineStr">
        <is>
          <t>N/A</t>
        </is>
      </c>
      <c r="G1648" s="26">
        <v>2169936776</v>
      </c>
      <c r="H1648" s="26">
        <v>1193465227</v>
      </c>
      <c r="I1648" s="26">
        <v>0</v>
      </c>
      <c r="J1648" s="26">
        <v>139</v>
      </c>
      <c r="K1648" t="inlineStr">
        <is>
          <t>Oui</t>
        </is>
      </c>
      <c r="L1648">
        <f>SUBTOTAL(103,A1648)</f>
        <v>1</v>
      </c>
    </row>
    <row r="1649">
      <c r="A1649" t="inlineStr">
        <is>
          <t>SOCIETE C866</t>
        </is>
      </c>
      <c r="B1649" t="inlineStr">
        <is>
          <t>C866</t>
        </is>
      </c>
      <c r="C1649" t="inlineStr">
        <is>
          <t>CORPORATE BANKING</t>
        </is>
      </c>
      <c r="D1649" t="inlineStr">
        <is>
          <t>I</t>
        </is>
      </c>
      <c r="E1649" t="inlineStr">
        <is>
          <t>Stage 1</t>
        </is>
      </c>
      <c r="F1649" t="inlineStr">
        <is>
          <t>N/A</t>
        </is>
      </c>
      <c r="G1649" s="26">
        <v>129159599</v>
      </c>
      <c r="H1649" s="26">
        <v>1291596</v>
      </c>
      <c r="I1649" s="26">
        <v>0</v>
      </c>
      <c r="J1649" s="26">
        <v>5</v>
      </c>
      <c r="K1649" t="inlineStr">
        <is>
          <t>Non</t>
        </is>
      </c>
      <c r="L1649">
        <f>SUBTOTAL(103,A1649)</f>
        <v>1</v>
      </c>
    </row>
    <row r="1650">
      <c r="A1650" t="inlineStr">
        <is>
          <t>SOCIETE C1945</t>
        </is>
      </c>
      <c r="B1650" t="inlineStr">
        <is>
          <t>C1945</t>
        </is>
      </c>
      <c r="C1650" t="inlineStr">
        <is>
          <t>CONSUMER BANKING</t>
        </is>
      </c>
      <c r="D1650" t="inlineStr">
        <is>
          <t>IV</t>
        </is>
      </c>
      <c r="E1650" t="inlineStr">
        <is>
          <t>Stage 3</t>
        </is>
      </c>
      <c r="F1650" t="inlineStr">
        <is>
          <t>N/A</t>
        </is>
      </c>
      <c r="G1650" s="26">
        <v>1758748326</v>
      </c>
      <c r="H1650" s="26">
        <v>967311579</v>
      </c>
      <c r="I1650" s="26">
        <v>0</v>
      </c>
      <c r="J1650" s="26">
        <v>99</v>
      </c>
      <c r="K1650" t="inlineStr">
        <is>
          <t>Oui</t>
        </is>
      </c>
      <c r="L1650">
        <f>SUBTOTAL(103,A1650)</f>
        <v>1</v>
      </c>
    </row>
    <row r="1651">
      <c r="A1651" t="inlineStr">
        <is>
          <t>SOCIETE C1393</t>
        </is>
      </c>
      <c r="B1651" t="inlineStr">
        <is>
          <t>C1393</t>
        </is>
      </c>
      <c r="C1651" t="inlineStr">
        <is>
          <t>CORPORATE BANKING</t>
        </is>
      </c>
      <c r="D1651" t="inlineStr">
        <is>
          <t>III</t>
        </is>
      </c>
      <c r="E1651" t="inlineStr">
        <is>
          <t>Stage 3</t>
        </is>
      </c>
      <c r="F1651" t="inlineStr">
        <is>
          <t>N/A</t>
        </is>
      </c>
      <c r="G1651" s="26">
        <v>2271121391</v>
      </c>
      <c r="H1651" s="26">
        <v>1249116765</v>
      </c>
      <c r="I1651" s="26">
        <v>224592030</v>
      </c>
      <c r="J1651" s="26">
        <v>67</v>
      </c>
      <c r="K1651" t="inlineStr">
        <is>
          <t>Oui</t>
        </is>
      </c>
      <c r="L1651">
        <f>SUBTOTAL(103,A1651)</f>
        <v>1</v>
      </c>
    </row>
    <row r="1652">
      <c r="A1652" t="inlineStr">
        <is>
          <t>SOCIETE C1991</t>
        </is>
      </c>
      <c r="B1652" t="inlineStr">
        <is>
          <t>C1991</t>
        </is>
      </c>
      <c r="C1652" t="inlineStr">
        <is>
          <t>CORPORATE BANKING</t>
        </is>
      </c>
      <c r="D1652" t="inlineStr">
        <is>
          <t>IA</t>
        </is>
      </c>
      <c r="E1652" t="inlineStr">
        <is>
          <t>Stage 2</t>
        </is>
      </c>
      <c r="F1652" t="inlineStr">
        <is>
          <t>N/A</t>
        </is>
      </c>
      <c r="G1652" s="26">
        <v>14369383</v>
      </c>
      <c r="H1652" s="26">
        <v>862163</v>
      </c>
      <c r="I1652" s="26">
        <v>0</v>
      </c>
      <c r="J1652" s="26">
        <v>151</v>
      </c>
      <c r="K1652" t="inlineStr">
        <is>
          <t>Non</t>
        </is>
      </c>
      <c r="L1652">
        <f>SUBTOTAL(103,A1652)</f>
        <v>1</v>
      </c>
    </row>
    <row r="1653">
      <c r="A1653" t="inlineStr">
        <is>
          <t>SOCIETE C2072</t>
        </is>
      </c>
      <c r="B1653" t="inlineStr">
        <is>
          <t>C2072</t>
        </is>
      </c>
      <c r="C1653" t="inlineStr">
        <is>
          <t>COMMERCIAL BANKING</t>
        </is>
      </c>
      <c r="D1653" t="inlineStr">
        <is>
          <t>IV</t>
        </is>
      </c>
      <c r="E1653" t="inlineStr">
        <is>
          <t>Stage 3</t>
        </is>
      </c>
      <c r="F1653" t="inlineStr">
        <is>
          <t>N/A</t>
        </is>
      </c>
      <c r="G1653" s="26">
        <v>69100607</v>
      </c>
      <c r="H1653" s="26">
        <v>38005334</v>
      </c>
      <c r="I1653" s="26">
        <v>0</v>
      </c>
      <c r="J1653" s="26">
        <v>261</v>
      </c>
      <c r="K1653" t="inlineStr">
        <is>
          <t>Oui</t>
        </is>
      </c>
      <c r="L1653">
        <f>SUBTOTAL(103,A1653)</f>
        <v>1</v>
      </c>
    </row>
    <row r="1654">
      <c r="A1654" t="inlineStr">
        <is>
          <t>SOCIETE C1036</t>
        </is>
      </c>
      <c r="B1654" t="inlineStr">
        <is>
          <t>C1036</t>
        </is>
      </c>
      <c r="C1654" t="inlineStr">
        <is>
          <t>COMMERCIAL BANKING</t>
        </is>
      </c>
      <c r="D1654" t="inlineStr">
        <is>
          <t>IA</t>
        </is>
      </c>
      <c r="E1654" t="inlineStr">
        <is>
          <t>Stage 2</t>
        </is>
      </c>
      <c r="F1654" t="inlineStr">
        <is>
          <t>N/A</t>
        </is>
      </c>
      <c r="G1654" s="26">
        <v>812015918</v>
      </c>
      <c r="H1654" s="26">
        <v>48720955</v>
      </c>
      <c r="I1654" s="26">
        <v>125743448</v>
      </c>
      <c r="J1654" s="26">
        <v>9</v>
      </c>
      <c r="K1654" t="inlineStr">
        <is>
          <t>Non</t>
        </is>
      </c>
      <c r="L1654">
        <f>SUBTOTAL(103,A1654)</f>
        <v>1</v>
      </c>
    </row>
    <row r="1655">
      <c r="A1655" t="inlineStr">
        <is>
          <t>SOCIETE C785</t>
        </is>
      </c>
      <c r="B1655" t="inlineStr">
        <is>
          <t>C785</t>
        </is>
      </c>
      <c r="C1655" t="inlineStr">
        <is>
          <t>CONSUMER BANKING</t>
        </is>
      </c>
      <c r="D1655" t="inlineStr">
        <is>
          <t>IA</t>
        </is>
      </c>
      <c r="E1655" t="inlineStr">
        <is>
          <t>Stage 2</t>
        </is>
      </c>
      <c r="F1655" t="inlineStr">
        <is>
          <t>N/A</t>
        </is>
      </c>
      <c r="G1655" s="26">
        <v>121904224</v>
      </c>
      <c r="H1655" s="26">
        <v>7314253</v>
      </c>
      <c r="I1655" s="26">
        <v>15496654</v>
      </c>
      <c r="J1655" s="26">
        <v>193</v>
      </c>
      <c r="K1655" t="inlineStr">
        <is>
          <t>Non</t>
        </is>
      </c>
      <c r="L1655">
        <f>SUBTOTAL(103,A1655)</f>
        <v>1</v>
      </c>
    </row>
    <row r="1656">
      <c r="A1656" t="inlineStr">
        <is>
          <t>SOCIETE C2023</t>
        </is>
      </c>
      <c r="B1656" t="inlineStr">
        <is>
          <t>C2023</t>
        </is>
      </c>
      <c r="C1656" t="inlineStr">
        <is>
          <t>COMMERCIAL BANKING</t>
        </is>
      </c>
      <c r="D1656" t="inlineStr">
        <is>
          <t>I</t>
        </is>
      </c>
      <c r="E1656" t="inlineStr">
        <is>
          <t>Stage 1</t>
        </is>
      </c>
      <c r="F1656" t="inlineStr">
        <is>
          <t>N/A</t>
        </is>
      </c>
      <c r="G1656" s="26">
        <v>142450687</v>
      </c>
      <c r="H1656" s="26">
        <v>1424507</v>
      </c>
      <c r="I1656" s="26">
        <v>0</v>
      </c>
      <c r="J1656" s="26">
        <v>161</v>
      </c>
      <c r="K1656" t="inlineStr">
        <is>
          <t>Non</t>
        </is>
      </c>
      <c r="L1656">
        <f>SUBTOTAL(103,A1656)</f>
        <v>1</v>
      </c>
    </row>
    <row r="1657">
      <c r="A1657" t="inlineStr">
        <is>
          <t>SOCIETE C103</t>
        </is>
      </c>
      <c r="B1657" t="inlineStr">
        <is>
          <t>C103</t>
        </is>
      </c>
      <c r="C1657" t="inlineStr">
        <is>
          <t>COMMERCIAL BANKING</t>
        </is>
      </c>
      <c r="D1657" t="inlineStr">
        <is>
          <t>II</t>
        </is>
      </c>
      <c r="E1657" t="inlineStr">
        <is>
          <t>Stage 2</t>
        </is>
      </c>
      <c r="F1657" t="inlineStr">
        <is>
          <t>N/A</t>
        </is>
      </c>
      <c r="G1657" s="26">
        <v>502914936</v>
      </c>
      <c r="H1657" s="26">
        <v>30174896</v>
      </c>
      <c r="I1657" s="26">
        <v>0</v>
      </c>
      <c r="J1657" s="26">
        <v>90</v>
      </c>
      <c r="K1657" t="inlineStr">
        <is>
          <t>Non</t>
        </is>
      </c>
      <c r="L1657">
        <f>SUBTOTAL(103,A1657)</f>
        <v>1</v>
      </c>
    </row>
    <row r="1658">
      <c r="A1658" t="inlineStr">
        <is>
          <t>SOCIETE C1755</t>
        </is>
      </c>
      <c r="B1658" t="inlineStr">
        <is>
          <t>C1755</t>
        </is>
      </c>
      <c r="C1658" t="inlineStr">
        <is>
          <t>CONSUMER BANKING</t>
        </is>
      </c>
      <c r="D1658" t="inlineStr">
        <is>
          <t>I</t>
        </is>
      </c>
      <c r="E1658" t="inlineStr">
        <is>
          <t>Stage 1</t>
        </is>
      </c>
      <c r="F1658" t="inlineStr">
        <is>
          <t>N/A</t>
        </is>
      </c>
      <c r="G1658" s="26">
        <v>86195973</v>
      </c>
      <c r="H1658" s="26">
        <v>861960</v>
      </c>
      <c r="I1658" s="26">
        <v>0</v>
      </c>
      <c r="J1658" s="26">
        <v>114</v>
      </c>
      <c r="K1658" t="inlineStr">
        <is>
          <t>Non</t>
        </is>
      </c>
      <c r="L1658">
        <f>SUBTOTAL(103,A1658)</f>
        <v>1</v>
      </c>
    </row>
    <row r="1659">
      <c r="A1659" t="inlineStr">
        <is>
          <t>SOCIETE C464</t>
        </is>
      </c>
      <c r="B1659" t="inlineStr">
        <is>
          <t>C464</t>
        </is>
      </c>
      <c r="C1659" t="inlineStr">
        <is>
          <t>CORPORATE BANKING</t>
        </is>
      </c>
      <c r="D1659" t="inlineStr">
        <is>
          <t>I</t>
        </is>
      </c>
      <c r="E1659" t="inlineStr">
        <is>
          <t>Stage 1</t>
        </is>
      </c>
      <c r="F1659" t="inlineStr">
        <is>
          <t>N/A</t>
        </is>
      </c>
      <c r="G1659" s="26">
        <v>1003759</v>
      </c>
      <c r="H1659" s="26">
        <v>10038</v>
      </c>
      <c r="I1659" s="26">
        <v>0</v>
      </c>
      <c r="J1659" s="26">
        <v>75</v>
      </c>
      <c r="K1659" t="inlineStr">
        <is>
          <t>Non</t>
        </is>
      </c>
      <c r="L1659">
        <f>SUBTOTAL(103,A1659)</f>
        <v>1</v>
      </c>
    </row>
    <row r="1660">
      <c r="A1660" t="inlineStr">
        <is>
          <t>SOCIETE C2214</t>
        </is>
      </c>
      <c r="B1660" t="inlineStr">
        <is>
          <t>C2214</t>
        </is>
      </c>
      <c r="C1660" t="inlineStr">
        <is>
          <t>INSTITUTIONAL</t>
        </is>
      </c>
      <c r="D1660" t="inlineStr">
        <is>
          <t>I</t>
        </is>
      </c>
      <c r="E1660" t="inlineStr">
        <is>
          <t>Stage 1</t>
        </is>
      </c>
      <c r="F1660" t="inlineStr">
        <is>
          <t>N/A</t>
        </is>
      </c>
      <c r="G1660" s="26">
        <v>2985436605</v>
      </c>
      <c r="H1660" s="26">
        <v>29854366</v>
      </c>
      <c r="I1660" s="26">
        <v>0</v>
      </c>
      <c r="J1660" s="26">
        <v>2</v>
      </c>
      <c r="K1660" t="inlineStr">
        <is>
          <t>Non</t>
        </is>
      </c>
      <c r="L1660">
        <f>SUBTOTAL(103,A1660)</f>
        <v>1</v>
      </c>
    </row>
    <row r="1661">
      <c r="A1661" t="inlineStr">
        <is>
          <t>SOCIETE C2245</t>
        </is>
      </c>
      <c r="B1661" t="inlineStr">
        <is>
          <t>C2245</t>
        </is>
      </c>
      <c r="C1661" t="inlineStr">
        <is>
          <t>CORPORATE BANKING</t>
        </is>
      </c>
      <c r="D1661" t="inlineStr">
        <is>
          <t>IA</t>
        </is>
      </c>
      <c r="E1661" t="inlineStr">
        <is>
          <t>Stage 2</t>
        </is>
      </c>
      <c r="F1661" t="inlineStr">
        <is>
          <t>N/A</t>
        </is>
      </c>
      <c r="G1661" s="26">
        <v>1456306512</v>
      </c>
      <c r="H1661" s="26">
        <v>87378391</v>
      </c>
      <c r="I1661" s="26">
        <v>0</v>
      </c>
      <c r="J1661" s="26">
        <v>113</v>
      </c>
      <c r="K1661" t="inlineStr">
        <is>
          <t>Non</t>
        </is>
      </c>
      <c r="L1661">
        <f>SUBTOTAL(103,A1661)</f>
        <v>1</v>
      </c>
    </row>
    <row r="1662">
      <c r="A1662" t="inlineStr">
        <is>
          <t>SOCIETE C2271</t>
        </is>
      </c>
      <c r="B1662" t="inlineStr">
        <is>
          <t>C2271</t>
        </is>
      </c>
      <c r="C1662" t="inlineStr">
        <is>
          <t>CONSUMER BANKING</t>
        </is>
      </c>
      <c r="D1662" t="inlineStr">
        <is>
          <t>I</t>
        </is>
      </c>
      <c r="E1662" t="inlineStr">
        <is>
          <t>Stage 1</t>
        </is>
      </c>
      <c r="F1662" t="inlineStr">
        <is>
          <t>N/A</t>
        </is>
      </c>
      <c r="G1662" s="26">
        <v>281898962</v>
      </c>
      <c r="H1662" s="26">
        <v>2818990</v>
      </c>
      <c r="I1662" s="26">
        <v>32850884</v>
      </c>
      <c r="J1662" s="26">
        <v>156</v>
      </c>
      <c r="K1662" t="inlineStr">
        <is>
          <t>Non</t>
        </is>
      </c>
      <c r="L1662">
        <f>SUBTOTAL(103,A1662)</f>
        <v>1</v>
      </c>
    </row>
    <row r="1663">
      <c r="A1663" t="inlineStr">
        <is>
          <t>SOCIETE C377</t>
        </is>
      </c>
      <c r="B1663" t="inlineStr">
        <is>
          <t>C377</t>
        </is>
      </c>
      <c r="C1663" t="inlineStr">
        <is>
          <t>CORPORATE BANKING</t>
        </is>
      </c>
      <c r="D1663" t="inlineStr">
        <is>
          <t>I</t>
        </is>
      </c>
      <c r="E1663" t="inlineStr">
        <is>
          <t>Stage 1</t>
        </is>
      </c>
      <c r="F1663" t="inlineStr">
        <is>
          <t>N/A</t>
        </is>
      </c>
      <c r="G1663" s="26">
        <v>1905657658</v>
      </c>
      <c r="H1663" s="26">
        <v>19056577</v>
      </c>
      <c r="I1663" s="26">
        <v>0</v>
      </c>
      <c r="J1663" s="26">
        <v>54</v>
      </c>
      <c r="K1663" t="inlineStr">
        <is>
          <t>Non</t>
        </is>
      </c>
      <c r="L1663">
        <f>SUBTOTAL(103,A1663)</f>
        <v>1</v>
      </c>
    </row>
    <row r="1664">
      <c r="A1664" t="inlineStr">
        <is>
          <t>SOCIETE C1217</t>
        </is>
      </c>
      <c r="B1664" t="inlineStr">
        <is>
          <t>C1217</t>
        </is>
      </c>
      <c r="C1664" t="inlineStr">
        <is>
          <t>CORPORATE BANKING</t>
        </is>
      </c>
      <c r="D1664" t="inlineStr">
        <is>
          <t>V</t>
        </is>
      </c>
      <c r="E1664" t="inlineStr">
        <is>
          <t>Stage 3</t>
        </is>
      </c>
      <c r="F1664" t="inlineStr">
        <is>
          <t>N/A</t>
        </is>
      </c>
      <c r="G1664" s="26">
        <v>2795172493</v>
      </c>
      <c r="H1664" s="26">
        <v>1537344871</v>
      </c>
      <c r="I1664" s="26">
        <v>0</v>
      </c>
      <c r="J1664" s="26">
        <v>6</v>
      </c>
      <c r="K1664" t="inlineStr">
        <is>
          <t>Oui</t>
        </is>
      </c>
      <c r="L1664">
        <f>SUBTOTAL(103,A1664)</f>
        <v>1</v>
      </c>
    </row>
    <row r="1665">
      <c r="A1665" t="inlineStr">
        <is>
          <t>SOCIETE C318</t>
        </is>
      </c>
      <c r="B1665" t="inlineStr">
        <is>
          <t>C318</t>
        </is>
      </c>
      <c r="C1665" t="inlineStr">
        <is>
          <t>CORPORATE BANKING</t>
        </is>
      </c>
      <c r="D1665" t="inlineStr">
        <is>
          <t>I</t>
        </is>
      </c>
      <c r="E1665" t="inlineStr">
        <is>
          <t>Stage 1</t>
        </is>
      </c>
      <c r="F1665" t="inlineStr">
        <is>
          <t>N/A</t>
        </is>
      </c>
      <c r="G1665" s="26">
        <v>744511895</v>
      </c>
      <c r="H1665" s="26">
        <v>7445119</v>
      </c>
      <c r="I1665" s="26">
        <v>0</v>
      </c>
      <c r="J1665" s="26">
        <v>257</v>
      </c>
      <c r="K1665" t="inlineStr">
        <is>
          <t>Non</t>
        </is>
      </c>
      <c r="L1665">
        <f>SUBTOTAL(103,A1665)</f>
        <v>1</v>
      </c>
    </row>
    <row r="1666">
      <c r="A1666" t="inlineStr">
        <is>
          <t>SOCIETE C1926</t>
        </is>
      </c>
      <c r="B1666" t="inlineStr">
        <is>
          <t>C1926</t>
        </is>
      </c>
      <c r="C1666" t="inlineStr">
        <is>
          <t>PUBLIC SECTOR</t>
        </is>
      </c>
      <c r="D1666" t="inlineStr">
        <is>
          <t>III</t>
        </is>
      </c>
      <c r="E1666" t="inlineStr">
        <is>
          <t>Stage 3</t>
        </is>
      </c>
      <c r="F1666" t="inlineStr">
        <is>
          <t>N/A</t>
        </is>
      </c>
      <c r="G1666" s="26">
        <v>2366342591</v>
      </c>
      <c r="H1666" s="26">
        <v>1301488425</v>
      </c>
      <c r="I1666" s="26">
        <v>0</v>
      </c>
      <c r="J1666" s="26">
        <v>68</v>
      </c>
      <c r="K1666" t="inlineStr">
        <is>
          <t>Oui</t>
        </is>
      </c>
      <c r="L1666">
        <f>SUBTOTAL(103,A1666)</f>
        <v>1</v>
      </c>
    </row>
    <row r="1667">
      <c r="A1667" t="inlineStr">
        <is>
          <t>SOCIETE C745</t>
        </is>
      </c>
      <c r="B1667" t="inlineStr">
        <is>
          <t>C745</t>
        </is>
      </c>
      <c r="C1667" t="inlineStr">
        <is>
          <t>COMMERCIAL BANKING</t>
        </is>
      </c>
      <c r="D1667" t="inlineStr">
        <is>
          <t>V</t>
        </is>
      </c>
      <c r="E1667" t="inlineStr">
        <is>
          <t>Stage 3</t>
        </is>
      </c>
      <c r="F1667" t="inlineStr">
        <is>
          <t>N/A</t>
        </is>
      </c>
      <c r="G1667" s="26">
        <v>354444563</v>
      </c>
      <c r="H1667" s="26">
        <v>194944510</v>
      </c>
      <c r="I1667" s="26">
        <v>0</v>
      </c>
      <c r="J1667" s="26">
        <v>25</v>
      </c>
      <c r="K1667" t="inlineStr">
        <is>
          <t>Oui</t>
        </is>
      </c>
      <c r="L1667">
        <f>SUBTOTAL(103,A1667)</f>
        <v>1</v>
      </c>
    </row>
    <row r="1668">
      <c r="A1668" t="inlineStr">
        <is>
          <t>SOCIETE C159</t>
        </is>
      </c>
      <c r="B1668" t="inlineStr">
        <is>
          <t>C159</t>
        </is>
      </c>
      <c r="C1668" t="inlineStr">
        <is>
          <t>CONSUMER BANKING</t>
        </is>
      </c>
      <c r="D1668" t="inlineStr">
        <is>
          <t>V</t>
        </is>
      </c>
      <c r="E1668" t="inlineStr">
        <is>
          <t>Stage 3</t>
        </is>
      </c>
      <c r="F1668" t="inlineStr">
        <is>
          <t>N/A</t>
        </is>
      </c>
      <c r="G1668" s="26">
        <v>844144137</v>
      </c>
      <c r="H1668" s="26">
        <v>464279275</v>
      </c>
      <c r="I1668" s="26">
        <v>5008190</v>
      </c>
      <c r="J1668" s="26">
        <v>139</v>
      </c>
      <c r="K1668" t="inlineStr">
        <is>
          <t>Oui</t>
        </is>
      </c>
      <c r="L1668">
        <f>SUBTOTAL(103,A1668)</f>
        <v>1</v>
      </c>
    </row>
    <row r="1669">
      <c r="A1669" t="inlineStr">
        <is>
          <t>SOCIETE C2441</t>
        </is>
      </c>
      <c r="B1669" t="inlineStr">
        <is>
          <t>C2441</t>
        </is>
      </c>
      <c r="C1669" t="inlineStr">
        <is>
          <t>CORPORATE BANKING</t>
        </is>
      </c>
      <c r="D1669" t="inlineStr">
        <is>
          <t>IA</t>
        </is>
      </c>
      <c r="E1669" t="inlineStr">
        <is>
          <t>Stage 2</t>
        </is>
      </c>
      <c r="F1669" t="inlineStr">
        <is>
          <t>N/A</t>
        </is>
      </c>
      <c r="G1669" s="26">
        <v>229271821</v>
      </c>
      <c r="H1669" s="26">
        <v>13756309</v>
      </c>
      <c r="I1669" s="26">
        <v>0</v>
      </c>
      <c r="J1669" s="26">
        <v>109</v>
      </c>
      <c r="K1669" t="inlineStr">
        <is>
          <t>Non</t>
        </is>
      </c>
      <c r="L1669">
        <f>SUBTOTAL(103,A1669)</f>
        <v>1</v>
      </c>
    </row>
    <row r="1670">
      <c r="A1670" t="inlineStr">
        <is>
          <t>SOCIETE C1217</t>
        </is>
      </c>
      <c r="B1670" t="inlineStr">
        <is>
          <t>C1217</t>
        </is>
      </c>
      <c r="C1670" t="inlineStr">
        <is>
          <t>COMMERCIAL BANKING</t>
        </is>
      </c>
      <c r="D1670" t="inlineStr">
        <is>
          <t>II</t>
        </is>
      </c>
      <c r="E1670" t="inlineStr">
        <is>
          <t>Stage 2</t>
        </is>
      </c>
      <c r="F1670" t="inlineStr">
        <is>
          <t>N/A</t>
        </is>
      </c>
      <c r="G1670" s="26">
        <v>620004065</v>
      </c>
      <c r="H1670" s="26">
        <v>37200244</v>
      </c>
      <c r="I1670" s="26">
        <v>120373017</v>
      </c>
      <c r="J1670" s="26">
        <v>0</v>
      </c>
      <c r="K1670" t="inlineStr">
        <is>
          <t>Non</t>
        </is>
      </c>
      <c r="L1670">
        <f>SUBTOTAL(103,A1670)</f>
        <v>1</v>
      </c>
    </row>
    <row r="1671">
      <c r="A1671" t="inlineStr">
        <is>
          <t>SOCIETE C1151</t>
        </is>
      </c>
      <c r="B1671" t="inlineStr">
        <is>
          <t>C1151</t>
        </is>
      </c>
      <c r="C1671" t="inlineStr">
        <is>
          <t>CORPORATE BANKING</t>
        </is>
      </c>
      <c r="D1671" t="inlineStr">
        <is>
          <t>I</t>
        </is>
      </c>
      <c r="E1671" t="inlineStr">
        <is>
          <t>Stage 1</t>
        </is>
      </c>
      <c r="F1671" t="inlineStr">
        <is>
          <t>N/A</t>
        </is>
      </c>
      <c r="G1671" s="26">
        <v>1450879038</v>
      </c>
      <c r="H1671" s="26">
        <v>14508790</v>
      </c>
      <c r="I1671" s="26">
        <v>0</v>
      </c>
      <c r="J1671" s="26">
        <v>389</v>
      </c>
      <c r="K1671" t="inlineStr">
        <is>
          <t>Non</t>
        </is>
      </c>
      <c r="L1671">
        <f>SUBTOTAL(103,A1671)</f>
        <v>1</v>
      </c>
    </row>
    <row r="1672">
      <c r="A1672" t="inlineStr">
        <is>
          <t>SOCIETE C1675</t>
        </is>
      </c>
      <c r="B1672" t="inlineStr">
        <is>
          <t>C1675</t>
        </is>
      </c>
      <c r="C1672" t="inlineStr">
        <is>
          <t>CONSUMER BANKING</t>
        </is>
      </c>
      <c r="D1672" t="inlineStr">
        <is>
          <t>IV</t>
        </is>
      </c>
      <c r="E1672" t="inlineStr">
        <is>
          <t>Stage 3</t>
        </is>
      </c>
      <c r="F1672" t="inlineStr">
        <is>
          <t>N/A</t>
        </is>
      </c>
      <c r="G1672" s="26">
        <v>1970265707</v>
      </c>
      <c r="H1672" s="26">
        <v>1083646139</v>
      </c>
      <c r="I1672" s="26">
        <v>0</v>
      </c>
      <c r="J1672" s="26">
        <v>42</v>
      </c>
      <c r="K1672" t="inlineStr">
        <is>
          <t>Oui</t>
        </is>
      </c>
      <c r="L1672">
        <f>SUBTOTAL(103,A1672)</f>
        <v>1</v>
      </c>
    </row>
    <row r="1673">
      <c r="A1673" t="inlineStr">
        <is>
          <t>SOCIETE C947</t>
        </is>
      </c>
      <c r="B1673" t="inlineStr">
        <is>
          <t>C947</t>
        </is>
      </c>
      <c r="C1673" t="inlineStr">
        <is>
          <t>CORPORATE BANKING</t>
        </is>
      </c>
      <c r="D1673" t="inlineStr">
        <is>
          <t>III</t>
        </is>
      </c>
      <c r="E1673" t="inlineStr">
        <is>
          <t>Stage 3</t>
        </is>
      </c>
      <c r="F1673" t="inlineStr">
        <is>
          <t>N/A</t>
        </is>
      </c>
      <c r="G1673" s="26">
        <v>1332848636</v>
      </c>
      <c r="H1673" s="26">
        <v>733066750</v>
      </c>
      <c r="I1673" s="26">
        <v>40285174</v>
      </c>
      <c r="J1673" s="26">
        <v>26</v>
      </c>
      <c r="K1673" t="inlineStr">
        <is>
          <t>Oui</t>
        </is>
      </c>
      <c r="L1673">
        <f>SUBTOTAL(103,A1673)</f>
        <v>1</v>
      </c>
    </row>
    <row r="1674">
      <c r="A1674" t="inlineStr">
        <is>
          <t>SOCIETE C2256</t>
        </is>
      </c>
      <c r="B1674" t="inlineStr">
        <is>
          <t>C2256</t>
        </is>
      </c>
      <c r="C1674" t="inlineStr">
        <is>
          <t>COMMERCIAL BANKING</t>
        </is>
      </c>
      <c r="D1674" t="inlineStr">
        <is>
          <t>IA</t>
        </is>
      </c>
      <c r="E1674" t="inlineStr">
        <is>
          <t>Stage 2</t>
        </is>
      </c>
      <c r="F1674" t="inlineStr">
        <is>
          <t>N/A</t>
        </is>
      </c>
      <c r="G1674" s="26">
        <v>383465901</v>
      </c>
      <c r="H1674" s="26">
        <v>23007954</v>
      </c>
      <c r="I1674" s="26">
        <v>17588420</v>
      </c>
      <c r="J1674" s="26">
        <v>168</v>
      </c>
      <c r="K1674" t="inlineStr">
        <is>
          <t>Non</t>
        </is>
      </c>
      <c r="L1674">
        <f>SUBTOTAL(103,A1674)</f>
        <v>1</v>
      </c>
    </row>
    <row r="1675">
      <c r="A1675" t="inlineStr">
        <is>
          <t>SOCIETE C1474</t>
        </is>
      </c>
      <c r="B1675" t="inlineStr">
        <is>
          <t>C1474</t>
        </is>
      </c>
      <c r="C1675" t="inlineStr">
        <is>
          <t>CORPORATE BANKING</t>
        </is>
      </c>
      <c r="D1675" t="inlineStr">
        <is>
          <t>IA</t>
        </is>
      </c>
      <c r="E1675" t="inlineStr">
        <is>
          <t>Stage 2</t>
        </is>
      </c>
      <c r="F1675" t="inlineStr">
        <is>
          <t>N/A</t>
        </is>
      </c>
      <c r="G1675" s="26">
        <v>2373121869</v>
      </c>
      <c r="H1675" s="26">
        <v>142387312</v>
      </c>
      <c r="I1675" s="26">
        <v>0</v>
      </c>
      <c r="J1675" s="26">
        <v>73</v>
      </c>
      <c r="K1675" t="inlineStr">
        <is>
          <t>Non</t>
        </is>
      </c>
      <c r="L1675">
        <f>SUBTOTAL(103,A1675)</f>
        <v>1</v>
      </c>
    </row>
    <row r="1676">
      <c r="A1676" t="inlineStr">
        <is>
          <t>SOCIETE C822</t>
        </is>
      </c>
      <c r="B1676" t="inlineStr">
        <is>
          <t>C822</t>
        </is>
      </c>
      <c r="C1676" t="inlineStr">
        <is>
          <t>CORPORATE BANKING</t>
        </is>
      </c>
      <c r="D1676" t="inlineStr">
        <is>
          <t>V</t>
        </is>
      </c>
      <c r="E1676" t="inlineStr">
        <is>
          <t>Stage 3</t>
        </is>
      </c>
      <c r="F1676" t="inlineStr">
        <is>
          <t>N/A</t>
        </is>
      </c>
      <c r="G1676" s="26">
        <v>382439522</v>
      </c>
      <c r="H1676" s="26">
        <v>210341737</v>
      </c>
      <c r="I1676" s="26">
        <v>53645823</v>
      </c>
      <c r="J1676" s="26">
        <v>122</v>
      </c>
      <c r="K1676" t="inlineStr">
        <is>
          <t>Oui</t>
        </is>
      </c>
      <c r="L1676">
        <f>SUBTOTAL(103,A1676)</f>
        <v>1</v>
      </c>
    </row>
    <row r="1677">
      <c r="A1677" t="inlineStr">
        <is>
          <t>SOCIETE C1553</t>
        </is>
      </c>
      <c r="B1677" t="inlineStr">
        <is>
          <t>C1553</t>
        </is>
      </c>
      <c r="C1677" t="inlineStr">
        <is>
          <t>CONSUMER BANKING</t>
        </is>
      </c>
      <c r="D1677" t="inlineStr">
        <is>
          <t>V</t>
        </is>
      </c>
      <c r="E1677" t="inlineStr">
        <is>
          <t>Stage 3</t>
        </is>
      </c>
      <c r="F1677" t="inlineStr">
        <is>
          <t>N/A</t>
        </is>
      </c>
      <c r="G1677" s="26">
        <v>603903392</v>
      </c>
      <c r="H1677" s="26">
        <v>332146866</v>
      </c>
      <c r="I1677" s="26">
        <v>62708026</v>
      </c>
      <c r="J1677" s="26">
        <v>3</v>
      </c>
      <c r="K1677" t="inlineStr">
        <is>
          <t>Oui</t>
        </is>
      </c>
      <c r="L1677">
        <f>SUBTOTAL(103,A1677)</f>
        <v>1</v>
      </c>
    </row>
    <row r="1678">
      <c r="A1678" t="inlineStr">
        <is>
          <t>SOCIETE C1889</t>
        </is>
      </c>
      <c r="B1678" t="inlineStr">
        <is>
          <t>C1889</t>
        </is>
      </c>
      <c r="C1678" t="inlineStr">
        <is>
          <t>COMMERCIAL BANKING</t>
        </is>
      </c>
      <c r="D1678" t="inlineStr">
        <is>
          <t>V</t>
        </is>
      </c>
      <c r="E1678" t="inlineStr">
        <is>
          <t>Stage 3</t>
        </is>
      </c>
      <c r="F1678" t="inlineStr">
        <is>
          <t>N/A</t>
        </is>
      </c>
      <c r="G1678" s="26">
        <v>24391663</v>
      </c>
      <c r="H1678" s="26">
        <v>13415414</v>
      </c>
      <c r="I1678" s="26">
        <v>0</v>
      </c>
      <c r="J1678" s="26">
        <v>19</v>
      </c>
      <c r="K1678" t="inlineStr">
        <is>
          <t>Oui</t>
        </is>
      </c>
      <c r="L1678">
        <f>SUBTOTAL(103,A1678)</f>
        <v>1</v>
      </c>
    </row>
    <row r="1679">
      <c r="A1679" t="inlineStr">
        <is>
          <t>SOCIETE C2059</t>
        </is>
      </c>
      <c r="B1679" t="inlineStr">
        <is>
          <t>C2059</t>
        </is>
      </c>
      <c r="C1679" t="inlineStr">
        <is>
          <t>CONSUMER BANKING</t>
        </is>
      </c>
      <c r="D1679" t="inlineStr">
        <is>
          <t>III</t>
        </is>
      </c>
      <c r="E1679" t="inlineStr">
        <is>
          <t>Stage 3</t>
        </is>
      </c>
      <c r="F1679" t="inlineStr">
        <is>
          <t>N/A</t>
        </is>
      </c>
      <c r="G1679" s="26">
        <v>1503058429</v>
      </c>
      <c r="H1679" s="26">
        <v>826682136</v>
      </c>
      <c r="I1679" s="26">
        <v>0</v>
      </c>
      <c r="J1679" s="26">
        <v>53</v>
      </c>
      <c r="K1679" t="inlineStr">
        <is>
          <t>Oui</t>
        </is>
      </c>
      <c r="L1679">
        <f>SUBTOTAL(103,A1679)</f>
        <v>1</v>
      </c>
    </row>
    <row r="1680">
      <c r="A1680" t="inlineStr">
        <is>
          <t>SOCIETE C1267</t>
        </is>
      </c>
      <c r="B1680" t="inlineStr">
        <is>
          <t>C1267</t>
        </is>
      </c>
      <c r="C1680" t="inlineStr">
        <is>
          <t>PUBLIC SECTOR</t>
        </is>
      </c>
      <c r="D1680" t="inlineStr">
        <is>
          <t>I</t>
        </is>
      </c>
      <c r="E1680" t="inlineStr">
        <is>
          <t>Stage 1</t>
        </is>
      </c>
      <c r="F1680" t="inlineStr">
        <is>
          <t>N/A</t>
        </is>
      </c>
      <c r="G1680" s="26">
        <v>2845531724</v>
      </c>
      <c r="H1680" s="26">
        <v>28455317</v>
      </c>
      <c r="I1680" s="26">
        <v>0</v>
      </c>
      <c r="J1680" s="26">
        <v>14</v>
      </c>
      <c r="K1680" t="inlineStr">
        <is>
          <t>Non</t>
        </is>
      </c>
      <c r="L1680">
        <f>SUBTOTAL(103,A1680)</f>
        <v>1</v>
      </c>
    </row>
    <row r="1681">
      <c r="A1681" t="inlineStr">
        <is>
          <t>SOCIETE C1721</t>
        </is>
      </c>
      <c r="B1681" t="inlineStr">
        <is>
          <t>C1721</t>
        </is>
      </c>
      <c r="C1681" t="inlineStr">
        <is>
          <t>COMMERCIAL BANKING</t>
        </is>
      </c>
      <c r="D1681" t="inlineStr">
        <is>
          <t>V</t>
        </is>
      </c>
      <c r="E1681" t="inlineStr">
        <is>
          <t>Stage 3</t>
        </is>
      </c>
      <c r="F1681" t="inlineStr">
        <is>
          <t>N/A</t>
        </is>
      </c>
      <c r="G1681" s="26">
        <v>583032855</v>
      </c>
      <c r="H1681" s="26">
        <v>320668070</v>
      </c>
      <c r="I1681" s="26">
        <v>0</v>
      </c>
      <c r="J1681" s="26">
        <v>18</v>
      </c>
      <c r="K1681" t="inlineStr">
        <is>
          <t>Oui</t>
        </is>
      </c>
      <c r="L1681">
        <f>SUBTOTAL(103,A1681)</f>
        <v>1</v>
      </c>
    </row>
    <row r="1682">
      <c r="A1682" t="inlineStr">
        <is>
          <t>SOCIETE C1061</t>
        </is>
      </c>
      <c r="B1682" t="inlineStr">
        <is>
          <t>C1061</t>
        </is>
      </c>
      <c r="C1682" t="inlineStr">
        <is>
          <t>CONSUMER BANKING</t>
        </is>
      </c>
      <c r="D1682" t="inlineStr">
        <is>
          <t>I</t>
        </is>
      </c>
      <c r="E1682" t="inlineStr">
        <is>
          <t>Stage 1</t>
        </is>
      </c>
      <c r="F1682" t="inlineStr">
        <is>
          <t>N/A</t>
        </is>
      </c>
      <c r="G1682" s="26">
        <v>821908974</v>
      </c>
      <c r="H1682" s="26">
        <v>8219090</v>
      </c>
      <c r="I1682" s="26">
        <v>77213005</v>
      </c>
      <c r="J1682" s="26">
        <v>71</v>
      </c>
      <c r="K1682" t="inlineStr">
        <is>
          <t>Non</t>
        </is>
      </c>
      <c r="L1682">
        <f>SUBTOTAL(103,A1682)</f>
        <v>1</v>
      </c>
    </row>
    <row r="1683">
      <c r="A1683" t="inlineStr">
        <is>
          <t>SOCIETE C1220</t>
        </is>
      </c>
      <c r="B1683" t="inlineStr">
        <is>
          <t>C1220</t>
        </is>
      </c>
      <c r="C1683" t="inlineStr">
        <is>
          <t>SME</t>
        </is>
      </c>
      <c r="D1683" t="inlineStr">
        <is>
          <t>I</t>
        </is>
      </c>
      <c r="E1683" t="inlineStr">
        <is>
          <t>Stage 1</t>
        </is>
      </c>
      <c r="F1683" t="inlineStr">
        <is>
          <t>N/A</t>
        </is>
      </c>
      <c r="G1683" s="26">
        <v>824634818</v>
      </c>
      <c r="H1683" s="26">
        <v>8246348</v>
      </c>
      <c r="I1683" s="26">
        <v>0</v>
      </c>
      <c r="J1683" s="26">
        <v>80</v>
      </c>
      <c r="K1683" t="inlineStr">
        <is>
          <t>Non</t>
        </is>
      </c>
      <c r="L1683">
        <f>SUBTOTAL(103,A1683)</f>
        <v>1</v>
      </c>
    </row>
    <row r="1684">
      <c r="A1684" t="inlineStr">
        <is>
          <t>SOCIETE C659</t>
        </is>
      </c>
      <c r="B1684" t="inlineStr">
        <is>
          <t>C659</t>
        </is>
      </c>
      <c r="C1684" t="inlineStr">
        <is>
          <t>CORPORATE BANKING</t>
        </is>
      </c>
      <c r="D1684" t="inlineStr">
        <is>
          <t>II</t>
        </is>
      </c>
      <c r="E1684" t="inlineStr">
        <is>
          <t>Stage 2</t>
        </is>
      </c>
      <c r="F1684" t="inlineStr">
        <is>
          <t>N/A</t>
        </is>
      </c>
      <c r="G1684" s="26">
        <v>573497721</v>
      </c>
      <c r="H1684" s="26">
        <v>34409863</v>
      </c>
      <c r="I1684" s="26">
        <v>0</v>
      </c>
      <c r="J1684" s="26">
        <v>10</v>
      </c>
      <c r="K1684" t="inlineStr">
        <is>
          <t>Non</t>
        </is>
      </c>
      <c r="L1684">
        <f>SUBTOTAL(103,A1684)</f>
        <v>1</v>
      </c>
    </row>
    <row r="1685">
      <c r="A1685" t="inlineStr">
        <is>
          <t>SOCIETE C1457</t>
        </is>
      </c>
      <c r="B1685" t="inlineStr">
        <is>
          <t>C1457</t>
        </is>
      </c>
      <c r="C1685" t="inlineStr">
        <is>
          <t>CONSUMER BANKING</t>
        </is>
      </c>
      <c r="D1685" t="inlineStr">
        <is>
          <t>I</t>
        </is>
      </c>
      <c r="E1685" t="inlineStr">
        <is>
          <t>Stage 1</t>
        </is>
      </c>
      <c r="F1685" t="inlineStr">
        <is>
          <t>N/A</t>
        </is>
      </c>
      <c r="G1685" s="26">
        <v>2154744</v>
      </c>
      <c r="H1685" s="26">
        <v>21547</v>
      </c>
      <c r="I1685" s="26">
        <v>0</v>
      </c>
      <c r="J1685" s="26">
        <v>59</v>
      </c>
      <c r="K1685" t="inlineStr">
        <is>
          <t>Non</t>
        </is>
      </c>
      <c r="L1685">
        <f>SUBTOTAL(103,A1685)</f>
        <v>1</v>
      </c>
    </row>
    <row r="1686">
      <c r="A1686" t="inlineStr">
        <is>
          <t>SOCIETE C1575</t>
        </is>
      </c>
      <c r="B1686" t="inlineStr">
        <is>
          <t>C1575</t>
        </is>
      </c>
      <c r="C1686" t="inlineStr">
        <is>
          <t>CONSUMER BANKING</t>
        </is>
      </c>
      <c r="D1686" t="inlineStr">
        <is>
          <t>V</t>
        </is>
      </c>
      <c r="E1686" t="inlineStr">
        <is>
          <t>Stage 3</t>
        </is>
      </c>
      <c r="F1686" t="inlineStr">
        <is>
          <t>N/A</t>
        </is>
      </c>
      <c r="G1686" s="26">
        <v>2024128</v>
      </c>
      <c r="H1686" s="26">
        <v>1113271</v>
      </c>
      <c r="I1686" s="26">
        <v>22946</v>
      </c>
      <c r="J1686" s="26">
        <v>181</v>
      </c>
      <c r="K1686" t="inlineStr">
        <is>
          <t>Oui</t>
        </is>
      </c>
      <c r="L1686">
        <f>SUBTOTAL(103,A1686)</f>
        <v>1</v>
      </c>
    </row>
    <row r="1687">
      <c r="A1687" t="inlineStr">
        <is>
          <t>SOCIETE C276</t>
        </is>
      </c>
      <c r="B1687" t="inlineStr">
        <is>
          <t>C276</t>
        </is>
      </c>
      <c r="C1687" t="inlineStr">
        <is>
          <t>SME</t>
        </is>
      </c>
      <c r="D1687" t="inlineStr">
        <is>
          <t>IV</t>
        </is>
      </c>
      <c r="E1687" t="inlineStr">
        <is>
          <t>Stage 3</t>
        </is>
      </c>
      <c r="F1687" t="inlineStr">
        <is>
          <t>N/A</t>
        </is>
      </c>
      <c r="G1687" s="26">
        <v>248655257</v>
      </c>
      <c r="H1687" s="26">
        <v>136760392</v>
      </c>
      <c r="I1687" s="26">
        <v>0</v>
      </c>
      <c r="J1687" s="26">
        <v>68</v>
      </c>
      <c r="K1687" t="inlineStr">
        <is>
          <t>Oui</t>
        </is>
      </c>
      <c r="L1687">
        <f>SUBTOTAL(103,A1687)</f>
        <v>1</v>
      </c>
    </row>
    <row r="1688">
      <c r="A1688" t="inlineStr">
        <is>
          <t>SOCIETE C2115</t>
        </is>
      </c>
      <c r="B1688" t="inlineStr">
        <is>
          <t>C2115</t>
        </is>
      </c>
      <c r="C1688" t="inlineStr">
        <is>
          <t>CORPORATE BANKING</t>
        </is>
      </c>
      <c r="D1688" t="inlineStr">
        <is>
          <t>V</t>
        </is>
      </c>
      <c r="E1688" t="inlineStr">
        <is>
          <t>Stage 3</t>
        </is>
      </c>
      <c r="F1688" t="inlineStr">
        <is>
          <t>N/A</t>
        </is>
      </c>
      <c r="G1688" s="26">
        <v>494476339</v>
      </c>
      <c r="H1688" s="26">
        <v>271961987</v>
      </c>
      <c r="I1688" s="26">
        <v>0</v>
      </c>
      <c r="J1688" s="26">
        <v>41</v>
      </c>
      <c r="K1688" t="inlineStr">
        <is>
          <t>Oui</t>
        </is>
      </c>
      <c r="L1688">
        <f>SUBTOTAL(103,A1688)</f>
        <v>1</v>
      </c>
    </row>
    <row r="1689">
      <c r="A1689" t="inlineStr">
        <is>
          <t>SOCIETE C1391</t>
        </is>
      </c>
      <c r="B1689" t="inlineStr">
        <is>
          <t>C1391</t>
        </is>
      </c>
      <c r="C1689" t="inlineStr">
        <is>
          <t>COMMERCIAL BANKING</t>
        </is>
      </c>
      <c r="D1689" t="inlineStr">
        <is>
          <t>IV</t>
        </is>
      </c>
      <c r="E1689" t="inlineStr">
        <is>
          <t>Stage 3</t>
        </is>
      </c>
      <c r="F1689" t="inlineStr">
        <is>
          <t>N/A</t>
        </is>
      </c>
      <c r="G1689" s="26">
        <v>493144848</v>
      </c>
      <c r="H1689" s="26">
        <v>271229666</v>
      </c>
      <c r="I1689" s="26">
        <v>0</v>
      </c>
      <c r="J1689" s="26">
        <v>141</v>
      </c>
      <c r="K1689" t="inlineStr">
        <is>
          <t>Oui</t>
        </is>
      </c>
      <c r="L1689">
        <f>SUBTOTAL(103,A1689)</f>
        <v>1</v>
      </c>
    </row>
    <row r="1690">
      <c r="A1690" t="inlineStr">
        <is>
          <t>SOCIETE C1345</t>
        </is>
      </c>
      <c r="B1690" t="inlineStr">
        <is>
          <t>C1345</t>
        </is>
      </c>
      <c r="C1690" t="inlineStr">
        <is>
          <t>CONSUMER BANKING</t>
        </is>
      </c>
      <c r="D1690" t="inlineStr">
        <is>
          <t>I</t>
        </is>
      </c>
      <c r="E1690" t="inlineStr">
        <is>
          <t>Stage 1</t>
        </is>
      </c>
      <c r="F1690" t="inlineStr">
        <is>
          <t>N/A</t>
        </is>
      </c>
      <c r="G1690" s="26">
        <v>1442018607</v>
      </c>
      <c r="H1690" s="26">
        <v>14420186</v>
      </c>
      <c r="I1690" s="26">
        <v>0</v>
      </c>
      <c r="J1690" s="26">
        <v>0</v>
      </c>
      <c r="K1690" t="inlineStr">
        <is>
          <t>Non</t>
        </is>
      </c>
      <c r="L1690">
        <f>SUBTOTAL(103,A1690)</f>
        <v>1</v>
      </c>
    </row>
    <row r="1691">
      <c r="A1691" t="inlineStr">
        <is>
          <t>SOCIETE C41</t>
        </is>
      </c>
      <c r="B1691" t="inlineStr">
        <is>
          <t>C41</t>
        </is>
      </c>
      <c r="C1691" t="inlineStr">
        <is>
          <t>CONSUMER BANKING</t>
        </is>
      </c>
      <c r="D1691" t="inlineStr">
        <is>
          <t>IA</t>
        </is>
      </c>
      <c r="E1691" t="inlineStr">
        <is>
          <t>Stage 2</t>
        </is>
      </c>
      <c r="F1691" t="inlineStr">
        <is>
          <t>N/A</t>
        </is>
      </c>
      <c r="G1691" s="26">
        <v>30679473</v>
      </c>
      <c r="H1691" s="26">
        <v>1840768</v>
      </c>
      <c r="I1691" s="26">
        <v>557764</v>
      </c>
      <c r="J1691" s="26">
        <v>26</v>
      </c>
      <c r="K1691" t="inlineStr">
        <is>
          <t>Non</t>
        </is>
      </c>
      <c r="L1691">
        <f>SUBTOTAL(103,A1691)</f>
        <v>1</v>
      </c>
    </row>
    <row r="1692">
      <c r="A1692" t="inlineStr">
        <is>
          <t>SOCIETE C1226</t>
        </is>
      </c>
      <c r="B1692" t="inlineStr">
        <is>
          <t>C1226</t>
        </is>
      </c>
      <c r="C1692" t="inlineStr">
        <is>
          <t>CONSUMER BANKING</t>
        </is>
      </c>
      <c r="D1692" t="inlineStr">
        <is>
          <t>I</t>
        </is>
      </c>
      <c r="E1692" t="inlineStr">
        <is>
          <t>Stage 1</t>
        </is>
      </c>
      <c r="F1692" t="inlineStr">
        <is>
          <t>N/A</t>
        </is>
      </c>
      <c r="G1692" s="26">
        <v>64431678</v>
      </c>
      <c r="H1692" s="26">
        <v>644317</v>
      </c>
      <c r="I1692" s="26">
        <v>0</v>
      </c>
      <c r="J1692" s="26">
        <v>56</v>
      </c>
      <c r="K1692" t="inlineStr">
        <is>
          <t>Non</t>
        </is>
      </c>
      <c r="L1692">
        <f>SUBTOTAL(103,A1692)</f>
        <v>1</v>
      </c>
    </row>
    <row r="1693">
      <c r="A1693" t="inlineStr">
        <is>
          <t>SOCIETE C202</t>
        </is>
      </c>
      <c r="B1693" t="inlineStr">
        <is>
          <t>C202</t>
        </is>
      </c>
      <c r="C1693" t="inlineStr">
        <is>
          <t>COMMERCIAL BANKING</t>
        </is>
      </c>
      <c r="D1693" t="inlineStr">
        <is>
          <t>I</t>
        </is>
      </c>
      <c r="E1693" t="inlineStr">
        <is>
          <t>Stage 1</t>
        </is>
      </c>
      <c r="F1693" t="inlineStr">
        <is>
          <t>N/A</t>
        </is>
      </c>
      <c r="G1693" s="26">
        <v>511423638</v>
      </c>
      <c r="H1693" s="26">
        <v>5114236</v>
      </c>
      <c r="I1693" s="26">
        <v>0</v>
      </c>
      <c r="J1693" s="26">
        <v>24</v>
      </c>
      <c r="K1693" t="inlineStr">
        <is>
          <t>Non</t>
        </is>
      </c>
      <c r="L1693">
        <f>SUBTOTAL(103,A1693)</f>
        <v>1</v>
      </c>
    </row>
    <row r="1694">
      <c r="A1694" t="inlineStr">
        <is>
          <t>SOCIETE C146</t>
        </is>
      </c>
      <c r="B1694" t="inlineStr">
        <is>
          <t>C146</t>
        </is>
      </c>
      <c r="C1694" t="inlineStr">
        <is>
          <t>CORPORATE BANKING</t>
        </is>
      </c>
      <c r="D1694" t="inlineStr">
        <is>
          <t>IA</t>
        </is>
      </c>
      <c r="E1694" t="inlineStr">
        <is>
          <t>Stage 2</t>
        </is>
      </c>
      <c r="F1694" t="inlineStr">
        <is>
          <t>N/A</t>
        </is>
      </c>
      <c r="G1694" s="26">
        <v>843913211</v>
      </c>
      <c r="H1694" s="26">
        <v>50634793</v>
      </c>
      <c r="I1694" s="26">
        <v>0</v>
      </c>
      <c r="J1694" s="26">
        <v>184</v>
      </c>
      <c r="K1694" t="inlineStr">
        <is>
          <t>Non</t>
        </is>
      </c>
      <c r="L1694">
        <f>SUBTOTAL(103,A1694)</f>
        <v>1</v>
      </c>
    </row>
    <row r="1695">
      <c r="A1695" t="inlineStr">
        <is>
          <t>SOCIETE C1672</t>
        </is>
      </c>
      <c r="B1695" t="inlineStr">
        <is>
          <t>C1672</t>
        </is>
      </c>
      <c r="C1695" t="inlineStr">
        <is>
          <t>CORPORATE BANKING</t>
        </is>
      </c>
      <c r="D1695" t="inlineStr">
        <is>
          <t>IA</t>
        </is>
      </c>
      <c r="E1695" t="inlineStr">
        <is>
          <t>Stage 2</t>
        </is>
      </c>
      <c r="F1695" t="inlineStr">
        <is>
          <t>N/A</t>
        </is>
      </c>
      <c r="G1695" s="26">
        <v>35637383</v>
      </c>
      <c r="H1695" s="26">
        <v>2138243</v>
      </c>
      <c r="I1695" s="26">
        <v>0</v>
      </c>
      <c r="J1695" s="26">
        <v>67</v>
      </c>
      <c r="K1695" t="inlineStr">
        <is>
          <t>Non</t>
        </is>
      </c>
      <c r="L1695">
        <f>SUBTOTAL(103,A1695)</f>
        <v>1</v>
      </c>
    </row>
    <row r="1696">
      <c r="A1696" t="inlineStr">
        <is>
          <t>SOCIETE C477</t>
        </is>
      </c>
      <c r="B1696" t="inlineStr">
        <is>
          <t>C477</t>
        </is>
      </c>
      <c r="C1696" t="inlineStr">
        <is>
          <t>PUBLIC SECTOR</t>
        </is>
      </c>
      <c r="D1696" t="inlineStr">
        <is>
          <t>I</t>
        </is>
      </c>
      <c r="E1696" t="inlineStr">
        <is>
          <t>Stage 1</t>
        </is>
      </c>
      <c r="F1696" t="inlineStr">
        <is>
          <t>N/A</t>
        </is>
      </c>
      <c r="G1696" s="26">
        <v>18932124</v>
      </c>
      <c r="H1696" s="26">
        <v>189321</v>
      </c>
      <c r="I1696" s="26">
        <v>0</v>
      </c>
      <c r="J1696" s="26">
        <v>1</v>
      </c>
      <c r="K1696" t="inlineStr">
        <is>
          <t>Non</t>
        </is>
      </c>
      <c r="L1696">
        <f>SUBTOTAL(103,A1696)</f>
        <v>1</v>
      </c>
    </row>
    <row r="1697">
      <c r="A1697" t="inlineStr">
        <is>
          <t>SOCIETE C1415</t>
        </is>
      </c>
      <c r="B1697" t="inlineStr">
        <is>
          <t>C1415</t>
        </is>
      </c>
      <c r="C1697" t="inlineStr">
        <is>
          <t>CORPORATE BANKING</t>
        </is>
      </c>
      <c r="D1697" t="inlineStr">
        <is>
          <t>II</t>
        </is>
      </c>
      <c r="E1697" t="inlineStr">
        <is>
          <t>Stage 2</t>
        </is>
      </c>
      <c r="F1697" t="inlineStr">
        <is>
          <t>N/A</t>
        </is>
      </c>
      <c r="G1697" s="26">
        <v>99212247</v>
      </c>
      <c r="H1697" s="26">
        <v>5952735</v>
      </c>
      <c r="I1697" s="26">
        <v>0</v>
      </c>
      <c r="J1697" s="26">
        <v>33</v>
      </c>
      <c r="K1697" t="inlineStr">
        <is>
          <t>Non</t>
        </is>
      </c>
      <c r="L1697">
        <f>SUBTOTAL(103,A1697)</f>
        <v>1</v>
      </c>
    </row>
    <row r="1698">
      <c r="A1698" t="inlineStr">
        <is>
          <t>SOCIETE C2319</t>
        </is>
      </c>
      <c r="B1698" t="inlineStr">
        <is>
          <t>C2319</t>
        </is>
      </c>
      <c r="C1698" t="inlineStr">
        <is>
          <t>PUBLIC SECTOR</t>
        </is>
      </c>
      <c r="D1698" t="inlineStr">
        <is>
          <t>IV</t>
        </is>
      </c>
      <c r="E1698" t="inlineStr">
        <is>
          <t>Stage 3</t>
        </is>
      </c>
      <c r="F1698" t="inlineStr">
        <is>
          <t>N/A</t>
        </is>
      </c>
      <c r="G1698" s="26">
        <v>1851891091</v>
      </c>
      <c r="H1698" s="26">
        <v>1018540100</v>
      </c>
      <c r="I1698" s="26">
        <v>63723468</v>
      </c>
      <c r="J1698" s="26">
        <v>54</v>
      </c>
      <c r="K1698" t="inlineStr">
        <is>
          <t>Oui</t>
        </is>
      </c>
      <c r="L1698">
        <f>SUBTOTAL(103,A1698)</f>
        <v>1</v>
      </c>
    </row>
    <row r="1699">
      <c r="A1699" t="inlineStr">
        <is>
          <t>SOCIETE C2248</t>
        </is>
      </c>
      <c r="B1699" t="inlineStr">
        <is>
          <t>C2248</t>
        </is>
      </c>
      <c r="C1699" t="inlineStr">
        <is>
          <t>CORPORATE BANKING</t>
        </is>
      </c>
      <c r="D1699" t="inlineStr">
        <is>
          <t>I</t>
        </is>
      </c>
      <c r="E1699" t="inlineStr">
        <is>
          <t>Stage 1</t>
        </is>
      </c>
      <c r="F1699" t="inlineStr">
        <is>
          <t>N/A</t>
        </is>
      </c>
      <c r="G1699" s="26">
        <v>583250142</v>
      </c>
      <c r="H1699" s="26">
        <v>5832501</v>
      </c>
      <c r="I1699" s="26">
        <v>0</v>
      </c>
      <c r="J1699" s="26">
        <v>223</v>
      </c>
      <c r="K1699" t="inlineStr">
        <is>
          <t>Non</t>
        </is>
      </c>
      <c r="L1699">
        <f>SUBTOTAL(103,A1699)</f>
        <v>1</v>
      </c>
    </row>
    <row r="1700">
      <c r="A1700" t="inlineStr">
        <is>
          <t>SOCIETE C972</t>
        </is>
      </c>
      <c r="B1700" t="inlineStr">
        <is>
          <t>C972</t>
        </is>
      </c>
      <c r="C1700" t="inlineStr">
        <is>
          <t>CONSUMER BANKING</t>
        </is>
      </c>
      <c r="D1700" t="inlineStr">
        <is>
          <t>IA</t>
        </is>
      </c>
      <c r="E1700" t="inlineStr">
        <is>
          <t>Stage 2</t>
        </is>
      </c>
      <c r="F1700" t="inlineStr">
        <is>
          <t>N/A</t>
        </is>
      </c>
      <c r="G1700" s="26">
        <v>1766111635</v>
      </c>
      <c r="H1700" s="26">
        <v>105966698</v>
      </c>
      <c r="I1700" s="26">
        <v>0</v>
      </c>
      <c r="J1700" s="26">
        <v>45</v>
      </c>
      <c r="K1700" t="inlineStr">
        <is>
          <t>Non</t>
        </is>
      </c>
      <c r="L1700">
        <f>SUBTOTAL(103,A1700)</f>
        <v>1</v>
      </c>
    </row>
    <row r="1701">
      <c r="A1701" t="inlineStr">
        <is>
          <t>SOCIETE C981</t>
        </is>
      </c>
      <c r="B1701" t="inlineStr">
        <is>
          <t>C981</t>
        </is>
      </c>
      <c r="C1701" t="inlineStr">
        <is>
          <t>CORPORATE BANKING</t>
        </is>
      </c>
      <c r="D1701" t="inlineStr">
        <is>
          <t>I</t>
        </is>
      </c>
      <c r="E1701" t="inlineStr">
        <is>
          <t>Stage 1</t>
        </is>
      </c>
      <c r="F1701" t="inlineStr">
        <is>
          <t>N/A</t>
        </is>
      </c>
      <c r="G1701" s="26">
        <v>1572083</v>
      </c>
      <c r="H1701" s="26">
        <v>15721</v>
      </c>
      <c r="I1701" s="26">
        <v>0</v>
      </c>
      <c r="J1701" s="26">
        <v>2</v>
      </c>
      <c r="K1701" t="inlineStr">
        <is>
          <t>Non</t>
        </is>
      </c>
      <c r="L1701">
        <f>SUBTOTAL(103,A1701)</f>
        <v>1</v>
      </c>
    </row>
    <row r="1702">
      <c r="A1702" t="inlineStr">
        <is>
          <t>SOCIETE C2252</t>
        </is>
      </c>
      <c r="B1702" t="inlineStr">
        <is>
          <t>C2252</t>
        </is>
      </c>
      <c r="C1702" t="inlineStr">
        <is>
          <t>CORPORATE BANKING</t>
        </is>
      </c>
      <c r="D1702" t="inlineStr">
        <is>
          <t>I</t>
        </is>
      </c>
      <c r="E1702" t="inlineStr">
        <is>
          <t>Stage 1</t>
        </is>
      </c>
      <c r="F1702" t="inlineStr">
        <is>
          <t>N/A</t>
        </is>
      </c>
      <c r="G1702" s="26">
        <v>29507851</v>
      </c>
      <c r="H1702" s="26">
        <v>295079</v>
      </c>
      <c r="I1702" s="26">
        <v>0</v>
      </c>
      <c r="J1702" s="26">
        <v>106</v>
      </c>
      <c r="K1702" t="inlineStr">
        <is>
          <t>Non</t>
        </is>
      </c>
      <c r="L1702">
        <f>SUBTOTAL(103,A1702)</f>
        <v>1</v>
      </c>
    </row>
    <row r="1703">
      <c r="A1703" t="inlineStr">
        <is>
          <t>SOCIETE C1311</t>
        </is>
      </c>
      <c r="B1703" t="inlineStr">
        <is>
          <t>C1311</t>
        </is>
      </c>
      <c r="C1703" t="inlineStr">
        <is>
          <t>COMMERCIAL BANKING</t>
        </is>
      </c>
      <c r="D1703" t="inlineStr">
        <is>
          <t>IA</t>
        </is>
      </c>
      <c r="E1703" t="inlineStr">
        <is>
          <t>Stage 2</t>
        </is>
      </c>
      <c r="F1703" t="inlineStr">
        <is>
          <t>N/A</t>
        </is>
      </c>
      <c r="G1703" s="26">
        <v>8202811</v>
      </c>
      <c r="H1703" s="26">
        <v>492169</v>
      </c>
      <c r="I1703" s="26">
        <v>0</v>
      </c>
      <c r="J1703" s="26">
        <v>116</v>
      </c>
      <c r="K1703" t="inlineStr">
        <is>
          <t>Non</t>
        </is>
      </c>
      <c r="L1703">
        <f>SUBTOTAL(103,A1703)</f>
        <v>1</v>
      </c>
    </row>
    <row r="1704">
      <c r="A1704" t="inlineStr">
        <is>
          <t>SOCIETE C306</t>
        </is>
      </c>
      <c r="B1704" t="inlineStr">
        <is>
          <t>C306</t>
        </is>
      </c>
      <c r="C1704" t="inlineStr">
        <is>
          <t>COMMERCIAL BANKING</t>
        </is>
      </c>
      <c r="D1704" t="inlineStr">
        <is>
          <t>I</t>
        </is>
      </c>
      <c r="E1704" t="inlineStr">
        <is>
          <t>Stage 1</t>
        </is>
      </c>
      <c r="F1704" t="inlineStr">
        <is>
          <t>N/A</t>
        </is>
      </c>
      <c r="G1704" s="26">
        <v>2457068</v>
      </c>
      <c r="H1704" s="26">
        <v>24571</v>
      </c>
      <c r="I1704" s="26">
        <v>0</v>
      </c>
      <c r="J1704" s="26">
        <v>6</v>
      </c>
      <c r="K1704" t="inlineStr">
        <is>
          <t>Non</t>
        </is>
      </c>
      <c r="L1704">
        <f>SUBTOTAL(103,A1704)</f>
        <v>1</v>
      </c>
    </row>
    <row r="1705">
      <c r="A1705" t="inlineStr">
        <is>
          <t>SOCIETE C1606</t>
        </is>
      </c>
      <c r="B1705" t="inlineStr">
        <is>
          <t>C1606</t>
        </is>
      </c>
      <c r="C1705" t="inlineStr">
        <is>
          <t>COMMERCIAL BANKING</t>
        </is>
      </c>
      <c r="D1705" t="inlineStr">
        <is>
          <t>V</t>
        </is>
      </c>
      <c r="E1705" t="inlineStr">
        <is>
          <t>Stage 3</t>
        </is>
      </c>
      <c r="F1705" t="inlineStr">
        <is>
          <t>N/A</t>
        </is>
      </c>
      <c r="G1705" s="26">
        <v>1610822031</v>
      </c>
      <c r="H1705" s="26">
        <v>885952117</v>
      </c>
      <c r="I1705" s="26">
        <v>0</v>
      </c>
      <c r="J1705" s="26">
        <v>98</v>
      </c>
      <c r="K1705" t="inlineStr">
        <is>
          <t>Oui</t>
        </is>
      </c>
      <c r="L1705">
        <f>SUBTOTAL(103,A1705)</f>
        <v>1</v>
      </c>
    </row>
    <row r="1706">
      <c r="A1706" t="inlineStr">
        <is>
          <t>SOCIETE C1708</t>
        </is>
      </c>
      <c r="B1706" t="inlineStr">
        <is>
          <t>C1708</t>
        </is>
      </c>
      <c r="C1706" t="inlineStr">
        <is>
          <t>CORPORATE BANKING</t>
        </is>
      </c>
      <c r="D1706" t="inlineStr">
        <is>
          <t>IA</t>
        </is>
      </c>
      <c r="E1706" t="inlineStr">
        <is>
          <t>Stage 2</t>
        </is>
      </c>
      <c r="F1706" t="inlineStr">
        <is>
          <t>N/A</t>
        </is>
      </c>
      <c r="G1706" s="26">
        <v>1492232453</v>
      </c>
      <c r="H1706" s="26">
        <v>89533947</v>
      </c>
      <c r="I1706" s="26">
        <v>0</v>
      </c>
      <c r="J1706" s="26">
        <v>31</v>
      </c>
      <c r="K1706" t="inlineStr">
        <is>
          <t>Non</t>
        </is>
      </c>
      <c r="L1706">
        <f>SUBTOTAL(103,A1706)</f>
        <v>1</v>
      </c>
    </row>
    <row r="1707">
      <c r="A1707" t="inlineStr">
        <is>
          <t>SOCIETE C2348</t>
        </is>
      </c>
      <c r="B1707" t="inlineStr">
        <is>
          <t>C2348</t>
        </is>
      </c>
      <c r="C1707" t="inlineStr">
        <is>
          <t>CONSUMER BANKING</t>
        </is>
      </c>
      <c r="D1707" t="inlineStr">
        <is>
          <t>I</t>
        </is>
      </c>
      <c r="E1707" t="inlineStr">
        <is>
          <t>Stage 1</t>
        </is>
      </c>
      <c r="F1707" t="inlineStr">
        <is>
          <t>N/A</t>
        </is>
      </c>
      <c r="G1707" s="26">
        <v>33501841</v>
      </c>
      <c r="H1707" s="26">
        <v>335018</v>
      </c>
      <c r="I1707" s="26">
        <v>0</v>
      </c>
      <c r="J1707" s="26">
        <v>88</v>
      </c>
      <c r="K1707" t="inlineStr">
        <is>
          <t>Non</t>
        </is>
      </c>
      <c r="L1707">
        <f>SUBTOTAL(103,A1707)</f>
        <v>1</v>
      </c>
    </row>
    <row r="1708">
      <c r="A1708" t="inlineStr">
        <is>
          <t>SOCIETE C729</t>
        </is>
      </c>
      <c r="B1708" t="inlineStr">
        <is>
          <t>C729</t>
        </is>
      </c>
      <c r="C1708" t="inlineStr">
        <is>
          <t>CORPORATE BANKING</t>
        </is>
      </c>
      <c r="D1708" t="inlineStr">
        <is>
          <t>I</t>
        </is>
      </c>
      <c r="E1708" t="inlineStr">
        <is>
          <t>Stage 1</t>
        </is>
      </c>
      <c r="F1708" t="inlineStr">
        <is>
          <t>N/A</t>
        </is>
      </c>
      <c r="G1708" s="26">
        <v>1157473</v>
      </c>
      <c r="H1708" s="26">
        <v>11575</v>
      </c>
      <c r="I1708" s="26">
        <v>93837</v>
      </c>
      <c r="J1708" s="26">
        <v>215</v>
      </c>
      <c r="K1708" t="inlineStr">
        <is>
          <t>Non</t>
        </is>
      </c>
      <c r="L1708">
        <f>SUBTOTAL(103,A1708)</f>
        <v>1</v>
      </c>
    </row>
    <row r="1709">
      <c r="A1709" t="inlineStr">
        <is>
          <t>SOCIETE C761</t>
        </is>
      </c>
      <c r="B1709" t="inlineStr">
        <is>
          <t>C761</t>
        </is>
      </c>
      <c r="C1709" t="inlineStr">
        <is>
          <t>CONSUMER BANKING</t>
        </is>
      </c>
      <c r="D1709" t="inlineStr">
        <is>
          <t>I</t>
        </is>
      </c>
      <c r="E1709" t="inlineStr">
        <is>
          <t>Stage 1</t>
        </is>
      </c>
      <c r="F1709" t="inlineStr">
        <is>
          <t>N/A</t>
        </is>
      </c>
      <c r="G1709" s="26">
        <v>1002460</v>
      </c>
      <c r="H1709" s="26">
        <v>10025</v>
      </c>
      <c r="I1709" s="26">
        <v>0</v>
      </c>
      <c r="J1709" s="26">
        <v>140</v>
      </c>
      <c r="K1709" t="inlineStr">
        <is>
          <t>Non</t>
        </is>
      </c>
      <c r="L1709">
        <f>SUBTOTAL(103,A1709)</f>
        <v>1</v>
      </c>
    </row>
    <row r="1710">
      <c r="A1710" t="inlineStr">
        <is>
          <t>SOCIETE C391</t>
        </is>
      </c>
      <c r="B1710" t="inlineStr">
        <is>
          <t>C391</t>
        </is>
      </c>
      <c r="C1710" t="inlineStr">
        <is>
          <t>CONSUMER BANKING</t>
        </is>
      </c>
      <c r="D1710" t="inlineStr">
        <is>
          <t>III</t>
        </is>
      </c>
      <c r="E1710" t="inlineStr">
        <is>
          <t>Stage 3</t>
        </is>
      </c>
      <c r="F1710" t="inlineStr">
        <is>
          <t>N/A</t>
        </is>
      </c>
      <c r="G1710" s="26">
        <v>380928740</v>
      </c>
      <c r="H1710" s="26">
        <v>209510807</v>
      </c>
      <c r="I1710" s="26">
        <v>0</v>
      </c>
      <c r="J1710" s="26">
        <v>199</v>
      </c>
      <c r="K1710" t="inlineStr">
        <is>
          <t>Oui</t>
        </is>
      </c>
      <c r="L1710">
        <f>SUBTOTAL(103,A1710)</f>
        <v>1</v>
      </c>
    </row>
    <row r="1711">
      <c r="A1711" t="inlineStr">
        <is>
          <t>SOCIETE C1418</t>
        </is>
      </c>
      <c r="B1711" t="inlineStr">
        <is>
          <t>C1418</t>
        </is>
      </c>
      <c r="C1711" t="inlineStr">
        <is>
          <t>CORPORATE BANKING</t>
        </is>
      </c>
      <c r="D1711" t="inlineStr">
        <is>
          <t>IA</t>
        </is>
      </c>
      <c r="E1711" t="inlineStr">
        <is>
          <t>Stage 2</t>
        </is>
      </c>
      <c r="F1711" t="inlineStr">
        <is>
          <t>N/A</t>
        </is>
      </c>
      <c r="G1711" s="26">
        <v>13335317</v>
      </c>
      <c r="H1711" s="26">
        <v>800119</v>
      </c>
      <c r="I1711" s="26">
        <v>0</v>
      </c>
      <c r="J1711" s="26">
        <v>257</v>
      </c>
      <c r="K1711" t="inlineStr">
        <is>
          <t>Non</t>
        </is>
      </c>
      <c r="L1711">
        <f>SUBTOTAL(103,A1711)</f>
        <v>1</v>
      </c>
    </row>
    <row r="1712">
      <c r="A1712" t="inlineStr">
        <is>
          <t>SOCIETE C1105</t>
        </is>
      </c>
      <c r="B1712" t="inlineStr">
        <is>
          <t>C1105</t>
        </is>
      </c>
      <c r="C1712" t="inlineStr">
        <is>
          <t>COMMERCIAL BANKING</t>
        </is>
      </c>
      <c r="D1712" t="inlineStr">
        <is>
          <t>III</t>
        </is>
      </c>
      <c r="E1712" t="inlineStr">
        <is>
          <t>Stage 3</t>
        </is>
      </c>
      <c r="F1712" t="inlineStr">
        <is>
          <t>N/A</t>
        </is>
      </c>
      <c r="G1712" s="26">
        <v>475528549</v>
      </c>
      <c r="H1712" s="26">
        <v>261540702</v>
      </c>
      <c r="I1712" s="26">
        <v>0</v>
      </c>
      <c r="J1712" s="26">
        <v>101</v>
      </c>
      <c r="K1712" t="inlineStr">
        <is>
          <t>Oui</t>
        </is>
      </c>
      <c r="L1712">
        <f>SUBTOTAL(103,A1712)</f>
        <v>1</v>
      </c>
    </row>
    <row r="1713">
      <c r="A1713" t="inlineStr">
        <is>
          <t>SOCIETE C917</t>
        </is>
      </c>
      <c r="B1713" t="inlineStr">
        <is>
          <t>C917</t>
        </is>
      </c>
      <c r="C1713" t="inlineStr">
        <is>
          <t>PUBLIC SECTOR</t>
        </is>
      </c>
      <c r="D1713" t="inlineStr">
        <is>
          <t>IA</t>
        </is>
      </c>
      <c r="E1713" t="inlineStr">
        <is>
          <t>Stage 2</t>
        </is>
      </c>
      <c r="F1713" t="inlineStr">
        <is>
          <t>N/A</t>
        </is>
      </c>
      <c r="G1713" s="26">
        <v>345268178</v>
      </c>
      <c r="H1713" s="26">
        <v>20716091</v>
      </c>
      <c r="I1713" s="26">
        <v>46155242</v>
      </c>
      <c r="J1713" s="26">
        <v>206</v>
      </c>
      <c r="K1713" t="inlineStr">
        <is>
          <t>Non</t>
        </is>
      </c>
      <c r="L1713">
        <f>SUBTOTAL(103,A1713)</f>
        <v>1</v>
      </c>
    </row>
    <row r="1714">
      <c r="A1714" t="inlineStr">
        <is>
          <t>SOCIETE C143</t>
        </is>
      </c>
      <c r="B1714" t="inlineStr">
        <is>
          <t>C143</t>
        </is>
      </c>
      <c r="C1714" t="inlineStr">
        <is>
          <t>CORPORATE BANKING</t>
        </is>
      </c>
      <c r="D1714" t="inlineStr">
        <is>
          <t>III</t>
        </is>
      </c>
      <c r="E1714" t="inlineStr">
        <is>
          <t>Stage 3</t>
        </is>
      </c>
      <c r="F1714" t="inlineStr">
        <is>
          <t>N/A</t>
        </is>
      </c>
      <c r="G1714" s="26">
        <v>703850400</v>
      </c>
      <c r="H1714" s="26">
        <v>387117720</v>
      </c>
      <c r="I1714" s="26">
        <v>39210122</v>
      </c>
      <c r="J1714" s="26">
        <v>57</v>
      </c>
      <c r="K1714" t="inlineStr">
        <is>
          <t>Oui</t>
        </is>
      </c>
      <c r="L1714">
        <f>SUBTOTAL(103,A1714)</f>
        <v>1</v>
      </c>
    </row>
    <row r="1715">
      <c r="A1715" t="inlineStr">
        <is>
          <t>SOCIETE C1680</t>
        </is>
      </c>
      <c r="B1715" t="inlineStr">
        <is>
          <t>C1680</t>
        </is>
      </c>
      <c r="C1715" t="inlineStr">
        <is>
          <t>CORPORATE BANKING</t>
        </is>
      </c>
      <c r="D1715" t="inlineStr">
        <is>
          <t>I</t>
        </is>
      </c>
      <c r="E1715" t="inlineStr">
        <is>
          <t>Stage 1</t>
        </is>
      </c>
      <c r="F1715" t="inlineStr">
        <is>
          <t>N/A</t>
        </is>
      </c>
      <c r="G1715" s="26">
        <v>1520959</v>
      </c>
      <c r="H1715" s="26">
        <v>15210</v>
      </c>
      <c r="I1715" s="26">
        <v>0</v>
      </c>
      <c r="J1715" s="26">
        <v>299</v>
      </c>
      <c r="K1715" t="inlineStr">
        <is>
          <t>Non</t>
        </is>
      </c>
      <c r="L1715">
        <f>SUBTOTAL(103,A1715)</f>
        <v>1</v>
      </c>
    </row>
    <row r="1716">
      <c r="A1716" t="inlineStr">
        <is>
          <t>SOCIETE C876</t>
        </is>
      </c>
      <c r="B1716" t="inlineStr">
        <is>
          <t>C876</t>
        </is>
      </c>
      <c r="C1716" t="inlineStr">
        <is>
          <t>CONSUMER BANKING</t>
        </is>
      </c>
      <c r="D1716" t="inlineStr">
        <is>
          <t>IA</t>
        </is>
      </c>
      <c r="E1716" t="inlineStr">
        <is>
          <t>Stage 2</t>
        </is>
      </c>
      <c r="F1716" t="inlineStr">
        <is>
          <t>N/A</t>
        </is>
      </c>
      <c r="G1716" s="26">
        <v>2739301550</v>
      </c>
      <c r="H1716" s="26">
        <v>164358093</v>
      </c>
      <c r="I1716" s="26">
        <v>341734655</v>
      </c>
      <c r="J1716" s="26">
        <v>113</v>
      </c>
      <c r="K1716" t="inlineStr">
        <is>
          <t>Non</t>
        </is>
      </c>
      <c r="L1716">
        <f>SUBTOTAL(103,A1716)</f>
        <v>1</v>
      </c>
    </row>
    <row r="1717">
      <c r="A1717" t="inlineStr">
        <is>
          <t>SOCIETE C1984</t>
        </is>
      </c>
      <c r="B1717" t="inlineStr">
        <is>
          <t>C1984</t>
        </is>
      </c>
      <c r="C1717" t="inlineStr">
        <is>
          <t>COMMERCIAL BANKING</t>
        </is>
      </c>
      <c r="D1717" t="inlineStr">
        <is>
          <t>I</t>
        </is>
      </c>
      <c r="E1717" t="inlineStr">
        <is>
          <t>Stage 1</t>
        </is>
      </c>
      <c r="F1717" t="inlineStr">
        <is>
          <t>N/A</t>
        </is>
      </c>
      <c r="G1717" s="26">
        <v>1877962239</v>
      </c>
      <c r="H1717" s="26">
        <v>18779622</v>
      </c>
      <c r="I1717" s="26">
        <v>330696368</v>
      </c>
      <c r="J1717" s="26">
        <v>268</v>
      </c>
      <c r="K1717" t="inlineStr">
        <is>
          <t>Non</t>
        </is>
      </c>
      <c r="L1717">
        <f>SUBTOTAL(103,A1717)</f>
        <v>1</v>
      </c>
    </row>
    <row r="1718">
      <c r="A1718" t="inlineStr">
        <is>
          <t>SOCIETE C179</t>
        </is>
      </c>
      <c r="B1718" t="inlineStr">
        <is>
          <t>C179</t>
        </is>
      </c>
      <c r="C1718" t="inlineStr">
        <is>
          <t>CONSUMER BANKING</t>
        </is>
      </c>
      <c r="D1718" t="inlineStr">
        <is>
          <t>V</t>
        </is>
      </c>
      <c r="E1718" t="inlineStr">
        <is>
          <t>Stage 3</t>
        </is>
      </c>
      <c r="F1718" t="inlineStr">
        <is>
          <t>N/A</t>
        </is>
      </c>
      <c r="G1718" s="26">
        <v>1101707485</v>
      </c>
      <c r="H1718" s="26">
        <v>605939117</v>
      </c>
      <c r="I1718" s="26">
        <v>162373562</v>
      </c>
      <c r="J1718" s="26">
        <v>37</v>
      </c>
      <c r="K1718" t="inlineStr">
        <is>
          <t>Oui</t>
        </is>
      </c>
      <c r="L1718">
        <f>SUBTOTAL(103,A1718)</f>
        <v>1</v>
      </c>
    </row>
    <row r="1719">
      <c r="A1719" t="inlineStr">
        <is>
          <t>SOCIETE C2189</t>
        </is>
      </c>
      <c r="B1719" t="inlineStr">
        <is>
          <t>C2189</t>
        </is>
      </c>
      <c r="C1719" t="inlineStr">
        <is>
          <t>CORPORATE BANKING</t>
        </is>
      </c>
      <c r="D1719" t="inlineStr">
        <is>
          <t>I</t>
        </is>
      </c>
      <c r="E1719" t="inlineStr">
        <is>
          <t>Stage 1</t>
        </is>
      </c>
      <c r="F1719" t="inlineStr">
        <is>
          <t>N/A</t>
        </is>
      </c>
      <c r="G1719" s="26">
        <v>263750678</v>
      </c>
      <c r="H1719" s="26">
        <v>2637507</v>
      </c>
      <c r="I1719" s="26">
        <v>0</v>
      </c>
      <c r="J1719" s="26">
        <v>240</v>
      </c>
      <c r="K1719" t="inlineStr">
        <is>
          <t>Non</t>
        </is>
      </c>
      <c r="L1719">
        <f>SUBTOTAL(103,A1719)</f>
        <v>1</v>
      </c>
    </row>
    <row r="1720">
      <c r="A1720" t="inlineStr">
        <is>
          <t>SOCIETE C1137</t>
        </is>
      </c>
      <c r="B1720" t="inlineStr">
        <is>
          <t>C1137</t>
        </is>
      </c>
      <c r="C1720" t="inlineStr">
        <is>
          <t>CORPORATE BANKING</t>
        </is>
      </c>
      <c r="D1720" t="inlineStr">
        <is>
          <t>IV</t>
        </is>
      </c>
      <c r="E1720" t="inlineStr">
        <is>
          <t>Stage 3</t>
        </is>
      </c>
      <c r="F1720" t="inlineStr">
        <is>
          <t>N/A</t>
        </is>
      </c>
      <c r="G1720" s="26">
        <v>1000354</v>
      </c>
      <c r="H1720" s="26">
        <v>550195</v>
      </c>
      <c r="I1720" s="26">
        <v>0</v>
      </c>
      <c r="J1720" s="26">
        <v>108</v>
      </c>
      <c r="K1720" t="inlineStr">
        <is>
          <t>Oui</t>
        </is>
      </c>
      <c r="L1720">
        <f>SUBTOTAL(103,A1720)</f>
        <v>1</v>
      </c>
    </row>
    <row r="1721">
      <c r="A1721" t="inlineStr">
        <is>
          <t>SOCIETE C1411</t>
        </is>
      </c>
      <c r="B1721" t="inlineStr">
        <is>
          <t>C1411</t>
        </is>
      </c>
      <c r="C1721" t="inlineStr">
        <is>
          <t>CORPORATE BANKING</t>
        </is>
      </c>
      <c r="D1721" t="inlineStr">
        <is>
          <t>III</t>
        </is>
      </c>
      <c r="E1721" t="inlineStr">
        <is>
          <t>Stage 3</t>
        </is>
      </c>
      <c r="F1721" t="inlineStr">
        <is>
          <t>N/A</t>
        </is>
      </c>
      <c r="G1721" s="26">
        <v>195302292</v>
      </c>
      <c r="H1721" s="26">
        <v>107416260</v>
      </c>
      <c r="I1721" s="26">
        <v>0</v>
      </c>
      <c r="J1721" s="26">
        <v>290</v>
      </c>
      <c r="K1721" t="inlineStr">
        <is>
          <t>Oui</t>
        </is>
      </c>
      <c r="L1721">
        <f>SUBTOTAL(103,A1721)</f>
        <v>1</v>
      </c>
    </row>
    <row r="1722">
      <c r="A1722" t="inlineStr">
        <is>
          <t>SOCIETE C1073</t>
        </is>
      </c>
      <c r="B1722" t="inlineStr">
        <is>
          <t>C1073</t>
        </is>
      </c>
      <c r="C1722" t="inlineStr">
        <is>
          <t>CORPORATE BANKING</t>
        </is>
      </c>
      <c r="D1722" t="inlineStr">
        <is>
          <t>IA</t>
        </is>
      </c>
      <c r="E1722" t="inlineStr">
        <is>
          <t>Stage 2</t>
        </is>
      </c>
      <c r="F1722" t="inlineStr">
        <is>
          <t>N/A</t>
        </is>
      </c>
      <c r="G1722" s="26">
        <v>9674747</v>
      </c>
      <c r="H1722" s="26">
        <v>580485</v>
      </c>
      <c r="I1722" s="26">
        <v>0</v>
      </c>
      <c r="J1722" s="26">
        <v>47</v>
      </c>
      <c r="K1722" t="inlineStr">
        <is>
          <t>Non</t>
        </is>
      </c>
      <c r="L1722">
        <f>SUBTOTAL(103,A1722)</f>
        <v>1</v>
      </c>
    </row>
    <row r="1723">
      <c r="A1723" t="inlineStr">
        <is>
          <t>SOCIETE C2249</t>
        </is>
      </c>
      <c r="B1723" t="inlineStr">
        <is>
          <t>C2249</t>
        </is>
      </c>
      <c r="C1723" t="inlineStr">
        <is>
          <t>COMMERCIAL BANKING</t>
        </is>
      </c>
      <c r="D1723" t="inlineStr">
        <is>
          <t>IA</t>
        </is>
      </c>
      <c r="E1723" t="inlineStr">
        <is>
          <t>Stage 2</t>
        </is>
      </c>
      <c r="F1723" t="inlineStr">
        <is>
          <t>N/A</t>
        </is>
      </c>
      <c r="G1723" s="26">
        <v>98574315</v>
      </c>
      <c r="H1723" s="26">
        <v>5914459</v>
      </c>
      <c r="I1723" s="26">
        <v>0</v>
      </c>
      <c r="J1723" s="26">
        <v>90</v>
      </c>
      <c r="K1723" t="inlineStr">
        <is>
          <t>Non</t>
        </is>
      </c>
      <c r="L1723">
        <f>SUBTOTAL(103,A1723)</f>
        <v>1</v>
      </c>
    </row>
    <row r="1724">
      <c r="A1724" t="inlineStr">
        <is>
          <t>SOCIETE C1945</t>
        </is>
      </c>
      <c r="B1724" t="inlineStr">
        <is>
          <t>C1945</t>
        </is>
      </c>
      <c r="C1724" t="inlineStr">
        <is>
          <t>COMMERCIAL BANKING</t>
        </is>
      </c>
      <c r="D1724" t="inlineStr">
        <is>
          <t>V</t>
        </is>
      </c>
      <c r="E1724" t="inlineStr">
        <is>
          <t>Stage 3</t>
        </is>
      </c>
      <c r="F1724" t="inlineStr">
        <is>
          <t>N/A</t>
        </is>
      </c>
      <c r="G1724" s="26">
        <v>24182204</v>
      </c>
      <c r="H1724" s="26">
        <v>13300212</v>
      </c>
      <c r="I1724" s="26">
        <v>0</v>
      </c>
      <c r="J1724" s="26">
        <v>56</v>
      </c>
      <c r="K1724" t="inlineStr">
        <is>
          <t>Oui</t>
        </is>
      </c>
      <c r="L1724">
        <f>SUBTOTAL(103,A1724)</f>
        <v>1</v>
      </c>
    </row>
    <row r="1725">
      <c r="A1725" t="inlineStr">
        <is>
          <t>SOCIETE C1907</t>
        </is>
      </c>
      <c r="B1725" t="inlineStr">
        <is>
          <t>C1907</t>
        </is>
      </c>
      <c r="C1725" t="inlineStr">
        <is>
          <t>PUBLIC SECTOR</t>
        </is>
      </c>
      <c r="D1725" t="inlineStr">
        <is>
          <t>III</t>
        </is>
      </c>
      <c r="E1725" t="inlineStr">
        <is>
          <t>Stage 3</t>
        </is>
      </c>
      <c r="F1725" t="inlineStr">
        <is>
          <t>N/A</t>
        </is>
      </c>
      <c r="G1725" s="26">
        <v>2175209</v>
      </c>
      <c r="H1725" s="26">
        <v>1196365</v>
      </c>
      <c r="I1725" s="26">
        <v>0</v>
      </c>
      <c r="J1725" s="26">
        <v>9</v>
      </c>
      <c r="K1725" t="inlineStr">
        <is>
          <t>Oui</t>
        </is>
      </c>
      <c r="L1725">
        <f>SUBTOTAL(103,A1725)</f>
        <v>1</v>
      </c>
    </row>
    <row r="1726">
      <c r="A1726" t="inlineStr">
        <is>
          <t>SOCIETE C1752</t>
        </is>
      </c>
      <c r="B1726" t="inlineStr">
        <is>
          <t>C1752</t>
        </is>
      </c>
      <c r="C1726" t="inlineStr">
        <is>
          <t>COMMERCIAL BANKING</t>
        </is>
      </c>
      <c r="D1726" t="inlineStr">
        <is>
          <t>IA</t>
        </is>
      </c>
      <c r="E1726" t="inlineStr">
        <is>
          <t>Stage 2</t>
        </is>
      </c>
      <c r="F1726" t="inlineStr">
        <is>
          <t>N/A</t>
        </is>
      </c>
      <c r="G1726" s="26">
        <v>4169089</v>
      </c>
      <c r="H1726" s="26">
        <v>250145</v>
      </c>
      <c r="I1726" s="26">
        <v>0</v>
      </c>
      <c r="J1726" s="26">
        <v>217</v>
      </c>
      <c r="K1726" t="inlineStr">
        <is>
          <t>Non</t>
        </is>
      </c>
      <c r="L1726">
        <f>SUBTOTAL(103,A1726)</f>
        <v>1</v>
      </c>
    </row>
    <row r="1727">
      <c r="A1727" t="inlineStr">
        <is>
          <t>SOCIETE C724</t>
        </is>
      </c>
      <c r="B1727" t="inlineStr">
        <is>
          <t>C724</t>
        </is>
      </c>
      <c r="C1727" t="inlineStr">
        <is>
          <t>CORPORATE BANKING</t>
        </is>
      </c>
      <c r="D1727" t="inlineStr">
        <is>
          <t>I</t>
        </is>
      </c>
      <c r="E1727" t="inlineStr">
        <is>
          <t>Stage 1</t>
        </is>
      </c>
      <c r="F1727" t="inlineStr">
        <is>
          <t>N/A</t>
        </is>
      </c>
      <c r="G1727" s="26">
        <v>1669023308</v>
      </c>
      <c r="H1727" s="26">
        <v>16690233</v>
      </c>
      <c r="I1727" s="26">
        <v>197421676</v>
      </c>
      <c r="J1727" s="26">
        <v>7</v>
      </c>
      <c r="K1727" t="inlineStr">
        <is>
          <t>Non</t>
        </is>
      </c>
      <c r="L1727">
        <f>SUBTOTAL(103,A1727)</f>
        <v>1</v>
      </c>
    </row>
    <row r="1728">
      <c r="A1728" t="inlineStr">
        <is>
          <t>SOCIETE C661</t>
        </is>
      </c>
      <c r="B1728" t="inlineStr">
        <is>
          <t>C661</t>
        </is>
      </c>
      <c r="C1728" t="inlineStr">
        <is>
          <t>CONSUMER BANKING</t>
        </is>
      </c>
      <c r="D1728" t="inlineStr">
        <is>
          <t>I</t>
        </is>
      </c>
      <c r="E1728" t="inlineStr">
        <is>
          <t>Stage 1</t>
        </is>
      </c>
      <c r="F1728" t="inlineStr">
        <is>
          <t>N/A</t>
        </is>
      </c>
      <c r="G1728" s="26">
        <v>253267842</v>
      </c>
      <c r="H1728" s="26">
        <v>2532678</v>
      </c>
      <c r="I1728" s="26">
        <v>18472855</v>
      </c>
      <c r="J1728" s="26">
        <v>39</v>
      </c>
      <c r="K1728" t="inlineStr">
        <is>
          <t>Non</t>
        </is>
      </c>
      <c r="L1728">
        <f>SUBTOTAL(103,A1728)</f>
        <v>1</v>
      </c>
    </row>
    <row r="1729">
      <c r="A1729" t="inlineStr">
        <is>
          <t>SOCIETE C2440</t>
        </is>
      </c>
      <c r="B1729" t="inlineStr">
        <is>
          <t>C2440</t>
        </is>
      </c>
      <c r="C1729" t="inlineStr">
        <is>
          <t>INSTITUTIONAL</t>
        </is>
      </c>
      <c r="D1729" t="inlineStr">
        <is>
          <t>I</t>
        </is>
      </c>
      <c r="E1729" t="inlineStr">
        <is>
          <t>Stage 1</t>
        </is>
      </c>
      <c r="F1729" t="inlineStr">
        <is>
          <t>N/A</t>
        </is>
      </c>
      <c r="G1729" s="26">
        <v>88879060</v>
      </c>
      <c r="H1729" s="26">
        <v>888791</v>
      </c>
      <c r="I1729" s="26">
        <v>0</v>
      </c>
      <c r="J1729" s="26">
        <v>38</v>
      </c>
      <c r="K1729" t="inlineStr">
        <is>
          <t>Non</t>
        </is>
      </c>
      <c r="L1729">
        <f>SUBTOTAL(103,A1729)</f>
        <v>1</v>
      </c>
    </row>
    <row r="1730">
      <c r="A1730" t="inlineStr">
        <is>
          <t>SOCIETE C393</t>
        </is>
      </c>
      <c r="B1730" t="inlineStr">
        <is>
          <t>C393</t>
        </is>
      </c>
      <c r="C1730" t="inlineStr">
        <is>
          <t>CORPORATE BANKING</t>
        </is>
      </c>
      <c r="D1730" t="inlineStr">
        <is>
          <t>I</t>
        </is>
      </c>
      <c r="E1730" t="inlineStr">
        <is>
          <t>Stage 1</t>
        </is>
      </c>
      <c r="F1730" t="inlineStr">
        <is>
          <t>N/A</t>
        </is>
      </c>
      <c r="G1730" s="26">
        <v>1888701515</v>
      </c>
      <c r="H1730" s="26">
        <v>18887015</v>
      </c>
      <c r="I1730" s="26">
        <v>0</v>
      </c>
      <c r="J1730" s="26">
        <v>163</v>
      </c>
      <c r="K1730" t="inlineStr">
        <is>
          <t>Non</t>
        </is>
      </c>
      <c r="L1730">
        <f>SUBTOTAL(103,A1730)</f>
        <v>1</v>
      </c>
    </row>
    <row r="1731">
      <c r="A1731" t="inlineStr">
        <is>
          <t>SOCIETE C1287</t>
        </is>
      </c>
      <c r="B1731" t="inlineStr">
        <is>
          <t>C1287</t>
        </is>
      </c>
      <c r="C1731" t="inlineStr">
        <is>
          <t>CONSUMER BANKING</t>
        </is>
      </c>
      <c r="D1731" t="inlineStr">
        <is>
          <t>IA</t>
        </is>
      </c>
      <c r="E1731" t="inlineStr">
        <is>
          <t>Stage 2</t>
        </is>
      </c>
      <c r="F1731" t="inlineStr">
        <is>
          <t>N/A</t>
        </is>
      </c>
      <c r="G1731" s="26">
        <v>292135816</v>
      </c>
      <c r="H1731" s="26">
        <v>17528149</v>
      </c>
      <c r="I1731" s="26">
        <v>22587353</v>
      </c>
      <c r="J1731" s="26">
        <v>27</v>
      </c>
      <c r="K1731" t="inlineStr">
        <is>
          <t>Non</t>
        </is>
      </c>
      <c r="L1731">
        <f>SUBTOTAL(103,A1731)</f>
        <v>1</v>
      </c>
    </row>
    <row r="1732">
      <c r="A1732" t="inlineStr">
        <is>
          <t>SOCIETE C2204</t>
        </is>
      </c>
      <c r="B1732" t="inlineStr">
        <is>
          <t>C2204</t>
        </is>
      </c>
      <c r="C1732" t="inlineStr">
        <is>
          <t>CORPORATE BANKING</t>
        </is>
      </c>
      <c r="D1732" t="inlineStr">
        <is>
          <t>IA</t>
        </is>
      </c>
      <c r="E1732" t="inlineStr">
        <is>
          <t>Stage 2</t>
        </is>
      </c>
      <c r="F1732" t="inlineStr">
        <is>
          <t>N/A</t>
        </is>
      </c>
      <c r="G1732" s="26">
        <v>68035204</v>
      </c>
      <c r="H1732" s="26">
        <v>4082112</v>
      </c>
      <c r="I1732" s="26">
        <v>4521999</v>
      </c>
      <c r="J1732" s="26">
        <v>78</v>
      </c>
      <c r="K1732" t="inlineStr">
        <is>
          <t>Non</t>
        </is>
      </c>
      <c r="L1732">
        <f>SUBTOTAL(103,A1732)</f>
        <v>1</v>
      </c>
    </row>
    <row r="1733">
      <c r="A1733" t="inlineStr">
        <is>
          <t>SOCIETE C1303</t>
        </is>
      </c>
      <c r="B1733" t="inlineStr">
        <is>
          <t>C1303</t>
        </is>
      </c>
      <c r="C1733" t="inlineStr">
        <is>
          <t>CONSUMER BANKING</t>
        </is>
      </c>
      <c r="D1733" t="inlineStr">
        <is>
          <t>IV</t>
        </is>
      </c>
      <c r="E1733" t="inlineStr">
        <is>
          <t>Stage 3</t>
        </is>
      </c>
      <c r="F1733" t="inlineStr">
        <is>
          <t>N/A</t>
        </is>
      </c>
      <c r="G1733" s="26">
        <v>453949821</v>
      </c>
      <c r="H1733" s="26">
        <v>249672402</v>
      </c>
      <c r="I1733" s="26">
        <v>89133508</v>
      </c>
      <c r="J1733" s="26">
        <v>77</v>
      </c>
      <c r="K1733" t="inlineStr">
        <is>
          <t>Oui</t>
        </is>
      </c>
      <c r="L1733">
        <f>SUBTOTAL(103,A1733)</f>
        <v>1</v>
      </c>
    </row>
    <row r="1734">
      <c r="A1734" t="inlineStr">
        <is>
          <t>SOCIETE C1218</t>
        </is>
      </c>
      <c r="B1734" t="inlineStr">
        <is>
          <t>C1218</t>
        </is>
      </c>
      <c r="C1734" t="inlineStr">
        <is>
          <t>CORPORATE BANKING</t>
        </is>
      </c>
      <c r="D1734" t="inlineStr">
        <is>
          <t>II</t>
        </is>
      </c>
      <c r="E1734" t="inlineStr">
        <is>
          <t>Stage 2</t>
        </is>
      </c>
      <c r="F1734" t="inlineStr">
        <is>
          <t>N/A</t>
        </is>
      </c>
      <c r="G1734" s="26">
        <v>1445288801</v>
      </c>
      <c r="H1734" s="26">
        <v>86717328</v>
      </c>
      <c r="I1734" s="26">
        <v>0</v>
      </c>
      <c r="J1734" s="26">
        <v>119</v>
      </c>
      <c r="K1734" t="inlineStr">
        <is>
          <t>Non</t>
        </is>
      </c>
      <c r="L1734">
        <f>SUBTOTAL(103,A1734)</f>
        <v>1</v>
      </c>
    </row>
    <row r="1735">
      <c r="A1735" t="inlineStr">
        <is>
          <t>SOCIETE C16</t>
        </is>
      </c>
      <c r="B1735" t="inlineStr">
        <is>
          <t>C16</t>
        </is>
      </c>
      <c r="C1735" t="inlineStr">
        <is>
          <t>CONSUMER BANKING</t>
        </is>
      </c>
      <c r="D1735" t="inlineStr">
        <is>
          <t>I</t>
        </is>
      </c>
      <c r="E1735" t="inlineStr">
        <is>
          <t>Stage 1</t>
        </is>
      </c>
      <c r="F1735" t="inlineStr">
        <is>
          <t>N/A</t>
        </is>
      </c>
      <c r="G1735" s="26">
        <v>218394354</v>
      </c>
      <c r="H1735" s="26">
        <v>2183944</v>
      </c>
      <c r="I1735" s="26">
        <v>0</v>
      </c>
      <c r="J1735" s="26">
        <v>149</v>
      </c>
      <c r="K1735" t="inlineStr">
        <is>
          <t>Non</t>
        </is>
      </c>
      <c r="L1735">
        <f>SUBTOTAL(103,A1735)</f>
        <v>1</v>
      </c>
    </row>
    <row r="1736">
      <c r="A1736" t="inlineStr">
        <is>
          <t>SOCIETE C750</t>
        </is>
      </c>
      <c r="B1736" t="inlineStr">
        <is>
          <t>C750</t>
        </is>
      </c>
      <c r="C1736" t="inlineStr">
        <is>
          <t>INSTITUTIONAL</t>
        </is>
      </c>
      <c r="D1736" t="inlineStr">
        <is>
          <t>II</t>
        </is>
      </c>
      <c r="E1736" t="inlineStr">
        <is>
          <t>Stage 2</t>
        </is>
      </c>
      <c r="F1736" t="inlineStr">
        <is>
          <t>N/A</t>
        </is>
      </c>
      <c r="G1736" s="26">
        <v>2562338895</v>
      </c>
      <c r="H1736" s="26">
        <v>153740334</v>
      </c>
      <c r="I1736" s="26">
        <v>113284142</v>
      </c>
      <c r="J1736" s="26">
        <v>47</v>
      </c>
      <c r="K1736" t="inlineStr">
        <is>
          <t>Non</t>
        </is>
      </c>
      <c r="L1736">
        <f>SUBTOTAL(103,A1736)</f>
        <v>1</v>
      </c>
    </row>
    <row r="1737">
      <c r="A1737" t="inlineStr">
        <is>
          <t>SOCIETE C1262</t>
        </is>
      </c>
      <c r="B1737" t="inlineStr">
        <is>
          <t>C1262</t>
        </is>
      </c>
      <c r="C1737" t="inlineStr">
        <is>
          <t>COMMERCIAL BANKING</t>
        </is>
      </c>
      <c r="D1737" t="inlineStr">
        <is>
          <t>I</t>
        </is>
      </c>
      <c r="E1737" t="inlineStr">
        <is>
          <t>Stage 1</t>
        </is>
      </c>
      <c r="F1737" t="inlineStr">
        <is>
          <t>N/A</t>
        </is>
      </c>
      <c r="G1737" s="26">
        <v>2850702075</v>
      </c>
      <c r="H1737" s="26">
        <v>28507021</v>
      </c>
      <c r="I1737" s="26">
        <v>152183445</v>
      </c>
      <c r="J1737" s="26">
        <v>9</v>
      </c>
      <c r="K1737" t="inlineStr">
        <is>
          <t>Non</t>
        </is>
      </c>
      <c r="L1737">
        <f>SUBTOTAL(103,A1737)</f>
        <v>1</v>
      </c>
    </row>
    <row r="1738">
      <c r="A1738" t="inlineStr">
        <is>
          <t>SOCIETE C733</t>
        </is>
      </c>
      <c r="B1738" t="inlineStr">
        <is>
          <t>C733</t>
        </is>
      </c>
      <c r="C1738" t="inlineStr">
        <is>
          <t>CONSUMER BANKING</t>
        </is>
      </c>
      <c r="D1738" t="inlineStr">
        <is>
          <t>I</t>
        </is>
      </c>
      <c r="E1738" t="inlineStr">
        <is>
          <t>Stage 1</t>
        </is>
      </c>
      <c r="F1738" t="inlineStr">
        <is>
          <t>N/A</t>
        </is>
      </c>
      <c r="G1738" s="26">
        <v>1697426668</v>
      </c>
      <c r="H1738" s="26">
        <v>16974267</v>
      </c>
      <c r="I1738" s="26">
        <v>0</v>
      </c>
      <c r="J1738" s="26">
        <v>45</v>
      </c>
      <c r="K1738" t="inlineStr">
        <is>
          <t>Non</t>
        </is>
      </c>
      <c r="L1738">
        <f>SUBTOTAL(103,A1738)</f>
        <v>1</v>
      </c>
    </row>
    <row r="1739">
      <c r="A1739" t="inlineStr">
        <is>
          <t>SOCIETE C822</t>
        </is>
      </c>
      <c r="B1739" t="inlineStr">
        <is>
          <t>C822</t>
        </is>
      </c>
      <c r="C1739" t="inlineStr">
        <is>
          <t>CORPORATE BANKING</t>
        </is>
      </c>
      <c r="D1739" t="inlineStr">
        <is>
          <t>I</t>
        </is>
      </c>
      <c r="E1739" t="inlineStr">
        <is>
          <t>Stage 1</t>
        </is>
      </c>
      <c r="F1739" t="inlineStr">
        <is>
          <t>N/A</t>
        </is>
      </c>
      <c r="G1739" s="26">
        <v>46567985</v>
      </c>
      <c r="H1739" s="26">
        <v>465680</v>
      </c>
      <c r="I1739" s="26">
        <v>0</v>
      </c>
      <c r="J1739" s="26">
        <v>83</v>
      </c>
      <c r="K1739" t="inlineStr">
        <is>
          <t>Non</t>
        </is>
      </c>
      <c r="L1739">
        <f>SUBTOTAL(103,A1739)</f>
        <v>1</v>
      </c>
    </row>
    <row r="1740">
      <c r="A1740" t="inlineStr">
        <is>
          <t>SOCIETE C1747</t>
        </is>
      </c>
      <c r="B1740" t="inlineStr">
        <is>
          <t>C1747</t>
        </is>
      </c>
      <c r="C1740" t="inlineStr">
        <is>
          <t>CORPORATE BANKING</t>
        </is>
      </c>
      <c r="D1740" t="inlineStr">
        <is>
          <t>V</t>
        </is>
      </c>
      <c r="E1740" t="inlineStr">
        <is>
          <t>Stage 3</t>
        </is>
      </c>
      <c r="F1740" t="inlineStr">
        <is>
          <t>N/A</t>
        </is>
      </c>
      <c r="G1740" s="26">
        <v>1850638369</v>
      </c>
      <c r="H1740" s="26">
        <v>1017851103</v>
      </c>
      <c r="I1740" s="26">
        <v>312077022</v>
      </c>
      <c r="J1740" s="26">
        <v>151</v>
      </c>
      <c r="K1740" t="inlineStr">
        <is>
          <t>Oui</t>
        </is>
      </c>
      <c r="L1740">
        <f>SUBTOTAL(103,A1740)</f>
        <v>1</v>
      </c>
    </row>
    <row r="1741">
      <c r="A1741" t="inlineStr">
        <is>
          <t>SOCIETE C1893</t>
        </is>
      </c>
      <c r="B1741" t="inlineStr">
        <is>
          <t>C1893</t>
        </is>
      </c>
      <c r="C1741" t="inlineStr">
        <is>
          <t>CORPORATE BANKING</t>
        </is>
      </c>
      <c r="D1741" t="inlineStr">
        <is>
          <t>IA</t>
        </is>
      </c>
      <c r="E1741" t="inlineStr">
        <is>
          <t>Stage 2</t>
        </is>
      </c>
      <c r="F1741" t="inlineStr">
        <is>
          <t>N/A</t>
        </is>
      </c>
      <c r="G1741" s="26">
        <v>2658682541</v>
      </c>
      <c r="H1741" s="26">
        <v>159520952</v>
      </c>
      <c r="I1741" s="26">
        <v>0</v>
      </c>
      <c r="J1741" s="26">
        <v>81</v>
      </c>
      <c r="K1741" t="inlineStr">
        <is>
          <t>Non</t>
        </is>
      </c>
      <c r="L1741">
        <f>SUBTOTAL(103,A1741)</f>
        <v>1</v>
      </c>
    </row>
    <row r="1742">
      <c r="A1742" t="inlineStr">
        <is>
          <t>SOCIETE C1428</t>
        </is>
      </c>
      <c r="B1742" t="inlineStr">
        <is>
          <t>C1428</t>
        </is>
      </c>
      <c r="C1742" t="inlineStr">
        <is>
          <t>PUBLIC SECTOR</t>
        </is>
      </c>
      <c r="D1742" t="inlineStr">
        <is>
          <t>IA</t>
        </is>
      </c>
      <c r="E1742" t="inlineStr">
        <is>
          <t>Stage 2</t>
        </is>
      </c>
      <c r="F1742" t="inlineStr">
        <is>
          <t>N/A</t>
        </is>
      </c>
      <c r="G1742" s="26">
        <v>24960856</v>
      </c>
      <c r="H1742" s="26">
        <v>1497651</v>
      </c>
      <c r="I1742" s="26">
        <v>0</v>
      </c>
      <c r="J1742" s="26">
        <v>55</v>
      </c>
      <c r="K1742" t="inlineStr">
        <is>
          <t>Non</t>
        </is>
      </c>
      <c r="L1742">
        <f>SUBTOTAL(103,A1742)</f>
        <v>1</v>
      </c>
    </row>
    <row r="1743">
      <c r="A1743" t="inlineStr">
        <is>
          <t>SOCIETE C1668</t>
        </is>
      </c>
      <c r="B1743" t="inlineStr">
        <is>
          <t>C1668</t>
        </is>
      </c>
      <c r="C1743" t="inlineStr">
        <is>
          <t>CORPORATE BANKING</t>
        </is>
      </c>
      <c r="D1743" t="inlineStr">
        <is>
          <t>IV</t>
        </is>
      </c>
      <c r="E1743" t="inlineStr">
        <is>
          <t>Stage 3</t>
        </is>
      </c>
      <c r="F1743" t="inlineStr">
        <is>
          <t>N/A</t>
        </is>
      </c>
      <c r="G1743" s="26">
        <v>428646451</v>
      </c>
      <c r="H1743" s="26">
        <v>235755548</v>
      </c>
      <c r="I1743" s="26">
        <v>0</v>
      </c>
      <c r="J1743" s="26">
        <v>44</v>
      </c>
      <c r="K1743" t="inlineStr">
        <is>
          <t>Oui</t>
        </is>
      </c>
      <c r="L1743">
        <f>SUBTOTAL(103,A1743)</f>
        <v>1</v>
      </c>
    </row>
    <row r="1744">
      <c r="A1744" t="inlineStr">
        <is>
          <t>SOCIETE C2108</t>
        </is>
      </c>
      <c r="B1744" t="inlineStr">
        <is>
          <t>C2108</t>
        </is>
      </c>
      <c r="C1744" t="inlineStr">
        <is>
          <t>CORPORATE BANKING</t>
        </is>
      </c>
      <c r="D1744" t="inlineStr">
        <is>
          <t>I</t>
        </is>
      </c>
      <c r="E1744" t="inlineStr">
        <is>
          <t>Stage 1</t>
        </is>
      </c>
      <c r="F1744" t="inlineStr">
        <is>
          <t>N/A</t>
        </is>
      </c>
      <c r="G1744" s="26">
        <v>621380554</v>
      </c>
      <c r="H1744" s="26">
        <v>6213806</v>
      </c>
      <c r="I1744" s="26">
        <v>2456315</v>
      </c>
      <c r="J1744" s="26">
        <v>9</v>
      </c>
      <c r="K1744" t="inlineStr">
        <is>
          <t>Non</t>
        </is>
      </c>
      <c r="L1744">
        <f>SUBTOTAL(103,A1744)</f>
        <v>1</v>
      </c>
    </row>
    <row r="1745">
      <c r="A1745" t="inlineStr">
        <is>
          <t>SOCIETE C181</t>
        </is>
      </c>
      <c r="B1745" t="inlineStr">
        <is>
          <t>C181</t>
        </is>
      </c>
      <c r="C1745" t="inlineStr">
        <is>
          <t>CORPORATE BANKING</t>
        </is>
      </c>
      <c r="D1745" t="inlineStr">
        <is>
          <t>I</t>
        </is>
      </c>
      <c r="E1745" t="inlineStr">
        <is>
          <t>Stage 1</t>
        </is>
      </c>
      <c r="F1745" t="inlineStr">
        <is>
          <t>N/A</t>
        </is>
      </c>
      <c r="G1745" s="26">
        <v>169859412</v>
      </c>
      <c r="H1745" s="26">
        <v>1698594</v>
      </c>
      <c r="I1745" s="26">
        <v>0</v>
      </c>
      <c r="J1745" s="26">
        <v>231</v>
      </c>
      <c r="K1745" t="inlineStr">
        <is>
          <t>Non</t>
        </is>
      </c>
      <c r="L1745">
        <f>SUBTOTAL(103,A1745)</f>
        <v>1</v>
      </c>
    </row>
    <row r="1746">
      <c r="A1746" t="inlineStr">
        <is>
          <t>SOCIETE C854</t>
        </is>
      </c>
      <c r="B1746" t="inlineStr">
        <is>
          <t>C854</t>
        </is>
      </c>
      <c r="C1746" t="inlineStr">
        <is>
          <t>COMMERCIAL BANKING</t>
        </is>
      </c>
      <c r="D1746" t="inlineStr">
        <is>
          <t>I</t>
        </is>
      </c>
      <c r="E1746" t="inlineStr">
        <is>
          <t>Stage 1</t>
        </is>
      </c>
      <c r="F1746" t="inlineStr">
        <is>
          <t>N/A</t>
        </is>
      </c>
      <c r="G1746" s="26">
        <v>2390910191</v>
      </c>
      <c r="H1746" s="26">
        <v>23909102</v>
      </c>
      <c r="I1746" s="26">
        <v>0</v>
      </c>
      <c r="J1746" s="26">
        <v>106</v>
      </c>
      <c r="K1746" t="inlineStr">
        <is>
          <t>Non</t>
        </is>
      </c>
      <c r="L1746">
        <f>SUBTOTAL(103,A1746)</f>
        <v>1</v>
      </c>
    </row>
    <row r="1747">
      <c r="A1747" t="inlineStr">
        <is>
          <t>SOCIETE C1871</t>
        </is>
      </c>
      <c r="B1747" t="inlineStr">
        <is>
          <t>C1871</t>
        </is>
      </c>
      <c r="C1747" t="inlineStr">
        <is>
          <t>PUBLIC SECTOR</t>
        </is>
      </c>
      <c r="D1747" t="inlineStr">
        <is>
          <t>III</t>
        </is>
      </c>
      <c r="E1747" t="inlineStr">
        <is>
          <t>Stage 3</t>
        </is>
      </c>
      <c r="F1747" t="inlineStr">
        <is>
          <t>N/A</t>
        </is>
      </c>
      <c r="G1747" s="26">
        <v>4037904</v>
      </c>
      <c r="H1747" s="26">
        <v>2220847</v>
      </c>
      <c r="I1747" s="26">
        <v>0</v>
      </c>
      <c r="J1747" s="26">
        <v>162</v>
      </c>
      <c r="K1747" t="inlineStr">
        <is>
          <t>Oui</t>
        </is>
      </c>
      <c r="L1747">
        <f>SUBTOTAL(103,A1747)</f>
        <v>1</v>
      </c>
    </row>
    <row r="1748">
      <c r="A1748" t="inlineStr">
        <is>
          <t>SOCIETE C495</t>
        </is>
      </c>
      <c r="B1748" t="inlineStr">
        <is>
          <t>C495</t>
        </is>
      </c>
      <c r="C1748" t="inlineStr">
        <is>
          <t>CORPORATE BANKING</t>
        </is>
      </c>
      <c r="D1748" t="inlineStr">
        <is>
          <t>I</t>
        </is>
      </c>
      <c r="E1748" t="inlineStr">
        <is>
          <t>Stage 1</t>
        </is>
      </c>
      <c r="F1748" t="inlineStr">
        <is>
          <t>N/A</t>
        </is>
      </c>
      <c r="G1748" s="26">
        <v>428285686</v>
      </c>
      <c r="H1748" s="26">
        <v>4282857</v>
      </c>
      <c r="I1748" s="26">
        <v>0</v>
      </c>
      <c r="J1748" s="26">
        <v>43</v>
      </c>
      <c r="K1748" t="inlineStr">
        <is>
          <t>Non</t>
        </is>
      </c>
      <c r="L1748">
        <f>SUBTOTAL(103,A1748)</f>
        <v>1</v>
      </c>
    </row>
    <row r="1749">
      <c r="A1749" t="inlineStr">
        <is>
          <t>SOCIETE C1543</t>
        </is>
      </c>
      <c r="B1749" t="inlineStr">
        <is>
          <t>C1543</t>
        </is>
      </c>
      <c r="C1749" t="inlineStr">
        <is>
          <t>CONSUMER BANKING</t>
        </is>
      </c>
      <c r="D1749" t="inlineStr">
        <is>
          <t>II</t>
        </is>
      </c>
      <c r="E1749" t="inlineStr">
        <is>
          <t>Stage 2</t>
        </is>
      </c>
      <c r="F1749" t="inlineStr">
        <is>
          <t>N/A</t>
        </is>
      </c>
      <c r="G1749" s="26">
        <v>592401847</v>
      </c>
      <c r="H1749" s="26">
        <v>35544111</v>
      </c>
      <c r="I1749" s="26">
        <v>0</v>
      </c>
      <c r="J1749" s="26">
        <v>58</v>
      </c>
      <c r="K1749" t="inlineStr">
        <is>
          <t>Non</t>
        </is>
      </c>
      <c r="L1749">
        <f>SUBTOTAL(103,A1749)</f>
        <v>1</v>
      </c>
    </row>
    <row r="1750">
      <c r="A1750" t="inlineStr">
        <is>
          <t>SOCIETE C2232</t>
        </is>
      </c>
      <c r="B1750" t="inlineStr">
        <is>
          <t>C2232</t>
        </is>
      </c>
      <c r="C1750" t="inlineStr">
        <is>
          <t>CORPORATE BANKING</t>
        </is>
      </c>
      <c r="D1750" t="inlineStr">
        <is>
          <t>II</t>
        </is>
      </c>
      <c r="E1750" t="inlineStr">
        <is>
          <t>Stage 2</t>
        </is>
      </c>
      <c r="F1750" t="inlineStr">
        <is>
          <t>N/A</t>
        </is>
      </c>
      <c r="G1750" s="26">
        <v>1669241734</v>
      </c>
      <c r="H1750" s="26">
        <v>100154504</v>
      </c>
      <c r="I1750" s="26">
        <v>0</v>
      </c>
      <c r="J1750" s="26">
        <v>40</v>
      </c>
      <c r="K1750" t="inlineStr">
        <is>
          <t>Non</t>
        </is>
      </c>
      <c r="L1750">
        <f>SUBTOTAL(103,A1750)</f>
        <v>1</v>
      </c>
    </row>
    <row r="1751">
      <c r="A1751" t="inlineStr">
        <is>
          <t>SOCIETE C2219</t>
        </is>
      </c>
      <c r="B1751" t="inlineStr">
        <is>
          <t>C2219</t>
        </is>
      </c>
      <c r="C1751" t="inlineStr">
        <is>
          <t>COMMERCIAL BANKING</t>
        </is>
      </c>
      <c r="D1751" t="inlineStr">
        <is>
          <t>I</t>
        </is>
      </c>
      <c r="E1751" t="inlineStr">
        <is>
          <t>Stage 1</t>
        </is>
      </c>
      <c r="F1751" t="inlineStr">
        <is>
          <t>N/A</t>
        </is>
      </c>
      <c r="G1751" s="26">
        <v>151300805</v>
      </c>
      <c r="H1751" s="26">
        <v>1513008</v>
      </c>
      <c r="I1751" s="26">
        <v>23558967</v>
      </c>
      <c r="J1751" s="26">
        <v>17</v>
      </c>
      <c r="K1751" t="inlineStr">
        <is>
          <t>Non</t>
        </is>
      </c>
      <c r="L1751">
        <f>SUBTOTAL(103,A1751)</f>
        <v>1</v>
      </c>
    </row>
    <row r="1752">
      <c r="A1752" t="inlineStr">
        <is>
          <t>SOCIETE C1634</t>
        </is>
      </c>
      <c r="B1752" t="inlineStr">
        <is>
          <t>C1634</t>
        </is>
      </c>
      <c r="C1752" t="inlineStr">
        <is>
          <t>CORPORATE BANKING</t>
        </is>
      </c>
      <c r="D1752" t="inlineStr">
        <is>
          <t>IA</t>
        </is>
      </c>
      <c r="E1752" t="inlineStr">
        <is>
          <t>Stage 2</t>
        </is>
      </c>
      <c r="F1752" t="inlineStr">
        <is>
          <t>N/A</t>
        </is>
      </c>
      <c r="G1752" s="26">
        <v>2154922989</v>
      </c>
      <c r="H1752" s="26">
        <v>129295379</v>
      </c>
      <c r="I1752" s="26">
        <v>206655196</v>
      </c>
      <c r="J1752" s="26">
        <v>151</v>
      </c>
      <c r="K1752" t="inlineStr">
        <is>
          <t>Non</t>
        </is>
      </c>
      <c r="L1752">
        <f>SUBTOTAL(103,A1752)</f>
        <v>1</v>
      </c>
    </row>
    <row r="1753">
      <c r="A1753" t="inlineStr">
        <is>
          <t>SOCIETE C2051</t>
        </is>
      </c>
      <c r="B1753" t="inlineStr">
        <is>
          <t>C2051</t>
        </is>
      </c>
      <c r="C1753" t="inlineStr">
        <is>
          <t>CONSUMER BANKING</t>
        </is>
      </c>
      <c r="D1753" t="inlineStr">
        <is>
          <t>II</t>
        </is>
      </c>
      <c r="E1753" t="inlineStr">
        <is>
          <t>Stage 2</t>
        </is>
      </c>
      <c r="F1753" t="inlineStr">
        <is>
          <t>N/A</t>
        </is>
      </c>
      <c r="G1753" s="26">
        <v>250661699</v>
      </c>
      <c r="H1753" s="26">
        <v>15039702</v>
      </c>
      <c r="I1753" s="26">
        <v>9217072</v>
      </c>
      <c r="J1753" s="26">
        <v>15</v>
      </c>
      <c r="K1753" t="inlineStr">
        <is>
          <t>Non</t>
        </is>
      </c>
      <c r="L1753">
        <f>SUBTOTAL(103,A1753)</f>
        <v>1</v>
      </c>
    </row>
    <row r="1754">
      <c r="A1754" t="inlineStr">
        <is>
          <t>SOCIETE C346</t>
        </is>
      </c>
      <c r="B1754" t="inlineStr">
        <is>
          <t>C346</t>
        </is>
      </c>
      <c r="C1754" t="inlineStr">
        <is>
          <t>COMMERCIAL BANKING</t>
        </is>
      </c>
      <c r="D1754" t="inlineStr">
        <is>
          <t>II</t>
        </is>
      </c>
      <c r="E1754" t="inlineStr">
        <is>
          <t>Stage 2</t>
        </is>
      </c>
      <c r="F1754" t="inlineStr">
        <is>
          <t>N/A</t>
        </is>
      </c>
      <c r="G1754" s="26">
        <v>4399039</v>
      </c>
      <c r="H1754" s="26">
        <v>263942</v>
      </c>
      <c r="I1754" s="26">
        <v>0</v>
      </c>
      <c r="J1754" s="26">
        <v>79</v>
      </c>
      <c r="K1754" t="inlineStr">
        <is>
          <t>Non</t>
        </is>
      </c>
      <c r="L1754">
        <f>SUBTOTAL(103,A1754)</f>
        <v>1</v>
      </c>
    </row>
    <row r="1755">
      <c r="A1755" t="inlineStr">
        <is>
          <t>SOCIETE C423</t>
        </is>
      </c>
      <c r="B1755" t="inlineStr">
        <is>
          <t>C423</t>
        </is>
      </c>
      <c r="C1755" t="inlineStr">
        <is>
          <t>CORPORATE BANKING</t>
        </is>
      </c>
      <c r="D1755" t="inlineStr">
        <is>
          <t>IA</t>
        </is>
      </c>
      <c r="E1755" t="inlineStr">
        <is>
          <t>Stage 2</t>
        </is>
      </c>
      <c r="F1755" t="inlineStr">
        <is>
          <t>N/A</t>
        </is>
      </c>
      <c r="G1755" s="26">
        <v>38748883</v>
      </c>
      <c r="H1755" s="26">
        <v>2324933</v>
      </c>
      <c r="I1755" s="26">
        <v>0</v>
      </c>
      <c r="J1755" s="26">
        <v>23</v>
      </c>
      <c r="K1755" t="inlineStr">
        <is>
          <t>Non</t>
        </is>
      </c>
      <c r="L1755">
        <f>SUBTOTAL(103,A1755)</f>
        <v>1</v>
      </c>
    </row>
    <row r="1756">
      <c r="A1756" t="inlineStr">
        <is>
          <t>SOCIETE C2337</t>
        </is>
      </c>
      <c r="B1756" t="inlineStr">
        <is>
          <t>C2337</t>
        </is>
      </c>
      <c r="C1756" t="inlineStr">
        <is>
          <t>CORPORATE BANKING</t>
        </is>
      </c>
      <c r="D1756" t="inlineStr">
        <is>
          <t>I</t>
        </is>
      </c>
      <c r="E1756" t="inlineStr">
        <is>
          <t>Stage 1</t>
        </is>
      </c>
      <c r="F1756" t="inlineStr">
        <is>
          <t>N/A</t>
        </is>
      </c>
      <c r="G1756" s="26">
        <v>2396710163</v>
      </c>
      <c r="H1756" s="26">
        <v>23967102</v>
      </c>
      <c r="I1756" s="26">
        <v>373050743</v>
      </c>
      <c r="J1756" s="26">
        <v>11</v>
      </c>
      <c r="K1756" t="inlineStr">
        <is>
          <t>Non</t>
        </is>
      </c>
      <c r="L1756">
        <f>SUBTOTAL(103,A1756)</f>
        <v>1</v>
      </c>
    </row>
    <row r="1757">
      <c r="A1757" t="inlineStr">
        <is>
          <t>SOCIETE C1411</t>
        </is>
      </c>
      <c r="B1757" t="inlineStr">
        <is>
          <t>C1411</t>
        </is>
      </c>
      <c r="C1757" t="inlineStr">
        <is>
          <t>CORPORATE BANKING</t>
        </is>
      </c>
      <c r="D1757" t="inlineStr">
        <is>
          <t>III</t>
        </is>
      </c>
      <c r="E1757" t="inlineStr">
        <is>
          <t>Stage 3</t>
        </is>
      </c>
      <c r="F1757" t="inlineStr">
        <is>
          <t>N/A</t>
        </is>
      </c>
      <c r="G1757" s="26">
        <v>1973865321</v>
      </c>
      <c r="H1757" s="26">
        <v>1085625926</v>
      </c>
      <c r="I1757" s="26">
        <v>193989462</v>
      </c>
      <c r="J1757" s="26">
        <v>148</v>
      </c>
      <c r="K1757" t="inlineStr">
        <is>
          <t>Oui</t>
        </is>
      </c>
      <c r="L1757">
        <f>SUBTOTAL(103,A1757)</f>
        <v>1</v>
      </c>
    </row>
    <row r="1758">
      <c r="A1758" t="inlineStr">
        <is>
          <t>SOCIETE C1725</t>
        </is>
      </c>
      <c r="B1758" t="inlineStr">
        <is>
          <t>C1725</t>
        </is>
      </c>
      <c r="C1758" t="inlineStr">
        <is>
          <t>COMMERCIAL BANKING</t>
        </is>
      </c>
      <c r="D1758" t="inlineStr">
        <is>
          <t>I</t>
        </is>
      </c>
      <c r="E1758" t="inlineStr">
        <is>
          <t>Stage 1</t>
        </is>
      </c>
      <c r="F1758" t="inlineStr">
        <is>
          <t>N/A</t>
        </is>
      </c>
      <c r="G1758" s="26">
        <v>106344667</v>
      </c>
      <c r="H1758" s="26">
        <v>1063447</v>
      </c>
      <c r="I1758" s="26">
        <v>0</v>
      </c>
      <c r="J1758" s="26">
        <v>1</v>
      </c>
      <c r="K1758" t="inlineStr">
        <is>
          <t>Non</t>
        </is>
      </c>
      <c r="L1758">
        <f>SUBTOTAL(103,A1758)</f>
        <v>1</v>
      </c>
    </row>
    <row r="1759">
      <c r="A1759" t="inlineStr">
        <is>
          <t>SOCIETE C1592</t>
        </is>
      </c>
      <c r="B1759" t="inlineStr">
        <is>
          <t>C1592</t>
        </is>
      </c>
      <c r="C1759" t="inlineStr">
        <is>
          <t>CONSUMER BANKING</t>
        </is>
      </c>
      <c r="D1759" t="inlineStr">
        <is>
          <t>I</t>
        </is>
      </c>
      <c r="E1759" t="inlineStr">
        <is>
          <t>Stage 1</t>
        </is>
      </c>
      <c r="F1759" t="inlineStr">
        <is>
          <t>N/A</t>
        </is>
      </c>
      <c r="G1759" s="26">
        <v>752465274</v>
      </c>
      <c r="H1759" s="26">
        <v>7524653</v>
      </c>
      <c r="I1759" s="26">
        <v>113386443</v>
      </c>
      <c r="J1759" s="26">
        <v>133</v>
      </c>
      <c r="K1759" t="inlineStr">
        <is>
          <t>Non</t>
        </is>
      </c>
      <c r="L1759">
        <f>SUBTOTAL(103,A1759)</f>
        <v>1</v>
      </c>
    </row>
    <row r="1760">
      <c r="A1760" t="inlineStr">
        <is>
          <t>SOCIETE C1633</t>
        </is>
      </c>
      <c r="B1760" t="inlineStr">
        <is>
          <t>C1633</t>
        </is>
      </c>
      <c r="C1760" t="inlineStr">
        <is>
          <t>CORPORATE BANKING</t>
        </is>
      </c>
      <c r="D1760" t="inlineStr">
        <is>
          <t>I</t>
        </is>
      </c>
      <c r="E1760" t="inlineStr">
        <is>
          <t>Stage 1</t>
        </is>
      </c>
      <c r="F1760" t="inlineStr">
        <is>
          <t>N/A</t>
        </is>
      </c>
      <c r="G1760" s="26">
        <v>3319828</v>
      </c>
      <c r="H1760" s="26">
        <v>33198</v>
      </c>
      <c r="I1760" s="26">
        <v>0</v>
      </c>
      <c r="J1760" s="26">
        <v>16</v>
      </c>
      <c r="K1760" t="inlineStr">
        <is>
          <t>Non</t>
        </is>
      </c>
      <c r="L1760">
        <f>SUBTOTAL(103,A1760)</f>
        <v>1</v>
      </c>
    </row>
    <row r="1761">
      <c r="A1761" t="inlineStr">
        <is>
          <t>SOCIETE C1068</t>
        </is>
      </c>
      <c r="B1761" t="inlineStr">
        <is>
          <t>C1068</t>
        </is>
      </c>
      <c r="C1761" t="inlineStr">
        <is>
          <t>COMMERCIAL BANKING</t>
        </is>
      </c>
      <c r="D1761" t="inlineStr">
        <is>
          <t>IA</t>
        </is>
      </c>
      <c r="E1761" t="inlineStr">
        <is>
          <t>Stage 2</t>
        </is>
      </c>
      <c r="F1761" t="inlineStr">
        <is>
          <t>N/A</t>
        </is>
      </c>
      <c r="G1761" s="26">
        <v>111760075</v>
      </c>
      <c r="H1761" s="26">
        <v>6705604</v>
      </c>
      <c r="I1761" s="26">
        <v>0</v>
      </c>
      <c r="J1761" s="26">
        <v>64</v>
      </c>
      <c r="K1761" t="inlineStr">
        <is>
          <t>Non</t>
        </is>
      </c>
      <c r="L1761">
        <f>SUBTOTAL(103,A1761)</f>
        <v>1</v>
      </c>
    </row>
    <row r="1762">
      <c r="A1762" t="inlineStr">
        <is>
          <t>SOCIETE C501</t>
        </is>
      </c>
      <c r="B1762" t="inlineStr">
        <is>
          <t>C501</t>
        </is>
      </c>
      <c r="C1762" t="inlineStr">
        <is>
          <t>COMMERCIAL BANKING</t>
        </is>
      </c>
      <c r="D1762" t="inlineStr">
        <is>
          <t>I</t>
        </is>
      </c>
      <c r="E1762" t="inlineStr">
        <is>
          <t>Stage 1</t>
        </is>
      </c>
      <c r="F1762" t="inlineStr">
        <is>
          <t>N/A</t>
        </is>
      </c>
      <c r="G1762" s="26">
        <v>2742754448</v>
      </c>
      <c r="H1762" s="26">
        <v>27427544</v>
      </c>
      <c r="I1762" s="26">
        <v>18772133</v>
      </c>
      <c r="J1762" s="26">
        <v>43</v>
      </c>
      <c r="K1762" t="inlineStr">
        <is>
          <t>Non</t>
        </is>
      </c>
      <c r="L1762">
        <f>SUBTOTAL(103,A1762)</f>
        <v>1</v>
      </c>
    </row>
    <row r="1763">
      <c r="A1763" t="inlineStr">
        <is>
          <t>SOCIETE C2428</t>
        </is>
      </c>
      <c r="B1763" t="inlineStr">
        <is>
          <t>C2428</t>
        </is>
      </c>
      <c r="C1763" t="inlineStr">
        <is>
          <t>COMMERCIAL BANKING</t>
        </is>
      </c>
      <c r="D1763" t="inlineStr">
        <is>
          <t>IA</t>
        </is>
      </c>
      <c r="E1763" t="inlineStr">
        <is>
          <t>Stage 2</t>
        </is>
      </c>
      <c r="F1763" t="inlineStr">
        <is>
          <t>N/A</t>
        </is>
      </c>
      <c r="G1763" s="26">
        <v>2480183127</v>
      </c>
      <c r="H1763" s="26">
        <v>148810988</v>
      </c>
      <c r="I1763" s="26">
        <v>468632274</v>
      </c>
      <c r="J1763" s="26">
        <v>142</v>
      </c>
      <c r="K1763" t="inlineStr">
        <is>
          <t>Non</t>
        </is>
      </c>
      <c r="L1763">
        <f>SUBTOTAL(103,A1763)</f>
        <v>1</v>
      </c>
    </row>
    <row r="1764">
      <c r="A1764" t="inlineStr">
        <is>
          <t>SOCIETE C1460</t>
        </is>
      </c>
      <c r="B1764" t="inlineStr">
        <is>
          <t>C1460</t>
        </is>
      </c>
      <c r="C1764" t="inlineStr">
        <is>
          <t>COMMERCIAL BANKING</t>
        </is>
      </c>
      <c r="D1764" t="inlineStr">
        <is>
          <t>II</t>
        </is>
      </c>
      <c r="E1764" t="inlineStr">
        <is>
          <t>Stage 2</t>
        </is>
      </c>
      <c r="F1764" t="inlineStr">
        <is>
          <t>N/A</t>
        </is>
      </c>
      <c r="G1764" s="26">
        <v>75414926</v>
      </c>
      <c r="H1764" s="26">
        <v>4524896</v>
      </c>
      <c r="I1764" s="26">
        <v>0</v>
      </c>
      <c r="J1764" s="26">
        <v>58</v>
      </c>
      <c r="K1764" t="inlineStr">
        <is>
          <t>Non</t>
        </is>
      </c>
      <c r="L1764">
        <f>SUBTOTAL(103,A1764)</f>
        <v>1</v>
      </c>
    </row>
    <row r="1765">
      <c r="A1765" t="inlineStr">
        <is>
          <t>SOCIETE C1469</t>
        </is>
      </c>
      <c r="B1765" t="inlineStr">
        <is>
          <t>C1469</t>
        </is>
      </c>
      <c r="C1765" t="inlineStr">
        <is>
          <t>CORPORATE BANKING</t>
        </is>
      </c>
      <c r="D1765" t="inlineStr">
        <is>
          <t>I</t>
        </is>
      </c>
      <c r="E1765" t="inlineStr">
        <is>
          <t>Stage 1</t>
        </is>
      </c>
      <c r="F1765" t="inlineStr">
        <is>
          <t>N/A</t>
        </is>
      </c>
      <c r="G1765" s="26">
        <v>1016334741</v>
      </c>
      <c r="H1765" s="26">
        <v>10163347</v>
      </c>
      <c r="I1765" s="26">
        <v>0</v>
      </c>
      <c r="J1765" s="26">
        <v>61</v>
      </c>
      <c r="K1765" t="inlineStr">
        <is>
          <t>Non</t>
        </is>
      </c>
      <c r="L1765">
        <f>SUBTOTAL(103,A1765)</f>
        <v>1</v>
      </c>
    </row>
    <row r="1766">
      <c r="A1766" t="inlineStr">
        <is>
          <t>SOCIETE C1979</t>
        </is>
      </c>
      <c r="B1766" t="inlineStr">
        <is>
          <t>C1979</t>
        </is>
      </c>
      <c r="C1766" t="inlineStr">
        <is>
          <t>CORPORATE BANKING</t>
        </is>
      </c>
      <c r="D1766" t="inlineStr">
        <is>
          <t>I</t>
        </is>
      </c>
      <c r="E1766" t="inlineStr">
        <is>
          <t>Stage 1</t>
        </is>
      </c>
      <c r="F1766" t="inlineStr">
        <is>
          <t>N/A</t>
        </is>
      </c>
      <c r="G1766" s="26">
        <v>964000836</v>
      </c>
      <c r="H1766" s="26">
        <v>9640008</v>
      </c>
      <c r="I1766" s="26">
        <v>0</v>
      </c>
      <c r="J1766" s="26">
        <v>120</v>
      </c>
      <c r="K1766" t="inlineStr">
        <is>
          <t>Non</t>
        </is>
      </c>
      <c r="L1766">
        <f>SUBTOTAL(103,A1766)</f>
        <v>1</v>
      </c>
    </row>
    <row r="1767">
      <c r="A1767" t="inlineStr">
        <is>
          <t>SOCIETE C2237</t>
        </is>
      </c>
      <c r="B1767" t="inlineStr">
        <is>
          <t>C2237</t>
        </is>
      </c>
      <c r="C1767" t="inlineStr">
        <is>
          <t>CORPORATE BANKING</t>
        </is>
      </c>
      <c r="D1767" t="inlineStr">
        <is>
          <t>I</t>
        </is>
      </c>
      <c r="E1767" t="inlineStr">
        <is>
          <t>Stage 1</t>
        </is>
      </c>
      <c r="F1767" t="inlineStr">
        <is>
          <t>N/A</t>
        </is>
      </c>
      <c r="G1767" s="26">
        <v>1061465</v>
      </c>
      <c r="H1767" s="26">
        <v>10615</v>
      </c>
      <c r="I1767" s="26">
        <v>55294</v>
      </c>
      <c r="J1767" s="26">
        <v>159</v>
      </c>
      <c r="K1767" t="inlineStr">
        <is>
          <t>Non</t>
        </is>
      </c>
      <c r="L1767">
        <f>SUBTOTAL(103,A1767)</f>
        <v>1</v>
      </c>
    </row>
    <row r="1768">
      <c r="A1768" t="inlineStr">
        <is>
          <t>SOCIETE C744</t>
        </is>
      </c>
      <c r="B1768" t="inlineStr">
        <is>
          <t>C744</t>
        </is>
      </c>
      <c r="C1768" t="inlineStr">
        <is>
          <t>COMMERCIAL BANKING</t>
        </is>
      </c>
      <c r="D1768" t="inlineStr">
        <is>
          <t>II</t>
        </is>
      </c>
      <c r="E1768" t="inlineStr">
        <is>
          <t>Stage 2</t>
        </is>
      </c>
      <c r="F1768" t="inlineStr">
        <is>
          <t>N/A</t>
        </is>
      </c>
      <c r="G1768" s="26">
        <v>717211105</v>
      </c>
      <c r="H1768" s="26">
        <v>43032666</v>
      </c>
      <c r="I1768" s="26">
        <v>0</v>
      </c>
      <c r="J1768" s="26">
        <v>16</v>
      </c>
      <c r="K1768" t="inlineStr">
        <is>
          <t>Non</t>
        </is>
      </c>
      <c r="L1768">
        <f>SUBTOTAL(103,A1768)</f>
        <v>1</v>
      </c>
    </row>
    <row r="1769">
      <c r="A1769" t="inlineStr">
        <is>
          <t>SOCIETE C1952</t>
        </is>
      </c>
      <c r="B1769" t="inlineStr">
        <is>
          <t>C1952</t>
        </is>
      </c>
      <c r="C1769" t="inlineStr">
        <is>
          <t>CORPORATE BANKING</t>
        </is>
      </c>
      <c r="D1769" t="inlineStr">
        <is>
          <t>IV</t>
        </is>
      </c>
      <c r="E1769" t="inlineStr">
        <is>
          <t>Stage 3</t>
        </is>
      </c>
      <c r="F1769" t="inlineStr">
        <is>
          <t>N/A</t>
        </is>
      </c>
      <c r="G1769" s="26">
        <v>48010046</v>
      </c>
      <c r="H1769" s="26">
        <v>26405525</v>
      </c>
      <c r="I1769" s="26">
        <v>2407887</v>
      </c>
      <c r="J1769" s="26">
        <v>152</v>
      </c>
      <c r="K1769" t="inlineStr">
        <is>
          <t>Oui</t>
        </is>
      </c>
      <c r="L1769">
        <f>SUBTOTAL(103,A1769)</f>
        <v>1</v>
      </c>
    </row>
    <row r="1770">
      <c r="A1770" t="inlineStr">
        <is>
          <t>SOCIETE C904</t>
        </is>
      </c>
      <c r="B1770" t="inlineStr">
        <is>
          <t>C904</t>
        </is>
      </c>
      <c r="C1770" t="inlineStr">
        <is>
          <t>COMMERCIAL BANKING</t>
        </is>
      </c>
      <c r="D1770" t="inlineStr">
        <is>
          <t>IA</t>
        </is>
      </c>
      <c r="E1770" t="inlineStr">
        <is>
          <t>Stage 2</t>
        </is>
      </c>
      <c r="F1770" t="inlineStr">
        <is>
          <t>N/A</t>
        </is>
      </c>
      <c r="G1770" s="26">
        <v>23366955</v>
      </c>
      <c r="H1770" s="26">
        <v>1402017</v>
      </c>
      <c r="I1770" s="26">
        <v>0</v>
      </c>
      <c r="J1770" s="26">
        <v>175</v>
      </c>
      <c r="K1770" t="inlineStr">
        <is>
          <t>Non</t>
        </is>
      </c>
      <c r="L1770">
        <f>SUBTOTAL(103,A1770)</f>
        <v>1</v>
      </c>
    </row>
    <row r="1771">
      <c r="A1771" t="inlineStr">
        <is>
          <t>SOCIETE C1007</t>
        </is>
      </c>
      <c r="B1771" t="inlineStr">
        <is>
          <t>C1007</t>
        </is>
      </c>
      <c r="C1771" t="inlineStr">
        <is>
          <t>COMMERCIAL BANKING</t>
        </is>
      </c>
      <c r="D1771" t="inlineStr">
        <is>
          <t>III</t>
        </is>
      </c>
      <c r="E1771" t="inlineStr">
        <is>
          <t>Stage 3</t>
        </is>
      </c>
      <c r="F1771" t="inlineStr">
        <is>
          <t>N/A</t>
        </is>
      </c>
      <c r="G1771" s="26">
        <v>1895490726</v>
      </c>
      <c r="H1771" s="26">
        <v>1042519900</v>
      </c>
      <c r="I1771" s="26">
        <v>0</v>
      </c>
      <c r="J1771" s="26">
        <v>29</v>
      </c>
      <c r="K1771" t="inlineStr">
        <is>
          <t>Oui</t>
        </is>
      </c>
      <c r="L1771">
        <f>SUBTOTAL(103,A1771)</f>
        <v>1</v>
      </c>
    </row>
    <row r="1772">
      <c r="A1772" t="inlineStr">
        <is>
          <t>SOCIETE C1871</t>
        </is>
      </c>
      <c r="B1772" t="inlineStr">
        <is>
          <t>C1871</t>
        </is>
      </c>
      <c r="C1772" t="inlineStr">
        <is>
          <t>CONSUMER BANKING</t>
        </is>
      </c>
      <c r="D1772" t="inlineStr">
        <is>
          <t>V</t>
        </is>
      </c>
      <c r="E1772" t="inlineStr">
        <is>
          <t>Stage 3</t>
        </is>
      </c>
      <c r="F1772" t="inlineStr">
        <is>
          <t>N/A</t>
        </is>
      </c>
      <c r="G1772" s="26">
        <v>310163182</v>
      </c>
      <c r="H1772" s="26">
        <v>170589750</v>
      </c>
      <c r="I1772" s="26">
        <v>0</v>
      </c>
      <c r="J1772" s="26">
        <v>132</v>
      </c>
      <c r="K1772" t="inlineStr">
        <is>
          <t>Oui</t>
        </is>
      </c>
      <c r="L1772">
        <f>SUBTOTAL(103,A1772)</f>
        <v>1</v>
      </c>
    </row>
    <row r="1773">
      <c r="A1773" t="inlineStr">
        <is>
          <t>SOCIETE C1484</t>
        </is>
      </c>
      <c r="B1773" t="inlineStr">
        <is>
          <t>C1484</t>
        </is>
      </c>
      <c r="C1773" t="inlineStr">
        <is>
          <t>SME</t>
        </is>
      </c>
      <c r="D1773" t="inlineStr">
        <is>
          <t>II</t>
        </is>
      </c>
      <c r="E1773" t="inlineStr">
        <is>
          <t>Stage 2</t>
        </is>
      </c>
      <c r="F1773" t="inlineStr">
        <is>
          <t>N/A</t>
        </is>
      </c>
      <c r="G1773" s="26">
        <v>85098726</v>
      </c>
      <c r="H1773" s="26">
        <v>5105924</v>
      </c>
      <c r="I1773" s="26">
        <v>0</v>
      </c>
      <c r="J1773" s="26">
        <v>74</v>
      </c>
      <c r="K1773" t="inlineStr">
        <is>
          <t>Non</t>
        </is>
      </c>
      <c r="L1773">
        <f>SUBTOTAL(103,A1773)</f>
        <v>1</v>
      </c>
    </row>
    <row r="1774">
      <c r="A1774" t="inlineStr">
        <is>
          <t>SOCIETE C792</t>
        </is>
      </c>
      <c r="B1774" t="inlineStr">
        <is>
          <t>C792</t>
        </is>
      </c>
      <c r="C1774" t="inlineStr">
        <is>
          <t>COMMERCIAL BANKING</t>
        </is>
      </c>
      <c r="D1774" t="inlineStr">
        <is>
          <t>IA</t>
        </is>
      </c>
      <c r="E1774" t="inlineStr">
        <is>
          <t>Stage 2</t>
        </is>
      </c>
      <c r="F1774" t="inlineStr">
        <is>
          <t>N/A</t>
        </is>
      </c>
      <c r="G1774" s="26">
        <v>691360465</v>
      </c>
      <c r="H1774" s="26">
        <v>41481628</v>
      </c>
      <c r="I1774" s="26">
        <v>0</v>
      </c>
      <c r="J1774" s="26">
        <v>0</v>
      </c>
      <c r="K1774" t="inlineStr">
        <is>
          <t>Non</t>
        </is>
      </c>
      <c r="L1774">
        <f>SUBTOTAL(103,A1774)</f>
        <v>1</v>
      </c>
    </row>
    <row r="1775">
      <c r="A1775" t="inlineStr">
        <is>
          <t>SOCIETE C1084</t>
        </is>
      </c>
      <c r="B1775" t="inlineStr">
        <is>
          <t>C1084</t>
        </is>
      </c>
      <c r="C1775" t="inlineStr">
        <is>
          <t>INSTITUTIONAL</t>
        </is>
      </c>
      <c r="D1775" t="inlineStr">
        <is>
          <t>IA</t>
        </is>
      </c>
      <c r="E1775" t="inlineStr">
        <is>
          <t>Stage 2</t>
        </is>
      </c>
      <c r="F1775" t="inlineStr">
        <is>
          <t>N/A</t>
        </is>
      </c>
      <c r="G1775" s="26">
        <v>497954926</v>
      </c>
      <c r="H1775" s="26">
        <v>29877296</v>
      </c>
      <c r="I1775" s="26">
        <v>0</v>
      </c>
      <c r="J1775" s="26">
        <v>102</v>
      </c>
      <c r="K1775" t="inlineStr">
        <is>
          <t>Non</t>
        </is>
      </c>
      <c r="L1775">
        <f>SUBTOTAL(103,A1775)</f>
        <v>1</v>
      </c>
    </row>
    <row r="1776">
      <c r="A1776" t="inlineStr">
        <is>
          <t>SOCIETE C2271</t>
        </is>
      </c>
      <c r="B1776" t="inlineStr">
        <is>
          <t>C2271</t>
        </is>
      </c>
      <c r="C1776" t="inlineStr">
        <is>
          <t>CONSUMER BANKING</t>
        </is>
      </c>
      <c r="D1776" t="inlineStr">
        <is>
          <t>I</t>
        </is>
      </c>
      <c r="E1776" t="inlineStr">
        <is>
          <t>Stage 1</t>
        </is>
      </c>
      <c r="F1776" t="inlineStr">
        <is>
          <t>N/A</t>
        </is>
      </c>
      <c r="G1776" s="26">
        <v>15519087</v>
      </c>
      <c r="H1776" s="26">
        <v>155191</v>
      </c>
      <c r="I1776" s="26">
        <v>0</v>
      </c>
      <c r="J1776" s="26">
        <v>215</v>
      </c>
      <c r="K1776" t="inlineStr">
        <is>
          <t>Non</t>
        </is>
      </c>
      <c r="L1776">
        <f>SUBTOTAL(103,A1776)</f>
        <v>1</v>
      </c>
    </row>
    <row r="1777">
      <c r="A1777" t="inlineStr">
        <is>
          <t>SOCIETE C2278</t>
        </is>
      </c>
      <c r="B1777" t="inlineStr">
        <is>
          <t>C2278</t>
        </is>
      </c>
      <c r="C1777" t="inlineStr">
        <is>
          <t>COMMERCIAL BANKING</t>
        </is>
      </c>
      <c r="D1777" t="inlineStr">
        <is>
          <t>III</t>
        </is>
      </c>
      <c r="E1777" t="inlineStr">
        <is>
          <t>Stage 3</t>
        </is>
      </c>
      <c r="F1777" t="inlineStr">
        <is>
          <t>N/A</t>
        </is>
      </c>
      <c r="G1777" s="26">
        <v>1000299</v>
      </c>
      <c r="H1777" s="26">
        <v>550164</v>
      </c>
      <c r="I1777" s="26">
        <v>14107</v>
      </c>
      <c r="J1777" s="26">
        <v>20</v>
      </c>
      <c r="K1777" t="inlineStr">
        <is>
          <t>Oui</t>
        </is>
      </c>
      <c r="L1777">
        <f>SUBTOTAL(103,A1777)</f>
        <v>1</v>
      </c>
    </row>
    <row r="1778">
      <c r="A1778" t="inlineStr">
        <is>
          <t>SOCIETE C815</t>
        </is>
      </c>
      <c r="B1778" t="inlineStr">
        <is>
          <t>C815</t>
        </is>
      </c>
      <c r="C1778" t="inlineStr">
        <is>
          <t>CORPORATE BANKING</t>
        </is>
      </c>
      <c r="D1778" t="inlineStr">
        <is>
          <t>III</t>
        </is>
      </c>
      <c r="E1778" t="inlineStr">
        <is>
          <t>Stage 3</t>
        </is>
      </c>
      <c r="F1778" t="inlineStr">
        <is>
          <t>N/A</t>
        </is>
      </c>
      <c r="G1778" s="26">
        <v>36343975</v>
      </c>
      <c r="H1778" s="26">
        <v>19989186</v>
      </c>
      <c r="I1778" s="26">
        <v>0</v>
      </c>
      <c r="J1778" s="26">
        <v>2</v>
      </c>
      <c r="K1778" t="inlineStr">
        <is>
          <t>Oui</t>
        </is>
      </c>
      <c r="L1778">
        <f>SUBTOTAL(103,A1778)</f>
        <v>1</v>
      </c>
    </row>
    <row r="1779">
      <c r="A1779" t="inlineStr">
        <is>
          <t>SOCIETE C358</t>
        </is>
      </c>
      <c r="B1779" t="inlineStr">
        <is>
          <t>C358</t>
        </is>
      </c>
      <c r="C1779" t="inlineStr">
        <is>
          <t>SME</t>
        </is>
      </c>
      <c r="D1779" t="inlineStr">
        <is>
          <t>III</t>
        </is>
      </c>
      <c r="E1779" t="inlineStr">
        <is>
          <t>Stage 3</t>
        </is>
      </c>
      <c r="F1779" t="inlineStr">
        <is>
          <t>N/A</t>
        </is>
      </c>
      <c r="G1779" s="26">
        <v>2521995045</v>
      </c>
      <c r="H1779" s="26">
        <v>1387097275</v>
      </c>
      <c r="I1779" s="26">
        <v>0</v>
      </c>
      <c r="J1779" s="26">
        <v>115</v>
      </c>
      <c r="K1779" t="inlineStr">
        <is>
          <t>Oui</t>
        </is>
      </c>
      <c r="L1779">
        <f>SUBTOTAL(103,A1779)</f>
        <v>1</v>
      </c>
    </row>
    <row r="1780">
      <c r="A1780" t="inlineStr">
        <is>
          <t>SOCIETE C1076</t>
        </is>
      </c>
      <c r="B1780" t="inlineStr">
        <is>
          <t>C1076</t>
        </is>
      </c>
      <c r="C1780" t="inlineStr">
        <is>
          <t>SME</t>
        </is>
      </c>
      <c r="D1780" t="inlineStr">
        <is>
          <t>I</t>
        </is>
      </c>
      <c r="E1780" t="inlineStr">
        <is>
          <t>Stage 1</t>
        </is>
      </c>
      <c r="F1780" t="inlineStr">
        <is>
          <t>N/A</t>
        </is>
      </c>
      <c r="G1780" s="26">
        <v>185194164</v>
      </c>
      <c r="H1780" s="26">
        <v>1851942</v>
      </c>
      <c r="I1780" s="26">
        <v>0</v>
      </c>
      <c r="J1780" s="26">
        <v>3</v>
      </c>
      <c r="K1780" t="inlineStr">
        <is>
          <t>Non</t>
        </is>
      </c>
      <c r="L1780">
        <f>SUBTOTAL(103,A1780)</f>
        <v>1</v>
      </c>
    </row>
    <row r="1781">
      <c r="A1781" t="inlineStr">
        <is>
          <t>SOCIETE C957</t>
        </is>
      </c>
      <c r="B1781" t="inlineStr">
        <is>
          <t>C957</t>
        </is>
      </c>
      <c r="C1781" t="inlineStr">
        <is>
          <t>CONSUMER BANKING</t>
        </is>
      </c>
      <c r="D1781" t="inlineStr">
        <is>
          <t>III</t>
        </is>
      </c>
      <c r="E1781" t="inlineStr">
        <is>
          <t>Stage 3</t>
        </is>
      </c>
      <c r="F1781" t="inlineStr">
        <is>
          <t>N/A</t>
        </is>
      </c>
      <c r="G1781" s="26">
        <v>95897398</v>
      </c>
      <c r="H1781" s="26">
        <v>52743569</v>
      </c>
      <c r="I1781" s="26">
        <v>17024424</v>
      </c>
      <c r="J1781" s="26">
        <v>45</v>
      </c>
      <c r="K1781" t="inlineStr">
        <is>
          <t>Oui</t>
        </is>
      </c>
      <c r="L1781">
        <f>SUBTOTAL(103,A1781)</f>
        <v>1</v>
      </c>
    </row>
    <row r="1782">
      <c r="A1782" t="inlineStr">
        <is>
          <t>SOCIETE C264</t>
        </is>
      </c>
      <c r="B1782" t="inlineStr">
        <is>
          <t>C264</t>
        </is>
      </c>
      <c r="C1782" t="inlineStr">
        <is>
          <t>CORPORATE BANKING</t>
        </is>
      </c>
      <c r="D1782" t="inlineStr">
        <is>
          <t>IA</t>
        </is>
      </c>
      <c r="E1782" t="inlineStr">
        <is>
          <t>Stage 2</t>
        </is>
      </c>
      <c r="F1782" t="inlineStr">
        <is>
          <t>N/A</t>
        </is>
      </c>
      <c r="G1782" s="26">
        <v>1423563559</v>
      </c>
      <c r="H1782" s="26">
        <v>85413814</v>
      </c>
      <c r="I1782" s="26">
        <v>280426206</v>
      </c>
      <c r="J1782" s="26">
        <v>32</v>
      </c>
      <c r="K1782" t="inlineStr">
        <is>
          <t>Non</t>
        </is>
      </c>
      <c r="L1782">
        <f>SUBTOTAL(103,A1782)</f>
        <v>1</v>
      </c>
    </row>
    <row r="1783">
      <c r="A1783" t="inlineStr">
        <is>
          <t>SOCIETE C222</t>
        </is>
      </c>
      <c r="B1783" t="inlineStr">
        <is>
          <t>C222</t>
        </is>
      </c>
      <c r="C1783" t="inlineStr">
        <is>
          <t>COMMERCIAL BANKING</t>
        </is>
      </c>
      <c r="D1783" t="inlineStr">
        <is>
          <t>IA</t>
        </is>
      </c>
      <c r="E1783" t="inlineStr">
        <is>
          <t>Stage 2</t>
        </is>
      </c>
      <c r="F1783" t="inlineStr">
        <is>
          <t>N/A</t>
        </is>
      </c>
      <c r="G1783" s="26">
        <v>717580279</v>
      </c>
      <c r="H1783" s="26">
        <v>43054817</v>
      </c>
      <c r="I1783" s="26">
        <v>0</v>
      </c>
      <c r="J1783" s="26">
        <v>157</v>
      </c>
      <c r="K1783" t="inlineStr">
        <is>
          <t>Non</t>
        </is>
      </c>
      <c r="L1783">
        <f>SUBTOTAL(103,A1783)</f>
        <v>1</v>
      </c>
    </row>
    <row r="1784">
      <c r="A1784" t="inlineStr">
        <is>
          <t>SOCIETE C1074</t>
        </is>
      </c>
      <c r="B1784" t="inlineStr">
        <is>
          <t>C1074</t>
        </is>
      </c>
      <c r="C1784" t="inlineStr">
        <is>
          <t>CORPORATE BANKING</t>
        </is>
      </c>
      <c r="D1784" t="inlineStr">
        <is>
          <t>II</t>
        </is>
      </c>
      <c r="E1784" t="inlineStr">
        <is>
          <t>Stage 2</t>
        </is>
      </c>
      <c r="F1784" t="inlineStr">
        <is>
          <t>N/A</t>
        </is>
      </c>
      <c r="G1784" s="26">
        <v>21501699</v>
      </c>
      <c r="H1784" s="26">
        <v>1290102</v>
      </c>
      <c r="I1784" s="26">
        <v>0</v>
      </c>
      <c r="J1784" s="26">
        <v>21</v>
      </c>
      <c r="K1784" t="inlineStr">
        <is>
          <t>Non</t>
        </is>
      </c>
      <c r="L1784">
        <f>SUBTOTAL(103,A1784)</f>
        <v>1</v>
      </c>
    </row>
    <row r="1785">
      <c r="A1785" t="inlineStr">
        <is>
          <t>SOCIETE C185</t>
        </is>
      </c>
      <c r="B1785" t="inlineStr">
        <is>
          <t>C185</t>
        </is>
      </c>
      <c r="C1785" t="inlineStr">
        <is>
          <t>CORPORATE BANKING</t>
        </is>
      </c>
      <c r="D1785" t="inlineStr">
        <is>
          <t>V</t>
        </is>
      </c>
      <c r="E1785" t="inlineStr">
        <is>
          <t>Stage 3</t>
        </is>
      </c>
      <c r="F1785" t="inlineStr">
        <is>
          <t>N/A</t>
        </is>
      </c>
      <c r="G1785" s="26">
        <v>802573362</v>
      </c>
      <c r="H1785" s="26">
        <v>441415349</v>
      </c>
      <c r="I1785" s="26">
        <v>0</v>
      </c>
      <c r="J1785" s="26">
        <v>84</v>
      </c>
      <c r="K1785" t="inlineStr">
        <is>
          <t>Oui</t>
        </is>
      </c>
      <c r="L1785">
        <f>SUBTOTAL(103,A1785)</f>
        <v>1</v>
      </c>
    </row>
    <row r="1786">
      <c r="A1786" t="inlineStr">
        <is>
          <t>SOCIETE C1684</t>
        </is>
      </c>
      <c r="B1786" t="inlineStr">
        <is>
          <t>C1684</t>
        </is>
      </c>
      <c r="C1786" t="inlineStr">
        <is>
          <t>CORPORATE BANKING</t>
        </is>
      </c>
      <c r="D1786" t="inlineStr">
        <is>
          <t>IA</t>
        </is>
      </c>
      <c r="E1786" t="inlineStr">
        <is>
          <t>Stage 2</t>
        </is>
      </c>
      <c r="F1786" t="inlineStr">
        <is>
          <t>N/A</t>
        </is>
      </c>
      <c r="G1786" s="26">
        <v>126710074</v>
      </c>
      <c r="H1786" s="26">
        <v>7602604</v>
      </c>
      <c r="I1786" s="26">
        <v>0</v>
      </c>
      <c r="J1786" s="26">
        <v>12</v>
      </c>
      <c r="K1786" t="inlineStr">
        <is>
          <t>Non</t>
        </is>
      </c>
      <c r="L1786">
        <f>SUBTOTAL(103,A1786)</f>
        <v>1</v>
      </c>
    </row>
    <row r="1787">
      <c r="A1787" t="inlineStr">
        <is>
          <t>SOCIETE C2205</t>
        </is>
      </c>
      <c r="B1787" t="inlineStr">
        <is>
          <t>C2205</t>
        </is>
      </c>
      <c r="C1787" t="inlineStr">
        <is>
          <t>CORPORATE BANKING</t>
        </is>
      </c>
      <c r="D1787" t="inlineStr">
        <is>
          <t>III</t>
        </is>
      </c>
      <c r="E1787" t="inlineStr">
        <is>
          <t>Stage 3</t>
        </is>
      </c>
      <c r="F1787" t="inlineStr">
        <is>
          <t>N/A</t>
        </is>
      </c>
      <c r="G1787" s="26">
        <v>2338624407</v>
      </c>
      <c r="H1787" s="26">
        <v>1286243424</v>
      </c>
      <c r="I1787" s="26">
        <v>0</v>
      </c>
      <c r="J1787" s="26">
        <v>174</v>
      </c>
      <c r="K1787" t="inlineStr">
        <is>
          <t>Oui</t>
        </is>
      </c>
      <c r="L1787">
        <f>SUBTOTAL(103,A1787)</f>
        <v>1</v>
      </c>
    </row>
    <row r="1788">
      <c r="A1788" t="inlineStr">
        <is>
          <t>SOCIETE C494</t>
        </is>
      </c>
      <c r="B1788" t="inlineStr">
        <is>
          <t>C494</t>
        </is>
      </c>
      <c r="C1788" t="inlineStr">
        <is>
          <t>CORPORATE BANKING</t>
        </is>
      </c>
      <c r="D1788" t="inlineStr">
        <is>
          <t>IA</t>
        </is>
      </c>
      <c r="E1788" t="inlineStr">
        <is>
          <t>Stage 2</t>
        </is>
      </c>
      <c r="F1788" t="inlineStr">
        <is>
          <t>N/A</t>
        </is>
      </c>
      <c r="G1788" s="26">
        <v>2507267147</v>
      </c>
      <c r="H1788" s="26">
        <v>150436029</v>
      </c>
      <c r="I1788" s="26">
        <v>0</v>
      </c>
      <c r="J1788" s="26">
        <v>50</v>
      </c>
      <c r="K1788" t="inlineStr">
        <is>
          <t>Non</t>
        </is>
      </c>
      <c r="L1788">
        <f>SUBTOTAL(103,A1788)</f>
        <v>1</v>
      </c>
    </row>
    <row r="1789">
      <c r="A1789" t="inlineStr">
        <is>
          <t>SOCIETE C2089</t>
        </is>
      </c>
      <c r="B1789" t="inlineStr">
        <is>
          <t>C2089</t>
        </is>
      </c>
      <c r="C1789" t="inlineStr">
        <is>
          <t>CORPORATE BANKING</t>
        </is>
      </c>
      <c r="D1789" t="inlineStr">
        <is>
          <t>I</t>
        </is>
      </c>
      <c r="E1789" t="inlineStr">
        <is>
          <t>Stage 1</t>
        </is>
      </c>
      <c r="F1789" t="inlineStr">
        <is>
          <t>N/A</t>
        </is>
      </c>
      <c r="G1789" s="26">
        <v>1113761896</v>
      </c>
      <c r="H1789" s="26">
        <v>11137619</v>
      </c>
      <c r="I1789" s="26">
        <v>34838018</v>
      </c>
      <c r="J1789" s="26">
        <v>206</v>
      </c>
      <c r="K1789" t="inlineStr">
        <is>
          <t>Non</t>
        </is>
      </c>
      <c r="L1789">
        <f>SUBTOTAL(103,A1789)</f>
        <v>1</v>
      </c>
    </row>
    <row r="1790">
      <c r="A1790" t="inlineStr">
        <is>
          <t>SOCIETE C1140</t>
        </is>
      </c>
      <c r="B1790" t="inlineStr">
        <is>
          <t>C1140</t>
        </is>
      </c>
      <c r="C1790" t="inlineStr">
        <is>
          <t>CORPORATE BANKING</t>
        </is>
      </c>
      <c r="D1790" t="inlineStr">
        <is>
          <t>I</t>
        </is>
      </c>
      <c r="E1790" t="inlineStr">
        <is>
          <t>Stage 1</t>
        </is>
      </c>
      <c r="F1790" t="inlineStr">
        <is>
          <t>N/A</t>
        </is>
      </c>
      <c r="G1790" s="26">
        <v>382863078</v>
      </c>
      <c r="H1790" s="26">
        <v>3828631</v>
      </c>
      <c r="I1790" s="26">
        <v>0</v>
      </c>
      <c r="J1790" s="26">
        <v>30</v>
      </c>
      <c r="K1790" t="inlineStr">
        <is>
          <t>Non</t>
        </is>
      </c>
      <c r="L1790">
        <f>SUBTOTAL(103,A1790)</f>
        <v>1</v>
      </c>
    </row>
    <row r="1791">
      <c r="A1791" t="inlineStr">
        <is>
          <t>SOCIETE C1067</t>
        </is>
      </c>
      <c r="B1791" t="inlineStr">
        <is>
          <t>C1067</t>
        </is>
      </c>
      <c r="C1791" t="inlineStr">
        <is>
          <t>CORPORATE BANKING</t>
        </is>
      </c>
      <c r="D1791" t="inlineStr">
        <is>
          <t>V</t>
        </is>
      </c>
      <c r="E1791" t="inlineStr">
        <is>
          <t>Stage 3</t>
        </is>
      </c>
      <c r="F1791" t="inlineStr">
        <is>
          <t>N/A</t>
        </is>
      </c>
      <c r="G1791" s="26">
        <v>65956113</v>
      </c>
      <c r="H1791" s="26">
        <v>36275862</v>
      </c>
      <c r="I1791" s="26">
        <v>0</v>
      </c>
      <c r="J1791" s="26">
        <v>201</v>
      </c>
      <c r="K1791" t="inlineStr">
        <is>
          <t>Oui</t>
        </is>
      </c>
      <c r="L1791">
        <f>SUBTOTAL(103,A1791)</f>
        <v>1</v>
      </c>
    </row>
    <row r="1792">
      <c r="A1792" t="inlineStr">
        <is>
          <t>SOCIETE C1637</t>
        </is>
      </c>
      <c r="B1792" t="inlineStr">
        <is>
          <t>C1637</t>
        </is>
      </c>
      <c r="C1792" t="inlineStr">
        <is>
          <t>COMMERCIAL BANKING</t>
        </is>
      </c>
      <c r="D1792" t="inlineStr">
        <is>
          <t>IA</t>
        </is>
      </c>
      <c r="E1792" t="inlineStr">
        <is>
          <t>Stage 2</t>
        </is>
      </c>
      <c r="F1792" t="inlineStr">
        <is>
          <t>N/A</t>
        </is>
      </c>
      <c r="G1792" s="26">
        <v>1471819327</v>
      </c>
      <c r="H1792" s="26">
        <v>88309160</v>
      </c>
      <c r="I1792" s="26">
        <v>0</v>
      </c>
      <c r="J1792" s="26">
        <v>57</v>
      </c>
      <c r="K1792" t="inlineStr">
        <is>
          <t>Non</t>
        </is>
      </c>
      <c r="L1792">
        <f>SUBTOTAL(103,A1792)</f>
        <v>1</v>
      </c>
    </row>
    <row r="1793">
      <c r="A1793" t="inlineStr">
        <is>
          <t>SOCIETE C716</t>
        </is>
      </c>
      <c r="B1793" t="inlineStr">
        <is>
          <t>C716</t>
        </is>
      </c>
      <c r="C1793" t="inlineStr">
        <is>
          <t>PUBLIC SECTOR</t>
        </is>
      </c>
      <c r="D1793" t="inlineStr">
        <is>
          <t>I</t>
        </is>
      </c>
      <c r="E1793" t="inlineStr">
        <is>
          <t>Stage 1</t>
        </is>
      </c>
      <c r="F1793" t="inlineStr">
        <is>
          <t>N/A</t>
        </is>
      </c>
      <c r="G1793" s="26">
        <v>484170182</v>
      </c>
      <c r="H1793" s="26">
        <v>4841702</v>
      </c>
      <c r="I1793" s="26">
        <v>0</v>
      </c>
      <c r="J1793" s="26">
        <v>2</v>
      </c>
      <c r="K1793" t="inlineStr">
        <is>
          <t>Non</t>
        </is>
      </c>
      <c r="L1793">
        <f>SUBTOTAL(103,A1793)</f>
        <v>1</v>
      </c>
    </row>
    <row r="1794">
      <c r="A1794" t="inlineStr">
        <is>
          <t>SOCIETE C1495</t>
        </is>
      </c>
      <c r="B1794" t="inlineStr">
        <is>
          <t>C1495</t>
        </is>
      </c>
      <c r="C1794" t="inlineStr">
        <is>
          <t>COMMERCIAL BANKING</t>
        </is>
      </c>
      <c r="D1794" t="inlineStr">
        <is>
          <t>V</t>
        </is>
      </c>
      <c r="E1794" t="inlineStr">
        <is>
          <t>Stage 3</t>
        </is>
      </c>
      <c r="F1794" t="inlineStr">
        <is>
          <t>N/A</t>
        </is>
      </c>
      <c r="G1794" s="26">
        <v>647535637</v>
      </c>
      <c r="H1794" s="26">
        <v>356144600</v>
      </c>
      <c r="I1794" s="26">
        <v>2422441</v>
      </c>
      <c r="J1794" s="26">
        <v>23</v>
      </c>
      <c r="K1794" t="inlineStr">
        <is>
          <t>Oui</t>
        </is>
      </c>
      <c r="L1794">
        <f>SUBTOTAL(103,A1794)</f>
        <v>1</v>
      </c>
    </row>
    <row r="1795">
      <c r="A1795" t="inlineStr">
        <is>
          <t>SOCIETE C283</t>
        </is>
      </c>
      <c r="B1795" t="inlineStr">
        <is>
          <t>C283</t>
        </is>
      </c>
      <c r="C1795" t="inlineStr">
        <is>
          <t>SME</t>
        </is>
      </c>
      <c r="D1795" t="inlineStr">
        <is>
          <t>IV</t>
        </is>
      </c>
      <c r="E1795" t="inlineStr">
        <is>
          <t>Stage 3</t>
        </is>
      </c>
      <c r="F1795" t="inlineStr">
        <is>
          <t>N/A</t>
        </is>
      </c>
      <c r="G1795" s="26">
        <v>415836453</v>
      </c>
      <c r="H1795" s="26">
        <v>228710049</v>
      </c>
      <c r="I1795" s="26">
        <v>59415076</v>
      </c>
      <c r="J1795" s="26">
        <v>354</v>
      </c>
      <c r="K1795" t="inlineStr">
        <is>
          <t>Oui</t>
        </is>
      </c>
      <c r="L1795">
        <f>SUBTOTAL(103,A1795)</f>
        <v>1</v>
      </c>
    </row>
    <row r="1796">
      <c r="A1796" t="inlineStr">
        <is>
          <t>SOCIETE C1959</t>
        </is>
      </c>
      <c r="B1796" t="inlineStr">
        <is>
          <t>C1959</t>
        </is>
      </c>
      <c r="C1796" t="inlineStr">
        <is>
          <t>CORPORATE BANKING</t>
        </is>
      </c>
      <c r="D1796" t="inlineStr">
        <is>
          <t>I</t>
        </is>
      </c>
      <c r="E1796" t="inlineStr">
        <is>
          <t>Stage 1</t>
        </is>
      </c>
      <c r="F1796" t="inlineStr">
        <is>
          <t>N/A</t>
        </is>
      </c>
      <c r="G1796" s="26">
        <v>1021649</v>
      </c>
      <c r="H1796" s="26">
        <v>10216</v>
      </c>
      <c r="I1796" s="26">
        <v>52389</v>
      </c>
      <c r="J1796" s="26">
        <v>49</v>
      </c>
      <c r="K1796" t="inlineStr">
        <is>
          <t>Non</t>
        </is>
      </c>
      <c r="L1796">
        <f>SUBTOTAL(103,A1796)</f>
        <v>1</v>
      </c>
    </row>
    <row r="1797">
      <c r="A1797" t="inlineStr">
        <is>
          <t>SOCIETE C161</t>
        </is>
      </c>
      <c r="B1797" t="inlineStr">
        <is>
          <t>C161</t>
        </is>
      </c>
      <c r="C1797" t="inlineStr">
        <is>
          <t>CORPORATE BANKING</t>
        </is>
      </c>
      <c r="D1797" t="inlineStr">
        <is>
          <t>IV</t>
        </is>
      </c>
      <c r="E1797" t="inlineStr">
        <is>
          <t>Stage 3</t>
        </is>
      </c>
      <c r="F1797" t="inlineStr">
        <is>
          <t>N/A</t>
        </is>
      </c>
      <c r="G1797" s="26">
        <v>99129977</v>
      </c>
      <c r="H1797" s="26">
        <v>54521487</v>
      </c>
      <c r="I1797" s="26">
        <v>0</v>
      </c>
      <c r="J1797" s="26">
        <v>19</v>
      </c>
      <c r="K1797" t="inlineStr">
        <is>
          <t>Oui</t>
        </is>
      </c>
      <c r="L1797">
        <f>SUBTOTAL(103,A1797)</f>
        <v>1</v>
      </c>
    </row>
    <row r="1798">
      <c r="A1798" t="inlineStr">
        <is>
          <t>SOCIETE C626</t>
        </is>
      </c>
      <c r="B1798" t="inlineStr">
        <is>
          <t>C626</t>
        </is>
      </c>
      <c r="C1798" t="inlineStr">
        <is>
          <t>PUBLIC SECTOR</t>
        </is>
      </c>
      <c r="D1798" t="inlineStr">
        <is>
          <t>I</t>
        </is>
      </c>
      <c r="E1798" t="inlineStr">
        <is>
          <t>Stage 1</t>
        </is>
      </c>
      <c r="F1798" t="inlineStr">
        <is>
          <t>N/A</t>
        </is>
      </c>
      <c r="G1798" s="26">
        <v>1000352</v>
      </c>
      <c r="H1798" s="26">
        <v>10004</v>
      </c>
      <c r="I1798" s="26">
        <v>0</v>
      </c>
      <c r="J1798" s="26">
        <v>28</v>
      </c>
      <c r="K1798" t="inlineStr">
        <is>
          <t>Non</t>
        </is>
      </c>
      <c r="L1798">
        <f>SUBTOTAL(103,A1798)</f>
        <v>1</v>
      </c>
    </row>
    <row r="1799">
      <c r="A1799" t="inlineStr">
        <is>
          <t>SOCIETE C299</t>
        </is>
      </c>
      <c r="B1799" t="inlineStr">
        <is>
          <t>C299</t>
        </is>
      </c>
      <c r="C1799" t="inlineStr">
        <is>
          <t>SME</t>
        </is>
      </c>
      <c r="D1799" t="inlineStr">
        <is>
          <t>I</t>
        </is>
      </c>
      <c r="E1799" t="inlineStr">
        <is>
          <t>Stage 1</t>
        </is>
      </c>
      <c r="F1799" t="inlineStr">
        <is>
          <t>N/A</t>
        </is>
      </c>
      <c r="G1799" s="26">
        <v>102064566</v>
      </c>
      <c r="H1799" s="26">
        <v>1020646</v>
      </c>
      <c r="I1799" s="26">
        <v>7125170</v>
      </c>
      <c r="J1799" s="26">
        <v>61</v>
      </c>
      <c r="K1799" t="inlineStr">
        <is>
          <t>Non</t>
        </is>
      </c>
      <c r="L1799">
        <f>SUBTOTAL(103,A1799)</f>
        <v>1</v>
      </c>
    </row>
    <row r="1800">
      <c r="A1800" t="inlineStr">
        <is>
          <t>SOCIETE C1007</t>
        </is>
      </c>
      <c r="B1800" t="inlineStr">
        <is>
          <t>C1007</t>
        </is>
      </c>
      <c r="C1800" t="inlineStr">
        <is>
          <t>CONSUMER BANKING</t>
        </is>
      </c>
      <c r="D1800" t="inlineStr">
        <is>
          <t>I</t>
        </is>
      </c>
      <c r="E1800" t="inlineStr">
        <is>
          <t>Stage 1</t>
        </is>
      </c>
      <c r="F1800" t="inlineStr">
        <is>
          <t>N/A</t>
        </is>
      </c>
      <c r="G1800" s="26">
        <v>1119179863</v>
      </c>
      <c r="H1800" s="26">
        <v>11191799</v>
      </c>
      <c r="I1800" s="26">
        <v>0</v>
      </c>
      <c r="J1800" s="26">
        <v>170</v>
      </c>
      <c r="K1800" t="inlineStr">
        <is>
          <t>Non</t>
        </is>
      </c>
      <c r="L1800">
        <f>SUBTOTAL(103,A1800)</f>
        <v>1</v>
      </c>
    </row>
    <row r="1801">
      <c r="A1801" t="inlineStr">
        <is>
          <t>SOCIETE C228</t>
        </is>
      </c>
      <c r="B1801" t="inlineStr">
        <is>
          <t>C228</t>
        </is>
      </c>
      <c r="C1801" t="inlineStr">
        <is>
          <t>CORPORATE BANKING</t>
        </is>
      </c>
      <c r="D1801" t="inlineStr">
        <is>
          <t>IA</t>
        </is>
      </c>
      <c r="E1801" t="inlineStr">
        <is>
          <t>Stage 2</t>
        </is>
      </c>
      <c r="F1801" t="inlineStr">
        <is>
          <t>N/A</t>
        </is>
      </c>
      <c r="G1801" s="26">
        <v>740286701</v>
      </c>
      <c r="H1801" s="26">
        <v>44417202</v>
      </c>
      <c r="I1801" s="26">
        <v>21668588</v>
      </c>
      <c r="J1801" s="26">
        <v>138</v>
      </c>
      <c r="K1801" t="inlineStr">
        <is>
          <t>Non</t>
        </is>
      </c>
      <c r="L1801">
        <f>SUBTOTAL(103,A1801)</f>
        <v>1</v>
      </c>
    </row>
    <row r="1802">
      <c r="A1802" t="inlineStr">
        <is>
          <t>SOCIETE C412</t>
        </is>
      </c>
      <c r="B1802" t="inlineStr">
        <is>
          <t>C412</t>
        </is>
      </c>
      <c r="C1802" t="inlineStr">
        <is>
          <t>CORPORATE BANKING</t>
        </is>
      </c>
      <c r="D1802" t="inlineStr">
        <is>
          <t>I</t>
        </is>
      </c>
      <c r="E1802" t="inlineStr">
        <is>
          <t>Stage 1</t>
        </is>
      </c>
      <c r="F1802" t="inlineStr">
        <is>
          <t>N/A</t>
        </is>
      </c>
      <c r="G1802" s="26">
        <v>1457717703</v>
      </c>
      <c r="H1802" s="26">
        <v>14577177</v>
      </c>
      <c r="I1802" s="26">
        <v>0</v>
      </c>
      <c r="J1802" s="26">
        <v>283</v>
      </c>
      <c r="K1802" t="inlineStr">
        <is>
          <t>Non</t>
        </is>
      </c>
      <c r="L1802">
        <f>SUBTOTAL(103,A1802)</f>
        <v>1</v>
      </c>
    </row>
    <row r="1803">
      <c r="A1803" t="inlineStr">
        <is>
          <t>SOCIETE C1625</t>
        </is>
      </c>
      <c r="B1803" t="inlineStr">
        <is>
          <t>C1625</t>
        </is>
      </c>
      <c r="C1803" t="inlineStr">
        <is>
          <t>CORPORATE BANKING</t>
        </is>
      </c>
      <c r="D1803" t="inlineStr">
        <is>
          <t>I</t>
        </is>
      </c>
      <c r="E1803" t="inlineStr">
        <is>
          <t>Stage 1</t>
        </is>
      </c>
      <c r="F1803" t="inlineStr">
        <is>
          <t>N/A</t>
        </is>
      </c>
      <c r="G1803" s="26">
        <v>1698289737</v>
      </c>
      <c r="H1803" s="26">
        <v>16982897</v>
      </c>
      <c r="I1803" s="26">
        <v>0</v>
      </c>
      <c r="J1803" s="26">
        <v>78</v>
      </c>
      <c r="K1803" t="inlineStr">
        <is>
          <t>Non</t>
        </is>
      </c>
      <c r="L1803">
        <f>SUBTOTAL(103,A1803)</f>
        <v>1</v>
      </c>
    </row>
    <row r="1804">
      <c r="A1804" t="inlineStr">
        <is>
          <t>SOCIETE C1561</t>
        </is>
      </c>
      <c r="B1804" t="inlineStr">
        <is>
          <t>C1561</t>
        </is>
      </c>
      <c r="C1804" t="inlineStr">
        <is>
          <t>CORPORATE BANKING</t>
        </is>
      </c>
      <c r="D1804" t="inlineStr">
        <is>
          <t>I</t>
        </is>
      </c>
      <c r="E1804" t="inlineStr">
        <is>
          <t>Stage 1</t>
        </is>
      </c>
      <c r="F1804" t="inlineStr">
        <is>
          <t>N/A</t>
        </is>
      </c>
      <c r="G1804" s="26">
        <v>1857211766</v>
      </c>
      <c r="H1804" s="26">
        <v>18572118</v>
      </c>
      <c r="I1804" s="26">
        <v>0</v>
      </c>
      <c r="J1804" s="26">
        <v>53</v>
      </c>
      <c r="K1804" t="inlineStr">
        <is>
          <t>Non</t>
        </is>
      </c>
      <c r="L1804">
        <f>SUBTOTAL(103,A1804)</f>
        <v>1</v>
      </c>
    </row>
    <row r="1805">
      <c r="A1805" t="inlineStr">
        <is>
          <t>SOCIETE C29</t>
        </is>
      </c>
      <c r="B1805" t="inlineStr">
        <is>
          <t>C29</t>
        </is>
      </c>
      <c r="C1805" t="inlineStr">
        <is>
          <t>CORPORATE BANKING</t>
        </is>
      </c>
      <c r="D1805" t="inlineStr">
        <is>
          <t>IA</t>
        </is>
      </c>
      <c r="E1805" t="inlineStr">
        <is>
          <t>Stage 2</t>
        </is>
      </c>
      <c r="F1805" t="inlineStr">
        <is>
          <t>N/A</t>
        </is>
      </c>
      <c r="G1805" s="26">
        <v>1000987</v>
      </c>
      <c r="H1805" s="26">
        <v>60059</v>
      </c>
      <c r="I1805" s="26">
        <v>0</v>
      </c>
      <c r="J1805" s="26">
        <v>186</v>
      </c>
      <c r="K1805" t="inlineStr">
        <is>
          <t>Non</t>
        </is>
      </c>
      <c r="L1805">
        <f>SUBTOTAL(103,A1805)</f>
        <v>1</v>
      </c>
    </row>
    <row r="1806">
      <c r="A1806" t="inlineStr">
        <is>
          <t>SOCIETE C216</t>
        </is>
      </c>
      <c r="B1806" t="inlineStr">
        <is>
          <t>C216</t>
        </is>
      </c>
      <c r="C1806" t="inlineStr">
        <is>
          <t>CORPORATE BANKING</t>
        </is>
      </c>
      <c r="D1806" t="inlineStr">
        <is>
          <t>IA</t>
        </is>
      </c>
      <c r="E1806" t="inlineStr">
        <is>
          <t>Stage 2</t>
        </is>
      </c>
      <c r="F1806" t="inlineStr">
        <is>
          <t>N/A</t>
        </is>
      </c>
      <c r="G1806" s="26">
        <v>2356773</v>
      </c>
      <c r="H1806" s="26">
        <v>141406</v>
      </c>
      <c r="I1806" s="26">
        <v>171416</v>
      </c>
      <c r="J1806" s="26">
        <v>13</v>
      </c>
      <c r="K1806" t="inlineStr">
        <is>
          <t>Non</t>
        </is>
      </c>
      <c r="L1806">
        <f>SUBTOTAL(103,A1806)</f>
        <v>1</v>
      </c>
    </row>
    <row r="1807">
      <c r="A1807" t="inlineStr">
        <is>
          <t>SOCIETE C1788</t>
        </is>
      </c>
      <c r="B1807" t="inlineStr">
        <is>
          <t>C1788</t>
        </is>
      </c>
      <c r="C1807" t="inlineStr">
        <is>
          <t>CONSUMER BANKING</t>
        </is>
      </c>
      <c r="D1807" t="inlineStr">
        <is>
          <t>I</t>
        </is>
      </c>
      <c r="E1807" t="inlineStr">
        <is>
          <t>Stage 1</t>
        </is>
      </c>
      <c r="F1807" t="inlineStr">
        <is>
          <t>N/A</t>
        </is>
      </c>
      <c r="G1807" s="26">
        <v>23008256</v>
      </c>
      <c r="H1807" s="26">
        <v>230083</v>
      </c>
      <c r="I1807" s="26">
        <v>3846974</v>
      </c>
      <c r="J1807" s="26">
        <v>149</v>
      </c>
      <c r="K1807" t="inlineStr">
        <is>
          <t>Non</t>
        </is>
      </c>
      <c r="L1807">
        <f>SUBTOTAL(103,A1807)</f>
        <v>1</v>
      </c>
    </row>
    <row r="1808">
      <c r="A1808" t="inlineStr">
        <is>
          <t>SOCIETE C1272</t>
        </is>
      </c>
      <c r="B1808" t="inlineStr">
        <is>
          <t>C1272</t>
        </is>
      </c>
      <c r="C1808" t="inlineStr">
        <is>
          <t>COMMERCIAL BANKING</t>
        </is>
      </c>
      <c r="D1808" t="inlineStr">
        <is>
          <t>IV</t>
        </is>
      </c>
      <c r="E1808" t="inlineStr">
        <is>
          <t>Stage 3</t>
        </is>
      </c>
      <c r="F1808" t="inlineStr">
        <is>
          <t>N/A</t>
        </is>
      </c>
      <c r="G1808" s="26">
        <v>1028874</v>
      </c>
      <c r="H1808" s="26">
        <v>565881</v>
      </c>
      <c r="I1808" s="26">
        <v>0</v>
      </c>
      <c r="J1808" s="26">
        <v>12</v>
      </c>
      <c r="K1808" t="inlineStr">
        <is>
          <t>Oui</t>
        </is>
      </c>
      <c r="L1808">
        <f>SUBTOTAL(103,A1808)</f>
        <v>1</v>
      </c>
    </row>
    <row r="1809">
      <c r="A1809" t="inlineStr">
        <is>
          <t>SOCIETE C777</t>
        </is>
      </c>
      <c r="B1809" t="inlineStr">
        <is>
          <t>C777</t>
        </is>
      </c>
      <c r="C1809" t="inlineStr">
        <is>
          <t>SME</t>
        </is>
      </c>
      <c r="D1809" t="inlineStr">
        <is>
          <t>V</t>
        </is>
      </c>
      <c r="E1809" t="inlineStr">
        <is>
          <t>Stage 3</t>
        </is>
      </c>
      <c r="F1809" t="inlineStr">
        <is>
          <t>N/A</t>
        </is>
      </c>
      <c r="G1809" s="26">
        <v>1227887710</v>
      </c>
      <c r="H1809" s="26">
        <v>675338241</v>
      </c>
      <c r="I1809" s="26">
        <v>102666480</v>
      </c>
      <c r="J1809" s="26">
        <v>81</v>
      </c>
      <c r="K1809" t="inlineStr">
        <is>
          <t>Oui</t>
        </is>
      </c>
      <c r="L1809">
        <f>SUBTOTAL(103,A1809)</f>
        <v>1</v>
      </c>
    </row>
    <row r="1810">
      <c r="A1810" t="inlineStr">
        <is>
          <t>SOCIETE C1115</t>
        </is>
      </c>
      <c r="B1810" t="inlineStr">
        <is>
          <t>C1115</t>
        </is>
      </c>
      <c r="C1810" t="inlineStr">
        <is>
          <t>CORPORATE BANKING</t>
        </is>
      </c>
      <c r="D1810" t="inlineStr">
        <is>
          <t>IA</t>
        </is>
      </c>
      <c r="E1810" t="inlineStr">
        <is>
          <t>Stage 2</t>
        </is>
      </c>
      <c r="F1810" t="inlineStr">
        <is>
          <t>N/A</t>
        </is>
      </c>
      <c r="G1810" s="26">
        <v>1184530</v>
      </c>
      <c r="H1810" s="26">
        <v>71072</v>
      </c>
      <c r="I1810" s="26">
        <v>0</v>
      </c>
      <c r="J1810" s="26">
        <v>1</v>
      </c>
      <c r="K1810" t="inlineStr">
        <is>
          <t>Non</t>
        </is>
      </c>
      <c r="L1810">
        <f>SUBTOTAL(103,A1810)</f>
        <v>1</v>
      </c>
    </row>
    <row r="1811">
      <c r="A1811" t="inlineStr">
        <is>
          <t>SOCIETE C2093</t>
        </is>
      </c>
      <c r="B1811" t="inlineStr">
        <is>
          <t>C2093</t>
        </is>
      </c>
      <c r="C1811" t="inlineStr">
        <is>
          <t>CORPORATE BANKING</t>
        </is>
      </c>
      <c r="D1811" t="inlineStr">
        <is>
          <t>I</t>
        </is>
      </c>
      <c r="E1811" t="inlineStr">
        <is>
          <t>Stage 1</t>
        </is>
      </c>
      <c r="F1811" t="inlineStr">
        <is>
          <t>N/A</t>
        </is>
      </c>
      <c r="G1811" s="26">
        <v>2878909143</v>
      </c>
      <c r="H1811" s="26">
        <v>28789091</v>
      </c>
      <c r="I1811" s="26">
        <v>0</v>
      </c>
      <c r="J1811" s="26">
        <v>84</v>
      </c>
      <c r="K1811" t="inlineStr">
        <is>
          <t>Non</t>
        </is>
      </c>
      <c r="L1811">
        <f>SUBTOTAL(103,A1811)</f>
        <v>1</v>
      </c>
    </row>
    <row r="1812">
      <c r="A1812" t="inlineStr">
        <is>
          <t>SOCIETE C984</t>
        </is>
      </c>
      <c r="B1812" t="inlineStr">
        <is>
          <t>C984</t>
        </is>
      </c>
      <c r="C1812" t="inlineStr">
        <is>
          <t>COMMERCIAL BANKING</t>
        </is>
      </c>
      <c r="D1812" t="inlineStr">
        <is>
          <t>III</t>
        </is>
      </c>
      <c r="E1812" t="inlineStr">
        <is>
          <t>Stage 3</t>
        </is>
      </c>
      <c r="F1812" t="inlineStr">
        <is>
          <t>N/A</t>
        </is>
      </c>
      <c r="G1812" s="26">
        <v>2404304280</v>
      </c>
      <c r="H1812" s="26">
        <v>1322367354</v>
      </c>
      <c r="I1812" s="26">
        <v>0</v>
      </c>
      <c r="J1812" s="26">
        <v>215</v>
      </c>
      <c r="K1812" t="inlineStr">
        <is>
          <t>Oui</t>
        </is>
      </c>
      <c r="L1812">
        <f>SUBTOTAL(103,A1812)</f>
        <v>1</v>
      </c>
    </row>
    <row r="1813">
      <c r="A1813" t="inlineStr">
        <is>
          <t>SOCIETE C75</t>
        </is>
      </c>
      <c r="B1813" t="inlineStr">
        <is>
          <t>C75</t>
        </is>
      </c>
      <c r="C1813" t="inlineStr">
        <is>
          <t>COMMERCIAL BANKING</t>
        </is>
      </c>
      <c r="D1813" t="inlineStr">
        <is>
          <t>I</t>
        </is>
      </c>
      <c r="E1813" t="inlineStr">
        <is>
          <t>Stage 1</t>
        </is>
      </c>
      <c r="F1813" t="inlineStr">
        <is>
          <t>N/A</t>
        </is>
      </c>
      <c r="G1813" s="26">
        <v>2317894861</v>
      </c>
      <c r="H1813" s="26">
        <v>23178949</v>
      </c>
      <c r="I1813" s="26">
        <v>0</v>
      </c>
      <c r="J1813" s="26">
        <v>19</v>
      </c>
      <c r="K1813" t="inlineStr">
        <is>
          <t>Non</t>
        </is>
      </c>
      <c r="L1813">
        <f>SUBTOTAL(103,A1813)</f>
        <v>1</v>
      </c>
    </row>
    <row r="1814">
      <c r="A1814" t="inlineStr">
        <is>
          <t>SOCIETE C445</t>
        </is>
      </c>
      <c r="B1814" t="inlineStr">
        <is>
          <t>C445</t>
        </is>
      </c>
      <c r="C1814" t="inlineStr">
        <is>
          <t>CONSUMER BANKING</t>
        </is>
      </c>
      <c r="D1814" t="inlineStr">
        <is>
          <t>IA</t>
        </is>
      </c>
      <c r="E1814" t="inlineStr">
        <is>
          <t>Stage 2</t>
        </is>
      </c>
      <c r="F1814" t="inlineStr">
        <is>
          <t>N/A</t>
        </is>
      </c>
      <c r="G1814" s="26">
        <v>1082439</v>
      </c>
      <c r="H1814" s="26">
        <v>64946</v>
      </c>
      <c r="I1814" s="26">
        <v>0</v>
      </c>
      <c r="J1814" s="26">
        <v>7</v>
      </c>
      <c r="K1814" t="inlineStr">
        <is>
          <t>Non</t>
        </is>
      </c>
      <c r="L1814">
        <f>SUBTOTAL(103,A1814)</f>
        <v>1</v>
      </c>
    </row>
    <row r="1815">
      <c r="A1815" t="inlineStr">
        <is>
          <t>SOCIETE C587</t>
        </is>
      </c>
      <c r="B1815" t="inlineStr">
        <is>
          <t>C587</t>
        </is>
      </c>
      <c r="C1815" t="inlineStr">
        <is>
          <t>CORPORATE BANKING</t>
        </is>
      </c>
      <c r="D1815" t="inlineStr">
        <is>
          <t>I</t>
        </is>
      </c>
      <c r="E1815" t="inlineStr">
        <is>
          <t>Stage 1</t>
        </is>
      </c>
      <c r="F1815" t="inlineStr">
        <is>
          <t>N/A</t>
        </is>
      </c>
      <c r="G1815" s="26">
        <v>12393720</v>
      </c>
      <c r="H1815" s="26">
        <v>123937</v>
      </c>
      <c r="I1815" s="26">
        <v>0</v>
      </c>
      <c r="J1815" s="26">
        <v>156</v>
      </c>
      <c r="K1815" t="inlineStr">
        <is>
          <t>Non</t>
        </is>
      </c>
      <c r="L1815">
        <f>SUBTOTAL(103,A1815)</f>
        <v>1</v>
      </c>
    </row>
    <row r="1816">
      <c r="A1816" t="inlineStr">
        <is>
          <t>SOCIETE C971</t>
        </is>
      </c>
      <c r="B1816" t="inlineStr">
        <is>
          <t>C971</t>
        </is>
      </c>
      <c r="C1816" t="inlineStr">
        <is>
          <t>COMMERCIAL BANKING</t>
        </is>
      </c>
      <c r="D1816" t="inlineStr">
        <is>
          <t>I</t>
        </is>
      </c>
      <c r="E1816" t="inlineStr">
        <is>
          <t>Stage 1</t>
        </is>
      </c>
      <c r="F1816" t="inlineStr">
        <is>
          <t>N/A</t>
        </is>
      </c>
      <c r="G1816" s="26">
        <v>262434138</v>
      </c>
      <c r="H1816" s="26">
        <v>2624341</v>
      </c>
      <c r="I1816" s="26">
        <v>0</v>
      </c>
      <c r="J1816" s="26">
        <v>25</v>
      </c>
      <c r="K1816" t="inlineStr">
        <is>
          <t>Non</t>
        </is>
      </c>
      <c r="L1816">
        <f>SUBTOTAL(103,A1816)</f>
        <v>1</v>
      </c>
    </row>
    <row r="1817">
      <c r="A1817" t="inlineStr">
        <is>
          <t>SOCIETE C616</t>
        </is>
      </c>
      <c r="B1817" t="inlineStr">
        <is>
          <t>C616</t>
        </is>
      </c>
      <c r="C1817" t="inlineStr">
        <is>
          <t>CORPORATE BANKING</t>
        </is>
      </c>
      <c r="D1817" t="inlineStr">
        <is>
          <t>III</t>
        </is>
      </c>
      <c r="E1817" t="inlineStr">
        <is>
          <t>Stage 3</t>
        </is>
      </c>
      <c r="F1817" t="inlineStr">
        <is>
          <t>N/A</t>
        </is>
      </c>
      <c r="G1817" s="26">
        <v>529247530</v>
      </c>
      <c r="H1817" s="26">
        <v>291086141</v>
      </c>
      <c r="I1817" s="26">
        <v>0</v>
      </c>
      <c r="J1817" s="26">
        <v>185</v>
      </c>
      <c r="K1817" t="inlineStr">
        <is>
          <t>Oui</t>
        </is>
      </c>
      <c r="L1817">
        <f>SUBTOTAL(103,A1817)</f>
        <v>1</v>
      </c>
    </row>
    <row r="1818">
      <c r="A1818" t="inlineStr">
        <is>
          <t>SOCIETE C935</t>
        </is>
      </c>
      <c r="B1818" t="inlineStr">
        <is>
          <t>C935</t>
        </is>
      </c>
      <c r="C1818" t="inlineStr">
        <is>
          <t>CORPORATE BANKING</t>
        </is>
      </c>
      <c r="D1818" t="inlineStr">
        <is>
          <t>I</t>
        </is>
      </c>
      <c r="E1818" t="inlineStr">
        <is>
          <t>Stage 1</t>
        </is>
      </c>
      <c r="F1818" t="inlineStr">
        <is>
          <t>N/A</t>
        </is>
      </c>
      <c r="G1818" s="26">
        <v>2124462850</v>
      </c>
      <c r="H1818" s="26">
        <v>21244629</v>
      </c>
      <c r="I1818" s="26">
        <v>312760151</v>
      </c>
      <c r="J1818" s="26">
        <v>132</v>
      </c>
      <c r="K1818" t="inlineStr">
        <is>
          <t>Non</t>
        </is>
      </c>
      <c r="L1818">
        <f>SUBTOTAL(103,A1818)</f>
        <v>1</v>
      </c>
    </row>
    <row r="1819">
      <c r="A1819" t="inlineStr">
        <is>
          <t>SOCIETE C1248</t>
        </is>
      </c>
      <c r="B1819" t="inlineStr">
        <is>
          <t>C1248</t>
        </is>
      </c>
      <c r="C1819" t="inlineStr">
        <is>
          <t>CORPORATE BANKING</t>
        </is>
      </c>
      <c r="D1819" t="inlineStr">
        <is>
          <t>II</t>
        </is>
      </c>
      <c r="E1819" t="inlineStr">
        <is>
          <t>Stage 2</t>
        </is>
      </c>
      <c r="F1819" t="inlineStr">
        <is>
          <t>N/A</t>
        </is>
      </c>
      <c r="G1819" s="26">
        <v>1710719158</v>
      </c>
      <c r="H1819" s="26">
        <v>102643150</v>
      </c>
      <c r="I1819" s="26">
        <v>0</v>
      </c>
      <c r="J1819" s="26">
        <v>62</v>
      </c>
      <c r="K1819" t="inlineStr">
        <is>
          <t>Non</t>
        </is>
      </c>
      <c r="L1819">
        <f>SUBTOTAL(103,A1819)</f>
        <v>1</v>
      </c>
    </row>
    <row r="1820">
      <c r="A1820" t="inlineStr">
        <is>
          <t>SOCIETE C847</t>
        </is>
      </c>
      <c r="B1820" t="inlineStr">
        <is>
          <t>C847</t>
        </is>
      </c>
      <c r="C1820" t="inlineStr">
        <is>
          <t>COMMERCIAL BANKING</t>
        </is>
      </c>
      <c r="D1820" t="inlineStr">
        <is>
          <t>IV</t>
        </is>
      </c>
      <c r="E1820" t="inlineStr">
        <is>
          <t>Stage 3</t>
        </is>
      </c>
      <c r="F1820" t="inlineStr">
        <is>
          <t>N/A</t>
        </is>
      </c>
      <c r="G1820" s="26">
        <v>2980345060</v>
      </c>
      <c r="H1820" s="26">
        <v>1639189783</v>
      </c>
      <c r="I1820" s="26">
        <v>243865426</v>
      </c>
      <c r="J1820" s="26">
        <v>15</v>
      </c>
      <c r="K1820" t="inlineStr">
        <is>
          <t>Oui</t>
        </is>
      </c>
      <c r="L1820">
        <f>SUBTOTAL(103,A1820)</f>
        <v>1</v>
      </c>
    </row>
    <row r="1821">
      <c r="A1821" t="inlineStr">
        <is>
          <t>SOCIETE C30</t>
        </is>
      </c>
      <c r="B1821" t="inlineStr">
        <is>
          <t>C30</t>
        </is>
      </c>
      <c r="C1821" t="inlineStr">
        <is>
          <t>CORPORATE BANKING</t>
        </is>
      </c>
      <c r="D1821" t="inlineStr">
        <is>
          <t>IV</t>
        </is>
      </c>
      <c r="E1821" t="inlineStr">
        <is>
          <t>Stage 3</t>
        </is>
      </c>
      <c r="F1821" t="inlineStr">
        <is>
          <t>N/A</t>
        </is>
      </c>
      <c r="G1821" s="26">
        <v>231300477</v>
      </c>
      <c r="H1821" s="26">
        <v>127215262</v>
      </c>
      <c r="I1821" s="26">
        <v>0</v>
      </c>
      <c r="J1821" s="26">
        <v>28</v>
      </c>
      <c r="K1821" t="inlineStr">
        <is>
          <t>Oui</t>
        </is>
      </c>
      <c r="L1821">
        <f>SUBTOTAL(103,A1821)</f>
        <v>1</v>
      </c>
    </row>
    <row r="1822">
      <c r="A1822" t="inlineStr">
        <is>
          <t>SOCIETE C960</t>
        </is>
      </c>
      <c r="B1822" t="inlineStr">
        <is>
          <t>C960</t>
        </is>
      </c>
      <c r="C1822" t="inlineStr">
        <is>
          <t>CONSUMER BANKING</t>
        </is>
      </c>
      <c r="D1822" t="inlineStr">
        <is>
          <t>I</t>
        </is>
      </c>
      <c r="E1822" t="inlineStr">
        <is>
          <t>Stage 1</t>
        </is>
      </c>
      <c r="F1822" t="inlineStr">
        <is>
          <t>N/A</t>
        </is>
      </c>
      <c r="G1822" s="26">
        <v>26956914</v>
      </c>
      <c r="H1822" s="26">
        <v>269569</v>
      </c>
      <c r="I1822" s="26">
        <v>0</v>
      </c>
      <c r="J1822" s="26">
        <v>117</v>
      </c>
      <c r="K1822" t="inlineStr">
        <is>
          <t>Non</t>
        </is>
      </c>
      <c r="L1822">
        <f>SUBTOTAL(103,A1822)</f>
        <v>1</v>
      </c>
    </row>
    <row r="1823">
      <c r="A1823" t="inlineStr">
        <is>
          <t>SOCIETE C801</t>
        </is>
      </c>
      <c r="B1823" t="inlineStr">
        <is>
          <t>C801</t>
        </is>
      </c>
      <c r="C1823" t="inlineStr">
        <is>
          <t>CORPORATE BANKING</t>
        </is>
      </c>
      <c r="D1823" t="inlineStr">
        <is>
          <t>IV</t>
        </is>
      </c>
      <c r="E1823" t="inlineStr">
        <is>
          <t>Stage 3</t>
        </is>
      </c>
      <c r="F1823" t="inlineStr">
        <is>
          <t>N/A</t>
        </is>
      </c>
      <c r="G1823" s="26">
        <v>4161427</v>
      </c>
      <c r="H1823" s="26">
        <v>2288785</v>
      </c>
      <c r="I1823" s="26">
        <v>152894</v>
      </c>
      <c r="J1823" s="26">
        <v>139</v>
      </c>
      <c r="K1823" t="inlineStr">
        <is>
          <t>Oui</t>
        </is>
      </c>
      <c r="L1823">
        <f>SUBTOTAL(103,A1823)</f>
        <v>1</v>
      </c>
    </row>
    <row r="1824">
      <c r="A1824" t="inlineStr">
        <is>
          <t>SOCIETE C1663</t>
        </is>
      </c>
      <c r="B1824" t="inlineStr">
        <is>
          <t>C1663</t>
        </is>
      </c>
      <c r="C1824" t="inlineStr">
        <is>
          <t>COMMERCIAL BANKING</t>
        </is>
      </c>
      <c r="D1824" t="inlineStr">
        <is>
          <t>III</t>
        </is>
      </c>
      <c r="E1824" t="inlineStr">
        <is>
          <t>Stage 3</t>
        </is>
      </c>
      <c r="F1824" t="inlineStr">
        <is>
          <t>N/A</t>
        </is>
      </c>
      <c r="G1824" s="26">
        <v>2728988</v>
      </c>
      <c r="H1824" s="26">
        <v>1500944</v>
      </c>
      <c r="I1824" s="26">
        <v>358795</v>
      </c>
      <c r="J1824" s="26">
        <v>134</v>
      </c>
      <c r="K1824" t="inlineStr">
        <is>
          <t>Oui</t>
        </is>
      </c>
      <c r="L1824">
        <f>SUBTOTAL(103,A1824)</f>
        <v>1</v>
      </c>
    </row>
    <row r="1825">
      <c r="A1825" t="inlineStr">
        <is>
          <t>SOCIETE C1365</t>
        </is>
      </c>
      <c r="B1825" t="inlineStr">
        <is>
          <t>C1365</t>
        </is>
      </c>
      <c r="C1825" t="inlineStr">
        <is>
          <t>CORPORATE BANKING</t>
        </is>
      </c>
      <c r="D1825" t="inlineStr">
        <is>
          <t>I</t>
        </is>
      </c>
      <c r="E1825" t="inlineStr">
        <is>
          <t>Stage 1</t>
        </is>
      </c>
      <c r="F1825" t="inlineStr">
        <is>
          <t>N/A</t>
        </is>
      </c>
      <c r="G1825" s="26">
        <v>92414670</v>
      </c>
      <c r="H1825" s="26">
        <v>924147</v>
      </c>
      <c r="I1825" s="26">
        <v>0</v>
      </c>
      <c r="J1825" s="26">
        <v>39</v>
      </c>
      <c r="K1825" t="inlineStr">
        <is>
          <t>Non</t>
        </is>
      </c>
      <c r="L1825">
        <f>SUBTOTAL(103,A1825)</f>
        <v>1</v>
      </c>
    </row>
    <row r="1826">
      <c r="A1826" t="inlineStr">
        <is>
          <t>SOCIETE C1153</t>
        </is>
      </c>
      <c r="B1826" t="inlineStr">
        <is>
          <t>C1153</t>
        </is>
      </c>
      <c r="C1826" t="inlineStr">
        <is>
          <t>CORPORATE BANKING</t>
        </is>
      </c>
      <c r="D1826" t="inlineStr">
        <is>
          <t>I</t>
        </is>
      </c>
      <c r="E1826" t="inlineStr">
        <is>
          <t>Stage 1</t>
        </is>
      </c>
      <c r="F1826" t="inlineStr">
        <is>
          <t>N/A</t>
        </is>
      </c>
      <c r="G1826" s="26">
        <v>645202271</v>
      </c>
      <c r="H1826" s="26">
        <v>6452023</v>
      </c>
      <c r="I1826" s="26">
        <v>0</v>
      </c>
      <c r="J1826" s="26">
        <v>12</v>
      </c>
      <c r="K1826" t="inlineStr">
        <is>
          <t>Non</t>
        </is>
      </c>
      <c r="L1826">
        <f>SUBTOTAL(103,A1826)</f>
        <v>1</v>
      </c>
    </row>
    <row r="1827">
      <c r="A1827" t="inlineStr">
        <is>
          <t>SOCIETE C1065</t>
        </is>
      </c>
      <c r="B1827" t="inlineStr">
        <is>
          <t>C1065</t>
        </is>
      </c>
      <c r="C1827" t="inlineStr">
        <is>
          <t>CORPORATE BANKING</t>
        </is>
      </c>
      <c r="D1827" t="inlineStr">
        <is>
          <t>I</t>
        </is>
      </c>
      <c r="E1827" t="inlineStr">
        <is>
          <t>Stage 1</t>
        </is>
      </c>
      <c r="F1827" t="inlineStr">
        <is>
          <t>N/A</t>
        </is>
      </c>
      <c r="G1827" s="26">
        <v>18901019</v>
      </c>
      <c r="H1827" s="26">
        <v>189010</v>
      </c>
      <c r="I1827" s="26">
        <v>1102886</v>
      </c>
      <c r="J1827" s="26">
        <v>111</v>
      </c>
      <c r="K1827" t="inlineStr">
        <is>
          <t>Non</t>
        </is>
      </c>
      <c r="L1827">
        <f>SUBTOTAL(103,A1827)</f>
        <v>1</v>
      </c>
    </row>
    <row r="1828">
      <c r="A1828" t="inlineStr">
        <is>
          <t>SOCIETE C2353</t>
        </is>
      </c>
      <c r="B1828" t="inlineStr">
        <is>
          <t>C2353</t>
        </is>
      </c>
      <c r="C1828" t="inlineStr">
        <is>
          <t>CORPORATE BANKING</t>
        </is>
      </c>
      <c r="D1828" t="inlineStr">
        <is>
          <t>I</t>
        </is>
      </c>
      <c r="E1828" t="inlineStr">
        <is>
          <t>Stage 1</t>
        </is>
      </c>
      <c r="F1828" t="inlineStr">
        <is>
          <t>N/A</t>
        </is>
      </c>
      <c r="G1828" s="26">
        <v>70358099</v>
      </c>
      <c r="H1828" s="26">
        <v>703581</v>
      </c>
      <c r="I1828" s="26">
        <v>0</v>
      </c>
      <c r="J1828" s="26">
        <v>59</v>
      </c>
      <c r="K1828" t="inlineStr">
        <is>
          <t>Non</t>
        </is>
      </c>
      <c r="L1828">
        <f>SUBTOTAL(103,A1828)</f>
        <v>1</v>
      </c>
    </row>
    <row r="1829">
      <c r="A1829" t="inlineStr">
        <is>
          <t>SOCIETE C2452</t>
        </is>
      </c>
      <c r="B1829" t="inlineStr">
        <is>
          <t>C2452</t>
        </is>
      </c>
      <c r="C1829" t="inlineStr">
        <is>
          <t>CORPORATE BANKING</t>
        </is>
      </c>
      <c r="D1829" t="inlineStr">
        <is>
          <t>I</t>
        </is>
      </c>
      <c r="E1829" t="inlineStr">
        <is>
          <t>Stage 1</t>
        </is>
      </c>
      <c r="F1829" t="inlineStr">
        <is>
          <t>N/A</t>
        </is>
      </c>
      <c r="G1829" s="26">
        <v>1507505304</v>
      </c>
      <c r="H1829" s="26">
        <v>15075053</v>
      </c>
      <c r="I1829" s="26">
        <v>0</v>
      </c>
      <c r="J1829" s="26">
        <v>114</v>
      </c>
      <c r="K1829" t="inlineStr">
        <is>
          <t>Non</t>
        </is>
      </c>
      <c r="L1829">
        <f>SUBTOTAL(103,A1829)</f>
        <v>1</v>
      </c>
    </row>
    <row r="1830">
      <c r="A1830" t="inlineStr">
        <is>
          <t>SOCIETE C2166</t>
        </is>
      </c>
      <c r="B1830" t="inlineStr">
        <is>
          <t>C2166</t>
        </is>
      </c>
      <c r="C1830" t="inlineStr">
        <is>
          <t>CORPORATE BANKING</t>
        </is>
      </c>
      <c r="D1830" t="inlineStr">
        <is>
          <t>IV</t>
        </is>
      </c>
      <c r="E1830" t="inlineStr">
        <is>
          <t>Stage 3</t>
        </is>
      </c>
      <c r="F1830" t="inlineStr">
        <is>
          <t>N/A</t>
        </is>
      </c>
      <c r="G1830" s="26">
        <v>690465945</v>
      </c>
      <c r="H1830" s="26">
        <v>379756270</v>
      </c>
      <c r="I1830" s="26">
        <v>16650543</v>
      </c>
      <c r="J1830" s="26">
        <v>89</v>
      </c>
      <c r="K1830" t="inlineStr">
        <is>
          <t>Oui</t>
        </is>
      </c>
      <c r="L1830">
        <f>SUBTOTAL(103,A1830)</f>
        <v>1</v>
      </c>
    </row>
    <row r="1831">
      <c r="A1831" t="inlineStr">
        <is>
          <t>SOCIETE C47</t>
        </is>
      </c>
      <c r="B1831" t="inlineStr">
        <is>
          <t>C47</t>
        </is>
      </c>
      <c r="C1831" t="inlineStr">
        <is>
          <t>CORPORATE BANKING</t>
        </is>
      </c>
      <c r="D1831" t="inlineStr">
        <is>
          <t>III</t>
        </is>
      </c>
      <c r="E1831" t="inlineStr">
        <is>
          <t>Stage 3</t>
        </is>
      </c>
      <c r="F1831" t="inlineStr">
        <is>
          <t>N/A</t>
        </is>
      </c>
      <c r="G1831" s="26">
        <v>1340542032</v>
      </c>
      <c r="H1831" s="26">
        <v>737298118</v>
      </c>
      <c r="I1831" s="26">
        <v>0</v>
      </c>
      <c r="J1831" s="26">
        <v>34</v>
      </c>
      <c r="K1831" t="inlineStr">
        <is>
          <t>Oui</t>
        </is>
      </c>
      <c r="L1831">
        <f>SUBTOTAL(103,A1831)</f>
        <v>1</v>
      </c>
    </row>
    <row r="1832">
      <c r="A1832" t="inlineStr">
        <is>
          <t>SOCIETE C1468</t>
        </is>
      </c>
      <c r="B1832" t="inlineStr">
        <is>
          <t>C1468</t>
        </is>
      </c>
      <c r="C1832" t="inlineStr">
        <is>
          <t>COMMERCIAL BANKING</t>
        </is>
      </c>
      <c r="D1832" t="inlineStr">
        <is>
          <t>II</t>
        </is>
      </c>
      <c r="E1832" t="inlineStr">
        <is>
          <t>Stage 2</t>
        </is>
      </c>
      <c r="F1832" t="inlineStr">
        <is>
          <t>N/A</t>
        </is>
      </c>
      <c r="G1832" s="26">
        <v>240768500</v>
      </c>
      <c r="H1832" s="26">
        <v>14446110</v>
      </c>
      <c r="I1832" s="26">
        <v>0</v>
      </c>
      <c r="J1832" s="26">
        <v>3</v>
      </c>
      <c r="K1832" t="inlineStr">
        <is>
          <t>Non</t>
        </is>
      </c>
      <c r="L1832">
        <f>SUBTOTAL(103,A1832)</f>
        <v>1</v>
      </c>
    </row>
    <row r="1833">
      <c r="A1833" t="inlineStr">
        <is>
          <t>SOCIETE C2452</t>
        </is>
      </c>
      <c r="B1833" t="inlineStr">
        <is>
          <t>C2452</t>
        </is>
      </c>
      <c r="C1833" t="inlineStr">
        <is>
          <t>COMMERCIAL BANKING</t>
        </is>
      </c>
      <c r="D1833" t="inlineStr">
        <is>
          <t>V</t>
        </is>
      </c>
      <c r="E1833" t="inlineStr">
        <is>
          <t>Stage 3</t>
        </is>
      </c>
      <c r="F1833" t="inlineStr">
        <is>
          <t>N/A</t>
        </is>
      </c>
      <c r="G1833" s="26">
        <v>2015630278</v>
      </c>
      <c r="H1833" s="26">
        <v>1108596653</v>
      </c>
      <c r="I1833" s="26">
        <v>0</v>
      </c>
      <c r="J1833" s="26">
        <v>194</v>
      </c>
      <c r="K1833" t="inlineStr">
        <is>
          <t>Oui</t>
        </is>
      </c>
      <c r="L1833">
        <f>SUBTOTAL(103,A1833)</f>
        <v>1</v>
      </c>
    </row>
    <row r="1834">
      <c r="A1834" t="inlineStr">
        <is>
          <t>SOCIETE C2130</t>
        </is>
      </c>
      <c r="B1834" t="inlineStr">
        <is>
          <t>C2130</t>
        </is>
      </c>
      <c r="C1834" t="inlineStr">
        <is>
          <t>CORPORATE BANKING</t>
        </is>
      </c>
      <c r="D1834" t="inlineStr">
        <is>
          <t>I</t>
        </is>
      </c>
      <c r="E1834" t="inlineStr">
        <is>
          <t>Stage 1</t>
        </is>
      </c>
      <c r="F1834" t="inlineStr">
        <is>
          <t>N/A</t>
        </is>
      </c>
      <c r="G1834" s="26">
        <v>442258946</v>
      </c>
      <c r="H1834" s="26">
        <v>4422589</v>
      </c>
      <c r="I1834" s="26">
        <v>0</v>
      </c>
      <c r="J1834" s="26">
        <v>64</v>
      </c>
      <c r="K1834" t="inlineStr">
        <is>
          <t>Non</t>
        </is>
      </c>
      <c r="L1834">
        <f>SUBTOTAL(103,A1834)</f>
        <v>1</v>
      </c>
    </row>
    <row r="1835">
      <c r="A1835" t="inlineStr">
        <is>
          <t>SOCIETE C1848</t>
        </is>
      </c>
      <c r="B1835" t="inlineStr">
        <is>
          <t>C1848</t>
        </is>
      </c>
      <c r="C1835" t="inlineStr">
        <is>
          <t>CONSUMER BANKING</t>
        </is>
      </c>
      <c r="D1835" t="inlineStr">
        <is>
          <t>II</t>
        </is>
      </c>
      <c r="E1835" t="inlineStr">
        <is>
          <t>Stage 2</t>
        </is>
      </c>
      <c r="F1835" t="inlineStr">
        <is>
          <t>N/A</t>
        </is>
      </c>
      <c r="G1835" s="26">
        <v>1282197745</v>
      </c>
      <c r="H1835" s="26">
        <v>76931865</v>
      </c>
      <c r="I1835" s="26">
        <v>182342202</v>
      </c>
      <c r="J1835" s="26">
        <v>171</v>
      </c>
      <c r="K1835" t="inlineStr">
        <is>
          <t>Non</t>
        </is>
      </c>
      <c r="L1835">
        <f>SUBTOTAL(103,A1835)</f>
        <v>1</v>
      </c>
    </row>
    <row r="1836">
      <c r="A1836" t="inlineStr">
        <is>
          <t>SOCIETE C1727</t>
        </is>
      </c>
      <c r="B1836" t="inlineStr">
        <is>
          <t>C1727</t>
        </is>
      </c>
      <c r="C1836" t="inlineStr">
        <is>
          <t>CORPORATE BANKING</t>
        </is>
      </c>
      <c r="D1836" t="inlineStr">
        <is>
          <t>I</t>
        </is>
      </c>
      <c r="E1836" t="inlineStr">
        <is>
          <t>Stage 1</t>
        </is>
      </c>
      <c r="F1836" t="inlineStr">
        <is>
          <t>N/A</t>
        </is>
      </c>
      <c r="G1836" s="26">
        <v>2674487019</v>
      </c>
      <c r="H1836" s="26">
        <v>26744870</v>
      </c>
      <c r="I1836" s="26">
        <v>0</v>
      </c>
      <c r="J1836" s="26">
        <v>1</v>
      </c>
      <c r="K1836" t="inlineStr">
        <is>
          <t>Non</t>
        </is>
      </c>
      <c r="L1836">
        <f>SUBTOTAL(103,A1836)</f>
        <v>1</v>
      </c>
    </row>
    <row r="1837">
      <c r="A1837" t="inlineStr">
        <is>
          <t>SOCIETE C2018</t>
        </is>
      </c>
      <c r="B1837" t="inlineStr">
        <is>
          <t>C2018</t>
        </is>
      </c>
      <c r="C1837" t="inlineStr">
        <is>
          <t>CORPORATE BANKING</t>
        </is>
      </c>
      <c r="D1837" t="inlineStr">
        <is>
          <t>IA</t>
        </is>
      </c>
      <c r="E1837" t="inlineStr">
        <is>
          <t>Stage 2</t>
        </is>
      </c>
      <c r="F1837" t="inlineStr">
        <is>
          <t>N/A</t>
        </is>
      </c>
      <c r="G1837" s="26">
        <v>1118762</v>
      </c>
      <c r="H1837" s="26">
        <v>67126</v>
      </c>
      <c r="I1837" s="26">
        <v>0</v>
      </c>
      <c r="J1837" s="26">
        <v>117</v>
      </c>
      <c r="K1837" t="inlineStr">
        <is>
          <t>Non</t>
        </is>
      </c>
      <c r="L1837">
        <f>SUBTOTAL(103,A1837)</f>
        <v>1</v>
      </c>
    </row>
    <row r="1838">
      <c r="A1838" t="inlineStr">
        <is>
          <t>SOCIETE C1478</t>
        </is>
      </c>
      <c r="B1838" t="inlineStr">
        <is>
          <t>C1478</t>
        </is>
      </c>
      <c r="C1838" t="inlineStr">
        <is>
          <t>CONSUMER BANKING</t>
        </is>
      </c>
      <c r="D1838" t="inlineStr">
        <is>
          <t>II</t>
        </is>
      </c>
      <c r="E1838" t="inlineStr">
        <is>
          <t>Stage 2</t>
        </is>
      </c>
      <c r="F1838" t="inlineStr">
        <is>
          <t>N/A</t>
        </is>
      </c>
      <c r="G1838" s="26">
        <v>159501996</v>
      </c>
      <c r="H1838" s="26">
        <v>9570120</v>
      </c>
      <c r="I1838" s="26">
        <v>0</v>
      </c>
      <c r="J1838" s="26">
        <v>20</v>
      </c>
      <c r="K1838" t="inlineStr">
        <is>
          <t>Non</t>
        </is>
      </c>
      <c r="L1838">
        <f>SUBTOTAL(103,A1838)</f>
        <v>1</v>
      </c>
    </row>
    <row r="1839">
      <c r="A1839" t="inlineStr">
        <is>
          <t>SOCIETE C1099</t>
        </is>
      </c>
      <c r="B1839" t="inlineStr">
        <is>
          <t>C1099</t>
        </is>
      </c>
      <c r="C1839" t="inlineStr">
        <is>
          <t>CORPORATE BANKING</t>
        </is>
      </c>
      <c r="D1839" t="inlineStr">
        <is>
          <t>I</t>
        </is>
      </c>
      <c r="E1839" t="inlineStr">
        <is>
          <t>Stage 1</t>
        </is>
      </c>
      <c r="F1839" t="inlineStr">
        <is>
          <t>N/A</t>
        </is>
      </c>
      <c r="G1839" s="26">
        <v>1454172383</v>
      </c>
      <c r="H1839" s="26">
        <v>14541724</v>
      </c>
      <c r="I1839" s="26">
        <v>112579426</v>
      </c>
      <c r="J1839" s="26">
        <v>132</v>
      </c>
      <c r="K1839" t="inlineStr">
        <is>
          <t>Non</t>
        </is>
      </c>
      <c r="L1839">
        <f>SUBTOTAL(103,A1839)</f>
        <v>1</v>
      </c>
    </row>
    <row r="1840">
      <c r="A1840" t="inlineStr">
        <is>
          <t>SOCIETE C2008</t>
        </is>
      </c>
      <c r="B1840" t="inlineStr">
        <is>
          <t>C2008</t>
        </is>
      </c>
      <c r="C1840" t="inlineStr">
        <is>
          <t>CORPORATE BANKING</t>
        </is>
      </c>
      <c r="D1840" t="inlineStr">
        <is>
          <t>IV</t>
        </is>
      </c>
      <c r="E1840" t="inlineStr">
        <is>
          <t>Stage 3</t>
        </is>
      </c>
      <c r="F1840" t="inlineStr">
        <is>
          <t>N/A</t>
        </is>
      </c>
      <c r="G1840" s="26">
        <v>1225977</v>
      </c>
      <c r="H1840" s="26">
        <v>674287</v>
      </c>
      <c r="I1840" s="26">
        <v>0</v>
      </c>
      <c r="J1840" s="26">
        <v>75</v>
      </c>
      <c r="K1840" t="inlineStr">
        <is>
          <t>Oui</t>
        </is>
      </c>
      <c r="L1840">
        <f>SUBTOTAL(103,A1840)</f>
        <v>1</v>
      </c>
    </row>
    <row r="1841">
      <c r="A1841" t="inlineStr">
        <is>
          <t>SOCIETE C1308</t>
        </is>
      </c>
      <c r="B1841" t="inlineStr">
        <is>
          <t>C1308</t>
        </is>
      </c>
      <c r="C1841" t="inlineStr">
        <is>
          <t>COMMERCIAL BANKING</t>
        </is>
      </c>
      <c r="D1841" t="inlineStr">
        <is>
          <t>IA</t>
        </is>
      </c>
      <c r="E1841" t="inlineStr">
        <is>
          <t>Stage 2</t>
        </is>
      </c>
      <c r="F1841" t="inlineStr">
        <is>
          <t>N/A</t>
        </is>
      </c>
      <c r="G1841" s="26">
        <v>1000395</v>
      </c>
      <c r="H1841" s="26">
        <v>60024</v>
      </c>
      <c r="I1841" s="26">
        <v>0</v>
      </c>
      <c r="J1841" s="26">
        <v>173</v>
      </c>
      <c r="K1841" t="inlineStr">
        <is>
          <t>Non</t>
        </is>
      </c>
      <c r="L1841">
        <f>SUBTOTAL(103,A1841)</f>
        <v>1</v>
      </c>
    </row>
    <row r="1842">
      <c r="A1842" t="inlineStr">
        <is>
          <t>SOCIETE C158</t>
        </is>
      </c>
      <c r="B1842" t="inlineStr">
        <is>
          <t>C158</t>
        </is>
      </c>
      <c r="C1842" t="inlineStr">
        <is>
          <t>SME</t>
        </is>
      </c>
      <c r="D1842" t="inlineStr">
        <is>
          <t>IA</t>
        </is>
      </c>
      <c r="E1842" t="inlineStr">
        <is>
          <t>Stage 2</t>
        </is>
      </c>
      <c r="F1842" t="inlineStr">
        <is>
          <t>N/A</t>
        </is>
      </c>
      <c r="G1842" s="26">
        <v>1270186700</v>
      </c>
      <c r="H1842" s="26">
        <v>76211202</v>
      </c>
      <c r="I1842" s="26">
        <v>0</v>
      </c>
      <c r="J1842" s="26">
        <v>50</v>
      </c>
      <c r="K1842" t="inlineStr">
        <is>
          <t>Non</t>
        </is>
      </c>
      <c r="L1842">
        <f>SUBTOTAL(103,A1842)</f>
        <v>1</v>
      </c>
    </row>
    <row r="1843">
      <c r="A1843" t="inlineStr">
        <is>
          <t>SOCIETE C2221</t>
        </is>
      </c>
      <c r="B1843" t="inlineStr">
        <is>
          <t>C2221</t>
        </is>
      </c>
      <c r="C1843" t="inlineStr">
        <is>
          <t>COMMERCIAL BANKING</t>
        </is>
      </c>
      <c r="D1843" t="inlineStr">
        <is>
          <t>V</t>
        </is>
      </c>
      <c r="E1843" t="inlineStr">
        <is>
          <t>Stage 3</t>
        </is>
      </c>
      <c r="F1843" t="inlineStr">
        <is>
          <t>N/A</t>
        </is>
      </c>
      <c r="G1843" s="26">
        <v>449616223</v>
      </c>
      <c r="H1843" s="26">
        <v>247288923</v>
      </c>
      <c r="I1843" s="26">
        <v>0</v>
      </c>
      <c r="J1843" s="26">
        <v>175</v>
      </c>
      <c r="K1843" t="inlineStr">
        <is>
          <t>Oui</t>
        </is>
      </c>
      <c r="L1843">
        <f>SUBTOTAL(103,A1843)</f>
        <v>1</v>
      </c>
    </row>
    <row r="1844">
      <c r="A1844" t="inlineStr">
        <is>
          <t>SOCIETE C1165</t>
        </is>
      </c>
      <c r="B1844" t="inlineStr">
        <is>
          <t>C1165</t>
        </is>
      </c>
      <c r="C1844" t="inlineStr">
        <is>
          <t>CORPORATE BANKING</t>
        </is>
      </c>
      <c r="D1844" t="inlineStr">
        <is>
          <t>I</t>
        </is>
      </c>
      <c r="E1844" t="inlineStr">
        <is>
          <t>Stage 1</t>
        </is>
      </c>
      <c r="F1844" t="inlineStr">
        <is>
          <t>N/A</t>
        </is>
      </c>
      <c r="G1844" s="26">
        <v>1111449798</v>
      </c>
      <c r="H1844" s="26">
        <v>11114498</v>
      </c>
      <c r="I1844" s="26">
        <v>75565727</v>
      </c>
      <c r="J1844" s="26">
        <v>53</v>
      </c>
      <c r="K1844" t="inlineStr">
        <is>
          <t>Non</t>
        </is>
      </c>
      <c r="L1844">
        <f>SUBTOTAL(103,A1844)</f>
        <v>1</v>
      </c>
    </row>
    <row r="1845">
      <c r="A1845" t="inlineStr">
        <is>
          <t>SOCIETE C2346</t>
        </is>
      </c>
      <c r="B1845" t="inlineStr">
        <is>
          <t>C2346</t>
        </is>
      </c>
      <c r="C1845" t="inlineStr">
        <is>
          <t>COMMERCIAL BANKING</t>
        </is>
      </c>
      <c r="D1845" t="inlineStr">
        <is>
          <t>III</t>
        </is>
      </c>
      <c r="E1845" t="inlineStr">
        <is>
          <t>Stage 3</t>
        </is>
      </c>
      <c r="F1845" t="inlineStr">
        <is>
          <t>N/A</t>
        </is>
      </c>
      <c r="G1845" s="26">
        <v>46391176</v>
      </c>
      <c r="H1845" s="26">
        <v>25515147</v>
      </c>
      <c r="I1845" s="26">
        <v>7452275</v>
      </c>
      <c r="J1845" s="26">
        <v>149</v>
      </c>
      <c r="K1845" t="inlineStr">
        <is>
          <t>Oui</t>
        </is>
      </c>
      <c r="L1845">
        <f>SUBTOTAL(103,A1845)</f>
        <v>1</v>
      </c>
    </row>
    <row r="1846">
      <c r="A1846" t="inlineStr">
        <is>
          <t>SOCIETE C709</t>
        </is>
      </c>
      <c r="B1846" t="inlineStr">
        <is>
          <t>C709</t>
        </is>
      </c>
      <c r="C1846" t="inlineStr">
        <is>
          <t>SME</t>
        </is>
      </c>
      <c r="D1846" t="inlineStr">
        <is>
          <t>IA</t>
        </is>
      </c>
      <c r="E1846" t="inlineStr">
        <is>
          <t>Stage 2</t>
        </is>
      </c>
      <c r="F1846" t="inlineStr">
        <is>
          <t>N/A</t>
        </is>
      </c>
      <c r="G1846" s="26">
        <v>2814007109</v>
      </c>
      <c r="H1846" s="26">
        <v>168840427</v>
      </c>
      <c r="I1846" s="26">
        <v>276552961</v>
      </c>
      <c r="J1846" s="26">
        <v>20</v>
      </c>
      <c r="K1846" t="inlineStr">
        <is>
          <t>Non</t>
        </is>
      </c>
      <c r="L1846">
        <f>SUBTOTAL(103,A1846)</f>
        <v>1</v>
      </c>
    </row>
    <row r="1847">
      <c r="A1847" t="inlineStr">
        <is>
          <t>SOCIETE C1765</t>
        </is>
      </c>
      <c r="B1847" t="inlineStr">
        <is>
          <t>C1765</t>
        </is>
      </c>
      <c r="C1847" t="inlineStr">
        <is>
          <t>CORPORATE BANKING</t>
        </is>
      </c>
      <c r="D1847" t="inlineStr">
        <is>
          <t>V</t>
        </is>
      </c>
      <c r="E1847" t="inlineStr">
        <is>
          <t>Stage 3</t>
        </is>
      </c>
      <c r="F1847" t="inlineStr">
        <is>
          <t>N/A</t>
        </is>
      </c>
      <c r="G1847" s="26">
        <v>5044643</v>
      </c>
      <c r="H1847" s="26">
        <v>2774554</v>
      </c>
      <c r="I1847" s="26">
        <v>0</v>
      </c>
      <c r="J1847" s="26">
        <v>80</v>
      </c>
      <c r="K1847" t="inlineStr">
        <is>
          <t>Oui</t>
        </is>
      </c>
      <c r="L1847">
        <f>SUBTOTAL(103,A1847)</f>
        <v>1</v>
      </c>
    </row>
    <row r="1848">
      <c r="A1848" t="inlineStr">
        <is>
          <t>SOCIETE C70</t>
        </is>
      </c>
      <c r="B1848" t="inlineStr">
        <is>
          <t>C70</t>
        </is>
      </c>
      <c r="C1848" t="inlineStr">
        <is>
          <t>CORPORATE BANKING</t>
        </is>
      </c>
      <c r="D1848" t="inlineStr">
        <is>
          <t>IA</t>
        </is>
      </c>
      <c r="E1848" t="inlineStr">
        <is>
          <t>Stage 2</t>
        </is>
      </c>
      <c r="F1848" t="inlineStr">
        <is>
          <t>N/A</t>
        </is>
      </c>
      <c r="G1848" s="26">
        <v>111084651</v>
      </c>
      <c r="H1848" s="26">
        <v>6665079</v>
      </c>
      <c r="I1848" s="26">
        <v>0</v>
      </c>
      <c r="J1848" s="26">
        <v>193</v>
      </c>
      <c r="K1848" t="inlineStr">
        <is>
          <t>Non</t>
        </is>
      </c>
      <c r="L1848">
        <f>SUBTOTAL(103,A1848)</f>
        <v>1</v>
      </c>
    </row>
    <row r="1849">
      <c r="A1849" t="inlineStr">
        <is>
          <t>SOCIETE C342</t>
        </is>
      </c>
      <c r="B1849" t="inlineStr">
        <is>
          <t>C342</t>
        </is>
      </c>
      <c r="C1849" t="inlineStr">
        <is>
          <t>COMMERCIAL BANKING</t>
        </is>
      </c>
      <c r="D1849" t="inlineStr">
        <is>
          <t>I</t>
        </is>
      </c>
      <c r="E1849" t="inlineStr">
        <is>
          <t>Stage 1</t>
        </is>
      </c>
      <c r="F1849" t="inlineStr">
        <is>
          <t>N/A</t>
        </is>
      </c>
      <c r="G1849" s="26">
        <v>850610661</v>
      </c>
      <c r="H1849" s="26">
        <v>8506107</v>
      </c>
      <c r="I1849" s="26">
        <v>0</v>
      </c>
      <c r="J1849" s="26">
        <v>114</v>
      </c>
      <c r="K1849" t="inlineStr">
        <is>
          <t>Non</t>
        </is>
      </c>
      <c r="L1849">
        <f>SUBTOTAL(103,A1849)</f>
        <v>1</v>
      </c>
    </row>
    <row r="1850">
      <c r="A1850" t="inlineStr">
        <is>
          <t>SOCIETE C2285</t>
        </is>
      </c>
      <c r="B1850" t="inlineStr">
        <is>
          <t>C2285</t>
        </is>
      </c>
      <c r="C1850" t="inlineStr">
        <is>
          <t>CORPORATE BANKING</t>
        </is>
      </c>
      <c r="D1850" t="inlineStr">
        <is>
          <t>IA</t>
        </is>
      </c>
      <c r="E1850" t="inlineStr">
        <is>
          <t>Stage 2</t>
        </is>
      </c>
      <c r="F1850" t="inlineStr">
        <is>
          <t>N/A</t>
        </is>
      </c>
      <c r="G1850" s="26">
        <v>530707010</v>
      </c>
      <c r="H1850" s="26">
        <v>31842421</v>
      </c>
      <c r="I1850" s="26">
        <v>0</v>
      </c>
      <c r="J1850" s="26">
        <v>272</v>
      </c>
      <c r="K1850" t="inlineStr">
        <is>
          <t>Non</t>
        </is>
      </c>
      <c r="L1850">
        <f>SUBTOTAL(103,A1850)</f>
        <v>1</v>
      </c>
    </row>
    <row r="1851">
      <c r="A1851" t="inlineStr">
        <is>
          <t>SOCIETE C1867</t>
        </is>
      </c>
      <c r="B1851" t="inlineStr">
        <is>
          <t>C1867</t>
        </is>
      </c>
      <c r="C1851" t="inlineStr">
        <is>
          <t>SME</t>
        </is>
      </c>
      <c r="D1851" t="inlineStr">
        <is>
          <t>I</t>
        </is>
      </c>
      <c r="E1851" t="inlineStr">
        <is>
          <t>Stage 1</t>
        </is>
      </c>
      <c r="F1851" t="inlineStr">
        <is>
          <t>N/A</t>
        </is>
      </c>
      <c r="G1851" s="26">
        <v>15949801</v>
      </c>
      <c r="H1851" s="26">
        <v>159498</v>
      </c>
      <c r="I1851" s="26">
        <v>2239623</v>
      </c>
      <c r="J1851" s="26">
        <v>57</v>
      </c>
      <c r="K1851" t="inlineStr">
        <is>
          <t>Non</t>
        </is>
      </c>
      <c r="L1851">
        <f>SUBTOTAL(103,A1851)</f>
        <v>1</v>
      </c>
    </row>
    <row r="1852">
      <c r="A1852" t="inlineStr">
        <is>
          <t>SOCIETE C505</t>
        </is>
      </c>
      <c r="B1852" t="inlineStr">
        <is>
          <t>C505</t>
        </is>
      </c>
      <c r="C1852" t="inlineStr">
        <is>
          <t>CORPORATE BANKING</t>
        </is>
      </c>
      <c r="D1852" t="inlineStr">
        <is>
          <t>V</t>
        </is>
      </c>
      <c r="E1852" t="inlineStr">
        <is>
          <t>Stage 3</t>
        </is>
      </c>
      <c r="F1852" t="inlineStr">
        <is>
          <t>N/A</t>
        </is>
      </c>
      <c r="G1852" s="26">
        <v>217297490</v>
      </c>
      <c r="H1852" s="26">
        <v>119513620</v>
      </c>
      <c r="I1852" s="26">
        <v>29387995</v>
      </c>
      <c r="J1852" s="26">
        <v>19</v>
      </c>
      <c r="K1852" t="inlineStr">
        <is>
          <t>Oui</t>
        </is>
      </c>
      <c r="L1852">
        <f>SUBTOTAL(103,A1852)</f>
        <v>1</v>
      </c>
    </row>
    <row r="1853">
      <c r="A1853" t="inlineStr">
        <is>
          <t>SOCIETE C1114</t>
        </is>
      </c>
      <c r="B1853" t="inlineStr">
        <is>
          <t>C1114</t>
        </is>
      </c>
      <c r="C1853" t="inlineStr">
        <is>
          <t>COMMERCIAL BANKING</t>
        </is>
      </c>
      <c r="D1853" t="inlineStr">
        <is>
          <t>II</t>
        </is>
      </c>
      <c r="E1853" t="inlineStr">
        <is>
          <t>Stage 2</t>
        </is>
      </c>
      <c r="F1853" t="inlineStr">
        <is>
          <t>N/A</t>
        </is>
      </c>
      <c r="G1853" s="26">
        <v>2115150300</v>
      </c>
      <c r="H1853" s="26">
        <v>126909018</v>
      </c>
      <c r="I1853" s="26">
        <v>0</v>
      </c>
      <c r="J1853" s="26">
        <v>32</v>
      </c>
      <c r="K1853" t="inlineStr">
        <is>
          <t>Non</t>
        </is>
      </c>
      <c r="L1853">
        <f>SUBTOTAL(103,A1853)</f>
        <v>1</v>
      </c>
    </row>
    <row r="1854">
      <c r="A1854" t="inlineStr">
        <is>
          <t>SOCIETE C864</t>
        </is>
      </c>
      <c r="B1854" t="inlineStr">
        <is>
          <t>C864</t>
        </is>
      </c>
      <c r="C1854" t="inlineStr">
        <is>
          <t>COMMERCIAL BANKING</t>
        </is>
      </c>
      <c r="D1854" t="inlineStr">
        <is>
          <t>I</t>
        </is>
      </c>
      <c r="E1854" t="inlineStr">
        <is>
          <t>Stage 1</t>
        </is>
      </c>
      <c r="F1854" t="inlineStr">
        <is>
          <t>N/A</t>
        </is>
      </c>
      <c r="G1854" s="26">
        <v>1071598247</v>
      </c>
      <c r="H1854" s="26">
        <v>10715982</v>
      </c>
      <c r="I1854" s="26">
        <v>76815342</v>
      </c>
      <c r="J1854" s="26">
        <v>221</v>
      </c>
      <c r="K1854" t="inlineStr">
        <is>
          <t>Non</t>
        </is>
      </c>
      <c r="L1854">
        <f>SUBTOTAL(103,A1854)</f>
        <v>1</v>
      </c>
    </row>
    <row r="1855">
      <c r="A1855" t="inlineStr">
        <is>
          <t>SOCIETE C2081</t>
        </is>
      </c>
      <c r="B1855" t="inlineStr">
        <is>
          <t>C2081</t>
        </is>
      </c>
      <c r="C1855" t="inlineStr">
        <is>
          <t>CORPORATE BANKING</t>
        </is>
      </c>
      <c r="D1855" t="inlineStr">
        <is>
          <t>IA</t>
        </is>
      </c>
      <c r="E1855" t="inlineStr">
        <is>
          <t>Stage 2</t>
        </is>
      </c>
      <c r="F1855" t="inlineStr">
        <is>
          <t>N/A</t>
        </is>
      </c>
      <c r="G1855" s="26">
        <v>27057438</v>
      </c>
      <c r="H1855" s="26">
        <v>1623446</v>
      </c>
      <c r="I1855" s="26">
        <v>4822698</v>
      </c>
      <c r="J1855" s="26">
        <v>66</v>
      </c>
      <c r="K1855" t="inlineStr">
        <is>
          <t>Non</t>
        </is>
      </c>
      <c r="L1855">
        <f>SUBTOTAL(103,A1855)</f>
        <v>1</v>
      </c>
    </row>
    <row r="1856">
      <c r="A1856" t="inlineStr">
        <is>
          <t>SOCIETE C574</t>
        </is>
      </c>
      <c r="B1856" t="inlineStr">
        <is>
          <t>C574</t>
        </is>
      </c>
      <c r="C1856" t="inlineStr">
        <is>
          <t>SME</t>
        </is>
      </c>
      <c r="D1856" t="inlineStr">
        <is>
          <t>IA</t>
        </is>
      </c>
      <c r="E1856" t="inlineStr">
        <is>
          <t>Stage 2</t>
        </is>
      </c>
      <c r="F1856" t="inlineStr">
        <is>
          <t>N/A</t>
        </is>
      </c>
      <c r="G1856" s="26">
        <v>1003458</v>
      </c>
      <c r="H1856" s="26">
        <v>60208</v>
      </c>
      <c r="I1856" s="26">
        <v>0</v>
      </c>
      <c r="J1856" s="26">
        <v>113</v>
      </c>
      <c r="K1856" t="inlineStr">
        <is>
          <t>Non</t>
        </is>
      </c>
      <c r="L1856">
        <f>SUBTOTAL(103,A1856)</f>
        <v>1</v>
      </c>
    </row>
    <row r="1857">
      <c r="A1857" t="inlineStr">
        <is>
          <t>SOCIETE C2083</t>
        </is>
      </c>
      <c r="B1857" t="inlineStr">
        <is>
          <t>C2083</t>
        </is>
      </c>
      <c r="C1857" t="inlineStr">
        <is>
          <t>CORPORATE BANKING</t>
        </is>
      </c>
      <c r="D1857" t="inlineStr">
        <is>
          <t>IA</t>
        </is>
      </c>
      <c r="E1857" t="inlineStr">
        <is>
          <t>Stage 2</t>
        </is>
      </c>
      <c r="F1857" t="inlineStr">
        <is>
          <t>N/A</t>
        </is>
      </c>
      <c r="G1857" s="26">
        <v>90922865</v>
      </c>
      <c r="H1857" s="26">
        <v>5455372</v>
      </c>
      <c r="I1857" s="26">
        <v>0</v>
      </c>
      <c r="J1857" s="26">
        <v>117</v>
      </c>
      <c r="K1857" t="inlineStr">
        <is>
          <t>Non</t>
        </is>
      </c>
      <c r="L1857">
        <f>SUBTOTAL(103,A1857)</f>
        <v>1</v>
      </c>
    </row>
    <row r="1858">
      <c r="A1858" t="inlineStr">
        <is>
          <t>SOCIETE C2265</t>
        </is>
      </c>
      <c r="B1858" t="inlineStr">
        <is>
          <t>C2265</t>
        </is>
      </c>
      <c r="C1858" t="inlineStr">
        <is>
          <t>CORPORATE BANKING</t>
        </is>
      </c>
      <c r="D1858" t="inlineStr">
        <is>
          <t>I</t>
        </is>
      </c>
      <c r="E1858" t="inlineStr">
        <is>
          <t>Stage 1</t>
        </is>
      </c>
      <c r="F1858" t="inlineStr">
        <is>
          <t>N/A</t>
        </is>
      </c>
      <c r="G1858" s="26">
        <v>1462268240</v>
      </c>
      <c r="H1858" s="26">
        <v>14622682</v>
      </c>
      <c r="I1858" s="26">
        <v>0</v>
      </c>
      <c r="J1858" s="26">
        <v>340</v>
      </c>
      <c r="K1858" t="inlineStr">
        <is>
          <t>Non</t>
        </is>
      </c>
      <c r="L1858">
        <f>SUBTOTAL(103,A1858)</f>
        <v>1</v>
      </c>
    </row>
    <row r="1859">
      <c r="A1859" t="inlineStr">
        <is>
          <t>SOCIETE C2390</t>
        </is>
      </c>
      <c r="B1859" t="inlineStr">
        <is>
          <t>C2390</t>
        </is>
      </c>
      <c r="C1859" t="inlineStr">
        <is>
          <t>CORPORATE BANKING</t>
        </is>
      </c>
      <c r="D1859" t="inlineStr">
        <is>
          <t>II</t>
        </is>
      </c>
      <c r="E1859" t="inlineStr">
        <is>
          <t>Stage 2</t>
        </is>
      </c>
      <c r="F1859" t="inlineStr">
        <is>
          <t>N/A</t>
        </is>
      </c>
      <c r="G1859" s="26">
        <v>23584165</v>
      </c>
      <c r="H1859" s="26">
        <v>1415050</v>
      </c>
      <c r="I1859" s="26">
        <v>329905</v>
      </c>
      <c r="J1859" s="26">
        <v>61</v>
      </c>
      <c r="K1859" t="inlineStr">
        <is>
          <t>Non</t>
        </is>
      </c>
      <c r="L1859">
        <f>SUBTOTAL(103,A1859)</f>
        <v>1</v>
      </c>
    </row>
    <row r="1860">
      <c r="A1860" t="inlineStr">
        <is>
          <t>SOCIETE C1212</t>
        </is>
      </c>
      <c r="B1860" t="inlineStr">
        <is>
          <t>C1212</t>
        </is>
      </c>
      <c r="C1860" t="inlineStr">
        <is>
          <t>COMMERCIAL BANKING</t>
        </is>
      </c>
      <c r="D1860" t="inlineStr">
        <is>
          <t>V</t>
        </is>
      </c>
      <c r="E1860" t="inlineStr">
        <is>
          <t>Stage 3</t>
        </is>
      </c>
      <c r="F1860" t="inlineStr">
        <is>
          <t>N/A</t>
        </is>
      </c>
      <c r="G1860" s="26">
        <v>1616076278</v>
      </c>
      <c r="H1860" s="26">
        <v>888841953</v>
      </c>
      <c r="I1860" s="26">
        <v>0</v>
      </c>
      <c r="J1860" s="26">
        <v>1</v>
      </c>
      <c r="K1860" t="inlineStr">
        <is>
          <t>Oui</t>
        </is>
      </c>
      <c r="L1860">
        <f>SUBTOTAL(103,A1860)</f>
        <v>1</v>
      </c>
    </row>
    <row r="1861">
      <c r="A1861" t="inlineStr">
        <is>
          <t>SOCIETE C1077</t>
        </is>
      </c>
      <c r="B1861" t="inlineStr">
        <is>
          <t>C1077</t>
        </is>
      </c>
      <c r="C1861" t="inlineStr">
        <is>
          <t>CORPORATE BANKING</t>
        </is>
      </c>
      <c r="D1861" t="inlineStr">
        <is>
          <t>I</t>
        </is>
      </c>
      <c r="E1861" t="inlineStr">
        <is>
          <t>Stage 1</t>
        </is>
      </c>
      <c r="F1861" t="inlineStr">
        <is>
          <t>N/A</t>
        </is>
      </c>
      <c r="G1861" s="26">
        <v>1763121102</v>
      </c>
      <c r="H1861" s="26">
        <v>17631211</v>
      </c>
      <c r="I1861" s="26">
        <v>0</v>
      </c>
      <c r="J1861" s="26">
        <v>139</v>
      </c>
      <c r="K1861" t="inlineStr">
        <is>
          <t>Non</t>
        </is>
      </c>
      <c r="L1861">
        <f>SUBTOTAL(103,A1861)</f>
        <v>1</v>
      </c>
    </row>
    <row r="1862">
      <c r="A1862" t="inlineStr">
        <is>
          <t>SOCIETE C1966</t>
        </is>
      </c>
      <c r="B1862" t="inlineStr">
        <is>
          <t>C1966</t>
        </is>
      </c>
      <c r="C1862" t="inlineStr">
        <is>
          <t>COMMERCIAL BANKING</t>
        </is>
      </c>
      <c r="D1862" t="inlineStr">
        <is>
          <t>III</t>
        </is>
      </c>
      <c r="E1862" t="inlineStr">
        <is>
          <t>Stage 3</t>
        </is>
      </c>
      <c r="F1862" t="inlineStr">
        <is>
          <t>N/A</t>
        </is>
      </c>
      <c r="G1862" s="26">
        <v>200637666</v>
      </c>
      <c r="H1862" s="26">
        <v>110350716</v>
      </c>
      <c r="I1862" s="26">
        <v>13394504</v>
      </c>
      <c r="J1862" s="26">
        <v>53</v>
      </c>
      <c r="K1862" t="inlineStr">
        <is>
          <t>Oui</t>
        </is>
      </c>
      <c r="L1862">
        <f>SUBTOTAL(103,A1862)</f>
        <v>1</v>
      </c>
    </row>
    <row r="1863">
      <c r="A1863" t="inlineStr">
        <is>
          <t>SOCIETE C1276</t>
        </is>
      </c>
      <c r="B1863" t="inlineStr">
        <is>
          <t>C1276</t>
        </is>
      </c>
      <c r="C1863" t="inlineStr">
        <is>
          <t>COMMERCIAL BANKING</t>
        </is>
      </c>
      <c r="D1863" t="inlineStr">
        <is>
          <t>I</t>
        </is>
      </c>
      <c r="E1863" t="inlineStr">
        <is>
          <t>Stage 1</t>
        </is>
      </c>
      <c r="F1863" t="inlineStr">
        <is>
          <t>N/A</t>
        </is>
      </c>
      <c r="G1863" s="26">
        <v>215845151</v>
      </c>
      <c r="H1863" s="26">
        <v>2158452</v>
      </c>
      <c r="I1863" s="26">
        <v>0</v>
      </c>
      <c r="J1863" s="26">
        <v>3</v>
      </c>
      <c r="K1863" t="inlineStr">
        <is>
          <t>Non</t>
        </is>
      </c>
      <c r="L1863">
        <f>SUBTOTAL(103,A1863)</f>
        <v>1</v>
      </c>
    </row>
    <row r="1864">
      <c r="A1864" t="inlineStr">
        <is>
          <t>SOCIETE C455</t>
        </is>
      </c>
      <c r="B1864" t="inlineStr">
        <is>
          <t>C455</t>
        </is>
      </c>
      <c r="C1864" t="inlineStr">
        <is>
          <t>PUBLIC SECTOR</t>
        </is>
      </c>
      <c r="D1864" t="inlineStr">
        <is>
          <t>III</t>
        </is>
      </c>
      <c r="E1864" t="inlineStr">
        <is>
          <t>Stage 3</t>
        </is>
      </c>
      <c r="F1864" t="inlineStr">
        <is>
          <t>N/A</t>
        </is>
      </c>
      <c r="G1864" s="26">
        <v>320328576</v>
      </c>
      <c r="H1864" s="26">
        <v>176180717</v>
      </c>
      <c r="I1864" s="26">
        <v>60977566</v>
      </c>
      <c r="J1864" s="26">
        <v>282</v>
      </c>
      <c r="K1864" t="inlineStr">
        <is>
          <t>Oui</t>
        </is>
      </c>
      <c r="L1864">
        <f>SUBTOTAL(103,A1864)</f>
        <v>1</v>
      </c>
    </row>
    <row r="1865">
      <c r="A1865" t="inlineStr">
        <is>
          <t>SOCIETE C165</t>
        </is>
      </c>
      <c r="B1865" t="inlineStr">
        <is>
          <t>C165</t>
        </is>
      </c>
      <c r="C1865" t="inlineStr">
        <is>
          <t>CORPORATE BANKING</t>
        </is>
      </c>
      <c r="D1865" t="inlineStr">
        <is>
          <t>III</t>
        </is>
      </c>
      <c r="E1865" t="inlineStr">
        <is>
          <t>Stage 3</t>
        </is>
      </c>
      <c r="F1865" t="inlineStr">
        <is>
          <t>N/A</t>
        </is>
      </c>
      <c r="G1865" s="26">
        <v>486834884</v>
      </c>
      <c r="H1865" s="26">
        <v>267759186</v>
      </c>
      <c r="I1865" s="26">
        <v>81056182</v>
      </c>
      <c r="J1865" s="26">
        <v>99</v>
      </c>
      <c r="K1865" t="inlineStr">
        <is>
          <t>Oui</t>
        </is>
      </c>
      <c r="L1865">
        <f>SUBTOTAL(103,A1865)</f>
        <v>1</v>
      </c>
    </row>
    <row r="1866">
      <c r="A1866" t="inlineStr">
        <is>
          <t>SOCIETE C1387</t>
        </is>
      </c>
      <c r="B1866" t="inlineStr">
        <is>
          <t>C1387</t>
        </is>
      </c>
      <c r="C1866" t="inlineStr">
        <is>
          <t>SME</t>
        </is>
      </c>
      <c r="D1866" t="inlineStr">
        <is>
          <t>V</t>
        </is>
      </c>
      <c r="E1866" t="inlineStr">
        <is>
          <t>Stage 3</t>
        </is>
      </c>
      <c r="F1866" t="inlineStr">
        <is>
          <t>N/A</t>
        </is>
      </c>
      <c r="G1866" s="26">
        <v>309317195</v>
      </c>
      <c r="H1866" s="26">
        <v>170124457</v>
      </c>
      <c r="I1866" s="26">
        <v>0</v>
      </c>
      <c r="J1866" s="26">
        <v>49</v>
      </c>
      <c r="K1866" t="inlineStr">
        <is>
          <t>Oui</t>
        </is>
      </c>
      <c r="L1866">
        <f>SUBTOTAL(103,A1866)</f>
        <v>1</v>
      </c>
    </row>
    <row r="1867">
      <c r="A1867" t="inlineStr">
        <is>
          <t>SOCIETE C2119</t>
        </is>
      </c>
      <c r="B1867" t="inlineStr">
        <is>
          <t>C2119</t>
        </is>
      </c>
      <c r="C1867" t="inlineStr">
        <is>
          <t>CORPORATE BANKING</t>
        </is>
      </c>
      <c r="D1867" t="inlineStr">
        <is>
          <t>IV</t>
        </is>
      </c>
      <c r="E1867" t="inlineStr">
        <is>
          <t>Stage 3</t>
        </is>
      </c>
      <c r="F1867" t="inlineStr">
        <is>
          <t>N/A</t>
        </is>
      </c>
      <c r="G1867" s="26">
        <v>141129599</v>
      </c>
      <c r="H1867" s="26">
        <v>77621280</v>
      </c>
      <c r="I1867" s="26">
        <v>0</v>
      </c>
      <c r="J1867" s="26">
        <v>90</v>
      </c>
      <c r="K1867" t="inlineStr">
        <is>
          <t>Oui</t>
        </is>
      </c>
      <c r="L1867">
        <f>SUBTOTAL(103,A1867)</f>
        <v>1</v>
      </c>
    </row>
    <row r="1868">
      <c r="A1868" t="inlineStr">
        <is>
          <t>SOCIETE C497</t>
        </is>
      </c>
      <c r="B1868" t="inlineStr">
        <is>
          <t>C497</t>
        </is>
      </c>
      <c r="C1868" t="inlineStr">
        <is>
          <t>CORPORATE BANKING</t>
        </is>
      </c>
      <c r="D1868" t="inlineStr">
        <is>
          <t>I</t>
        </is>
      </c>
      <c r="E1868" t="inlineStr">
        <is>
          <t>Stage 1</t>
        </is>
      </c>
      <c r="F1868" t="inlineStr">
        <is>
          <t>N/A</t>
        </is>
      </c>
      <c r="G1868" s="26">
        <v>684922052</v>
      </c>
      <c r="H1868" s="26">
        <v>6849221</v>
      </c>
      <c r="I1868" s="26">
        <v>0</v>
      </c>
      <c r="J1868" s="26">
        <v>54</v>
      </c>
      <c r="K1868" t="inlineStr">
        <is>
          <t>Non</t>
        </is>
      </c>
      <c r="L1868">
        <f>SUBTOTAL(103,A1868)</f>
        <v>1</v>
      </c>
    </row>
    <row r="1869">
      <c r="A1869" t="inlineStr">
        <is>
          <t>SOCIETE C1602</t>
        </is>
      </c>
      <c r="B1869" t="inlineStr">
        <is>
          <t>C1602</t>
        </is>
      </c>
      <c r="C1869" t="inlineStr">
        <is>
          <t>PUBLIC SECTOR</t>
        </is>
      </c>
      <c r="D1869" t="inlineStr">
        <is>
          <t>I</t>
        </is>
      </c>
      <c r="E1869" t="inlineStr">
        <is>
          <t>Stage 1</t>
        </is>
      </c>
      <c r="F1869" t="inlineStr">
        <is>
          <t>N/A</t>
        </is>
      </c>
      <c r="G1869" s="26">
        <v>1154557394</v>
      </c>
      <c r="H1869" s="26">
        <v>11545574</v>
      </c>
      <c r="I1869" s="26">
        <v>0</v>
      </c>
      <c r="J1869" s="26">
        <v>22</v>
      </c>
      <c r="K1869" t="inlineStr">
        <is>
          <t>Non</t>
        </is>
      </c>
      <c r="L1869">
        <f>SUBTOTAL(103,A1869)</f>
        <v>1</v>
      </c>
    </row>
    <row r="1870">
      <c r="A1870" t="inlineStr">
        <is>
          <t>SOCIETE C791</t>
        </is>
      </c>
      <c r="B1870" t="inlineStr">
        <is>
          <t>C791</t>
        </is>
      </c>
      <c r="C1870" t="inlineStr">
        <is>
          <t>COMMERCIAL BANKING</t>
        </is>
      </c>
      <c r="D1870" t="inlineStr">
        <is>
          <t>I</t>
        </is>
      </c>
      <c r="E1870" t="inlineStr">
        <is>
          <t>Stage 1</t>
        </is>
      </c>
      <c r="F1870" t="inlineStr">
        <is>
          <t>N/A</t>
        </is>
      </c>
      <c r="G1870" s="26">
        <v>1435059838</v>
      </c>
      <c r="H1870" s="26">
        <v>14350598</v>
      </c>
      <c r="I1870" s="26">
        <v>0</v>
      </c>
      <c r="J1870" s="26">
        <v>14</v>
      </c>
      <c r="K1870" t="inlineStr">
        <is>
          <t>Non</t>
        </is>
      </c>
      <c r="L1870">
        <f>SUBTOTAL(103,A1870)</f>
        <v>1</v>
      </c>
    </row>
    <row r="1871">
      <c r="A1871" t="inlineStr">
        <is>
          <t>SOCIETE C558</t>
        </is>
      </c>
      <c r="B1871" t="inlineStr">
        <is>
          <t>C558</t>
        </is>
      </c>
      <c r="C1871" t="inlineStr">
        <is>
          <t>CORPORATE BANKING</t>
        </is>
      </c>
      <c r="D1871" t="inlineStr">
        <is>
          <t>II</t>
        </is>
      </c>
      <c r="E1871" t="inlineStr">
        <is>
          <t>Stage 2</t>
        </is>
      </c>
      <c r="F1871" t="inlineStr">
        <is>
          <t>N/A</t>
        </is>
      </c>
      <c r="G1871" s="26">
        <v>2805264224</v>
      </c>
      <c r="H1871" s="26">
        <v>168315853</v>
      </c>
      <c r="I1871" s="26">
        <v>0</v>
      </c>
      <c r="J1871" s="26">
        <v>353</v>
      </c>
      <c r="K1871" t="inlineStr">
        <is>
          <t>Non</t>
        </is>
      </c>
      <c r="L1871">
        <f>SUBTOTAL(103,A1871)</f>
        <v>1</v>
      </c>
    </row>
    <row r="1872">
      <c r="A1872" t="inlineStr">
        <is>
          <t>SOCIETE C1819</t>
        </is>
      </c>
      <c r="B1872" t="inlineStr">
        <is>
          <t>C1819</t>
        </is>
      </c>
      <c r="C1872" t="inlineStr">
        <is>
          <t>CORPORATE BANKING</t>
        </is>
      </c>
      <c r="D1872" t="inlineStr">
        <is>
          <t>V</t>
        </is>
      </c>
      <c r="E1872" t="inlineStr">
        <is>
          <t>Stage 3</t>
        </is>
      </c>
      <c r="F1872" t="inlineStr">
        <is>
          <t>N/A</t>
        </is>
      </c>
      <c r="G1872" s="26">
        <v>642377229</v>
      </c>
      <c r="H1872" s="26">
        <v>353307476</v>
      </c>
      <c r="I1872" s="26">
        <v>0</v>
      </c>
      <c r="J1872" s="26">
        <v>35</v>
      </c>
      <c r="K1872" t="inlineStr">
        <is>
          <t>Oui</t>
        </is>
      </c>
      <c r="L1872">
        <f>SUBTOTAL(103,A1872)</f>
        <v>1</v>
      </c>
    </row>
    <row r="1873">
      <c r="A1873" t="inlineStr">
        <is>
          <t>SOCIETE C650</t>
        </is>
      </c>
      <c r="B1873" t="inlineStr">
        <is>
          <t>C650</t>
        </is>
      </c>
      <c r="C1873" t="inlineStr">
        <is>
          <t>COMMERCIAL BANKING</t>
        </is>
      </c>
      <c r="D1873" t="inlineStr">
        <is>
          <t>V</t>
        </is>
      </c>
      <c r="E1873" t="inlineStr">
        <is>
          <t>Stage 3</t>
        </is>
      </c>
      <c r="F1873" t="inlineStr">
        <is>
          <t>N/A</t>
        </is>
      </c>
      <c r="G1873" s="26">
        <v>1000211776</v>
      </c>
      <c r="H1873" s="26">
        <v>550116477</v>
      </c>
      <c r="I1873" s="26">
        <v>0</v>
      </c>
      <c r="J1873" s="26">
        <v>39</v>
      </c>
      <c r="K1873" t="inlineStr">
        <is>
          <t>Oui</t>
        </is>
      </c>
      <c r="L1873">
        <f>SUBTOTAL(103,A1873)</f>
        <v>1</v>
      </c>
    </row>
    <row r="1874">
      <c r="A1874" t="inlineStr">
        <is>
          <t>SOCIETE C1707</t>
        </is>
      </c>
      <c r="B1874" t="inlineStr">
        <is>
          <t>C1707</t>
        </is>
      </c>
      <c r="C1874" t="inlineStr">
        <is>
          <t>CORPORATE BANKING</t>
        </is>
      </c>
      <c r="D1874" t="inlineStr">
        <is>
          <t>IA</t>
        </is>
      </c>
      <c r="E1874" t="inlineStr">
        <is>
          <t>Stage 2</t>
        </is>
      </c>
      <c r="F1874" t="inlineStr">
        <is>
          <t>N/A</t>
        </is>
      </c>
      <c r="G1874" s="26">
        <v>2441580557</v>
      </c>
      <c r="H1874" s="26">
        <v>146494833</v>
      </c>
      <c r="I1874" s="26">
        <v>0</v>
      </c>
      <c r="J1874" s="26">
        <v>162</v>
      </c>
      <c r="K1874" t="inlineStr">
        <is>
          <t>Non</t>
        </is>
      </c>
      <c r="L1874">
        <f>SUBTOTAL(103,A1874)</f>
        <v>1</v>
      </c>
    </row>
    <row r="1875">
      <c r="A1875" t="inlineStr">
        <is>
          <t>SOCIETE C608</t>
        </is>
      </c>
      <c r="B1875" t="inlineStr">
        <is>
          <t>C608</t>
        </is>
      </c>
      <c r="C1875" t="inlineStr">
        <is>
          <t>CORPORATE BANKING</t>
        </is>
      </c>
      <c r="D1875" t="inlineStr">
        <is>
          <t>I</t>
        </is>
      </c>
      <c r="E1875" t="inlineStr">
        <is>
          <t>Stage 1</t>
        </is>
      </c>
      <c r="F1875" t="inlineStr">
        <is>
          <t>N/A</t>
        </is>
      </c>
      <c r="G1875" s="26">
        <v>429754419</v>
      </c>
      <c r="H1875" s="26">
        <v>4297544</v>
      </c>
      <c r="I1875" s="26">
        <v>0</v>
      </c>
      <c r="J1875" s="26">
        <v>103</v>
      </c>
      <c r="K1875" t="inlineStr">
        <is>
          <t>Non</t>
        </is>
      </c>
      <c r="L1875">
        <f>SUBTOTAL(103,A1875)</f>
        <v>1</v>
      </c>
    </row>
    <row r="1876">
      <c r="A1876" t="inlineStr">
        <is>
          <t>SOCIETE C1954</t>
        </is>
      </c>
      <c r="B1876" t="inlineStr">
        <is>
          <t>C1954</t>
        </is>
      </c>
      <c r="C1876" t="inlineStr">
        <is>
          <t>CONSUMER BANKING</t>
        </is>
      </c>
      <c r="D1876" t="inlineStr">
        <is>
          <t>I</t>
        </is>
      </c>
      <c r="E1876" t="inlineStr">
        <is>
          <t>Stage 1</t>
        </is>
      </c>
      <c r="F1876" t="inlineStr">
        <is>
          <t>N/A</t>
        </is>
      </c>
      <c r="G1876" s="26">
        <v>885876380</v>
      </c>
      <c r="H1876" s="26">
        <v>8858764</v>
      </c>
      <c r="I1876" s="26">
        <v>124141064</v>
      </c>
      <c r="J1876" s="26">
        <v>33</v>
      </c>
      <c r="K1876" t="inlineStr">
        <is>
          <t>Non</t>
        </is>
      </c>
      <c r="L1876">
        <f>SUBTOTAL(103,A1876)</f>
        <v>1</v>
      </c>
    </row>
    <row r="1877">
      <c r="A1877" t="inlineStr">
        <is>
          <t>SOCIETE C1811</t>
        </is>
      </c>
      <c r="B1877" t="inlineStr">
        <is>
          <t>C1811</t>
        </is>
      </c>
      <c r="C1877" t="inlineStr">
        <is>
          <t>CORPORATE BANKING</t>
        </is>
      </c>
      <c r="D1877" t="inlineStr">
        <is>
          <t>IA</t>
        </is>
      </c>
      <c r="E1877" t="inlineStr">
        <is>
          <t>Stage 2</t>
        </is>
      </c>
      <c r="F1877" t="inlineStr">
        <is>
          <t>N/A</t>
        </is>
      </c>
      <c r="G1877" s="26">
        <v>28109686</v>
      </c>
      <c r="H1877" s="26">
        <v>1686581</v>
      </c>
      <c r="I1877" s="26">
        <v>0</v>
      </c>
      <c r="J1877" s="26">
        <v>83</v>
      </c>
      <c r="K1877" t="inlineStr">
        <is>
          <t>Non</t>
        </is>
      </c>
      <c r="L1877">
        <f>SUBTOTAL(103,A1877)</f>
        <v>1</v>
      </c>
    </row>
    <row r="1878">
      <c r="A1878" t="inlineStr">
        <is>
          <t>SOCIETE C562</t>
        </is>
      </c>
      <c r="B1878" t="inlineStr">
        <is>
          <t>C562</t>
        </is>
      </c>
      <c r="C1878" t="inlineStr">
        <is>
          <t>CORPORATE BANKING</t>
        </is>
      </c>
      <c r="D1878" t="inlineStr">
        <is>
          <t>I</t>
        </is>
      </c>
      <c r="E1878" t="inlineStr">
        <is>
          <t>Stage 1</t>
        </is>
      </c>
      <c r="F1878" t="inlineStr">
        <is>
          <t>N/A</t>
        </is>
      </c>
      <c r="G1878" s="26">
        <v>101958774</v>
      </c>
      <c r="H1878" s="26">
        <v>1019588</v>
      </c>
      <c r="I1878" s="26">
        <v>0</v>
      </c>
      <c r="J1878" s="26">
        <v>40</v>
      </c>
      <c r="K1878" t="inlineStr">
        <is>
          <t>Non</t>
        </is>
      </c>
      <c r="L1878">
        <f>SUBTOTAL(103,A1878)</f>
        <v>1</v>
      </c>
    </row>
    <row r="1879">
      <c r="A1879" t="inlineStr">
        <is>
          <t>SOCIETE C528</t>
        </is>
      </c>
      <c r="B1879" t="inlineStr">
        <is>
          <t>C528</t>
        </is>
      </c>
      <c r="C1879" t="inlineStr">
        <is>
          <t>COMMERCIAL BANKING</t>
        </is>
      </c>
      <c r="D1879" t="inlineStr">
        <is>
          <t>I</t>
        </is>
      </c>
      <c r="E1879" t="inlineStr">
        <is>
          <t>Stage 1</t>
        </is>
      </c>
      <c r="F1879" t="inlineStr">
        <is>
          <t>N/A</t>
        </is>
      </c>
      <c r="G1879" s="26">
        <v>1151485</v>
      </c>
      <c r="H1879" s="26">
        <v>11515</v>
      </c>
      <c r="I1879" s="26">
        <v>219612</v>
      </c>
      <c r="J1879" s="26">
        <v>15</v>
      </c>
      <c r="K1879" t="inlineStr">
        <is>
          <t>Non</t>
        </is>
      </c>
      <c r="L1879">
        <f>SUBTOTAL(103,A1879)</f>
        <v>1</v>
      </c>
    </row>
    <row r="1880">
      <c r="A1880" t="inlineStr">
        <is>
          <t>SOCIETE C1132</t>
        </is>
      </c>
      <c r="B1880" t="inlineStr">
        <is>
          <t>C1132</t>
        </is>
      </c>
      <c r="C1880" t="inlineStr">
        <is>
          <t>COMMERCIAL BANKING</t>
        </is>
      </c>
      <c r="D1880" t="inlineStr">
        <is>
          <t>IA</t>
        </is>
      </c>
      <c r="E1880" t="inlineStr">
        <is>
          <t>Stage 2</t>
        </is>
      </c>
      <c r="F1880" t="inlineStr">
        <is>
          <t>N/A</t>
        </is>
      </c>
      <c r="G1880" s="26">
        <v>215194058</v>
      </c>
      <c r="H1880" s="26">
        <v>12911643</v>
      </c>
      <c r="I1880" s="26">
        <v>0</v>
      </c>
      <c r="J1880" s="26">
        <v>163</v>
      </c>
      <c r="K1880" t="inlineStr">
        <is>
          <t>Non</t>
        </is>
      </c>
      <c r="L1880">
        <f>SUBTOTAL(103,A1880)</f>
        <v>1</v>
      </c>
    </row>
    <row r="1881">
      <c r="A1881" t="inlineStr">
        <is>
          <t>SOCIETE C2371</t>
        </is>
      </c>
      <c r="B1881" t="inlineStr">
        <is>
          <t>C2371</t>
        </is>
      </c>
      <c r="C1881" t="inlineStr">
        <is>
          <t>COMMERCIAL BANKING</t>
        </is>
      </c>
      <c r="D1881" t="inlineStr">
        <is>
          <t>V</t>
        </is>
      </c>
      <c r="E1881" t="inlineStr">
        <is>
          <t>Stage 3</t>
        </is>
      </c>
      <c r="F1881" t="inlineStr">
        <is>
          <t>N/A</t>
        </is>
      </c>
      <c r="G1881" s="26">
        <v>443617640</v>
      </c>
      <c r="H1881" s="26">
        <v>243989702</v>
      </c>
      <c r="I1881" s="26">
        <v>75676317</v>
      </c>
      <c r="J1881" s="26">
        <v>44</v>
      </c>
      <c r="K1881" t="inlineStr">
        <is>
          <t>Oui</t>
        </is>
      </c>
      <c r="L1881">
        <f>SUBTOTAL(103,A1881)</f>
        <v>1</v>
      </c>
    </row>
    <row r="1882">
      <c r="A1882" t="inlineStr">
        <is>
          <t>SOCIETE C1434</t>
        </is>
      </c>
      <c r="B1882" t="inlineStr">
        <is>
          <t>C1434</t>
        </is>
      </c>
      <c r="C1882" t="inlineStr">
        <is>
          <t>CORPORATE BANKING</t>
        </is>
      </c>
      <c r="D1882" t="inlineStr">
        <is>
          <t>IA</t>
        </is>
      </c>
      <c r="E1882" t="inlineStr">
        <is>
          <t>Stage 2</t>
        </is>
      </c>
      <c r="F1882" t="inlineStr">
        <is>
          <t>N/A</t>
        </is>
      </c>
      <c r="G1882" s="26">
        <v>23865427</v>
      </c>
      <c r="H1882" s="26">
        <v>1431926</v>
      </c>
      <c r="I1882" s="26">
        <v>0</v>
      </c>
      <c r="J1882" s="26">
        <v>171</v>
      </c>
      <c r="K1882" t="inlineStr">
        <is>
          <t>Non</t>
        </is>
      </c>
      <c r="L1882">
        <f>SUBTOTAL(103,A1882)</f>
        <v>1</v>
      </c>
    </row>
    <row r="1883">
      <c r="A1883" t="inlineStr">
        <is>
          <t>SOCIETE C1092</t>
        </is>
      </c>
      <c r="B1883" t="inlineStr">
        <is>
          <t>C1092</t>
        </is>
      </c>
      <c r="C1883" t="inlineStr">
        <is>
          <t>COMMERCIAL BANKING</t>
        </is>
      </c>
      <c r="D1883" t="inlineStr">
        <is>
          <t>I</t>
        </is>
      </c>
      <c r="E1883" t="inlineStr">
        <is>
          <t>Stage 1</t>
        </is>
      </c>
      <c r="F1883" t="inlineStr">
        <is>
          <t>N/A</t>
        </is>
      </c>
      <c r="G1883" s="26">
        <v>2099917058</v>
      </c>
      <c r="H1883" s="26">
        <v>20999171</v>
      </c>
      <c r="I1883" s="26">
        <v>0</v>
      </c>
      <c r="J1883" s="26">
        <v>254</v>
      </c>
      <c r="K1883" t="inlineStr">
        <is>
          <t>Non</t>
        </is>
      </c>
      <c r="L1883">
        <f>SUBTOTAL(103,A1883)</f>
        <v>1</v>
      </c>
    </row>
    <row r="1884">
      <c r="A1884" t="inlineStr">
        <is>
          <t>SOCIETE C1602</t>
        </is>
      </c>
      <c r="B1884" t="inlineStr">
        <is>
          <t>C1602</t>
        </is>
      </c>
      <c r="C1884" t="inlineStr">
        <is>
          <t>CORPORATE BANKING</t>
        </is>
      </c>
      <c r="D1884" t="inlineStr">
        <is>
          <t>IA</t>
        </is>
      </c>
      <c r="E1884" t="inlineStr">
        <is>
          <t>Stage 2</t>
        </is>
      </c>
      <c r="F1884" t="inlineStr">
        <is>
          <t>N/A</t>
        </is>
      </c>
      <c r="G1884" s="26">
        <v>22168526</v>
      </c>
      <c r="H1884" s="26">
        <v>1330112</v>
      </c>
      <c r="I1884" s="26">
        <v>0</v>
      </c>
      <c r="J1884" s="26">
        <v>150</v>
      </c>
      <c r="K1884" t="inlineStr">
        <is>
          <t>Non</t>
        </is>
      </c>
      <c r="L1884">
        <f>SUBTOTAL(103,A1884)</f>
        <v>1</v>
      </c>
    </row>
    <row r="1885">
      <c r="A1885" t="inlineStr">
        <is>
          <t>SOCIETE C1737</t>
        </is>
      </c>
      <c r="B1885" t="inlineStr">
        <is>
          <t>C1737</t>
        </is>
      </c>
      <c r="C1885" t="inlineStr">
        <is>
          <t>PUBLIC SECTOR</t>
        </is>
      </c>
      <c r="D1885" t="inlineStr">
        <is>
          <t>I</t>
        </is>
      </c>
      <c r="E1885" t="inlineStr">
        <is>
          <t>Stage 1</t>
        </is>
      </c>
      <c r="F1885" t="inlineStr">
        <is>
          <t>N/A</t>
        </is>
      </c>
      <c r="G1885" s="26">
        <v>47339720</v>
      </c>
      <c r="H1885" s="26">
        <v>473397</v>
      </c>
      <c r="I1885" s="26">
        <v>0</v>
      </c>
      <c r="J1885" s="26">
        <v>68</v>
      </c>
      <c r="K1885" t="inlineStr">
        <is>
          <t>Non</t>
        </is>
      </c>
      <c r="L1885">
        <f>SUBTOTAL(103,A1885)</f>
        <v>1</v>
      </c>
    </row>
    <row r="1886">
      <c r="A1886" t="inlineStr">
        <is>
          <t>SOCIETE C1768</t>
        </is>
      </c>
      <c r="B1886" t="inlineStr">
        <is>
          <t>C1768</t>
        </is>
      </c>
      <c r="C1886" t="inlineStr">
        <is>
          <t>CORPORATE BANKING</t>
        </is>
      </c>
      <c r="D1886" t="inlineStr">
        <is>
          <t>I</t>
        </is>
      </c>
      <c r="E1886" t="inlineStr">
        <is>
          <t>Stage 1</t>
        </is>
      </c>
      <c r="F1886" t="inlineStr">
        <is>
          <t>N/A</t>
        </is>
      </c>
      <c r="G1886" s="26">
        <v>1025658</v>
      </c>
      <c r="H1886" s="26">
        <v>10257</v>
      </c>
      <c r="I1886" s="26">
        <v>0</v>
      </c>
      <c r="J1886" s="26">
        <v>121</v>
      </c>
      <c r="K1886" t="inlineStr">
        <is>
          <t>Non</t>
        </is>
      </c>
      <c r="L1886">
        <f>SUBTOTAL(103,A1886)</f>
        <v>1</v>
      </c>
    </row>
    <row r="1887">
      <c r="A1887" t="inlineStr">
        <is>
          <t>SOCIETE C1101</t>
        </is>
      </c>
      <c r="B1887" t="inlineStr">
        <is>
          <t>C1101</t>
        </is>
      </c>
      <c r="C1887" t="inlineStr">
        <is>
          <t>CORPORATE BANKING</t>
        </is>
      </c>
      <c r="D1887" t="inlineStr">
        <is>
          <t>V</t>
        </is>
      </c>
      <c r="E1887" t="inlineStr">
        <is>
          <t>Stage 3</t>
        </is>
      </c>
      <c r="F1887" t="inlineStr">
        <is>
          <t>N/A</t>
        </is>
      </c>
      <c r="G1887" s="26">
        <v>9849931</v>
      </c>
      <c r="H1887" s="26">
        <v>5417462</v>
      </c>
      <c r="I1887" s="26">
        <v>0</v>
      </c>
      <c r="J1887" s="26">
        <v>69</v>
      </c>
      <c r="K1887" t="inlineStr">
        <is>
          <t>Oui</t>
        </is>
      </c>
      <c r="L1887">
        <f>SUBTOTAL(103,A1887)</f>
        <v>1</v>
      </c>
    </row>
    <row r="1888">
      <c r="A1888" t="inlineStr">
        <is>
          <t>SOCIETE C554</t>
        </is>
      </c>
      <c r="B1888" t="inlineStr">
        <is>
          <t>C554</t>
        </is>
      </c>
      <c r="C1888" t="inlineStr">
        <is>
          <t>PUBLIC SECTOR</t>
        </is>
      </c>
      <c r="D1888" t="inlineStr">
        <is>
          <t>IA</t>
        </is>
      </c>
      <c r="E1888" t="inlineStr">
        <is>
          <t>Stage 2</t>
        </is>
      </c>
      <c r="F1888" t="inlineStr">
        <is>
          <t>N/A</t>
        </is>
      </c>
      <c r="G1888" s="26">
        <v>377839962</v>
      </c>
      <c r="H1888" s="26">
        <v>22670398</v>
      </c>
      <c r="I1888" s="26">
        <v>0</v>
      </c>
      <c r="J1888" s="26">
        <v>20</v>
      </c>
      <c r="K1888" t="inlineStr">
        <is>
          <t>Non</t>
        </is>
      </c>
      <c r="L1888">
        <f>SUBTOTAL(103,A1888)</f>
        <v>1</v>
      </c>
    </row>
    <row r="1889">
      <c r="A1889" t="inlineStr">
        <is>
          <t>SOCIETE C235</t>
        </is>
      </c>
      <c r="B1889" t="inlineStr">
        <is>
          <t>C235</t>
        </is>
      </c>
      <c r="C1889" t="inlineStr">
        <is>
          <t>CORPORATE BANKING</t>
        </is>
      </c>
      <c r="D1889" t="inlineStr">
        <is>
          <t>II</t>
        </is>
      </c>
      <c r="E1889" t="inlineStr">
        <is>
          <t>Stage 2</t>
        </is>
      </c>
      <c r="F1889" t="inlineStr">
        <is>
          <t>N/A</t>
        </is>
      </c>
      <c r="G1889" s="26">
        <v>1165765032</v>
      </c>
      <c r="H1889" s="26">
        <v>69945902</v>
      </c>
      <c r="I1889" s="26">
        <v>49219457</v>
      </c>
      <c r="J1889" s="26">
        <v>6</v>
      </c>
      <c r="K1889" t="inlineStr">
        <is>
          <t>Non</t>
        </is>
      </c>
      <c r="L1889">
        <f>SUBTOTAL(103,A1889)</f>
        <v>1</v>
      </c>
    </row>
    <row r="1890">
      <c r="A1890" t="inlineStr">
        <is>
          <t>SOCIETE C1122</t>
        </is>
      </c>
      <c r="B1890" t="inlineStr">
        <is>
          <t>C1122</t>
        </is>
      </c>
      <c r="C1890" t="inlineStr">
        <is>
          <t>CORPORATE BANKING</t>
        </is>
      </c>
      <c r="D1890" t="inlineStr">
        <is>
          <t>IA</t>
        </is>
      </c>
      <c r="E1890" t="inlineStr">
        <is>
          <t>Stage 2</t>
        </is>
      </c>
      <c r="F1890" t="inlineStr">
        <is>
          <t>N/A</t>
        </is>
      </c>
      <c r="G1890" s="26">
        <v>32144945</v>
      </c>
      <c r="H1890" s="26">
        <v>1928697</v>
      </c>
      <c r="I1890" s="26">
        <v>0</v>
      </c>
      <c r="J1890" s="26">
        <v>8</v>
      </c>
      <c r="K1890" t="inlineStr">
        <is>
          <t>Non</t>
        </is>
      </c>
      <c r="L1890">
        <f>SUBTOTAL(103,A1890)</f>
        <v>1</v>
      </c>
    </row>
    <row r="1891">
      <c r="A1891" t="inlineStr">
        <is>
          <t>SOCIETE C1232</t>
        </is>
      </c>
      <c r="B1891" t="inlineStr">
        <is>
          <t>C1232</t>
        </is>
      </c>
      <c r="C1891" t="inlineStr">
        <is>
          <t>CORPORATE BANKING</t>
        </is>
      </c>
      <c r="D1891" t="inlineStr">
        <is>
          <t>IV</t>
        </is>
      </c>
      <c r="E1891" t="inlineStr">
        <is>
          <t>Stage 3</t>
        </is>
      </c>
      <c r="F1891" t="inlineStr">
        <is>
          <t>N/A</t>
        </is>
      </c>
      <c r="G1891" s="26">
        <v>432725351</v>
      </c>
      <c r="H1891" s="26">
        <v>237998943</v>
      </c>
      <c r="I1891" s="26">
        <v>0</v>
      </c>
      <c r="J1891" s="26">
        <v>118</v>
      </c>
      <c r="K1891" t="inlineStr">
        <is>
          <t>Oui</t>
        </is>
      </c>
      <c r="L1891">
        <f>SUBTOTAL(103,A1891)</f>
        <v>1</v>
      </c>
    </row>
    <row r="1892">
      <c r="A1892" t="inlineStr">
        <is>
          <t>SOCIETE C1384</t>
        </is>
      </c>
      <c r="B1892" t="inlineStr">
        <is>
          <t>C1384</t>
        </is>
      </c>
      <c r="C1892" t="inlineStr">
        <is>
          <t>COMMERCIAL BANKING</t>
        </is>
      </c>
      <c r="D1892" t="inlineStr">
        <is>
          <t>IA</t>
        </is>
      </c>
      <c r="E1892" t="inlineStr">
        <is>
          <t>Stage 2</t>
        </is>
      </c>
      <c r="F1892" t="inlineStr">
        <is>
          <t>N/A</t>
        </is>
      </c>
      <c r="G1892" s="26">
        <v>1324196206</v>
      </c>
      <c r="H1892" s="26">
        <v>79451772</v>
      </c>
      <c r="I1892" s="26">
        <v>1466986</v>
      </c>
      <c r="J1892" s="26">
        <v>8</v>
      </c>
      <c r="K1892" t="inlineStr">
        <is>
          <t>Non</t>
        </is>
      </c>
      <c r="L1892">
        <f>SUBTOTAL(103,A1892)</f>
        <v>1</v>
      </c>
    </row>
    <row r="1893">
      <c r="A1893" t="inlineStr">
        <is>
          <t>SOCIETE C2042</t>
        </is>
      </c>
      <c r="B1893" t="inlineStr">
        <is>
          <t>C2042</t>
        </is>
      </c>
      <c r="C1893" t="inlineStr">
        <is>
          <t>CORPORATE BANKING</t>
        </is>
      </c>
      <c r="D1893" t="inlineStr">
        <is>
          <t>IA</t>
        </is>
      </c>
      <c r="E1893" t="inlineStr">
        <is>
          <t>Stage 2</t>
        </is>
      </c>
      <c r="F1893" t="inlineStr">
        <is>
          <t>N/A</t>
        </is>
      </c>
      <c r="G1893" s="26">
        <v>980163744</v>
      </c>
      <c r="H1893" s="26">
        <v>58809825</v>
      </c>
      <c r="I1893" s="26">
        <v>34314735</v>
      </c>
      <c r="J1893" s="26">
        <v>67</v>
      </c>
      <c r="K1893" t="inlineStr">
        <is>
          <t>Non</t>
        </is>
      </c>
      <c r="L1893">
        <f>SUBTOTAL(103,A1893)</f>
        <v>1</v>
      </c>
    </row>
    <row r="1894">
      <c r="A1894" t="inlineStr">
        <is>
          <t>SOCIETE C1812</t>
        </is>
      </c>
      <c r="B1894" t="inlineStr">
        <is>
          <t>C1812</t>
        </is>
      </c>
      <c r="C1894" t="inlineStr">
        <is>
          <t>CORPORATE BANKING</t>
        </is>
      </c>
      <c r="D1894" t="inlineStr">
        <is>
          <t>I</t>
        </is>
      </c>
      <c r="E1894" t="inlineStr">
        <is>
          <t>Stage 1</t>
        </is>
      </c>
      <c r="F1894" t="inlineStr">
        <is>
          <t>N/A</t>
        </is>
      </c>
      <c r="G1894" s="26">
        <v>163695413</v>
      </c>
      <c r="H1894" s="26">
        <v>1636954</v>
      </c>
      <c r="I1894" s="26">
        <v>0</v>
      </c>
      <c r="J1894" s="26">
        <v>33</v>
      </c>
      <c r="K1894" t="inlineStr">
        <is>
          <t>Non</t>
        </is>
      </c>
      <c r="L1894">
        <f>SUBTOTAL(103,A1894)</f>
        <v>1</v>
      </c>
    </row>
    <row r="1895">
      <c r="A1895" t="inlineStr">
        <is>
          <t>SOCIETE C1682</t>
        </is>
      </c>
      <c r="B1895" t="inlineStr">
        <is>
          <t>C1682</t>
        </is>
      </c>
      <c r="C1895" t="inlineStr">
        <is>
          <t>CORPORATE BANKING</t>
        </is>
      </c>
      <c r="D1895" t="inlineStr">
        <is>
          <t>III</t>
        </is>
      </c>
      <c r="E1895" t="inlineStr">
        <is>
          <t>Stage 3</t>
        </is>
      </c>
      <c r="F1895" t="inlineStr">
        <is>
          <t>N/A</t>
        </is>
      </c>
      <c r="G1895" s="26">
        <v>2575069652</v>
      </c>
      <c r="H1895" s="26">
        <v>1416288309</v>
      </c>
      <c r="I1895" s="26">
        <v>0</v>
      </c>
      <c r="J1895" s="26">
        <v>329</v>
      </c>
      <c r="K1895" t="inlineStr">
        <is>
          <t>Oui</t>
        </is>
      </c>
      <c r="L1895">
        <f>SUBTOTAL(103,A1895)</f>
        <v>1</v>
      </c>
    </row>
    <row r="1896">
      <c r="A1896" t="inlineStr">
        <is>
          <t>SOCIETE C2281</t>
        </is>
      </c>
      <c r="B1896" t="inlineStr">
        <is>
          <t>C2281</t>
        </is>
      </c>
      <c r="C1896" t="inlineStr">
        <is>
          <t>CORPORATE BANKING</t>
        </is>
      </c>
      <c r="D1896" t="inlineStr">
        <is>
          <t>I</t>
        </is>
      </c>
      <c r="E1896" t="inlineStr">
        <is>
          <t>Stage 1</t>
        </is>
      </c>
      <c r="F1896" t="inlineStr">
        <is>
          <t>N/A</t>
        </is>
      </c>
      <c r="G1896" s="26">
        <v>59777040</v>
      </c>
      <c r="H1896" s="26">
        <v>597770</v>
      </c>
      <c r="I1896" s="26">
        <v>0</v>
      </c>
      <c r="J1896" s="26">
        <v>2</v>
      </c>
      <c r="K1896" t="inlineStr">
        <is>
          <t>Non</t>
        </is>
      </c>
      <c r="L1896">
        <f>SUBTOTAL(103,A1896)</f>
        <v>1</v>
      </c>
    </row>
    <row r="1897">
      <c r="A1897" t="inlineStr">
        <is>
          <t>SOCIETE C127</t>
        </is>
      </c>
      <c r="B1897" t="inlineStr">
        <is>
          <t>C127</t>
        </is>
      </c>
      <c r="C1897" t="inlineStr">
        <is>
          <t>PUBLIC SECTOR</t>
        </is>
      </c>
      <c r="D1897" t="inlineStr">
        <is>
          <t>IA</t>
        </is>
      </c>
      <c r="E1897" t="inlineStr">
        <is>
          <t>Stage 2</t>
        </is>
      </c>
      <c r="F1897" t="inlineStr">
        <is>
          <t>N/A</t>
        </is>
      </c>
      <c r="G1897" s="26">
        <v>1325592098</v>
      </c>
      <c r="H1897" s="26">
        <v>79535526</v>
      </c>
      <c r="I1897" s="26">
        <v>100569259</v>
      </c>
      <c r="J1897" s="26">
        <v>47</v>
      </c>
      <c r="K1897" t="inlineStr">
        <is>
          <t>Non</t>
        </is>
      </c>
      <c r="L1897">
        <f>SUBTOTAL(103,A1897)</f>
        <v>1</v>
      </c>
    </row>
    <row r="1898">
      <c r="A1898" t="inlineStr">
        <is>
          <t>SOCIETE C1805</t>
        </is>
      </c>
      <c r="B1898" t="inlineStr">
        <is>
          <t>C1805</t>
        </is>
      </c>
      <c r="C1898" t="inlineStr">
        <is>
          <t>CORPORATE BANKING</t>
        </is>
      </c>
      <c r="D1898" t="inlineStr">
        <is>
          <t>I</t>
        </is>
      </c>
      <c r="E1898" t="inlineStr">
        <is>
          <t>Stage 1</t>
        </is>
      </c>
      <c r="F1898" t="inlineStr">
        <is>
          <t>N/A</t>
        </is>
      </c>
      <c r="G1898" s="26">
        <v>173156297</v>
      </c>
      <c r="H1898" s="26">
        <v>1731563</v>
      </c>
      <c r="I1898" s="26">
        <v>0</v>
      </c>
      <c r="J1898" s="26">
        <v>27</v>
      </c>
      <c r="K1898" t="inlineStr">
        <is>
          <t>Non</t>
        </is>
      </c>
      <c r="L1898">
        <f>SUBTOTAL(103,A1898)</f>
        <v>1</v>
      </c>
    </row>
    <row r="1899">
      <c r="A1899" t="inlineStr">
        <is>
          <t>SOCIETE C2371</t>
        </is>
      </c>
      <c r="B1899" t="inlineStr">
        <is>
          <t>C2371</t>
        </is>
      </c>
      <c r="C1899" t="inlineStr">
        <is>
          <t>CONSUMER BANKING</t>
        </is>
      </c>
      <c r="D1899" t="inlineStr">
        <is>
          <t>I</t>
        </is>
      </c>
      <c r="E1899" t="inlineStr">
        <is>
          <t>Stage 1</t>
        </is>
      </c>
      <c r="F1899" t="inlineStr">
        <is>
          <t>N/A</t>
        </is>
      </c>
      <c r="G1899" s="26">
        <v>31903473</v>
      </c>
      <c r="H1899" s="26">
        <v>319035</v>
      </c>
      <c r="I1899" s="26">
        <v>0</v>
      </c>
      <c r="J1899" s="26">
        <v>25</v>
      </c>
      <c r="K1899" t="inlineStr">
        <is>
          <t>Non</t>
        </is>
      </c>
      <c r="L1899">
        <f>SUBTOTAL(103,A1899)</f>
        <v>1</v>
      </c>
    </row>
    <row r="1900">
      <c r="A1900" t="inlineStr">
        <is>
          <t>SOCIETE C997</t>
        </is>
      </c>
      <c r="B1900" t="inlineStr">
        <is>
          <t>C997</t>
        </is>
      </c>
      <c r="C1900" t="inlineStr">
        <is>
          <t>PUBLIC SECTOR</t>
        </is>
      </c>
      <c r="D1900" t="inlineStr">
        <is>
          <t>I</t>
        </is>
      </c>
      <c r="E1900" t="inlineStr">
        <is>
          <t>Stage 1</t>
        </is>
      </c>
      <c r="F1900" t="inlineStr">
        <is>
          <t>N/A</t>
        </is>
      </c>
      <c r="G1900" s="26">
        <v>258455865</v>
      </c>
      <c r="H1900" s="26">
        <v>2584559</v>
      </c>
      <c r="I1900" s="26">
        <v>0</v>
      </c>
      <c r="J1900" s="26">
        <v>0</v>
      </c>
      <c r="K1900" t="inlineStr">
        <is>
          <t>Non</t>
        </is>
      </c>
      <c r="L1900">
        <f>SUBTOTAL(103,A1900)</f>
        <v>1</v>
      </c>
    </row>
    <row r="1901">
      <c r="A1901" t="inlineStr">
        <is>
          <t>SOCIETE C1799</t>
        </is>
      </c>
      <c r="B1901" t="inlineStr">
        <is>
          <t>C1799</t>
        </is>
      </c>
      <c r="C1901" t="inlineStr">
        <is>
          <t>CONSUMER BANKING</t>
        </is>
      </c>
      <c r="D1901" t="inlineStr">
        <is>
          <t>I</t>
        </is>
      </c>
      <c r="E1901" t="inlineStr">
        <is>
          <t>Stage 1</t>
        </is>
      </c>
      <c r="F1901" t="inlineStr">
        <is>
          <t>N/A</t>
        </is>
      </c>
      <c r="G1901" s="26">
        <v>51829074</v>
      </c>
      <c r="H1901" s="26">
        <v>518291</v>
      </c>
      <c r="I1901" s="26">
        <v>0</v>
      </c>
      <c r="J1901" s="26">
        <v>37</v>
      </c>
      <c r="K1901" t="inlineStr">
        <is>
          <t>Non</t>
        </is>
      </c>
      <c r="L1901">
        <f>SUBTOTAL(103,A1901)</f>
        <v>1</v>
      </c>
    </row>
    <row r="1902">
      <c r="A1902" t="inlineStr">
        <is>
          <t>SOCIETE C2431</t>
        </is>
      </c>
      <c r="B1902" t="inlineStr">
        <is>
          <t>C2431</t>
        </is>
      </c>
      <c r="C1902" t="inlineStr">
        <is>
          <t>CORPORATE BANKING</t>
        </is>
      </c>
      <c r="D1902" t="inlineStr">
        <is>
          <t>I</t>
        </is>
      </c>
      <c r="E1902" t="inlineStr">
        <is>
          <t>Stage 1</t>
        </is>
      </c>
      <c r="F1902" t="inlineStr">
        <is>
          <t>N/A</t>
        </is>
      </c>
      <c r="G1902" s="26">
        <v>22892358</v>
      </c>
      <c r="H1902" s="26">
        <v>228924</v>
      </c>
      <c r="I1902" s="26">
        <v>969314</v>
      </c>
      <c r="J1902" s="26">
        <v>34</v>
      </c>
      <c r="K1902" t="inlineStr">
        <is>
          <t>Non</t>
        </is>
      </c>
      <c r="L1902">
        <f>SUBTOTAL(103,A1902)</f>
        <v>1</v>
      </c>
    </row>
    <row r="1903">
      <c r="A1903" t="inlineStr">
        <is>
          <t>SOCIETE C2307</t>
        </is>
      </c>
      <c r="B1903" t="inlineStr">
        <is>
          <t>C2307</t>
        </is>
      </c>
      <c r="C1903" t="inlineStr">
        <is>
          <t>CORPORATE BANKING</t>
        </is>
      </c>
      <c r="D1903" t="inlineStr">
        <is>
          <t>IA</t>
        </is>
      </c>
      <c r="E1903" t="inlineStr">
        <is>
          <t>Stage 2</t>
        </is>
      </c>
      <c r="F1903" t="inlineStr">
        <is>
          <t>N/A</t>
        </is>
      </c>
      <c r="G1903" s="26">
        <v>2094640335</v>
      </c>
      <c r="H1903" s="26">
        <v>125678420</v>
      </c>
      <c r="I1903" s="26">
        <v>0</v>
      </c>
      <c r="J1903" s="26">
        <v>124</v>
      </c>
      <c r="K1903" t="inlineStr">
        <is>
          <t>Non</t>
        </is>
      </c>
      <c r="L1903">
        <f>SUBTOTAL(103,A1903)</f>
        <v>1</v>
      </c>
    </row>
    <row r="1904">
      <c r="A1904" t="inlineStr">
        <is>
          <t>SOCIETE C1821</t>
        </is>
      </c>
      <c r="B1904" t="inlineStr">
        <is>
          <t>C1821</t>
        </is>
      </c>
      <c r="C1904" t="inlineStr">
        <is>
          <t>CORPORATE BANKING</t>
        </is>
      </c>
      <c r="D1904" t="inlineStr">
        <is>
          <t>III</t>
        </is>
      </c>
      <c r="E1904" t="inlineStr">
        <is>
          <t>Stage 3</t>
        </is>
      </c>
      <c r="F1904" t="inlineStr">
        <is>
          <t>N/A</t>
        </is>
      </c>
      <c r="G1904" s="26">
        <v>437483109</v>
      </c>
      <c r="H1904" s="26">
        <v>240615710</v>
      </c>
      <c r="I1904" s="26">
        <v>0</v>
      </c>
      <c r="J1904" s="26">
        <v>162</v>
      </c>
      <c r="K1904" t="inlineStr">
        <is>
          <t>Oui</t>
        </is>
      </c>
      <c r="L1904">
        <f>SUBTOTAL(103,A1904)</f>
        <v>1</v>
      </c>
    </row>
    <row r="1905">
      <c r="A1905" t="inlineStr">
        <is>
          <t>SOCIETE C1035</t>
        </is>
      </c>
      <c r="B1905" t="inlineStr">
        <is>
          <t>C1035</t>
        </is>
      </c>
      <c r="C1905" t="inlineStr">
        <is>
          <t>CONSUMER BANKING</t>
        </is>
      </c>
      <c r="D1905" t="inlineStr">
        <is>
          <t>I</t>
        </is>
      </c>
      <c r="E1905" t="inlineStr">
        <is>
          <t>Stage 1</t>
        </is>
      </c>
      <c r="F1905" t="inlineStr">
        <is>
          <t>N/A</t>
        </is>
      </c>
      <c r="G1905" s="26">
        <v>84547495</v>
      </c>
      <c r="H1905" s="26">
        <v>845475</v>
      </c>
      <c r="I1905" s="26">
        <v>0</v>
      </c>
      <c r="J1905" s="26">
        <v>161</v>
      </c>
      <c r="K1905" t="inlineStr">
        <is>
          <t>Non</t>
        </is>
      </c>
      <c r="L1905">
        <f>SUBTOTAL(103,A1905)</f>
        <v>1</v>
      </c>
    </row>
    <row r="1906">
      <c r="A1906" t="inlineStr">
        <is>
          <t>SOCIETE C586</t>
        </is>
      </c>
      <c r="B1906" t="inlineStr">
        <is>
          <t>C586</t>
        </is>
      </c>
      <c r="C1906" t="inlineStr">
        <is>
          <t>CORPORATE BANKING</t>
        </is>
      </c>
      <c r="D1906" t="inlineStr">
        <is>
          <t>I</t>
        </is>
      </c>
      <c r="E1906" t="inlineStr">
        <is>
          <t>Stage 1</t>
        </is>
      </c>
      <c r="F1906" t="inlineStr">
        <is>
          <t>N/A</t>
        </is>
      </c>
      <c r="G1906" s="26">
        <v>15693312</v>
      </c>
      <c r="H1906" s="26">
        <v>156933</v>
      </c>
      <c r="I1906" s="26">
        <v>0</v>
      </c>
      <c r="J1906" s="26">
        <v>22</v>
      </c>
      <c r="K1906" t="inlineStr">
        <is>
          <t>Non</t>
        </is>
      </c>
      <c r="L1906">
        <f>SUBTOTAL(103,A1906)</f>
        <v>1</v>
      </c>
    </row>
    <row r="1907">
      <c r="A1907" t="inlineStr">
        <is>
          <t>SOCIETE C2002</t>
        </is>
      </c>
      <c r="B1907" t="inlineStr">
        <is>
          <t>C2002</t>
        </is>
      </c>
      <c r="C1907" t="inlineStr">
        <is>
          <t>CORPORATE BANKING</t>
        </is>
      </c>
      <c r="D1907" t="inlineStr">
        <is>
          <t>V</t>
        </is>
      </c>
      <c r="E1907" t="inlineStr">
        <is>
          <t>Stage 3</t>
        </is>
      </c>
      <c r="F1907" t="inlineStr">
        <is>
          <t>N/A</t>
        </is>
      </c>
      <c r="G1907" s="26">
        <v>13531978</v>
      </c>
      <c r="H1907" s="26">
        <v>7442588</v>
      </c>
      <c r="I1907" s="26">
        <v>2229973</v>
      </c>
      <c r="J1907" s="26">
        <v>20</v>
      </c>
      <c r="K1907" t="inlineStr">
        <is>
          <t>Oui</t>
        </is>
      </c>
      <c r="L1907">
        <f>SUBTOTAL(103,A1907)</f>
        <v>1</v>
      </c>
    </row>
    <row r="1908">
      <c r="A1908" t="inlineStr">
        <is>
          <t>SOCIETE C44</t>
        </is>
      </c>
      <c r="B1908" t="inlineStr">
        <is>
          <t>C44</t>
        </is>
      </c>
      <c r="C1908" t="inlineStr">
        <is>
          <t>CORPORATE BANKING</t>
        </is>
      </c>
      <c r="D1908" t="inlineStr">
        <is>
          <t>IA</t>
        </is>
      </c>
      <c r="E1908" t="inlineStr">
        <is>
          <t>Stage 2</t>
        </is>
      </c>
      <c r="F1908" t="inlineStr">
        <is>
          <t>N/A</t>
        </is>
      </c>
      <c r="G1908" s="26">
        <v>2030052433</v>
      </c>
      <c r="H1908" s="26">
        <v>121803146</v>
      </c>
      <c r="I1908" s="26">
        <v>0</v>
      </c>
      <c r="J1908" s="26">
        <v>12</v>
      </c>
      <c r="K1908" t="inlineStr">
        <is>
          <t>Non</t>
        </is>
      </c>
      <c r="L1908">
        <f>SUBTOTAL(103,A1908)</f>
        <v>1</v>
      </c>
    </row>
    <row r="1909">
      <c r="A1909" t="inlineStr">
        <is>
          <t>SOCIETE C98</t>
        </is>
      </c>
      <c r="B1909" t="inlineStr">
        <is>
          <t>C98</t>
        </is>
      </c>
      <c r="C1909" t="inlineStr">
        <is>
          <t>INSTITUTIONAL</t>
        </is>
      </c>
      <c r="D1909" t="inlineStr">
        <is>
          <t>IA</t>
        </is>
      </c>
      <c r="E1909" t="inlineStr">
        <is>
          <t>Stage 2</t>
        </is>
      </c>
      <c r="F1909" t="inlineStr">
        <is>
          <t>N/A</t>
        </is>
      </c>
      <c r="G1909" s="26">
        <v>7430595</v>
      </c>
      <c r="H1909" s="26">
        <v>445836</v>
      </c>
      <c r="I1909" s="26">
        <v>559737</v>
      </c>
      <c r="J1909" s="26">
        <v>82</v>
      </c>
      <c r="K1909" t="inlineStr">
        <is>
          <t>Non</t>
        </is>
      </c>
      <c r="L1909">
        <f>SUBTOTAL(103,A1909)</f>
        <v>1</v>
      </c>
    </row>
    <row r="1910">
      <c r="A1910" t="inlineStr">
        <is>
          <t>SOCIETE C1076</t>
        </is>
      </c>
      <c r="B1910" t="inlineStr">
        <is>
          <t>C1076</t>
        </is>
      </c>
      <c r="C1910" t="inlineStr">
        <is>
          <t>CONSUMER BANKING</t>
        </is>
      </c>
      <c r="D1910" t="inlineStr">
        <is>
          <t>IA</t>
        </is>
      </c>
      <c r="E1910" t="inlineStr">
        <is>
          <t>Stage 2</t>
        </is>
      </c>
      <c r="F1910" t="inlineStr">
        <is>
          <t>N/A</t>
        </is>
      </c>
      <c r="G1910" s="26">
        <v>1037898</v>
      </c>
      <c r="H1910" s="26">
        <v>62274</v>
      </c>
      <c r="I1910" s="26">
        <v>45673</v>
      </c>
      <c r="J1910" s="26">
        <v>149</v>
      </c>
      <c r="K1910" t="inlineStr">
        <is>
          <t>Non</t>
        </is>
      </c>
      <c r="L1910">
        <f>SUBTOTAL(103,A1910)</f>
        <v>1</v>
      </c>
    </row>
    <row r="1911">
      <c r="A1911" t="inlineStr">
        <is>
          <t>SOCIETE C896</t>
        </is>
      </c>
      <c r="B1911" t="inlineStr">
        <is>
          <t>C896</t>
        </is>
      </c>
      <c r="C1911" t="inlineStr">
        <is>
          <t>CONSUMER BANKING</t>
        </is>
      </c>
      <c r="D1911" t="inlineStr">
        <is>
          <t>I</t>
        </is>
      </c>
      <c r="E1911" t="inlineStr">
        <is>
          <t>Stage 1</t>
        </is>
      </c>
      <c r="F1911" t="inlineStr">
        <is>
          <t>N/A</t>
        </is>
      </c>
      <c r="G1911" s="26">
        <v>1134770503</v>
      </c>
      <c r="H1911" s="26">
        <v>11347705</v>
      </c>
      <c r="I1911" s="26">
        <v>0</v>
      </c>
      <c r="J1911" s="26">
        <v>34</v>
      </c>
      <c r="K1911" t="inlineStr">
        <is>
          <t>Non</t>
        </is>
      </c>
      <c r="L1911">
        <f>SUBTOTAL(103,A1911)</f>
        <v>1</v>
      </c>
    </row>
    <row r="1912">
      <c r="A1912" t="inlineStr">
        <is>
          <t>SOCIETE C1737</t>
        </is>
      </c>
      <c r="B1912" t="inlineStr">
        <is>
          <t>C1737</t>
        </is>
      </c>
      <c r="C1912" t="inlineStr">
        <is>
          <t>CORPORATE BANKING</t>
        </is>
      </c>
      <c r="D1912" t="inlineStr">
        <is>
          <t>I</t>
        </is>
      </c>
      <c r="E1912" t="inlineStr">
        <is>
          <t>Stage 1</t>
        </is>
      </c>
      <c r="F1912" t="inlineStr">
        <is>
          <t>N/A</t>
        </is>
      </c>
      <c r="G1912" s="26">
        <v>1624315246</v>
      </c>
      <c r="H1912" s="26">
        <v>16243152</v>
      </c>
      <c r="I1912" s="26">
        <v>81848381</v>
      </c>
      <c r="J1912" s="26">
        <v>50</v>
      </c>
      <c r="K1912" t="inlineStr">
        <is>
          <t>Non</t>
        </is>
      </c>
      <c r="L1912">
        <f>SUBTOTAL(103,A1912)</f>
        <v>1</v>
      </c>
    </row>
    <row r="1913">
      <c r="A1913" t="inlineStr">
        <is>
          <t>SOCIETE C556</t>
        </is>
      </c>
      <c r="B1913" t="inlineStr">
        <is>
          <t>C556</t>
        </is>
      </c>
      <c r="C1913" t="inlineStr">
        <is>
          <t>PUBLIC SECTOR</t>
        </is>
      </c>
      <c r="D1913" t="inlineStr">
        <is>
          <t>III</t>
        </is>
      </c>
      <c r="E1913" t="inlineStr">
        <is>
          <t>Stage 3</t>
        </is>
      </c>
      <c r="F1913" t="inlineStr">
        <is>
          <t>N/A</t>
        </is>
      </c>
      <c r="G1913" s="26">
        <v>401416722</v>
      </c>
      <c r="H1913" s="26">
        <v>220779197</v>
      </c>
      <c r="I1913" s="26">
        <v>49363924</v>
      </c>
      <c r="J1913" s="26">
        <v>56</v>
      </c>
      <c r="K1913" t="inlineStr">
        <is>
          <t>Oui</t>
        </is>
      </c>
      <c r="L1913">
        <f>SUBTOTAL(103,A1913)</f>
        <v>1</v>
      </c>
    </row>
    <row r="1914">
      <c r="A1914" t="inlineStr">
        <is>
          <t>SOCIETE C2142</t>
        </is>
      </c>
      <c r="B1914" t="inlineStr">
        <is>
          <t>C2142</t>
        </is>
      </c>
      <c r="C1914" t="inlineStr">
        <is>
          <t>CONSUMER BANKING</t>
        </is>
      </c>
      <c r="D1914" t="inlineStr">
        <is>
          <t>I</t>
        </is>
      </c>
      <c r="E1914" t="inlineStr">
        <is>
          <t>Stage 1</t>
        </is>
      </c>
      <c r="F1914" t="inlineStr">
        <is>
          <t>N/A</t>
        </is>
      </c>
      <c r="G1914" s="26">
        <v>2242472461</v>
      </c>
      <c r="H1914" s="26">
        <v>22424725</v>
      </c>
      <c r="I1914" s="26">
        <v>0</v>
      </c>
      <c r="J1914" s="26">
        <v>29</v>
      </c>
      <c r="K1914" t="inlineStr">
        <is>
          <t>Non</t>
        </is>
      </c>
      <c r="L1914">
        <f>SUBTOTAL(103,A1914)</f>
        <v>1</v>
      </c>
    </row>
    <row r="1915">
      <c r="A1915" t="inlineStr">
        <is>
          <t>SOCIETE C296</t>
        </is>
      </c>
      <c r="B1915" t="inlineStr">
        <is>
          <t>C296</t>
        </is>
      </c>
      <c r="C1915" t="inlineStr">
        <is>
          <t>CONSUMER BANKING</t>
        </is>
      </c>
      <c r="D1915" t="inlineStr">
        <is>
          <t>I</t>
        </is>
      </c>
      <c r="E1915" t="inlineStr">
        <is>
          <t>Stage 1</t>
        </is>
      </c>
      <c r="F1915" t="inlineStr">
        <is>
          <t>N/A</t>
        </is>
      </c>
      <c r="G1915" s="26">
        <v>57632310</v>
      </c>
      <c r="H1915" s="26">
        <v>576323</v>
      </c>
      <c r="I1915" s="26">
        <v>0</v>
      </c>
      <c r="J1915" s="26">
        <v>70</v>
      </c>
      <c r="K1915" t="inlineStr">
        <is>
          <t>Non</t>
        </is>
      </c>
      <c r="L1915">
        <f>SUBTOTAL(103,A1915)</f>
        <v>1</v>
      </c>
    </row>
    <row r="1916">
      <c r="A1916" t="inlineStr">
        <is>
          <t>SOCIETE C1115</t>
        </is>
      </c>
      <c r="B1916" t="inlineStr">
        <is>
          <t>C1115</t>
        </is>
      </c>
      <c r="C1916" t="inlineStr">
        <is>
          <t>CORPORATE BANKING</t>
        </is>
      </c>
      <c r="D1916" t="inlineStr">
        <is>
          <t>V</t>
        </is>
      </c>
      <c r="E1916" t="inlineStr">
        <is>
          <t>Stage 3</t>
        </is>
      </c>
      <c r="F1916" t="inlineStr">
        <is>
          <t>N/A</t>
        </is>
      </c>
      <c r="G1916" s="26">
        <v>873046166</v>
      </c>
      <c r="H1916" s="26">
        <v>480175391</v>
      </c>
      <c r="I1916" s="26">
        <v>0</v>
      </c>
      <c r="J1916" s="26">
        <v>73</v>
      </c>
      <c r="K1916" t="inlineStr">
        <is>
          <t>Oui</t>
        </is>
      </c>
      <c r="L1916">
        <f>SUBTOTAL(103,A1916)</f>
        <v>1</v>
      </c>
    </row>
    <row r="1917">
      <c r="A1917" t="inlineStr">
        <is>
          <t>SOCIETE C2023</t>
        </is>
      </c>
      <c r="B1917" t="inlineStr">
        <is>
          <t>C2023</t>
        </is>
      </c>
      <c r="C1917" t="inlineStr">
        <is>
          <t>CORPORATE BANKING</t>
        </is>
      </c>
      <c r="D1917" t="inlineStr">
        <is>
          <t>IV</t>
        </is>
      </c>
      <c r="E1917" t="inlineStr">
        <is>
          <t>Stage 3</t>
        </is>
      </c>
      <c r="F1917" t="inlineStr">
        <is>
          <t>N/A</t>
        </is>
      </c>
      <c r="G1917" s="26">
        <v>31722826</v>
      </c>
      <c r="H1917" s="26">
        <v>17447554</v>
      </c>
      <c r="I1917" s="26">
        <v>4260059</v>
      </c>
      <c r="J1917" s="26">
        <v>9</v>
      </c>
      <c r="K1917" t="inlineStr">
        <is>
          <t>Oui</t>
        </is>
      </c>
      <c r="L1917">
        <f>SUBTOTAL(103,A1917)</f>
        <v>1</v>
      </c>
    </row>
    <row r="1918">
      <c r="A1918" t="inlineStr">
        <is>
          <t>SOCIETE C1223</t>
        </is>
      </c>
      <c r="B1918" t="inlineStr">
        <is>
          <t>C1223</t>
        </is>
      </c>
      <c r="C1918" t="inlineStr">
        <is>
          <t>CORPORATE BANKING</t>
        </is>
      </c>
      <c r="D1918" t="inlineStr">
        <is>
          <t>II</t>
        </is>
      </c>
      <c r="E1918" t="inlineStr">
        <is>
          <t>Stage 2</t>
        </is>
      </c>
      <c r="F1918" t="inlineStr">
        <is>
          <t>N/A</t>
        </is>
      </c>
      <c r="G1918" s="26">
        <v>1333506461</v>
      </c>
      <c r="H1918" s="26">
        <v>80010388</v>
      </c>
      <c r="I1918" s="26">
        <v>0</v>
      </c>
      <c r="J1918" s="26">
        <v>11</v>
      </c>
      <c r="K1918" t="inlineStr">
        <is>
          <t>Non</t>
        </is>
      </c>
      <c r="L1918">
        <f>SUBTOTAL(103,A1918)</f>
        <v>1</v>
      </c>
    </row>
    <row r="1919">
      <c r="A1919" t="inlineStr">
        <is>
          <t>SOCIETE C958</t>
        </is>
      </c>
      <c r="B1919" t="inlineStr">
        <is>
          <t>C958</t>
        </is>
      </c>
      <c r="C1919" t="inlineStr">
        <is>
          <t>CONSUMER BANKING</t>
        </is>
      </c>
      <c r="D1919" t="inlineStr">
        <is>
          <t>IA</t>
        </is>
      </c>
      <c r="E1919" t="inlineStr">
        <is>
          <t>Stage 2</t>
        </is>
      </c>
      <c r="F1919" t="inlineStr">
        <is>
          <t>N/A</t>
        </is>
      </c>
      <c r="G1919" s="26">
        <v>1656055979</v>
      </c>
      <c r="H1919" s="26">
        <v>99363359</v>
      </c>
      <c r="I1919" s="26">
        <v>0</v>
      </c>
      <c r="J1919" s="26">
        <v>64</v>
      </c>
      <c r="K1919" t="inlineStr">
        <is>
          <t>Non</t>
        </is>
      </c>
      <c r="L1919">
        <f>SUBTOTAL(103,A1919)</f>
        <v>1</v>
      </c>
    </row>
    <row r="1920">
      <c r="A1920" t="inlineStr">
        <is>
          <t>SOCIETE C1523</t>
        </is>
      </c>
      <c r="B1920" t="inlineStr">
        <is>
          <t>C1523</t>
        </is>
      </c>
      <c r="C1920" t="inlineStr">
        <is>
          <t>CORPORATE BANKING</t>
        </is>
      </c>
      <c r="D1920" t="inlineStr">
        <is>
          <t>III</t>
        </is>
      </c>
      <c r="E1920" t="inlineStr">
        <is>
          <t>Stage 3</t>
        </is>
      </c>
      <c r="F1920" t="inlineStr">
        <is>
          <t>N/A</t>
        </is>
      </c>
      <c r="G1920" s="26">
        <v>2214263476</v>
      </c>
      <c r="H1920" s="26">
        <v>1217844912</v>
      </c>
      <c r="I1920" s="26">
        <v>0</v>
      </c>
      <c r="J1920" s="26">
        <v>55</v>
      </c>
      <c r="K1920" t="inlineStr">
        <is>
          <t>Oui</t>
        </is>
      </c>
      <c r="L1920">
        <f>SUBTOTAL(103,A1920)</f>
        <v>1</v>
      </c>
    </row>
    <row r="1921">
      <c r="A1921" t="inlineStr">
        <is>
          <t>SOCIETE C450</t>
        </is>
      </c>
      <c r="B1921" t="inlineStr">
        <is>
          <t>C450</t>
        </is>
      </c>
      <c r="C1921" t="inlineStr">
        <is>
          <t>SME</t>
        </is>
      </c>
      <c r="D1921" t="inlineStr">
        <is>
          <t>I</t>
        </is>
      </c>
      <c r="E1921" t="inlineStr">
        <is>
          <t>Stage 1</t>
        </is>
      </c>
      <c r="F1921" t="inlineStr">
        <is>
          <t>N/A</t>
        </is>
      </c>
      <c r="G1921" s="26">
        <v>6469301</v>
      </c>
      <c r="H1921" s="26">
        <v>64693</v>
      </c>
      <c r="I1921" s="26">
        <v>58007</v>
      </c>
      <c r="J1921" s="26">
        <v>9</v>
      </c>
      <c r="K1921" t="inlineStr">
        <is>
          <t>Non</t>
        </is>
      </c>
      <c r="L1921">
        <f>SUBTOTAL(103,A1921)</f>
        <v>1</v>
      </c>
    </row>
    <row r="1922">
      <c r="A1922" t="inlineStr">
        <is>
          <t>SOCIETE C1646</t>
        </is>
      </c>
      <c r="B1922" t="inlineStr">
        <is>
          <t>C1646</t>
        </is>
      </c>
      <c r="C1922" t="inlineStr">
        <is>
          <t>COMMERCIAL BANKING</t>
        </is>
      </c>
      <c r="D1922" t="inlineStr">
        <is>
          <t>II</t>
        </is>
      </c>
      <c r="E1922" t="inlineStr">
        <is>
          <t>Stage 2</t>
        </is>
      </c>
      <c r="F1922" t="inlineStr">
        <is>
          <t>N/A</t>
        </is>
      </c>
      <c r="G1922" s="26">
        <v>456556824</v>
      </c>
      <c r="H1922" s="26">
        <v>27393409</v>
      </c>
      <c r="I1922" s="26">
        <v>0</v>
      </c>
      <c r="J1922" s="26">
        <v>39</v>
      </c>
      <c r="K1922" t="inlineStr">
        <is>
          <t>Non</t>
        </is>
      </c>
      <c r="L1922">
        <f>SUBTOTAL(103,A1922)</f>
        <v>1</v>
      </c>
    </row>
    <row r="1923">
      <c r="A1923" t="inlineStr">
        <is>
          <t>SOCIETE C965</t>
        </is>
      </c>
      <c r="B1923" t="inlineStr">
        <is>
          <t>C965</t>
        </is>
      </c>
      <c r="C1923" t="inlineStr">
        <is>
          <t>COMMERCIAL BANKING</t>
        </is>
      </c>
      <c r="D1923" t="inlineStr">
        <is>
          <t>II</t>
        </is>
      </c>
      <c r="E1923" t="inlineStr">
        <is>
          <t>Stage 2</t>
        </is>
      </c>
      <c r="F1923" t="inlineStr">
        <is>
          <t>N/A</t>
        </is>
      </c>
      <c r="G1923" s="26">
        <v>1118500</v>
      </c>
      <c r="H1923" s="26">
        <v>67110</v>
      </c>
      <c r="I1923" s="26">
        <v>0</v>
      </c>
      <c r="J1923" s="26">
        <v>16</v>
      </c>
      <c r="K1923" t="inlineStr">
        <is>
          <t>Non</t>
        </is>
      </c>
      <c r="L1923">
        <f>SUBTOTAL(103,A1923)</f>
        <v>1</v>
      </c>
    </row>
    <row r="1924">
      <c r="A1924" t="inlineStr">
        <is>
          <t>SOCIETE C1866</t>
        </is>
      </c>
      <c r="B1924" t="inlineStr">
        <is>
          <t>C1866</t>
        </is>
      </c>
      <c r="C1924" t="inlineStr">
        <is>
          <t>CORPORATE BANKING</t>
        </is>
      </c>
      <c r="D1924" t="inlineStr">
        <is>
          <t>III</t>
        </is>
      </c>
      <c r="E1924" t="inlineStr">
        <is>
          <t>Stage 3</t>
        </is>
      </c>
      <c r="F1924" t="inlineStr">
        <is>
          <t>N/A</t>
        </is>
      </c>
      <c r="G1924" s="26">
        <v>2333125950</v>
      </c>
      <c r="H1924" s="26">
        <v>1283219272</v>
      </c>
      <c r="I1924" s="26">
        <v>0</v>
      </c>
      <c r="J1924" s="26">
        <v>7</v>
      </c>
      <c r="K1924" t="inlineStr">
        <is>
          <t>Oui</t>
        </is>
      </c>
      <c r="L1924">
        <f>SUBTOTAL(103,A1924)</f>
        <v>1</v>
      </c>
    </row>
    <row r="1925">
      <c r="A1925" t="inlineStr">
        <is>
          <t>SOCIETE C1278</t>
        </is>
      </c>
      <c r="B1925" t="inlineStr">
        <is>
          <t>C1278</t>
        </is>
      </c>
      <c r="C1925" t="inlineStr">
        <is>
          <t>COMMERCIAL BANKING</t>
        </is>
      </c>
      <c r="D1925" t="inlineStr">
        <is>
          <t>I</t>
        </is>
      </c>
      <c r="E1925" t="inlineStr">
        <is>
          <t>Stage 1</t>
        </is>
      </c>
      <c r="F1925" t="inlineStr">
        <is>
          <t>N/A</t>
        </is>
      </c>
      <c r="G1925" s="26">
        <v>761839854</v>
      </c>
      <c r="H1925" s="26">
        <v>7618399</v>
      </c>
      <c r="I1925" s="26">
        <v>0</v>
      </c>
      <c r="J1925" s="26">
        <v>212</v>
      </c>
      <c r="K1925" t="inlineStr">
        <is>
          <t>Non</t>
        </is>
      </c>
      <c r="L1925">
        <f>SUBTOTAL(103,A1925)</f>
        <v>1</v>
      </c>
    </row>
    <row r="1926">
      <c r="A1926" t="inlineStr">
        <is>
          <t>SOCIETE C2324</t>
        </is>
      </c>
      <c r="B1926" t="inlineStr">
        <is>
          <t>C2324</t>
        </is>
      </c>
      <c r="C1926" t="inlineStr">
        <is>
          <t>COMMERCIAL BANKING</t>
        </is>
      </c>
      <c r="D1926" t="inlineStr">
        <is>
          <t>II</t>
        </is>
      </c>
      <c r="E1926" t="inlineStr">
        <is>
          <t>Stage 2</t>
        </is>
      </c>
      <c r="F1926" t="inlineStr">
        <is>
          <t>N/A</t>
        </is>
      </c>
      <c r="G1926" s="26">
        <v>1986156</v>
      </c>
      <c r="H1926" s="26">
        <v>119169</v>
      </c>
      <c r="I1926" s="26">
        <v>0</v>
      </c>
      <c r="J1926" s="26">
        <v>49</v>
      </c>
      <c r="K1926" t="inlineStr">
        <is>
          <t>Non</t>
        </is>
      </c>
      <c r="L1926">
        <f>SUBTOTAL(103,A1926)</f>
        <v>1</v>
      </c>
    </row>
    <row r="1927">
      <c r="A1927" t="inlineStr">
        <is>
          <t>SOCIETE C691</t>
        </is>
      </c>
      <c r="B1927" t="inlineStr">
        <is>
          <t>C691</t>
        </is>
      </c>
      <c r="C1927" t="inlineStr">
        <is>
          <t>CORPORATE BANKING</t>
        </is>
      </c>
      <c r="D1927" t="inlineStr">
        <is>
          <t>I</t>
        </is>
      </c>
      <c r="E1927" t="inlineStr">
        <is>
          <t>Stage 1</t>
        </is>
      </c>
      <c r="F1927" t="inlineStr">
        <is>
          <t>N/A</t>
        </is>
      </c>
      <c r="G1927" s="26">
        <v>547974587</v>
      </c>
      <c r="H1927" s="26">
        <v>5479746</v>
      </c>
      <c r="I1927" s="26">
        <v>0</v>
      </c>
      <c r="J1927" s="26">
        <v>47</v>
      </c>
      <c r="K1927" t="inlineStr">
        <is>
          <t>Non</t>
        </is>
      </c>
      <c r="L1927">
        <f>SUBTOTAL(103,A1927)</f>
        <v>1</v>
      </c>
    </row>
    <row r="1928">
      <c r="A1928" t="inlineStr">
        <is>
          <t>SOCIETE C113</t>
        </is>
      </c>
      <c r="B1928" t="inlineStr">
        <is>
          <t>C113</t>
        </is>
      </c>
      <c r="C1928" t="inlineStr">
        <is>
          <t>CORPORATE BANKING</t>
        </is>
      </c>
      <c r="D1928" t="inlineStr">
        <is>
          <t>I</t>
        </is>
      </c>
      <c r="E1928" t="inlineStr">
        <is>
          <t>Stage 1</t>
        </is>
      </c>
      <c r="F1928" t="inlineStr">
        <is>
          <t>N/A</t>
        </is>
      </c>
      <c r="G1928" s="26">
        <v>2499602750</v>
      </c>
      <c r="H1928" s="26">
        <v>24996028</v>
      </c>
      <c r="I1928" s="26">
        <v>128101428</v>
      </c>
      <c r="J1928" s="26">
        <v>238</v>
      </c>
      <c r="K1928" t="inlineStr">
        <is>
          <t>Non</t>
        </is>
      </c>
      <c r="L1928">
        <f>SUBTOTAL(103,A1928)</f>
        <v>1</v>
      </c>
    </row>
    <row r="1929">
      <c r="A1929" t="inlineStr">
        <is>
          <t>SOCIETE C591</t>
        </is>
      </c>
      <c r="B1929" t="inlineStr">
        <is>
          <t>C591</t>
        </is>
      </c>
      <c r="C1929" t="inlineStr">
        <is>
          <t>CORPORATE BANKING</t>
        </is>
      </c>
      <c r="D1929" t="inlineStr">
        <is>
          <t>I</t>
        </is>
      </c>
      <c r="E1929" t="inlineStr">
        <is>
          <t>Stage 1</t>
        </is>
      </c>
      <c r="F1929" t="inlineStr">
        <is>
          <t>N/A</t>
        </is>
      </c>
      <c r="G1929" s="26">
        <v>147287083</v>
      </c>
      <c r="H1929" s="26">
        <v>1472871</v>
      </c>
      <c r="I1929" s="26">
        <v>0</v>
      </c>
      <c r="J1929" s="26">
        <v>24</v>
      </c>
      <c r="K1929" t="inlineStr">
        <is>
          <t>Non</t>
        </is>
      </c>
      <c r="L1929">
        <f>SUBTOTAL(103,A1929)</f>
        <v>1</v>
      </c>
    </row>
    <row r="1930">
      <c r="A1930" t="inlineStr">
        <is>
          <t>SOCIETE C2021</t>
        </is>
      </c>
      <c r="B1930" t="inlineStr">
        <is>
          <t>C2021</t>
        </is>
      </c>
      <c r="C1930" t="inlineStr">
        <is>
          <t>COMMERCIAL BANKING</t>
        </is>
      </c>
      <c r="D1930" t="inlineStr">
        <is>
          <t>I</t>
        </is>
      </c>
      <c r="E1930" t="inlineStr">
        <is>
          <t>Stage 1</t>
        </is>
      </c>
      <c r="F1930" t="inlineStr">
        <is>
          <t>N/A</t>
        </is>
      </c>
      <c r="G1930" s="26">
        <v>2952961955</v>
      </c>
      <c r="H1930" s="26">
        <v>29529620</v>
      </c>
      <c r="I1930" s="26">
        <v>0</v>
      </c>
      <c r="J1930" s="26">
        <v>6</v>
      </c>
      <c r="K1930" t="inlineStr">
        <is>
          <t>Non</t>
        </is>
      </c>
      <c r="L1930">
        <f>SUBTOTAL(103,A1930)</f>
        <v>1</v>
      </c>
    </row>
    <row r="1931">
      <c r="A1931" t="inlineStr">
        <is>
          <t>SOCIETE C2144</t>
        </is>
      </c>
      <c r="B1931" t="inlineStr">
        <is>
          <t>C2144</t>
        </is>
      </c>
      <c r="C1931" t="inlineStr">
        <is>
          <t>PUBLIC SECTOR</t>
        </is>
      </c>
      <c r="D1931" t="inlineStr">
        <is>
          <t>I</t>
        </is>
      </c>
      <c r="E1931" t="inlineStr">
        <is>
          <t>Stage 1</t>
        </is>
      </c>
      <c r="F1931" t="inlineStr">
        <is>
          <t>N/A</t>
        </is>
      </c>
      <c r="G1931" s="26">
        <v>884234513</v>
      </c>
      <c r="H1931" s="26">
        <v>8842345</v>
      </c>
      <c r="I1931" s="26">
        <v>114651096</v>
      </c>
      <c r="J1931" s="26">
        <v>6</v>
      </c>
      <c r="K1931" t="inlineStr">
        <is>
          <t>Non</t>
        </is>
      </c>
      <c r="L1931">
        <f>SUBTOTAL(103,A1931)</f>
        <v>1</v>
      </c>
    </row>
    <row r="1932">
      <c r="A1932" t="inlineStr">
        <is>
          <t>SOCIETE C1696</t>
        </is>
      </c>
      <c r="B1932" t="inlineStr">
        <is>
          <t>C1696</t>
        </is>
      </c>
      <c r="C1932" t="inlineStr">
        <is>
          <t>CONSUMER BANKING</t>
        </is>
      </c>
      <c r="D1932" t="inlineStr">
        <is>
          <t>IV</t>
        </is>
      </c>
      <c r="E1932" t="inlineStr">
        <is>
          <t>Stage 3</t>
        </is>
      </c>
      <c r="F1932" t="inlineStr">
        <is>
          <t>N/A</t>
        </is>
      </c>
      <c r="G1932" s="26">
        <v>600612839</v>
      </c>
      <c r="H1932" s="26">
        <v>330337062</v>
      </c>
      <c r="I1932" s="26">
        <v>0</v>
      </c>
      <c r="J1932" s="26">
        <v>151</v>
      </c>
      <c r="K1932" t="inlineStr">
        <is>
          <t>Oui</t>
        </is>
      </c>
      <c r="L1932">
        <f>SUBTOTAL(103,A1932)</f>
        <v>1</v>
      </c>
    </row>
    <row r="1933">
      <c r="A1933" t="inlineStr">
        <is>
          <t>SOCIETE C1965</t>
        </is>
      </c>
      <c r="B1933" t="inlineStr">
        <is>
          <t>C1965</t>
        </is>
      </c>
      <c r="C1933" t="inlineStr">
        <is>
          <t>CONSUMER BANKING</t>
        </is>
      </c>
      <c r="D1933" t="inlineStr">
        <is>
          <t>II</t>
        </is>
      </c>
      <c r="E1933" t="inlineStr">
        <is>
          <t>Stage 2</t>
        </is>
      </c>
      <c r="F1933" t="inlineStr">
        <is>
          <t>N/A</t>
        </is>
      </c>
      <c r="G1933" s="26">
        <v>30649118</v>
      </c>
      <c r="H1933" s="26">
        <v>1838947</v>
      </c>
      <c r="I1933" s="26">
        <v>0</v>
      </c>
      <c r="J1933" s="26">
        <v>6</v>
      </c>
      <c r="K1933" t="inlineStr">
        <is>
          <t>Non</t>
        </is>
      </c>
      <c r="L1933">
        <f>SUBTOTAL(103,A1933)</f>
        <v>1</v>
      </c>
    </row>
    <row r="1934">
      <c r="A1934" t="inlineStr">
        <is>
          <t>SOCIETE C833</t>
        </is>
      </c>
      <c r="B1934" t="inlineStr">
        <is>
          <t>C833</t>
        </is>
      </c>
      <c r="C1934" t="inlineStr">
        <is>
          <t>PUBLIC SECTOR</t>
        </is>
      </c>
      <c r="D1934" t="inlineStr">
        <is>
          <t>IV</t>
        </is>
      </c>
      <c r="E1934" t="inlineStr">
        <is>
          <t>Stage 3</t>
        </is>
      </c>
      <c r="F1934" t="inlineStr">
        <is>
          <t>N/A</t>
        </is>
      </c>
      <c r="G1934" s="26">
        <v>57526643</v>
      </c>
      <c r="H1934" s="26">
        <v>31639654</v>
      </c>
      <c r="I1934" s="26">
        <v>0</v>
      </c>
      <c r="J1934" s="26">
        <v>253</v>
      </c>
      <c r="K1934" t="inlineStr">
        <is>
          <t>Oui</t>
        </is>
      </c>
      <c r="L1934">
        <f>SUBTOTAL(103,A1934)</f>
        <v>1</v>
      </c>
    </row>
    <row r="1935">
      <c r="A1935" t="inlineStr">
        <is>
          <t>SOCIETE C1153</t>
        </is>
      </c>
      <c r="B1935" t="inlineStr">
        <is>
          <t>C1153</t>
        </is>
      </c>
      <c r="C1935" t="inlineStr">
        <is>
          <t>SME</t>
        </is>
      </c>
      <c r="D1935" t="inlineStr">
        <is>
          <t>I</t>
        </is>
      </c>
      <c r="E1935" t="inlineStr">
        <is>
          <t>Stage 1</t>
        </is>
      </c>
      <c r="F1935" t="inlineStr">
        <is>
          <t>N/A</t>
        </is>
      </c>
      <c r="G1935" s="26">
        <v>78175510</v>
      </c>
      <c r="H1935" s="26">
        <v>781755</v>
      </c>
      <c r="I1935" s="26">
        <v>13871089</v>
      </c>
      <c r="J1935" s="26">
        <v>120</v>
      </c>
      <c r="K1935" t="inlineStr">
        <is>
          <t>Non</t>
        </is>
      </c>
      <c r="L1935">
        <f>SUBTOTAL(103,A1935)</f>
        <v>1</v>
      </c>
    </row>
    <row r="1936">
      <c r="A1936" t="inlineStr">
        <is>
          <t>SOCIETE C56</t>
        </is>
      </c>
      <c r="B1936" t="inlineStr">
        <is>
          <t>C56</t>
        </is>
      </c>
      <c r="C1936" t="inlineStr">
        <is>
          <t>COMMERCIAL BANKING</t>
        </is>
      </c>
      <c r="D1936" t="inlineStr">
        <is>
          <t>I</t>
        </is>
      </c>
      <c r="E1936" t="inlineStr">
        <is>
          <t>Stage 1</t>
        </is>
      </c>
      <c r="F1936" t="inlineStr">
        <is>
          <t>N/A</t>
        </is>
      </c>
      <c r="G1936" s="26">
        <v>2644022358</v>
      </c>
      <c r="H1936" s="26">
        <v>26440224</v>
      </c>
      <c r="I1936" s="26">
        <v>0</v>
      </c>
      <c r="J1936" s="26">
        <v>214</v>
      </c>
      <c r="K1936" t="inlineStr">
        <is>
          <t>Non</t>
        </is>
      </c>
      <c r="L1936">
        <f>SUBTOTAL(103,A1936)</f>
        <v>1</v>
      </c>
    </row>
    <row r="1937">
      <c r="A1937" t="inlineStr">
        <is>
          <t>SOCIETE C152</t>
        </is>
      </c>
      <c r="B1937" t="inlineStr">
        <is>
          <t>C152</t>
        </is>
      </c>
      <c r="C1937" t="inlineStr">
        <is>
          <t>CORPORATE BANKING</t>
        </is>
      </c>
      <c r="D1937" t="inlineStr">
        <is>
          <t>I</t>
        </is>
      </c>
      <c r="E1937" t="inlineStr">
        <is>
          <t>Stage 1</t>
        </is>
      </c>
      <c r="F1937" t="inlineStr">
        <is>
          <t>N/A</t>
        </is>
      </c>
      <c r="G1937" s="26">
        <v>407296597</v>
      </c>
      <c r="H1937" s="26">
        <v>4072966</v>
      </c>
      <c r="I1937" s="26">
        <v>0</v>
      </c>
      <c r="J1937" s="26">
        <v>273</v>
      </c>
      <c r="K1937" t="inlineStr">
        <is>
          <t>Non</t>
        </is>
      </c>
      <c r="L1937">
        <f>SUBTOTAL(103,A1937)</f>
        <v>1</v>
      </c>
    </row>
    <row r="1938">
      <c r="A1938" t="inlineStr">
        <is>
          <t>SOCIETE C2247</t>
        </is>
      </c>
      <c r="B1938" t="inlineStr">
        <is>
          <t>C2247</t>
        </is>
      </c>
      <c r="C1938" t="inlineStr">
        <is>
          <t>COMMERCIAL BANKING</t>
        </is>
      </c>
      <c r="D1938" t="inlineStr">
        <is>
          <t>I</t>
        </is>
      </c>
      <c r="E1938" t="inlineStr">
        <is>
          <t>Stage 1</t>
        </is>
      </c>
      <c r="F1938" t="inlineStr">
        <is>
          <t>N/A</t>
        </is>
      </c>
      <c r="G1938" s="26">
        <v>469828143</v>
      </c>
      <c r="H1938" s="26">
        <v>4698281</v>
      </c>
      <c r="I1938" s="26">
        <v>0</v>
      </c>
      <c r="J1938" s="26">
        <v>134</v>
      </c>
      <c r="K1938" t="inlineStr">
        <is>
          <t>Non</t>
        </is>
      </c>
      <c r="L1938">
        <f>SUBTOTAL(103,A1938)</f>
        <v>1</v>
      </c>
    </row>
    <row r="1939">
      <c r="A1939" t="inlineStr">
        <is>
          <t>SOCIETE C1844</t>
        </is>
      </c>
      <c r="B1939" t="inlineStr">
        <is>
          <t>C1844</t>
        </is>
      </c>
      <c r="C1939" t="inlineStr">
        <is>
          <t>CORPORATE BANKING</t>
        </is>
      </c>
      <c r="D1939" t="inlineStr">
        <is>
          <t>V</t>
        </is>
      </c>
      <c r="E1939" t="inlineStr">
        <is>
          <t>Stage 3</t>
        </is>
      </c>
      <c r="F1939" t="inlineStr">
        <is>
          <t>N/A</t>
        </is>
      </c>
      <c r="G1939" s="26">
        <v>414352502</v>
      </c>
      <c r="H1939" s="26">
        <v>227893876</v>
      </c>
      <c r="I1939" s="26">
        <v>16967730</v>
      </c>
      <c r="J1939" s="26">
        <v>40</v>
      </c>
      <c r="K1939" t="inlineStr">
        <is>
          <t>Oui</t>
        </is>
      </c>
      <c r="L1939">
        <f>SUBTOTAL(103,A1939)</f>
        <v>1</v>
      </c>
    </row>
    <row r="1940">
      <c r="A1940" t="inlineStr">
        <is>
          <t>SOCIETE C926</t>
        </is>
      </c>
      <c r="B1940" t="inlineStr">
        <is>
          <t>C926</t>
        </is>
      </c>
      <c r="C1940" t="inlineStr">
        <is>
          <t>PUBLIC SECTOR</t>
        </is>
      </c>
      <c r="D1940" t="inlineStr">
        <is>
          <t>V</t>
        </is>
      </c>
      <c r="E1940" t="inlineStr">
        <is>
          <t>Stage 3</t>
        </is>
      </c>
      <c r="F1940" t="inlineStr">
        <is>
          <t>N/A</t>
        </is>
      </c>
      <c r="G1940" s="26">
        <v>186191048</v>
      </c>
      <c r="H1940" s="26">
        <v>102405076</v>
      </c>
      <c r="I1940" s="26">
        <v>0</v>
      </c>
      <c r="J1940" s="26">
        <v>208</v>
      </c>
      <c r="K1940" t="inlineStr">
        <is>
          <t>Oui</t>
        </is>
      </c>
      <c r="L1940">
        <f>SUBTOTAL(103,A1940)</f>
        <v>1</v>
      </c>
    </row>
    <row r="1941">
      <c r="A1941" t="inlineStr">
        <is>
          <t>SOCIETE C1508</t>
        </is>
      </c>
      <c r="B1941" t="inlineStr">
        <is>
          <t>C1508</t>
        </is>
      </c>
      <c r="C1941" t="inlineStr">
        <is>
          <t>COMMERCIAL BANKING</t>
        </is>
      </c>
      <c r="D1941" t="inlineStr">
        <is>
          <t>I</t>
        </is>
      </c>
      <c r="E1941" t="inlineStr">
        <is>
          <t>Stage 1</t>
        </is>
      </c>
      <c r="F1941" t="inlineStr">
        <is>
          <t>N/A</t>
        </is>
      </c>
      <c r="G1941" s="26">
        <v>2510311079</v>
      </c>
      <c r="H1941" s="26">
        <v>25103111</v>
      </c>
      <c r="I1941" s="26">
        <v>0</v>
      </c>
      <c r="J1941" s="26">
        <v>155</v>
      </c>
      <c r="K1941" t="inlineStr">
        <is>
          <t>Non</t>
        </is>
      </c>
      <c r="L1941">
        <f>SUBTOTAL(103,A1941)</f>
        <v>1</v>
      </c>
    </row>
    <row r="1942">
      <c r="A1942" t="inlineStr">
        <is>
          <t>SOCIETE C1791</t>
        </is>
      </c>
      <c r="B1942" t="inlineStr">
        <is>
          <t>C1791</t>
        </is>
      </c>
      <c r="C1942" t="inlineStr">
        <is>
          <t>CONSUMER BANKING</t>
        </is>
      </c>
      <c r="D1942" t="inlineStr">
        <is>
          <t>IA</t>
        </is>
      </c>
      <c r="E1942" t="inlineStr">
        <is>
          <t>Stage 2</t>
        </is>
      </c>
      <c r="F1942" t="inlineStr">
        <is>
          <t>N/A</t>
        </is>
      </c>
      <c r="G1942" s="26">
        <v>59847274</v>
      </c>
      <c r="H1942" s="26">
        <v>3590836</v>
      </c>
      <c r="I1942" s="26">
        <v>4007549</v>
      </c>
      <c r="J1942" s="26">
        <v>25</v>
      </c>
      <c r="K1942" t="inlineStr">
        <is>
          <t>Non</t>
        </is>
      </c>
      <c r="L1942">
        <f>SUBTOTAL(103,A1942)</f>
        <v>1</v>
      </c>
    </row>
    <row r="1943">
      <c r="A1943" t="inlineStr">
        <is>
          <t>SOCIETE C707</t>
        </is>
      </c>
      <c r="B1943" t="inlineStr">
        <is>
          <t>C707</t>
        </is>
      </c>
      <c r="C1943" t="inlineStr">
        <is>
          <t>CORPORATE BANKING</t>
        </is>
      </c>
      <c r="D1943" t="inlineStr">
        <is>
          <t>I</t>
        </is>
      </c>
      <c r="E1943" t="inlineStr">
        <is>
          <t>Stage 1</t>
        </is>
      </c>
      <c r="F1943" t="inlineStr">
        <is>
          <t>N/A</t>
        </is>
      </c>
      <c r="G1943" s="26">
        <v>22637697</v>
      </c>
      <c r="H1943" s="26">
        <v>226377</v>
      </c>
      <c r="I1943" s="26">
        <v>1611478</v>
      </c>
      <c r="J1943" s="26">
        <v>14</v>
      </c>
      <c r="K1943" t="inlineStr">
        <is>
          <t>Non</t>
        </is>
      </c>
      <c r="L1943">
        <f>SUBTOTAL(103,A1943)</f>
        <v>1</v>
      </c>
    </row>
    <row r="1944">
      <c r="A1944" t="inlineStr">
        <is>
          <t>SOCIETE C2429</t>
        </is>
      </c>
      <c r="B1944" t="inlineStr">
        <is>
          <t>C2429</t>
        </is>
      </c>
      <c r="C1944" t="inlineStr">
        <is>
          <t>PUBLIC SECTOR</t>
        </is>
      </c>
      <c r="D1944" t="inlineStr">
        <is>
          <t>II</t>
        </is>
      </c>
      <c r="E1944" t="inlineStr">
        <is>
          <t>Stage 2</t>
        </is>
      </c>
      <c r="F1944" t="inlineStr">
        <is>
          <t>N/A</t>
        </is>
      </c>
      <c r="G1944" s="26">
        <v>10441238</v>
      </c>
      <c r="H1944" s="26">
        <v>626474</v>
      </c>
      <c r="I1944" s="26">
        <v>0</v>
      </c>
      <c r="J1944" s="26">
        <v>302</v>
      </c>
      <c r="K1944" t="inlineStr">
        <is>
          <t>Non</t>
        </is>
      </c>
      <c r="L1944">
        <f>SUBTOTAL(103,A1944)</f>
        <v>1</v>
      </c>
    </row>
    <row r="1945">
      <c r="A1945" t="inlineStr">
        <is>
          <t>SOCIETE C1896</t>
        </is>
      </c>
      <c r="B1945" t="inlineStr">
        <is>
          <t>C1896</t>
        </is>
      </c>
      <c r="C1945" t="inlineStr">
        <is>
          <t>CORPORATE BANKING</t>
        </is>
      </c>
      <c r="D1945" t="inlineStr">
        <is>
          <t>IV</t>
        </is>
      </c>
      <c r="E1945" t="inlineStr">
        <is>
          <t>Stage 3</t>
        </is>
      </c>
      <c r="F1945" t="inlineStr">
        <is>
          <t>N/A</t>
        </is>
      </c>
      <c r="G1945" s="26">
        <v>387529993</v>
      </c>
      <c r="H1945" s="26">
        <v>213141496</v>
      </c>
      <c r="I1945" s="26">
        <v>0</v>
      </c>
      <c r="J1945" s="26">
        <v>13</v>
      </c>
      <c r="K1945" t="inlineStr">
        <is>
          <t>Oui</t>
        </is>
      </c>
      <c r="L1945">
        <f>SUBTOTAL(103,A1945)</f>
        <v>1</v>
      </c>
    </row>
    <row r="1946">
      <c r="A1946" t="inlineStr">
        <is>
          <t>SOCIETE C1163</t>
        </is>
      </c>
      <c r="B1946" t="inlineStr">
        <is>
          <t>C1163</t>
        </is>
      </c>
      <c r="C1946" t="inlineStr">
        <is>
          <t>CONSUMER BANKING</t>
        </is>
      </c>
      <c r="D1946" t="inlineStr">
        <is>
          <t>IA</t>
        </is>
      </c>
      <c r="E1946" t="inlineStr">
        <is>
          <t>Stage 2</t>
        </is>
      </c>
      <c r="F1946" t="inlineStr">
        <is>
          <t>N/A</t>
        </is>
      </c>
      <c r="G1946" s="26">
        <v>229992641</v>
      </c>
      <c r="H1946" s="26">
        <v>13799558</v>
      </c>
      <c r="I1946" s="26">
        <v>2203724</v>
      </c>
      <c r="J1946" s="26">
        <v>50</v>
      </c>
      <c r="K1946" t="inlineStr">
        <is>
          <t>Non</t>
        </is>
      </c>
      <c r="L1946">
        <f>SUBTOTAL(103,A1946)</f>
        <v>1</v>
      </c>
    </row>
    <row r="1947">
      <c r="A1947" t="inlineStr">
        <is>
          <t>SOCIETE C739</t>
        </is>
      </c>
      <c r="B1947" t="inlineStr">
        <is>
          <t>C739</t>
        </is>
      </c>
      <c r="C1947" t="inlineStr">
        <is>
          <t>PUBLIC SECTOR</t>
        </is>
      </c>
      <c r="D1947" t="inlineStr">
        <is>
          <t>I</t>
        </is>
      </c>
      <c r="E1947" t="inlineStr">
        <is>
          <t>Stage 1</t>
        </is>
      </c>
      <c r="F1947" t="inlineStr">
        <is>
          <t>N/A</t>
        </is>
      </c>
      <c r="G1947" s="26">
        <v>1770416</v>
      </c>
      <c r="H1947" s="26">
        <v>17704</v>
      </c>
      <c r="I1947" s="26">
        <v>0</v>
      </c>
      <c r="J1947" s="26">
        <v>37</v>
      </c>
      <c r="K1947" t="inlineStr">
        <is>
          <t>Non</t>
        </is>
      </c>
      <c r="L1947">
        <f>SUBTOTAL(103,A1947)</f>
        <v>1</v>
      </c>
    </row>
    <row r="1948">
      <c r="A1948" t="inlineStr">
        <is>
          <t>SOCIETE C886</t>
        </is>
      </c>
      <c r="B1948" t="inlineStr">
        <is>
          <t>C886</t>
        </is>
      </c>
      <c r="C1948" t="inlineStr">
        <is>
          <t>COMMERCIAL BANKING</t>
        </is>
      </c>
      <c r="D1948" t="inlineStr">
        <is>
          <t>IV</t>
        </is>
      </c>
      <c r="E1948" t="inlineStr">
        <is>
          <t>Stage 3</t>
        </is>
      </c>
      <c r="F1948" t="inlineStr">
        <is>
          <t>N/A</t>
        </is>
      </c>
      <c r="G1948" s="26">
        <v>1000548</v>
      </c>
      <c r="H1948" s="26">
        <v>550301</v>
      </c>
      <c r="I1948" s="26">
        <v>29617</v>
      </c>
      <c r="J1948" s="26">
        <v>3</v>
      </c>
      <c r="K1948" t="inlineStr">
        <is>
          <t>Oui</t>
        </is>
      </c>
      <c r="L1948">
        <f>SUBTOTAL(103,A1948)</f>
        <v>1</v>
      </c>
    </row>
    <row r="1949">
      <c r="A1949" t="inlineStr">
        <is>
          <t>SOCIETE C2345</t>
        </is>
      </c>
      <c r="B1949" t="inlineStr">
        <is>
          <t>C2345</t>
        </is>
      </c>
      <c r="C1949" t="inlineStr">
        <is>
          <t>CORPORATE BANKING</t>
        </is>
      </c>
      <c r="D1949" t="inlineStr">
        <is>
          <t>V</t>
        </is>
      </c>
      <c r="E1949" t="inlineStr">
        <is>
          <t>Stage 3</t>
        </is>
      </c>
      <c r="F1949" t="inlineStr">
        <is>
          <t>N/A</t>
        </is>
      </c>
      <c r="G1949" s="26">
        <v>547916358</v>
      </c>
      <c r="H1949" s="26">
        <v>301353997</v>
      </c>
      <c r="I1949" s="26">
        <v>0</v>
      </c>
      <c r="J1949" s="26">
        <v>173</v>
      </c>
      <c r="K1949" t="inlineStr">
        <is>
          <t>Oui</t>
        </is>
      </c>
      <c r="L1949">
        <f>SUBTOTAL(103,A1949)</f>
        <v>1</v>
      </c>
    </row>
    <row r="1950">
      <c r="A1950" t="inlineStr">
        <is>
          <t>SOCIETE C2421</t>
        </is>
      </c>
      <c r="B1950" t="inlineStr">
        <is>
          <t>C2421</t>
        </is>
      </c>
      <c r="C1950" t="inlineStr">
        <is>
          <t>CORPORATE BANKING</t>
        </is>
      </c>
      <c r="D1950" t="inlineStr">
        <is>
          <t>V</t>
        </is>
      </c>
      <c r="E1950" t="inlineStr">
        <is>
          <t>Stage 3</t>
        </is>
      </c>
      <c r="F1950" t="inlineStr">
        <is>
          <t>N/A</t>
        </is>
      </c>
      <c r="G1950" s="26">
        <v>2974535</v>
      </c>
      <c r="H1950" s="26">
        <v>1635994</v>
      </c>
      <c r="I1950" s="26">
        <v>121087</v>
      </c>
      <c r="J1950" s="26">
        <v>324</v>
      </c>
      <c r="K1950" t="inlineStr">
        <is>
          <t>Oui</t>
        </is>
      </c>
      <c r="L1950">
        <f>SUBTOTAL(103,A1950)</f>
        <v>1</v>
      </c>
    </row>
    <row r="1951">
      <c r="A1951" t="inlineStr">
        <is>
          <t>SOCIETE C1342</t>
        </is>
      </c>
      <c r="B1951" t="inlineStr">
        <is>
          <t>C1342</t>
        </is>
      </c>
      <c r="C1951" t="inlineStr">
        <is>
          <t>COMMERCIAL BANKING</t>
        </is>
      </c>
      <c r="D1951" t="inlineStr">
        <is>
          <t>I</t>
        </is>
      </c>
      <c r="E1951" t="inlineStr">
        <is>
          <t>Stage 1</t>
        </is>
      </c>
      <c r="F1951" t="inlineStr">
        <is>
          <t>N/A</t>
        </is>
      </c>
      <c r="G1951" s="26">
        <v>891763287</v>
      </c>
      <c r="H1951" s="26">
        <v>8917633</v>
      </c>
      <c r="I1951" s="26">
        <v>0</v>
      </c>
      <c r="J1951" s="26">
        <v>29</v>
      </c>
      <c r="K1951" t="inlineStr">
        <is>
          <t>Non</t>
        </is>
      </c>
      <c r="L1951">
        <f>SUBTOTAL(103,A1951)</f>
        <v>1</v>
      </c>
    </row>
    <row r="1952">
      <c r="A1952" t="inlineStr">
        <is>
          <t>SOCIETE C158</t>
        </is>
      </c>
      <c r="B1952" t="inlineStr">
        <is>
          <t>C158</t>
        </is>
      </c>
      <c r="C1952" t="inlineStr">
        <is>
          <t>INSTITUTIONAL</t>
        </is>
      </c>
      <c r="D1952" t="inlineStr">
        <is>
          <t>I</t>
        </is>
      </c>
      <c r="E1952" t="inlineStr">
        <is>
          <t>Stage 1</t>
        </is>
      </c>
      <c r="F1952" t="inlineStr">
        <is>
          <t>N/A</t>
        </is>
      </c>
      <c r="G1952" s="26">
        <v>2618045598</v>
      </c>
      <c r="H1952" s="26">
        <v>26180456</v>
      </c>
      <c r="I1952" s="26">
        <v>273289969</v>
      </c>
      <c r="J1952" s="26">
        <v>12</v>
      </c>
      <c r="K1952" t="inlineStr">
        <is>
          <t>Non</t>
        </is>
      </c>
      <c r="L1952">
        <f>SUBTOTAL(103,A1952)</f>
        <v>1</v>
      </c>
    </row>
    <row r="1953">
      <c r="A1953" t="inlineStr">
        <is>
          <t>SOCIETE C2470</t>
        </is>
      </c>
      <c r="B1953" t="inlineStr">
        <is>
          <t>C2470</t>
        </is>
      </c>
      <c r="C1953" t="inlineStr">
        <is>
          <t>COMMERCIAL BANKING</t>
        </is>
      </c>
      <c r="D1953" t="inlineStr">
        <is>
          <t>II</t>
        </is>
      </c>
      <c r="E1953" t="inlineStr">
        <is>
          <t>Stage 2</t>
        </is>
      </c>
      <c r="F1953" t="inlineStr">
        <is>
          <t>N/A</t>
        </is>
      </c>
      <c r="G1953" s="26">
        <v>1141678693</v>
      </c>
      <c r="H1953" s="26">
        <v>68500722</v>
      </c>
      <c r="I1953" s="26">
        <v>135964515</v>
      </c>
      <c r="J1953" s="26">
        <v>130</v>
      </c>
      <c r="K1953" t="inlineStr">
        <is>
          <t>Non</t>
        </is>
      </c>
      <c r="L1953">
        <f>SUBTOTAL(103,A1953)</f>
        <v>1</v>
      </c>
    </row>
    <row r="1954">
      <c r="A1954" t="inlineStr">
        <is>
          <t>SOCIETE C501</t>
        </is>
      </c>
      <c r="B1954" t="inlineStr">
        <is>
          <t>C501</t>
        </is>
      </c>
      <c r="C1954" t="inlineStr">
        <is>
          <t>CORPORATE BANKING</t>
        </is>
      </c>
      <c r="D1954" t="inlineStr">
        <is>
          <t>V</t>
        </is>
      </c>
      <c r="E1954" t="inlineStr">
        <is>
          <t>Stage 3</t>
        </is>
      </c>
      <c r="F1954" t="inlineStr">
        <is>
          <t>N/A</t>
        </is>
      </c>
      <c r="G1954" s="26">
        <v>113957826</v>
      </c>
      <c r="H1954" s="26">
        <v>62676805</v>
      </c>
      <c r="I1954" s="26">
        <v>7480416</v>
      </c>
      <c r="J1954" s="26">
        <v>83</v>
      </c>
      <c r="K1954" t="inlineStr">
        <is>
          <t>Oui</t>
        </is>
      </c>
      <c r="L1954">
        <f>SUBTOTAL(103,A1954)</f>
        <v>1</v>
      </c>
    </row>
    <row r="1955">
      <c r="A1955" t="inlineStr">
        <is>
          <t>SOCIETE C347</t>
        </is>
      </c>
      <c r="B1955" t="inlineStr">
        <is>
          <t>C347</t>
        </is>
      </c>
      <c r="C1955" t="inlineStr">
        <is>
          <t>COMMERCIAL BANKING</t>
        </is>
      </c>
      <c r="D1955" t="inlineStr">
        <is>
          <t>I</t>
        </is>
      </c>
      <c r="E1955" t="inlineStr">
        <is>
          <t>Stage 1</t>
        </is>
      </c>
      <c r="F1955" t="inlineStr">
        <is>
          <t>N/A</t>
        </is>
      </c>
      <c r="G1955" s="26">
        <v>158640061</v>
      </c>
      <c r="H1955" s="26">
        <v>1586401</v>
      </c>
      <c r="I1955" s="26">
        <v>0</v>
      </c>
      <c r="J1955" s="26">
        <v>2</v>
      </c>
      <c r="K1955" t="inlineStr">
        <is>
          <t>Non</t>
        </is>
      </c>
      <c r="L1955">
        <f>SUBTOTAL(103,A1955)</f>
        <v>1</v>
      </c>
    </row>
    <row r="1956">
      <c r="A1956" t="inlineStr">
        <is>
          <t>SOCIETE C2471</t>
        </is>
      </c>
      <c r="B1956" t="inlineStr">
        <is>
          <t>C2471</t>
        </is>
      </c>
      <c r="C1956" t="inlineStr">
        <is>
          <t>CONSUMER BANKING</t>
        </is>
      </c>
      <c r="D1956" t="inlineStr">
        <is>
          <t>IA</t>
        </is>
      </c>
      <c r="E1956" t="inlineStr">
        <is>
          <t>Stage 2</t>
        </is>
      </c>
      <c r="F1956" t="inlineStr">
        <is>
          <t>N/A</t>
        </is>
      </c>
      <c r="G1956" s="26">
        <v>1151322</v>
      </c>
      <c r="H1956" s="26">
        <v>69079</v>
      </c>
      <c r="I1956" s="26">
        <v>0</v>
      </c>
      <c r="J1956" s="26">
        <v>106</v>
      </c>
      <c r="K1956" t="inlineStr">
        <is>
          <t>Non</t>
        </is>
      </c>
      <c r="L1956">
        <f>SUBTOTAL(103,A1956)</f>
        <v>1</v>
      </c>
    </row>
    <row r="1957">
      <c r="A1957" t="inlineStr">
        <is>
          <t>SOCIETE C890</t>
        </is>
      </c>
      <c r="B1957" t="inlineStr">
        <is>
          <t>C890</t>
        </is>
      </c>
      <c r="C1957" t="inlineStr">
        <is>
          <t>CONSUMER BANKING</t>
        </is>
      </c>
      <c r="D1957" t="inlineStr">
        <is>
          <t>IA</t>
        </is>
      </c>
      <c r="E1957" t="inlineStr">
        <is>
          <t>Stage 2</t>
        </is>
      </c>
      <c r="F1957" t="inlineStr">
        <is>
          <t>N/A</t>
        </is>
      </c>
      <c r="G1957" s="26">
        <v>1019919598</v>
      </c>
      <c r="H1957" s="26">
        <v>61195176</v>
      </c>
      <c r="I1957" s="26">
        <v>0</v>
      </c>
      <c r="J1957" s="26">
        <v>343</v>
      </c>
      <c r="K1957" t="inlineStr">
        <is>
          <t>Non</t>
        </is>
      </c>
      <c r="L1957">
        <f>SUBTOTAL(103,A1957)</f>
        <v>1</v>
      </c>
    </row>
    <row r="1958">
      <c r="A1958" t="inlineStr">
        <is>
          <t>SOCIETE C753</t>
        </is>
      </c>
      <c r="B1958" t="inlineStr">
        <is>
          <t>C753</t>
        </is>
      </c>
      <c r="C1958" t="inlineStr">
        <is>
          <t>INSTITUTIONAL</t>
        </is>
      </c>
      <c r="D1958" t="inlineStr">
        <is>
          <t>I</t>
        </is>
      </c>
      <c r="E1958" t="inlineStr">
        <is>
          <t>Stage 1</t>
        </is>
      </c>
      <c r="F1958" t="inlineStr">
        <is>
          <t>N/A</t>
        </is>
      </c>
      <c r="G1958" s="26">
        <v>1557897347</v>
      </c>
      <c r="H1958" s="26">
        <v>15578973</v>
      </c>
      <c r="I1958" s="26">
        <v>0</v>
      </c>
      <c r="J1958" s="26">
        <v>5</v>
      </c>
      <c r="K1958" t="inlineStr">
        <is>
          <t>Non</t>
        </is>
      </c>
      <c r="L1958">
        <f>SUBTOTAL(103,A1958)</f>
        <v>1</v>
      </c>
    </row>
    <row r="1959">
      <c r="A1959" t="inlineStr">
        <is>
          <t>SOCIETE C2340</t>
        </is>
      </c>
      <c r="B1959" t="inlineStr">
        <is>
          <t>C2340</t>
        </is>
      </c>
      <c r="C1959" t="inlineStr">
        <is>
          <t>PUBLIC SECTOR</t>
        </is>
      </c>
      <c r="D1959" t="inlineStr">
        <is>
          <t>IA</t>
        </is>
      </c>
      <c r="E1959" t="inlineStr">
        <is>
          <t>Stage 2</t>
        </is>
      </c>
      <c r="F1959" t="inlineStr">
        <is>
          <t>N/A</t>
        </is>
      </c>
      <c r="G1959" s="26">
        <v>1241100897</v>
      </c>
      <c r="H1959" s="26">
        <v>74466054</v>
      </c>
      <c r="I1959" s="26">
        <v>0</v>
      </c>
      <c r="J1959" s="26">
        <v>198</v>
      </c>
      <c r="K1959" t="inlineStr">
        <is>
          <t>Non</t>
        </is>
      </c>
      <c r="L1959">
        <f>SUBTOTAL(103,A1959)</f>
        <v>1</v>
      </c>
    </row>
    <row r="1960">
      <c r="A1960" t="inlineStr">
        <is>
          <t>SOCIETE C1530</t>
        </is>
      </c>
      <c r="B1960" t="inlineStr">
        <is>
          <t>C1530</t>
        </is>
      </c>
      <c r="C1960" t="inlineStr">
        <is>
          <t>CORPORATE BANKING</t>
        </is>
      </c>
      <c r="D1960" t="inlineStr">
        <is>
          <t>IA</t>
        </is>
      </c>
      <c r="E1960" t="inlineStr">
        <is>
          <t>Stage 2</t>
        </is>
      </c>
      <c r="F1960" t="inlineStr">
        <is>
          <t>N/A</t>
        </is>
      </c>
      <c r="G1960" s="26">
        <v>693029952</v>
      </c>
      <c r="H1960" s="26">
        <v>41581797</v>
      </c>
      <c r="I1960" s="26">
        <v>0</v>
      </c>
      <c r="J1960" s="26">
        <v>3</v>
      </c>
      <c r="K1960" t="inlineStr">
        <is>
          <t>Non</t>
        </is>
      </c>
      <c r="L1960">
        <f>SUBTOTAL(103,A1960)</f>
        <v>1</v>
      </c>
    </row>
    <row r="1961">
      <c r="A1961" t="inlineStr">
        <is>
          <t>SOCIETE C1469</t>
        </is>
      </c>
      <c r="B1961" t="inlineStr">
        <is>
          <t>C1469</t>
        </is>
      </c>
      <c r="C1961" t="inlineStr">
        <is>
          <t>COMMERCIAL BANKING</t>
        </is>
      </c>
      <c r="D1961" t="inlineStr">
        <is>
          <t>I</t>
        </is>
      </c>
      <c r="E1961" t="inlineStr">
        <is>
          <t>Stage 1</t>
        </is>
      </c>
      <c r="F1961" t="inlineStr">
        <is>
          <t>N/A</t>
        </is>
      </c>
      <c r="G1961" s="26">
        <v>492187653</v>
      </c>
      <c r="H1961" s="26">
        <v>4921877</v>
      </c>
      <c r="I1961" s="26">
        <v>0</v>
      </c>
      <c r="J1961" s="26">
        <v>38</v>
      </c>
      <c r="K1961" t="inlineStr">
        <is>
          <t>Non</t>
        </is>
      </c>
      <c r="L1961">
        <f>SUBTOTAL(103,A1961)</f>
        <v>1</v>
      </c>
    </row>
    <row r="1962">
      <c r="A1962" t="inlineStr">
        <is>
          <t>SOCIETE C525</t>
        </is>
      </c>
      <c r="B1962" t="inlineStr">
        <is>
          <t>C525</t>
        </is>
      </c>
      <c r="C1962" t="inlineStr">
        <is>
          <t>COMMERCIAL BANKING</t>
        </is>
      </c>
      <c r="D1962" t="inlineStr">
        <is>
          <t>V</t>
        </is>
      </c>
      <c r="E1962" t="inlineStr">
        <is>
          <t>Stage 3</t>
        </is>
      </c>
      <c r="F1962" t="inlineStr">
        <is>
          <t>N/A</t>
        </is>
      </c>
      <c r="G1962" s="26">
        <v>944407447</v>
      </c>
      <c r="H1962" s="26">
        <v>519424096</v>
      </c>
      <c r="I1962" s="26">
        <v>50399730</v>
      </c>
      <c r="J1962" s="26">
        <v>82</v>
      </c>
      <c r="K1962" t="inlineStr">
        <is>
          <t>Oui</t>
        </is>
      </c>
      <c r="L1962">
        <f>SUBTOTAL(103,A1962)</f>
        <v>1</v>
      </c>
    </row>
    <row r="1963">
      <c r="A1963" t="inlineStr">
        <is>
          <t>SOCIETE C1354</t>
        </is>
      </c>
      <c r="B1963" t="inlineStr">
        <is>
          <t>C1354</t>
        </is>
      </c>
      <c r="C1963" t="inlineStr">
        <is>
          <t>CORPORATE BANKING</t>
        </is>
      </c>
      <c r="D1963" t="inlineStr">
        <is>
          <t>IA</t>
        </is>
      </c>
      <c r="E1963" t="inlineStr">
        <is>
          <t>Stage 2</t>
        </is>
      </c>
      <c r="F1963" t="inlineStr">
        <is>
          <t>N/A</t>
        </is>
      </c>
      <c r="G1963" s="26">
        <v>2701779611</v>
      </c>
      <c r="H1963" s="26">
        <v>162106777</v>
      </c>
      <c r="I1963" s="26">
        <v>0</v>
      </c>
      <c r="J1963" s="26">
        <v>162</v>
      </c>
      <c r="K1963" t="inlineStr">
        <is>
          <t>Non</t>
        </is>
      </c>
      <c r="L1963">
        <f>SUBTOTAL(103,A1963)</f>
        <v>1</v>
      </c>
    </row>
    <row r="1964">
      <c r="A1964" t="inlineStr">
        <is>
          <t>SOCIETE C1385</t>
        </is>
      </c>
      <c r="B1964" t="inlineStr">
        <is>
          <t>C1385</t>
        </is>
      </c>
      <c r="C1964" t="inlineStr">
        <is>
          <t>INSTITUTIONAL</t>
        </is>
      </c>
      <c r="D1964" t="inlineStr">
        <is>
          <t>IA</t>
        </is>
      </c>
      <c r="E1964" t="inlineStr">
        <is>
          <t>Stage 2</t>
        </is>
      </c>
      <c r="F1964" t="inlineStr">
        <is>
          <t>N/A</t>
        </is>
      </c>
      <c r="G1964" s="26">
        <v>133206859</v>
      </c>
      <c r="H1964" s="26">
        <v>7992412</v>
      </c>
      <c r="I1964" s="26">
        <v>0</v>
      </c>
      <c r="J1964" s="26">
        <v>63</v>
      </c>
      <c r="K1964" t="inlineStr">
        <is>
          <t>Non</t>
        </is>
      </c>
      <c r="L1964">
        <f>SUBTOTAL(103,A1964)</f>
        <v>1</v>
      </c>
    </row>
    <row r="1965">
      <c r="A1965" t="inlineStr">
        <is>
          <t>SOCIETE C259</t>
        </is>
      </c>
      <c r="B1965" t="inlineStr">
        <is>
          <t>C259</t>
        </is>
      </c>
      <c r="C1965" t="inlineStr">
        <is>
          <t>CORPORATE BANKING</t>
        </is>
      </c>
      <c r="D1965" t="inlineStr">
        <is>
          <t>IA</t>
        </is>
      </c>
      <c r="E1965" t="inlineStr">
        <is>
          <t>Stage 2</t>
        </is>
      </c>
      <c r="F1965" t="inlineStr">
        <is>
          <t>N/A</t>
        </is>
      </c>
      <c r="G1965" s="26">
        <v>1493829</v>
      </c>
      <c r="H1965" s="26">
        <v>89630</v>
      </c>
      <c r="I1965" s="26">
        <v>0</v>
      </c>
      <c r="J1965" s="26">
        <v>34</v>
      </c>
      <c r="K1965" t="inlineStr">
        <is>
          <t>Non</t>
        </is>
      </c>
      <c r="L1965">
        <f>SUBTOTAL(103,A1965)</f>
        <v>1</v>
      </c>
    </row>
    <row r="1966">
      <c r="A1966" t="inlineStr">
        <is>
          <t>SOCIETE C1296</t>
        </is>
      </c>
      <c r="B1966" t="inlineStr">
        <is>
          <t>C1296</t>
        </is>
      </c>
      <c r="C1966" t="inlineStr">
        <is>
          <t>COMMERCIAL BANKING</t>
        </is>
      </c>
      <c r="D1966" t="inlineStr">
        <is>
          <t>IV</t>
        </is>
      </c>
      <c r="E1966" t="inlineStr">
        <is>
          <t>Stage 3</t>
        </is>
      </c>
      <c r="F1966" t="inlineStr">
        <is>
          <t>N/A</t>
        </is>
      </c>
      <c r="G1966" s="26">
        <v>1129462</v>
      </c>
      <c r="H1966" s="26">
        <v>621204</v>
      </c>
      <c r="I1966" s="26">
        <v>0</v>
      </c>
      <c r="J1966" s="26">
        <v>106</v>
      </c>
      <c r="K1966" t="inlineStr">
        <is>
          <t>Oui</t>
        </is>
      </c>
      <c r="L1966">
        <f>SUBTOTAL(103,A1966)</f>
        <v>1</v>
      </c>
    </row>
    <row r="1967">
      <c r="A1967" t="inlineStr">
        <is>
          <t>SOCIETE C1220</t>
        </is>
      </c>
      <c r="B1967" t="inlineStr">
        <is>
          <t>C1220</t>
        </is>
      </c>
      <c r="C1967" t="inlineStr">
        <is>
          <t>PUBLIC SECTOR</t>
        </is>
      </c>
      <c r="D1967" t="inlineStr">
        <is>
          <t>III</t>
        </is>
      </c>
      <c r="E1967" t="inlineStr">
        <is>
          <t>Stage 3</t>
        </is>
      </c>
      <c r="F1967" t="inlineStr">
        <is>
          <t>N/A</t>
        </is>
      </c>
      <c r="G1967" s="26">
        <v>875172617</v>
      </c>
      <c r="H1967" s="26">
        <v>481344940</v>
      </c>
      <c r="I1967" s="26">
        <v>174800258</v>
      </c>
      <c r="J1967" s="26">
        <v>108</v>
      </c>
      <c r="K1967" t="inlineStr">
        <is>
          <t>Oui</t>
        </is>
      </c>
      <c r="L1967">
        <f>SUBTOTAL(103,A1967)</f>
        <v>1</v>
      </c>
    </row>
    <row r="1968">
      <c r="A1968" t="inlineStr">
        <is>
          <t>SOCIETE C666</t>
        </is>
      </c>
      <c r="B1968" t="inlineStr">
        <is>
          <t>C666</t>
        </is>
      </c>
      <c r="C1968" t="inlineStr">
        <is>
          <t>SME</t>
        </is>
      </c>
      <c r="D1968" t="inlineStr">
        <is>
          <t>IA</t>
        </is>
      </c>
      <c r="E1968" t="inlineStr">
        <is>
          <t>Stage 2</t>
        </is>
      </c>
      <c r="F1968" t="inlineStr">
        <is>
          <t>N/A</t>
        </is>
      </c>
      <c r="G1968" s="26">
        <v>1753686961</v>
      </c>
      <c r="H1968" s="26">
        <v>105221218</v>
      </c>
      <c r="I1968" s="26">
        <v>0</v>
      </c>
      <c r="J1968" s="26">
        <v>285</v>
      </c>
      <c r="K1968" t="inlineStr">
        <is>
          <t>Non</t>
        </is>
      </c>
      <c r="L1968">
        <f>SUBTOTAL(103,A1968)</f>
        <v>1</v>
      </c>
    </row>
    <row r="1969">
      <c r="A1969" t="inlineStr">
        <is>
          <t>SOCIETE C1357</t>
        </is>
      </c>
      <c r="B1969" t="inlineStr">
        <is>
          <t>C1357</t>
        </is>
      </c>
      <c r="C1969" t="inlineStr">
        <is>
          <t>CORPORATE BANKING</t>
        </is>
      </c>
      <c r="D1969" t="inlineStr">
        <is>
          <t>IA</t>
        </is>
      </c>
      <c r="E1969" t="inlineStr">
        <is>
          <t>Stage 2</t>
        </is>
      </c>
      <c r="F1969" t="inlineStr">
        <is>
          <t>N/A</t>
        </is>
      </c>
      <c r="G1969" s="26">
        <v>17630731</v>
      </c>
      <c r="H1969" s="26">
        <v>1057844</v>
      </c>
      <c r="I1969" s="26">
        <v>0</v>
      </c>
      <c r="J1969" s="26">
        <v>315</v>
      </c>
      <c r="K1969" t="inlineStr">
        <is>
          <t>Non</t>
        </is>
      </c>
      <c r="L1969">
        <f>SUBTOTAL(103,A1969)</f>
        <v>1</v>
      </c>
    </row>
    <row r="1970">
      <c r="A1970" t="inlineStr">
        <is>
          <t>SOCIETE C1011</t>
        </is>
      </c>
      <c r="B1970" t="inlineStr">
        <is>
          <t>C1011</t>
        </is>
      </c>
      <c r="C1970" t="inlineStr">
        <is>
          <t>CONSUMER BANKING</t>
        </is>
      </c>
      <c r="D1970" t="inlineStr">
        <is>
          <t>V</t>
        </is>
      </c>
      <c r="E1970" t="inlineStr">
        <is>
          <t>Stage 3</t>
        </is>
      </c>
      <c r="F1970" t="inlineStr">
        <is>
          <t>N/A</t>
        </is>
      </c>
      <c r="G1970" s="26">
        <v>1403889000</v>
      </c>
      <c r="H1970" s="26">
        <v>772138950</v>
      </c>
      <c r="I1970" s="26">
        <v>0</v>
      </c>
      <c r="J1970" s="26">
        <v>17</v>
      </c>
      <c r="K1970" t="inlineStr">
        <is>
          <t>Oui</t>
        </is>
      </c>
      <c r="L1970">
        <f>SUBTOTAL(103,A1970)</f>
        <v>1</v>
      </c>
    </row>
    <row r="1971">
      <c r="A1971" t="inlineStr">
        <is>
          <t>SOCIETE C561</t>
        </is>
      </c>
      <c r="B1971" t="inlineStr">
        <is>
          <t>C561</t>
        </is>
      </c>
      <c r="C1971" t="inlineStr">
        <is>
          <t>PUBLIC SECTOR</t>
        </is>
      </c>
      <c r="D1971" t="inlineStr">
        <is>
          <t>IA</t>
        </is>
      </c>
      <c r="E1971" t="inlineStr">
        <is>
          <t>Stage 2</t>
        </is>
      </c>
      <c r="F1971" t="inlineStr">
        <is>
          <t>N/A</t>
        </is>
      </c>
      <c r="G1971" s="26">
        <v>91824494</v>
      </c>
      <c r="H1971" s="26">
        <v>5509470</v>
      </c>
      <c r="I1971" s="26">
        <v>0</v>
      </c>
      <c r="J1971" s="26">
        <v>3</v>
      </c>
      <c r="K1971" t="inlineStr">
        <is>
          <t>Non</t>
        </is>
      </c>
      <c r="L1971">
        <f>SUBTOTAL(103,A1971)</f>
        <v>1</v>
      </c>
    </row>
    <row r="1972">
      <c r="A1972" t="inlineStr">
        <is>
          <t>SOCIETE C468</t>
        </is>
      </c>
      <c r="B1972" t="inlineStr">
        <is>
          <t>C468</t>
        </is>
      </c>
      <c r="C1972" t="inlineStr">
        <is>
          <t>CORPORATE BANKING</t>
        </is>
      </c>
      <c r="D1972" t="inlineStr">
        <is>
          <t>IA</t>
        </is>
      </c>
      <c r="E1972" t="inlineStr">
        <is>
          <t>Stage 2</t>
        </is>
      </c>
      <c r="F1972" t="inlineStr">
        <is>
          <t>N/A</t>
        </is>
      </c>
      <c r="G1972" s="26">
        <v>1524554577</v>
      </c>
      <c r="H1972" s="26">
        <v>91473275</v>
      </c>
      <c r="I1972" s="26">
        <v>0</v>
      </c>
      <c r="J1972" s="26">
        <v>171</v>
      </c>
      <c r="K1972" t="inlineStr">
        <is>
          <t>Non</t>
        </is>
      </c>
      <c r="L1972">
        <f>SUBTOTAL(103,A1972)</f>
        <v>1</v>
      </c>
    </row>
    <row r="1973">
      <c r="A1973" t="inlineStr">
        <is>
          <t>SOCIETE C845</t>
        </is>
      </c>
      <c r="B1973" t="inlineStr">
        <is>
          <t>C845</t>
        </is>
      </c>
      <c r="C1973" t="inlineStr">
        <is>
          <t>CONSUMER BANKING</t>
        </is>
      </c>
      <c r="D1973" t="inlineStr">
        <is>
          <t>I</t>
        </is>
      </c>
      <c r="E1973" t="inlineStr">
        <is>
          <t>Stage 1</t>
        </is>
      </c>
      <c r="F1973" t="inlineStr">
        <is>
          <t>N/A</t>
        </is>
      </c>
      <c r="G1973" s="26">
        <v>702483884</v>
      </c>
      <c r="H1973" s="26">
        <v>7024839</v>
      </c>
      <c r="I1973" s="26">
        <v>0</v>
      </c>
      <c r="J1973" s="26">
        <v>6</v>
      </c>
      <c r="K1973" t="inlineStr">
        <is>
          <t>Non</t>
        </is>
      </c>
      <c r="L1973">
        <f>SUBTOTAL(103,A1973)</f>
        <v>1</v>
      </c>
    </row>
    <row r="1974">
      <c r="A1974" t="inlineStr">
        <is>
          <t>SOCIETE C82</t>
        </is>
      </c>
      <c r="B1974" t="inlineStr">
        <is>
          <t>C82</t>
        </is>
      </c>
      <c r="C1974" t="inlineStr">
        <is>
          <t>COMMERCIAL BANKING</t>
        </is>
      </c>
      <c r="D1974" t="inlineStr">
        <is>
          <t>I</t>
        </is>
      </c>
      <c r="E1974" t="inlineStr">
        <is>
          <t>Stage 1</t>
        </is>
      </c>
      <c r="F1974" t="inlineStr">
        <is>
          <t>N/A</t>
        </is>
      </c>
      <c r="G1974" s="26">
        <v>927625272</v>
      </c>
      <c r="H1974" s="26">
        <v>9276253</v>
      </c>
      <c r="I1974" s="26">
        <v>17569475</v>
      </c>
      <c r="J1974" s="26">
        <v>99</v>
      </c>
      <c r="K1974" t="inlineStr">
        <is>
          <t>Non</t>
        </is>
      </c>
      <c r="L1974">
        <f>SUBTOTAL(103,A1974)</f>
        <v>1</v>
      </c>
    </row>
    <row r="1975">
      <c r="A1975" t="inlineStr">
        <is>
          <t>SOCIETE C548</t>
        </is>
      </c>
      <c r="B1975" t="inlineStr">
        <is>
          <t>C548</t>
        </is>
      </c>
      <c r="C1975" t="inlineStr">
        <is>
          <t>CORPORATE BANKING</t>
        </is>
      </c>
      <c r="D1975" t="inlineStr">
        <is>
          <t>IA</t>
        </is>
      </c>
      <c r="E1975" t="inlineStr">
        <is>
          <t>Stage 2</t>
        </is>
      </c>
      <c r="F1975" t="inlineStr">
        <is>
          <t>N/A</t>
        </is>
      </c>
      <c r="G1975" s="26">
        <v>220374710</v>
      </c>
      <c r="H1975" s="26">
        <v>13222483</v>
      </c>
      <c r="I1975" s="26">
        <v>0</v>
      </c>
      <c r="J1975" s="26">
        <v>333</v>
      </c>
      <c r="K1975" t="inlineStr">
        <is>
          <t>Non</t>
        </is>
      </c>
      <c r="L1975">
        <f>SUBTOTAL(103,A1975)</f>
        <v>1</v>
      </c>
    </row>
    <row r="1976">
      <c r="A1976" t="inlineStr">
        <is>
          <t>SOCIETE C412</t>
        </is>
      </c>
      <c r="B1976" t="inlineStr">
        <is>
          <t>C412</t>
        </is>
      </c>
      <c r="C1976" t="inlineStr">
        <is>
          <t>CORPORATE BANKING</t>
        </is>
      </c>
      <c r="D1976" t="inlineStr">
        <is>
          <t>V</t>
        </is>
      </c>
      <c r="E1976" t="inlineStr">
        <is>
          <t>Stage 3</t>
        </is>
      </c>
      <c r="F1976" t="inlineStr">
        <is>
          <t>N/A</t>
        </is>
      </c>
      <c r="G1976" s="26">
        <v>1357236544</v>
      </c>
      <c r="H1976" s="26">
        <v>746480099</v>
      </c>
      <c r="I1976" s="26">
        <v>0</v>
      </c>
      <c r="J1976" s="26">
        <v>19</v>
      </c>
      <c r="K1976" t="inlineStr">
        <is>
          <t>Oui</t>
        </is>
      </c>
      <c r="L1976">
        <f>SUBTOTAL(103,A1976)</f>
        <v>1</v>
      </c>
    </row>
    <row r="1977">
      <c r="A1977" t="inlineStr">
        <is>
          <t>SOCIETE C583</t>
        </is>
      </c>
      <c r="B1977" t="inlineStr">
        <is>
          <t>C583</t>
        </is>
      </c>
      <c r="C1977" t="inlineStr">
        <is>
          <t>CONSUMER BANKING</t>
        </is>
      </c>
      <c r="D1977" t="inlineStr">
        <is>
          <t>I</t>
        </is>
      </c>
      <c r="E1977" t="inlineStr">
        <is>
          <t>Stage 1</t>
        </is>
      </c>
      <c r="F1977" t="inlineStr">
        <is>
          <t>N/A</t>
        </is>
      </c>
      <c r="G1977" s="26">
        <v>804609757</v>
      </c>
      <c r="H1977" s="26">
        <v>8046098</v>
      </c>
      <c r="I1977" s="26">
        <v>83327119</v>
      </c>
      <c r="J1977" s="26">
        <v>54</v>
      </c>
      <c r="K1977" t="inlineStr">
        <is>
          <t>Non</t>
        </is>
      </c>
      <c r="L1977">
        <f>SUBTOTAL(103,A1977)</f>
        <v>1</v>
      </c>
    </row>
    <row r="1978">
      <c r="A1978" t="inlineStr">
        <is>
          <t>SOCIETE C2108</t>
        </is>
      </c>
      <c r="B1978" t="inlineStr">
        <is>
          <t>C2108</t>
        </is>
      </c>
      <c r="C1978" t="inlineStr">
        <is>
          <t>CORPORATE BANKING</t>
        </is>
      </c>
      <c r="D1978" t="inlineStr">
        <is>
          <t>IV</t>
        </is>
      </c>
      <c r="E1978" t="inlineStr">
        <is>
          <t>Stage 3</t>
        </is>
      </c>
      <c r="F1978" t="inlineStr">
        <is>
          <t>N/A</t>
        </is>
      </c>
      <c r="G1978" s="26">
        <v>154227333</v>
      </c>
      <c r="H1978" s="26">
        <v>84825033</v>
      </c>
      <c r="I1978" s="26">
        <v>0</v>
      </c>
      <c r="J1978" s="26">
        <v>37</v>
      </c>
      <c r="K1978" t="inlineStr">
        <is>
          <t>Oui</t>
        </is>
      </c>
      <c r="L1978">
        <f>SUBTOTAL(103,A1978)</f>
        <v>1</v>
      </c>
    </row>
    <row r="1979">
      <c r="A1979" t="inlineStr">
        <is>
          <t>SOCIETE C902</t>
        </is>
      </c>
      <c r="B1979" t="inlineStr">
        <is>
          <t>C902</t>
        </is>
      </c>
      <c r="C1979" t="inlineStr">
        <is>
          <t>CONSUMER BANKING</t>
        </is>
      </c>
      <c r="D1979" t="inlineStr">
        <is>
          <t>IV</t>
        </is>
      </c>
      <c r="E1979" t="inlineStr">
        <is>
          <t>Stage 3</t>
        </is>
      </c>
      <c r="F1979" t="inlineStr">
        <is>
          <t>N/A</t>
        </is>
      </c>
      <c r="G1979" s="26">
        <v>1302603</v>
      </c>
      <c r="H1979" s="26">
        <v>716431</v>
      </c>
      <c r="I1979" s="26">
        <v>74485</v>
      </c>
      <c r="J1979" s="26">
        <v>15</v>
      </c>
      <c r="K1979" t="inlineStr">
        <is>
          <t>Oui</t>
        </is>
      </c>
      <c r="L1979">
        <f>SUBTOTAL(103,A1979)</f>
        <v>1</v>
      </c>
    </row>
    <row r="1980">
      <c r="A1980" t="inlineStr">
        <is>
          <t>SOCIETE C1234</t>
        </is>
      </c>
      <c r="B1980" t="inlineStr">
        <is>
          <t>C1234</t>
        </is>
      </c>
      <c r="C1980" t="inlineStr">
        <is>
          <t>CORPORATE BANKING</t>
        </is>
      </c>
      <c r="D1980" t="inlineStr">
        <is>
          <t>V</t>
        </is>
      </c>
      <c r="E1980" t="inlineStr">
        <is>
          <t>Stage 3</t>
        </is>
      </c>
      <c r="F1980" t="inlineStr">
        <is>
          <t>N/A</t>
        </is>
      </c>
      <c r="G1980" s="26">
        <v>690993968</v>
      </c>
      <c r="H1980" s="26">
        <v>380046682</v>
      </c>
      <c r="I1980" s="26">
        <v>1126049</v>
      </c>
      <c r="J1980" s="26">
        <v>353</v>
      </c>
      <c r="K1980" t="inlineStr">
        <is>
          <t>Oui</t>
        </is>
      </c>
      <c r="L1980">
        <f>SUBTOTAL(103,A1980)</f>
        <v>1</v>
      </c>
    </row>
    <row r="1981">
      <c r="A1981" t="inlineStr">
        <is>
          <t>SOCIETE C1438</t>
        </is>
      </c>
      <c r="B1981" t="inlineStr">
        <is>
          <t>C1438</t>
        </is>
      </c>
      <c r="C1981" t="inlineStr">
        <is>
          <t>CONSUMER BANKING</t>
        </is>
      </c>
      <c r="D1981" t="inlineStr">
        <is>
          <t>IA</t>
        </is>
      </c>
      <c r="E1981" t="inlineStr">
        <is>
          <t>Stage 2</t>
        </is>
      </c>
      <c r="F1981" t="inlineStr">
        <is>
          <t>N/A</t>
        </is>
      </c>
      <c r="G1981" s="26">
        <v>191017005</v>
      </c>
      <c r="H1981" s="26">
        <v>11461020</v>
      </c>
      <c r="I1981" s="26">
        <v>0</v>
      </c>
      <c r="J1981" s="26">
        <v>61</v>
      </c>
      <c r="K1981" t="inlineStr">
        <is>
          <t>Non</t>
        </is>
      </c>
      <c r="L1981">
        <f>SUBTOTAL(103,A1981)</f>
        <v>1</v>
      </c>
    </row>
    <row r="1982">
      <c r="A1982" t="inlineStr">
        <is>
          <t>SOCIETE C661</t>
        </is>
      </c>
      <c r="B1982" t="inlineStr">
        <is>
          <t>C661</t>
        </is>
      </c>
      <c r="C1982" t="inlineStr">
        <is>
          <t>CONSUMER BANKING</t>
        </is>
      </c>
      <c r="D1982" t="inlineStr">
        <is>
          <t>I</t>
        </is>
      </c>
      <c r="E1982" t="inlineStr">
        <is>
          <t>Stage 1</t>
        </is>
      </c>
      <c r="F1982" t="inlineStr">
        <is>
          <t>N/A</t>
        </is>
      </c>
      <c r="G1982" s="26">
        <v>1664673008</v>
      </c>
      <c r="H1982" s="26">
        <v>16646730</v>
      </c>
      <c r="I1982" s="26">
        <v>0</v>
      </c>
      <c r="J1982" s="26">
        <v>163</v>
      </c>
      <c r="K1982" t="inlineStr">
        <is>
          <t>Non</t>
        </is>
      </c>
      <c r="L1982">
        <f>SUBTOTAL(103,A1982)</f>
        <v>1</v>
      </c>
    </row>
    <row r="1983">
      <c r="A1983" t="inlineStr">
        <is>
          <t>SOCIETE C664</t>
        </is>
      </c>
      <c r="B1983" t="inlineStr">
        <is>
          <t>C664</t>
        </is>
      </c>
      <c r="C1983" t="inlineStr">
        <is>
          <t>CORPORATE BANKING</t>
        </is>
      </c>
      <c r="D1983" t="inlineStr">
        <is>
          <t>IA</t>
        </is>
      </c>
      <c r="E1983" t="inlineStr">
        <is>
          <t>Stage 2</t>
        </is>
      </c>
      <c r="F1983" t="inlineStr">
        <is>
          <t>N/A</t>
        </is>
      </c>
      <c r="G1983" s="26">
        <v>87225057</v>
      </c>
      <c r="H1983" s="26">
        <v>5233503</v>
      </c>
      <c r="I1983" s="26">
        <v>14932688</v>
      </c>
      <c r="J1983" s="26">
        <v>205</v>
      </c>
      <c r="K1983" t="inlineStr">
        <is>
          <t>Non</t>
        </is>
      </c>
      <c r="L1983">
        <f>SUBTOTAL(103,A1983)</f>
        <v>1</v>
      </c>
    </row>
    <row r="1984">
      <c r="A1984" t="inlineStr">
        <is>
          <t>SOCIETE C247</t>
        </is>
      </c>
      <c r="B1984" t="inlineStr">
        <is>
          <t>C247</t>
        </is>
      </c>
      <c r="C1984" t="inlineStr">
        <is>
          <t>CORPORATE BANKING</t>
        </is>
      </c>
      <c r="D1984" t="inlineStr">
        <is>
          <t>II</t>
        </is>
      </c>
      <c r="E1984" t="inlineStr">
        <is>
          <t>Stage 2</t>
        </is>
      </c>
      <c r="F1984" t="inlineStr">
        <is>
          <t>N/A</t>
        </is>
      </c>
      <c r="G1984" s="26">
        <v>1497045</v>
      </c>
      <c r="H1984" s="26">
        <v>89823</v>
      </c>
      <c r="I1984" s="26">
        <v>0</v>
      </c>
      <c r="J1984" s="26">
        <v>55</v>
      </c>
      <c r="K1984" t="inlineStr">
        <is>
          <t>Non</t>
        </is>
      </c>
      <c r="L1984">
        <f>SUBTOTAL(103,A1984)</f>
        <v>1</v>
      </c>
    </row>
    <row r="1985">
      <c r="A1985" t="inlineStr">
        <is>
          <t>SOCIETE C1239</t>
        </is>
      </c>
      <c r="B1985" t="inlineStr">
        <is>
          <t>C1239</t>
        </is>
      </c>
      <c r="C1985" t="inlineStr">
        <is>
          <t>CORPORATE BANKING</t>
        </is>
      </c>
      <c r="D1985" t="inlineStr">
        <is>
          <t>V</t>
        </is>
      </c>
      <c r="E1985" t="inlineStr">
        <is>
          <t>Stage 3</t>
        </is>
      </c>
      <c r="F1985" t="inlineStr">
        <is>
          <t>N/A</t>
        </is>
      </c>
      <c r="G1985" s="26">
        <v>2592429841</v>
      </c>
      <c r="H1985" s="26">
        <v>1425836412</v>
      </c>
      <c r="I1985" s="26">
        <v>0</v>
      </c>
      <c r="J1985" s="26">
        <v>235</v>
      </c>
      <c r="K1985" t="inlineStr">
        <is>
          <t>Oui</t>
        </is>
      </c>
      <c r="L1985">
        <f>SUBTOTAL(103,A1985)</f>
        <v>1</v>
      </c>
    </row>
    <row r="1986">
      <c r="A1986" t="inlineStr">
        <is>
          <t>SOCIETE C914</t>
        </is>
      </c>
      <c r="B1986" t="inlineStr">
        <is>
          <t>C914</t>
        </is>
      </c>
      <c r="C1986" t="inlineStr">
        <is>
          <t>CORPORATE BANKING</t>
        </is>
      </c>
      <c r="D1986" t="inlineStr">
        <is>
          <t>V</t>
        </is>
      </c>
      <c r="E1986" t="inlineStr">
        <is>
          <t>Stage 3</t>
        </is>
      </c>
      <c r="F1986" t="inlineStr">
        <is>
          <t>N/A</t>
        </is>
      </c>
      <c r="G1986" s="26">
        <v>1461426251</v>
      </c>
      <c r="H1986" s="26">
        <v>803784438</v>
      </c>
      <c r="I1986" s="26">
        <v>0</v>
      </c>
      <c r="J1986" s="26">
        <v>205</v>
      </c>
      <c r="K1986" t="inlineStr">
        <is>
          <t>Oui</t>
        </is>
      </c>
      <c r="L1986">
        <f>SUBTOTAL(103,A1986)</f>
        <v>1</v>
      </c>
    </row>
    <row r="1987">
      <c r="A1987" t="inlineStr">
        <is>
          <t>SOCIETE C1942</t>
        </is>
      </c>
      <c r="B1987" t="inlineStr">
        <is>
          <t>C1942</t>
        </is>
      </c>
      <c r="C1987" t="inlineStr">
        <is>
          <t>CONSUMER BANKING</t>
        </is>
      </c>
      <c r="D1987" t="inlineStr">
        <is>
          <t>I</t>
        </is>
      </c>
      <c r="E1987" t="inlineStr">
        <is>
          <t>Stage 1</t>
        </is>
      </c>
      <c r="F1987" t="inlineStr">
        <is>
          <t>N/A</t>
        </is>
      </c>
      <c r="G1987" s="26">
        <v>9198429</v>
      </c>
      <c r="H1987" s="26">
        <v>91984</v>
      </c>
      <c r="I1987" s="26">
        <v>0</v>
      </c>
      <c r="J1987" s="26">
        <v>100</v>
      </c>
      <c r="K1987" t="inlineStr">
        <is>
          <t>Non</t>
        </is>
      </c>
      <c r="L1987">
        <f>SUBTOTAL(103,A1987)</f>
        <v>1</v>
      </c>
    </row>
    <row r="1988">
      <c r="A1988" t="inlineStr">
        <is>
          <t>SOCIETE C231</t>
        </is>
      </c>
      <c r="B1988" t="inlineStr">
        <is>
          <t>C231</t>
        </is>
      </c>
      <c r="C1988" t="inlineStr">
        <is>
          <t>PUBLIC SECTOR</t>
        </is>
      </c>
      <c r="D1988" t="inlineStr">
        <is>
          <t>I</t>
        </is>
      </c>
      <c r="E1988" t="inlineStr">
        <is>
          <t>Stage 1</t>
        </is>
      </c>
      <c r="F1988" t="inlineStr">
        <is>
          <t>N/A</t>
        </is>
      </c>
      <c r="G1988" s="26">
        <v>296862945</v>
      </c>
      <c r="H1988" s="26">
        <v>2968629</v>
      </c>
      <c r="I1988" s="26">
        <v>59323801</v>
      </c>
      <c r="J1988" s="26">
        <v>69</v>
      </c>
      <c r="K1988" t="inlineStr">
        <is>
          <t>Non</t>
        </is>
      </c>
      <c r="L1988">
        <f>SUBTOTAL(103,A1988)</f>
        <v>1</v>
      </c>
    </row>
    <row r="1989">
      <c r="A1989" t="inlineStr">
        <is>
          <t>SOCIETE C1412</t>
        </is>
      </c>
      <c r="B1989" t="inlineStr">
        <is>
          <t>C1412</t>
        </is>
      </c>
      <c r="C1989" t="inlineStr">
        <is>
          <t>CORPORATE BANKING</t>
        </is>
      </c>
      <c r="D1989" t="inlineStr">
        <is>
          <t>III</t>
        </is>
      </c>
      <c r="E1989" t="inlineStr">
        <is>
          <t>Stage 3</t>
        </is>
      </c>
      <c r="F1989" t="inlineStr">
        <is>
          <t>N/A</t>
        </is>
      </c>
      <c r="G1989" s="26">
        <v>1742222547</v>
      </c>
      <c r="H1989" s="26">
        <v>958222401</v>
      </c>
      <c r="I1989" s="26">
        <v>0</v>
      </c>
      <c r="J1989" s="26">
        <v>215</v>
      </c>
      <c r="K1989" t="inlineStr">
        <is>
          <t>Oui</t>
        </is>
      </c>
      <c r="L1989">
        <f>SUBTOTAL(103,A1989)</f>
        <v>1</v>
      </c>
    </row>
    <row r="1990">
      <c r="A1990" t="inlineStr">
        <is>
          <t>SOCIETE C463</t>
        </is>
      </c>
      <c r="B1990" t="inlineStr">
        <is>
          <t>C463</t>
        </is>
      </c>
      <c r="C1990" t="inlineStr">
        <is>
          <t>CORPORATE BANKING</t>
        </is>
      </c>
      <c r="D1990" t="inlineStr">
        <is>
          <t>I</t>
        </is>
      </c>
      <c r="E1990" t="inlineStr">
        <is>
          <t>Stage 1</t>
        </is>
      </c>
      <c r="F1990" t="inlineStr">
        <is>
          <t>N/A</t>
        </is>
      </c>
      <c r="G1990" s="26">
        <v>55646386</v>
      </c>
      <c r="H1990" s="26">
        <v>556464</v>
      </c>
      <c r="I1990" s="26">
        <v>0</v>
      </c>
      <c r="J1990" s="26">
        <v>74</v>
      </c>
      <c r="K1990" t="inlineStr">
        <is>
          <t>Non</t>
        </is>
      </c>
      <c r="L1990">
        <f>SUBTOTAL(103,A1990)</f>
        <v>1</v>
      </c>
    </row>
    <row r="1991">
      <c r="A1991" t="inlineStr">
        <is>
          <t>SOCIETE C2057</t>
        </is>
      </c>
      <c r="B1991" t="inlineStr">
        <is>
          <t>C2057</t>
        </is>
      </c>
      <c r="C1991" t="inlineStr">
        <is>
          <t>CORPORATE BANKING</t>
        </is>
      </c>
      <c r="D1991" t="inlineStr">
        <is>
          <t>IA</t>
        </is>
      </c>
      <c r="E1991" t="inlineStr">
        <is>
          <t>Stage 2</t>
        </is>
      </c>
      <c r="F1991" t="inlineStr">
        <is>
          <t>N/A</t>
        </is>
      </c>
      <c r="G1991" s="26">
        <v>104695734</v>
      </c>
      <c r="H1991" s="26">
        <v>6281744</v>
      </c>
      <c r="I1991" s="26">
        <v>0</v>
      </c>
      <c r="J1991" s="26">
        <v>80</v>
      </c>
      <c r="K1991" t="inlineStr">
        <is>
          <t>Non</t>
        </is>
      </c>
      <c r="L1991">
        <f>SUBTOTAL(103,A1991)</f>
        <v>1</v>
      </c>
    </row>
    <row r="1992">
      <c r="A1992" t="inlineStr">
        <is>
          <t>SOCIETE C2306</t>
        </is>
      </c>
      <c r="B1992" t="inlineStr">
        <is>
          <t>C2306</t>
        </is>
      </c>
      <c r="C1992" t="inlineStr">
        <is>
          <t>INSTITUTIONAL</t>
        </is>
      </c>
      <c r="D1992" t="inlineStr">
        <is>
          <t>V</t>
        </is>
      </c>
      <c r="E1992" t="inlineStr">
        <is>
          <t>Stage 3</t>
        </is>
      </c>
      <c r="F1992" t="inlineStr">
        <is>
          <t>N/A</t>
        </is>
      </c>
      <c r="G1992" s="26">
        <v>17138842</v>
      </c>
      <c r="H1992" s="26">
        <v>9426363</v>
      </c>
      <c r="I1992" s="26">
        <v>0</v>
      </c>
      <c r="J1992" s="26">
        <v>30</v>
      </c>
      <c r="K1992" t="inlineStr">
        <is>
          <t>Oui</t>
        </is>
      </c>
      <c r="L1992">
        <f>SUBTOTAL(103,A1992)</f>
        <v>1</v>
      </c>
    </row>
    <row r="1993">
      <c r="A1993" t="inlineStr">
        <is>
          <t>SOCIETE C466</t>
        </is>
      </c>
      <c r="B1993" t="inlineStr">
        <is>
          <t>C466</t>
        </is>
      </c>
      <c r="C1993" t="inlineStr">
        <is>
          <t>CORPORATE BANKING</t>
        </is>
      </c>
      <c r="D1993" t="inlineStr">
        <is>
          <t>I</t>
        </is>
      </c>
      <c r="E1993" t="inlineStr">
        <is>
          <t>Stage 1</t>
        </is>
      </c>
      <c r="F1993" t="inlineStr">
        <is>
          <t>N/A</t>
        </is>
      </c>
      <c r="G1993" s="26">
        <v>132182789</v>
      </c>
      <c r="H1993" s="26">
        <v>1321828</v>
      </c>
      <c r="I1993" s="26">
        <v>0</v>
      </c>
      <c r="J1993" s="26">
        <v>100</v>
      </c>
      <c r="K1993" t="inlineStr">
        <is>
          <t>Non</t>
        </is>
      </c>
      <c r="L1993">
        <f>SUBTOTAL(103,A1993)</f>
        <v>1</v>
      </c>
    </row>
    <row r="1994">
      <c r="A1994" t="inlineStr">
        <is>
          <t>SOCIETE C1702</t>
        </is>
      </c>
      <c r="B1994" t="inlineStr">
        <is>
          <t>C1702</t>
        </is>
      </c>
      <c r="C1994" t="inlineStr">
        <is>
          <t>CONSUMER BANKING</t>
        </is>
      </c>
      <c r="D1994" t="inlineStr">
        <is>
          <t>II</t>
        </is>
      </c>
      <c r="E1994" t="inlineStr">
        <is>
          <t>Stage 2</t>
        </is>
      </c>
      <c r="F1994" t="inlineStr">
        <is>
          <t>N/A</t>
        </is>
      </c>
      <c r="G1994" s="26">
        <v>79405533</v>
      </c>
      <c r="H1994" s="26">
        <v>4764332</v>
      </c>
      <c r="I1994" s="26">
        <v>0</v>
      </c>
      <c r="J1994" s="26">
        <v>152</v>
      </c>
      <c r="K1994" t="inlineStr">
        <is>
          <t>Non</t>
        </is>
      </c>
      <c r="L1994">
        <f>SUBTOTAL(103,A1994)</f>
        <v>1</v>
      </c>
    </row>
    <row r="1995">
      <c r="A1995" t="inlineStr">
        <is>
          <t>SOCIETE C1470</t>
        </is>
      </c>
      <c r="B1995" t="inlineStr">
        <is>
          <t>C1470</t>
        </is>
      </c>
      <c r="C1995" t="inlineStr">
        <is>
          <t>CORPORATE BANKING</t>
        </is>
      </c>
      <c r="D1995" t="inlineStr">
        <is>
          <t>IA</t>
        </is>
      </c>
      <c r="E1995" t="inlineStr">
        <is>
          <t>Stage 2</t>
        </is>
      </c>
      <c r="F1995" t="inlineStr">
        <is>
          <t>N/A</t>
        </is>
      </c>
      <c r="G1995" s="26">
        <v>1194350587</v>
      </c>
      <c r="H1995" s="26">
        <v>71661035</v>
      </c>
      <c r="I1995" s="26">
        <v>21625584</v>
      </c>
      <c r="J1995" s="26">
        <v>54</v>
      </c>
      <c r="K1995" t="inlineStr">
        <is>
          <t>Non</t>
        </is>
      </c>
      <c r="L1995">
        <f>SUBTOTAL(103,A1995)</f>
        <v>1</v>
      </c>
    </row>
    <row r="1996">
      <c r="A1996" t="inlineStr">
        <is>
          <t>SOCIETE C445</t>
        </is>
      </c>
      <c r="B1996" t="inlineStr">
        <is>
          <t>C445</t>
        </is>
      </c>
      <c r="C1996" t="inlineStr">
        <is>
          <t>PUBLIC SECTOR</t>
        </is>
      </c>
      <c r="D1996" t="inlineStr">
        <is>
          <t>IA</t>
        </is>
      </c>
      <c r="E1996" t="inlineStr">
        <is>
          <t>Stage 2</t>
        </is>
      </c>
      <c r="F1996" t="inlineStr">
        <is>
          <t>N/A</t>
        </is>
      </c>
      <c r="G1996" s="26">
        <v>19073365</v>
      </c>
      <c r="H1996" s="26">
        <v>1144402</v>
      </c>
      <c r="I1996" s="26">
        <v>0</v>
      </c>
      <c r="J1996" s="26">
        <v>144</v>
      </c>
      <c r="K1996" t="inlineStr">
        <is>
          <t>Non</t>
        </is>
      </c>
      <c r="L1996">
        <f>SUBTOTAL(103,A1996)</f>
        <v>1</v>
      </c>
    </row>
    <row r="1997">
      <c r="A1997" t="inlineStr">
        <is>
          <t>SOCIETE C2368</t>
        </is>
      </c>
      <c r="B1997" t="inlineStr">
        <is>
          <t>C2368</t>
        </is>
      </c>
      <c r="C1997" t="inlineStr">
        <is>
          <t>CORPORATE BANKING</t>
        </is>
      </c>
      <c r="D1997" t="inlineStr">
        <is>
          <t>IA</t>
        </is>
      </c>
      <c r="E1997" t="inlineStr">
        <is>
          <t>Stage 2</t>
        </is>
      </c>
      <c r="F1997" t="inlineStr">
        <is>
          <t>N/A</t>
        </is>
      </c>
      <c r="G1997" s="26">
        <v>8818942</v>
      </c>
      <c r="H1997" s="26">
        <v>529137</v>
      </c>
      <c r="I1997" s="26">
        <v>0</v>
      </c>
      <c r="J1997" s="26">
        <v>42</v>
      </c>
      <c r="K1997" t="inlineStr">
        <is>
          <t>Non</t>
        </is>
      </c>
      <c r="L1997">
        <f>SUBTOTAL(103,A1997)</f>
        <v>1</v>
      </c>
    </row>
    <row r="1998">
      <c r="A1998" t="inlineStr">
        <is>
          <t>SOCIETE C2002</t>
        </is>
      </c>
      <c r="B1998" t="inlineStr">
        <is>
          <t>C2002</t>
        </is>
      </c>
      <c r="C1998" t="inlineStr">
        <is>
          <t>CORPORATE BANKING</t>
        </is>
      </c>
      <c r="D1998" t="inlineStr">
        <is>
          <t>IA</t>
        </is>
      </c>
      <c r="E1998" t="inlineStr">
        <is>
          <t>Stage 2</t>
        </is>
      </c>
      <c r="F1998" t="inlineStr">
        <is>
          <t>N/A</t>
        </is>
      </c>
      <c r="G1998" s="26">
        <v>720203986</v>
      </c>
      <c r="H1998" s="26">
        <v>43212239</v>
      </c>
      <c r="I1998" s="26">
        <v>0</v>
      </c>
      <c r="J1998" s="26">
        <v>8</v>
      </c>
      <c r="K1998" t="inlineStr">
        <is>
          <t>Non</t>
        </is>
      </c>
      <c r="L1998">
        <f>SUBTOTAL(103,A1998)</f>
        <v>1</v>
      </c>
    </row>
    <row r="1999">
      <c r="A1999" t="inlineStr">
        <is>
          <t>SOCIETE C2421</t>
        </is>
      </c>
      <c r="B1999" t="inlineStr">
        <is>
          <t>C2421</t>
        </is>
      </c>
      <c r="C1999" t="inlineStr">
        <is>
          <t>COMMERCIAL BANKING</t>
        </is>
      </c>
      <c r="D1999" t="inlineStr">
        <is>
          <t>I</t>
        </is>
      </c>
      <c r="E1999" t="inlineStr">
        <is>
          <t>Stage 1</t>
        </is>
      </c>
      <c r="F1999" t="inlineStr">
        <is>
          <t>N/A</t>
        </is>
      </c>
      <c r="G1999" s="26">
        <v>344207217</v>
      </c>
      <c r="H1999" s="26">
        <v>3442072</v>
      </c>
      <c r="I1999" s="26">
        <v>0</v>
      </c>
      <c r="J1999" s="26">
        <v>56</v>
      </c>
      <c r="K1999" t="inlineStr">
        <is>
          <t>Non</t>
        </is>
      </c>
      <c r="L1999">
        <f>SUBTOTAL(103,A1999)</f>
        <v>1</v>
      </c>
    </row>
    <row r="2000">
      <c r="A2000" t="inlineStr">
        <is>
          <t>SOCIETE C1421</t>
        </is>
      </c>
      <c r="B2000" t="inlineStr">
        <is>
          <t>C1421</t>
        </is>
      </c>
      <c r="C2000" t="inlineStr">
        <is>
          <t>CORPORATE BANKING</t>
        </is>
      </c>
      <c r="D2000" t="inlineStr">
        <is>
          <t>IA</t>
        </is>
      </c>
      <c r="E2000" t="inlineStr">
        <is>
          <t>Stage 2</t>
        </is>
      </c>
      <c r="F2000" t="inlineStr">
        <is>
          <t>N/A</t>
        </is>
      </c>
      <c r="G2000" s="26">
        <v>125994021</v>
      </c>
      <c r="H2000" s="26">
        <v>7559641</v>
      </c>
      <c r="I2000" s="26">
        <v>0</v>
      </c>
      <c r="J2000" s="26">
        <v>112</v>
      </c>
      <c r="K2000" t="inlineStr">
        <is>
          <t>Non</t>
        </is>
      </c>
      <c r="L2000">
        <f>SUBTOTAL(103,A2000)</f>
        <v>1</v>
      </c>
    </row>
    <row r="2001">
      <c r="A2001" t="inlineStr">
        <is>
          <t>SOCIETE C1375</t>
        </is>
      </c>
      <c r="B2001" t="inlineStr">
        <is>
          <t>C1375</t>
        </is>
      </c>
      <c r="C2001" t="inlineStr">
        <is>
          <t>CORPORATE BANKING</t>
        </is>
      </c>
      <c r="D2001" t="inlineStr">
        <is>
          <t>V</t>
        </is>
      </c>
      <c r="E2001" t="inlineStr">
        <is>
          <t>Stage 3</t>
        </is>
      </c>
      <c r="F2001" t="inlineStr">
        <is>
          <t>N/A</t>
        </is>
      </c>
      <c r="G2001" s="26">
        <v>6576843</v>
      </c>
      <c r="H2001" s="26">
        <v>3617264</v>
      </c>
      <c r="I2001" s="26">
        <v>135374</v>
      </c>
      <c r="J2001" s="26">
        <v>144</v>
      </c>
      <c r="K2001" t="inlineStr">
        <is>
          <t>Oui</t>
        </is>
      </c>
      <c r="L2001">
        <f>SUBTOTAL(103,A2001)</f>
        <v>1</v>
      </c>
    </row>
    <row r="2002">
      <c r="A2002" t="inlineStr">
        <is>
          <t>SOCIETE C2413</t>
        </is>
      </c>
      <c r="B2002" t="inlineStr">
        <is>
          <t>C2413</t>
        </is>
      </c>
      <c r="C2002" t="inlineStr">
        <is>
          <t>PUBLIC SECTOR</t>
        </is>
      </c>
      <c r="D2002" t="inlineStr">
        <is>
          <t>IA</t>
        </is>
      </c>
      <c r="E2002" t="inlineStr">
        <is>
          <t>Stage 2</t>
        </is>
      </c>
      <c r="F2002" t="inlineStr">
        <is>
          <t>N/A</t>
        </is>
      </c>
      <c r="G2002" s="26">
        <v>2092552306</v>
      </c>
      <c r="H2002" s="26">
        <v>125553138</v>
      </c>
      <c r="I2002" s="26">
        <v>0</v>
      </c>
      <c r="J2002" s="26">
        <v>21</v>
      </c>
      <c r="K2002" t="inlineStr">
        <is>
          <t>Non</t>
        </is>
      </c>
      <c r="L2002">
        <f>SUBTOTAL(103,A2002)</f>
        <v>1</v>
      </c>
    </row>
    <row r="2003">
      <c r="A2003" t="inlineStr">
        <is>
          <t>SOCIETE C955</t>
        </is>
      </c>
      <c r="B2003" t="inlineStr">
        <is>
          <t>C955</t>
        </is>
      </c>
      <c r="C2003" t="inlineStr">
        <is>
          <t>CONSUMER BANKING</t>
        </is>
      </c>
      <c r="D2003" t="inlineStr">
        <is>
          <t>I</t>
        </is>
      </c>
      <c r="E2003" t="inlineStr">
        <is>
          <t>Stage 1</t>
        </is>
      </c>
      <c r="F2003" t="inlineStr">
        <is>
          <t>N/A</t>
        </is>
      </c>
      <c r="G2003" s="26">
        <v>767188456</v>
      </c>
      <c r="H2003" s="26">
        <v>7671885</v>
      </c>
      <c r="I2003" s="26">
        <v>0</v>
      </c>
      <c r="J2003" s="26">
        <v>6</v>
      </c>
      <c r="K2003" t="inlineStr">
        <is>
          <t>Non</t>
        </is>
      </c>
      <c r="L2003">
        <f>SUBTOTAL(103,A2003)</f>
        <v>1</v>
      </c>
    </row>
    <row r="2004">
      <c r="A2004" t="inlineStr">
        <is>
          <t>SOCIETE C2058</t>
        </is>
      </c>
      <c r="B2004" t="inlineStr">
        <is>
          <t>C2058</t>
        </is>
      </c>
      <c r="C2004" t="inlineStr">
        <is>
          <t>COMMERCIAL BANKING</t>
        </is>
      </c>
      <c r="D2004" t="inlineStr">
        <is>
          <t>III</t>
        </is>
      </c>
      <c r="E2004" t="inlineStr">
        <is>
          <t>Stage 3</t>
        </is>
      </c>
      <c r="F2004" t="inlineStr">
        <is>
          <t>N/A</t>
        </is>
      </c>
      <c r="G2004" s="26">
        <v>7079180</v>
      </c>
      <c r="H2004" s="26">
        <v>3893549</v>
      </c>
      <c r="I2004" s="26">
        <v>0</v>
      </c>
      <c r="J2004" s="26">
        <v>176</v>
      </c>
      <c r="K2004" t="inlineStr">
        <is>
          <t>Oui</t>
        </is>
      </c>
      <c r="L2004">
        <f>SUBTOTAL(103,A2004)</f>
        <v>1</v>
      </c>
    </row>
    <row r="2005">
      <c r="A2005" t="inlineStr">
        <is>
          <t>SOCIETE C698</t>
        </is>
      </c>
      <c r="B2005" t="inlineStr">
        <is>
          <t>C698</t>
        </is>
      </c>
      <c r="C2005" t="inlineStr">
        <is>
          <t>PUBLIC SECTOR</t>
        </is>
      </c>
      <c r="D2005" t="inlineStr">
        <is>
          <t>I</t>
        </is>
      </c>
      <c r="E2005" t="inlineStr">
        <is>
          <t>Stage 1</t>
        </is>
      </c>
      <c r="F2005" t="inlineStr">
        <is>
          <t>N/A</t>
        </is>
      </c>
      <c r="G2005" s="26">
        <v>166826724</v>
      </c>
      <c r="H2005" s="26">
        <v>1668267</v>
      </c>
      <c r="I2005" s="26">
        <v>27633617</v>
      </c>
      <c r="J2005" s="26">
        <v>156</v>
      </c>
      <c r="K2005" t="inlineStr">
        <is>
          <t>Non</t>
        </is>
      </c>
      <c r="L2005">
        <f>SUBTOTAL(103,A2005)</f>
        <v>1</v>
      </c>
    </row>
    <row r="2006">
      <c r="A2006" t="inlineStr">
        <is>
          <t>SOCIETE C1540</t>
        </is>
      </c>
      <c r="B2006" t="inlineStr">
        <is>
          <t>C1540</t>
        </is>
      </c>
      <c r="C2006" t="inlineStr">
        <is>
          <t>CORPORATE BANKING</t>
        </is>
      </c>
      <c r="D2006" t="inlineStr">
        <is>
          <t>IA</t>
        </is>
      </c>
      <c r="E2006" t="inlineStr">
        <is>
          <t>Stage 2</t>
        </is>
      </c>
      <c r="F2006" t="inlineStr">
        <is>
          <t>N/A</t>
        </is>
      </c>
      <c r="G2006" s="26">
        <v>14424851</v>
      </c>
      <c r="H2006" s="26">
        <v>865491</v>
      </c>
      <c r="I2006" s="26">
        <v>2521845</v>
      </c>
      <c r="J2006" s="26">
        <v>117</v>
      </c>
      <c r="K2006" t="inlineStr">
        <is>
          <t>Non</t>
        </is>
      </c>
      <c r="L2006">
        <f>SUBTOTAL(103,A2006)</f>
        <v>1</v>
      </c>
    </row>
    <row r="2007">
      <c r="A2007" t="inlineStr">
        <is>
          <t>SOCIETE C2052</t>
        </is>
      </c>
      <c r="B2007" t="inlineStr">
        <is>
          <t>C2052</t>
        </is>
      </c>
      <c r="C2007" t="inlineStr">
        <is>
          <t>CORPORATE BANKING</t>
        </is>
      </c>
      <c r="D2007" t="inlineStr">
        <is>
          <t>I</t>
        </is>
      </c>
      <c r="E2007" t="inlineStr">
        <is>
          <t>Stage 1</t>
        </is>
      </c>
      <c r="F2007" t="inlineStr">
        <is>
          <t>N/A</t>
        </is>
      </c>
      <c r="G2007" s="26">
        <v>621938354</v>
      </c>
      <c r="H2007" s="26">
        <v>6219384</v>
      </c>
      <c r="I2007" s="26">
        <v>0</v>
      </c>
      <c r="J2007" s="26">
        <v>12</v>
      </c>
      <c r="K2007" t="inlineStr">
        <is>
          <t>Non</t>
        </is>
      </c>
      <c r="L2007">
        <f>SUBTOTAL(103,A2007)</f>
        <v>1</v>
      </c>
    </row>
    <row r="2008">
      <c r="A2008" t="inlineStr">
        <is>
          <t>SOCIETE C1379</t>
        </is>
      </c>
      <c r="B2008" t="inlineStr">
        <is>
          <t>C1379</t>
        </is>
      </c>
      <c r="C2008" t="inlineStr">
        <is>
          <t>CORPORATE BANKING</t>
        </is>
      </c>
      <c r="D2008" t="inlineStr">
        <is>
          <t>I</t>
        </is>
      </c>
      <c r="E2008" t="inlineStr">
        <is>
          <t>Stage 1</t>
        </is>
      </c>
      <c r="F2008" t="inlineStr">
        <is>
          <t>N/A</t>
        </is>
      </c>
      <c r="G2008" s="26">
        <v>2378603384</v>
      </c>
      <c r="H2008" s="26">
        <v>23786034</v>
      </c>
      <c r="I2008" s="26">
        <v>0</v>
      </c>
      <c r="J2008" s="26">
        <v>104</v>
      </c>
      <c r="K2008" t="inlineStr">
        <is>
          <t>Non</t>
        </is>
      </c>
      <c r="L2008">
        <f>SUBTOTAL(103,A2008)</f>
        <v>1</v>
      </c>
    </row>
    <row r="2009">
      <c r="A2009" t="inlineStr">
        <is>
          <t>SOCIETE C2466</t>
        </is>
      </c>
      <c r="B2009" t="inlineStr">
        <is>
          <t>C2466</t>
        </is>
      </c>
      <c r="C2009" t="inlineStr">
        <is>
          <t>COMMERCIAL BANKING</t>
        </is>
      </c>
      <c r="D2009" t="inlineStr">
        <is>
          <t>II</t>
        </is>
      </c>
      <c r="E2009" t="inlineStr">
        <is>
          <t>Stage 2</t>
        </is>
      </c>
      <c r="F2009" t="inlineStr">
        <is>
          <t>N/A</t>
        </is>
      </c>
      <c r="G2009" s="26">
        <v>228408480</v>
      </c>
      <c r="H2009" s="26">
        <v>13704509</v>
      </c>
      <c r="I2009" s="26">
        <v>35133684</v>
      </c>
      <c r="J2009" s="26">
        <v>60</v>
      </c>
      <c r="K2009" t="inlineStr">
        <is>
          <t>Non</t>
        </is>
      </c>
      <c r="L2009">
        <f>SUBTOTAL(103,A2009)</f>
        <v>1</v>
      </c>
    </row>
    <row r="2010">
      <c r="A2010" t="inlineStr">
        <is>
          <t>SOCIETE C304</t>
        </is>
      </c>
      <c r="B2010" t="inlineStr">
        <is>
          <t>C304</t>
        </is>
      </c>
      <c r="C2010" t="inlineStr">
        <is>
          <t>CORPORATE BANKING</t>
        </is>
      </c>
      <c r="D2010" t="inlineStr">
        <is>
          <t>V</t>
        </is>
      </c>
      <c r="E2010" t="inlineStr">
        <is>
          <t>Stage 3</t>
        </is>
      </c>
      <c r="F2010" t="inlineStr">
        <is>
          <t>N/A</t>
        </is>
      </c>
      <c r="G2010" s="26">
        <v>1002054</v>
      </c>
      <c r="H2010" s="26">
        <v>551129</v>
      </c>
      <c r="I2010" s="26">
        <v>27448</v>
      </c>
      <c r="J2010" s="26">
        <v>95</v>
      </c>
      <c r="K2010" t="inlineStr">
        <is>
          <t>Oui</t>
        </is>
      </c>
      <c r="L2010">
        <f>SUBTOTAL(103,A2010)</f>
        <v>1</v>
      </c>
    </row>
    <row r="2011">
      <c r="A2011" t="inlineStr">
        <is>
          <t>SOCIETE C2361</t>
        </is>
      </c>
      <c r="B2011" t="inlineStr">
        <is>
          <t>C2361</t>
        </is>
      </c>
      <c r="C2011" t="inlineStr">
        <is>
          <t>CORPORATE BANKING</t>
        </is>
      </c>
      <c r="D2011" t="inlineStr">
        <is>
          <t>IA</t>
        </is>
      </c>
      <c r="E2011" t="inlineStr">
        <is>
          <t>Stage 2</t>
        </is>
      </c>
      <c r="F2011" t="inlineStr">
        <is>
          <t>N/A</t>
        </is>
      </c>
      <c r="G2011" s="26">
        <v>1211624949</v>
      </c>
      <c r="H2011" s="26">
        <v>72697497</v>
      </c>
      <c r="I2011" s="26">
        <v>0</v>
      </c>
      <c r="J2011" s="26">
        <v>196</v>
      </c>
      <c r="K2011" t="inlineStr">
        <is>
          <t>Non</t>
        </is>
      </c>
      <c r="L2011">
        <f>SUBTOTAL(103,A2011)</f>
        <v>1</v>
      </c>
    </row>
    <row r="2012">
      <c r="A2012" t="inlineStr">
        <is>
          <t>SOCIETE C2122</t>
        </is>
      </c>
      <c r="B2012" t="inlineStr">
        <is>
          <t>C2122</t>
        </is>
      </c>
      <c r="C2012" t="inlineStr">
        <is>
          <t>CONSUMER BANKING</t>
        </is>
      </c>
      <c r="D2012" t="inlineStr">
        <is>
          <t>I</t>
        </is>
      </c>
      <c r="E2012" t="inlineStr">
        <is>
          <t>Stage 1</t>
        </is>
      </c>
      <c r="F2012" t="inlineStr">
        <is>
          <t>N/A</t>
        </is>
      </c>
      <c r="G2012" s="26">
        <v>37309817</v>
      </c>
      <c r="H2012" s="26">
        <v>373098</v>
      </c>
      <c r="I2012" s="26">
        <v>0</v>
      </c>
      <c r="J2012" s="26">
        <v>20</v>
      </c>
      <c r="K2012" t="inlineStr">
        <is>
          <t>Non</t>
        </is>
      </c>
      <c r="L2012">
        <f>SUBTOTAL(103,A2012)</f>
        <v>1</v>
      </c>
    </row>
    <row r="2013">
      <c r="A2013" t="inlineStr">
        <is>
          <t>SOCIETE C1159</t>
        </is>
      </c>
      <c r="B2013" t="inlineStr">
        <is>
          <t>C1159</t>
        </is>
      </c>
      <c r="C2013" t="inlineStr">
        <is>
          <t>CORPORATE BANKING</t>
        </is>
      </c>
      <c r="D2013" t="inlineStr">
        <is>
          <t>I</t>
        </is>
      </c>
      <c r="E2013" t="inlineStr">
        <is>
          <t>Stage 1</t>
        </is>
      </c>
      <c r="F2013" t="inlineStr">
        <is>
          <t>N/A</t>
        </is>
      </c>
      <c r="G2013" s="26">
        <v>1091681</v>
      </c>
      <c r="H2013" s="26">
        <v>10917</v>
      </c>
      <c r="I2013" s="26">
        <v>0</v>
      </c>
      <c r="J2013" s="26">
        <v>10</v>
      </c>
      <c r="K2013" t="inlineStr">
        <is>
          <t>Non</t>
        </is>
      </c>
      <c r="L2013">
        <f>SUBTOTAL(103,A2013)</f>
        <v>1</v>
      </c>
    </row>
    <row r="2014">
      <c r="A2014" t="inlineStr">
        <is>
          <t>SOCIETE C610</t>
        </is>
      </c>
      <c r="B2014" t="inlineStr">
        <is>
          <t>C610</t>
        </is>
      </c>
      <c r="C2014" t="inlineStr">
        <is>
          <t>PUBLIC SECTOR</t>
        </is>
      </c>
      <c r="D2014" t="inlineStr">
        <is>
          <t>IV</t>
        </is>
      </c>
      <c r="E2014" t="inlineStr">
        <is>
          <t>Stage 3</t>
        </is>
      </c>
      <c r="F2014" t="inlineStr">
        <is>
          <t>N/A</t>
        </is>
      </c>
      <c r="G2014" s="26">
        <v>558713699</v>
      </c>
      <c r="H2014" s="26">
        <v>307292534</v>
      </c>
      <c r="I2014" s="26">
        <v>0</v>
      </c>
      <c r="J2014" s="26">
        <v>137</v>
      </c>
      <c r="K2014" t="inlineStr">
        <is>
          <t>Oui</t>
        </is>
      </c>
      <c r="L2014">
        <f>SUBTOTAL(103,A2014)</f>
        <v>1</v>
      </c>
    </row>
    <row r="2015">
      <c r="A2015" t="inlineStr">
        <is>
          <t>SOCIETE C1923</t>
        </is>
      </c>
      <c r="B2015" t="inlineStr">
        <is>
          <t>C1923</t>
        </is>
      </c>
      <c r="C2015" t="inlineStr">
        <is>
          <t>CORPORATE BANKING</t>
        </is>
      </c>
      <c r="D2015" t="inlineStr">
        <is>
          <t>IA</t>
        </is>
      </c>
      <c r="E2015" t="inlineStr">
        <is>
          <t>Stage 2</t>
        </is>
      </c>
      <c r="F2015" t="inlineStr">
        <is>
          <t>N/A</t>
        </is>
      </c>
      <c r="G2015" s="26">
        <v>27902167</v>
      </c>
      <c r="H2015" s="26">
        <v>1674130</v>
      </c>
      <c r="I2015" s="26">
        <v>0</v>
      </c>
      <c r="J2015" s="26">
        <v>250</v>
      </c>
      <c r="K2015" t="inlineStr">
        <is>
          <t>Non</t>
        </is>
      </c>
      <c r="L2015">
        <f>SUBTOTAL(103,A2015)</f>
        <v>1</v>
      </c>
    </row>
    <row r="2016">
      <c r="A2016" t="inlineStr">
        <is>
          <t>SOCIETE C2385</t>
        </is>
      </c>
      <c r="B2016" t="inlineStr">
        <is>
          <t>C2385</t>
        </is>
      </c>
      <c r="C2016" t="inlineStr">
        <is>
          <t>SME</t>
        </is>
      </c>
      <c r="D2016" t="inlineStr">
        <is>
          <t>IA</t>
        </is>
      </c>
      <c r="E2016" t="inlineStr">
        <is>
          <t>Stage 2</t>
        </is>
      </c>
      <c r="F2016" t="inlineStr">
        <is>
          <t>N/A</t>
        </is>
      </c>
      <c r="G2016" s="26">
        <v>1006364</v>
      </c>
      <c r="H2016" s="26">
        <v>60382</v>
      </c>
      <c r="I2016" s="26">
        <v>7017</v>
      </c>
      <c r="J2016" s="26">
        <v>285</v>
      </c>
      <c r="K2016" t="inlineStr">
        <is>
          <t>Non</t>
        </is>
      </c>
      <c r="L2016">
        <f>SUBTOTAL(103,A2016)</f>
        <v>1</v>
      </c>
    </row>
    <row r="2017">
      <c r="A2017" t="inlineStr">
        <is>
          <t>SOCIETE C2010</t>
        </is>
      </c>
      <c r="B2017" t="inlineStr">
        <is>
          <t>C2010</t>
        </is>
      </c>
      <c r="C2017" t="inlineStr">
        <is>
          <t>COMMERCIAL BANKING</t>
        </is>
      </c>
      <c r="D2017" t="inlineStr">
        <is>
          <t>IA</t>
        </is>
      </c>
      <c r="E2017" t="inlineStr">
        <is>
          <t>Stage 2</t>
        </is>
      </c>
      <c r="F2017" t="inlineStr">
        <is>
          <t>N/A</t>
        </is>
      </c>
      <c r="G2017" s="26">
        <v>20410397</v>
      </c>
      <c r="H2017" s="26">
        <v>1224624</v>
      </c>
      <c r="I2017" s="26">
        <v>0</v>
      </c>
      <c r="J2017" s="26">
        <v>30</v>
      </c>
      <c r="K2017" t="inlineStr">
        <is>
          <t>Non</t>
        </is>
      </c>
      <c r="L2017">
        <f>SUBTOTAL(103,A2017)</f>
        <v>1</v>
      </c>
    </row>
    <row r="2018">
      <c r="A2018" t="inlineStr">
        <is>
          <t>SOCIETE C1459</t>
        </is>
      </c>
      <c r="B2018" t="inlineStr">
        <is>
          <t>C1459</t>
        </is>
      </c>
      <c r="C2018" t="inlineStr">
        <is>
          <t>COMMERCIAL BANKING</t>
        </is>
      </c>
      <c r="D2018" t="inlineStr">
        <is>
          <t>I</t>
        </is>
      </c>
      <c r="E2018" t="inlineStr">
        <is>
          <t>Stage 1</t>
        </is>
      </c>
      <c r="F2018" t="inlineStr">
        <is>
          <t>N/A</t>
        </is>
      </c>
      <c r="G2018" s="26">
        <v>14599631</v>
      </c>
      <c r="H2018" s="26">
        <v>145996</v>
      </c>
      <c r="I2018" s="26">
        <v>0</v>
      </c>
      <c r="J2018" s="26">
        <v>241</v>
      </c>
      <c r="K2018" t="inlineStr">
        <is>
          <t>Non</t>
        </is>
      </c>
      <c r="L2018">
        <f>SUBTOTAL(103,A2018)</f>
        <v>1</v>
      </c>
    </row>
    <row r="2019">
      <c r="A2019" t="inlineStr">
        <is>
          <t>SOCIETE C166</t>
        </is>
      </c>
      <c r="B2019" t="inlineStr">
        <is>
          <t>C166</t>
        </is>
      </c>
      <c r="C2019" t="inlineStr">
        <is>
          <t>PUBLIC SECTOR</t>
        </is>
      </c>
      <c r="D2019" t="inlineStr">
        <is>
          <t>III</t>
        </is>
      </c>
      <c r="E2019" t="inlineStr">
        <is>
          <t>Stage 3</t>
        </is>
      </c>
      <c r="F2019" t="inlineStr">
        <is>
          <t>N/A</t>
        </is>
      </c>
      <c r="G2019" s="26">
        <v>1132451118</v>
      </c>
      <c r="H2019" s="26">
        <v>622848115</v>
      </c>
      <c r="I2019" s="26">
        <v>0</v>
      </c>
      <c r="J2019" s="26">
        <v>116</v>
      </c>
      <c r="K2019" t="inlineStr">
        <is>
          <t>Oui</t>
        </is>
      </c>
      <c r="L2019">
        <f>SUBTOTAL(103,A2019)</f>
        <v>1</v>
      </c>
    </row>
    <row r="2020">
      <c r="A2020" t="inlineStr">
        <is>
          <t>SOCIETE C1424</t>
        </is>
      </c>
      <c r="B2020" t="inlineStr">
        <is>
          <t>C1424</t>
        </is>
      </c>
      <c r="C2020" t="inlineStr">
        <is>
          <t>CORPORATE BANKING</t>
        </is>
      </c>
      <c r="D2020" t="inlineStr">
        <is>
          <t>IV</t>
        </is>
      </c>
      <c r="E2020" t="inlineStr">
        <is>
          <t>Stage 3</t>
        </is>
      </c>
      <c r="F2020" t="inlineStr">
        <is>
          <t>N/A</t>
        </is>
      </c>
      <c r="G2020" s="26">
        <v>1372622</v>
      </c>
      <c r="H2020" s="26">
        <v>754942</v>
      </c>
      <c r="I2020" s="26">
        <v>0</v>
      </c>
      <c r="J2020" s="26">
        <v>166</v>
      </c>
      <c r="K2020" t="inlineStr">
        <is>
          <t>Oui</t>
        </is>
      </c>
      <c r="L2020">
        <f>SUBTOTAL(103,A2020)</f>
        <v>1</v>
      </c>
    </row>
    <row r="2021">
      <c r="A2021" t="inlineStr">
        <is>
          <t>SOCIETE C2216</t>
        </is>
      </c>
      <c r="B2021" t="inlineStr">
        <is>
          <t>C2216</t>
        </is>
      </c>
      <c r="C2021" t="inlineStr">
        <is>
          <t>CORPORATE BANKING</t>
        </is>
      </c>
      <c r="D2021" t="inlineStr">
        <is>
          <t>IA</t>
        </is>
      </c>
      <c r="E2021" t="inlineStr">
        <is>
          <t>Stage 2</t>
        </is>
      </c>
      <c r="F2021" t="inlineStr">
        <is>
          <t>N/A</t>
        </is>
      </c>
      <c r="G2021" s="26">
        <v>1764795056</v>
      </c>
      <c r="H2021" s="26">
        <v>105887703</v>
      </c>
      <c r="I2021" s="26">
        <v>0</v>
      </c>
      <c r="J2021" s="26">
        <v>113</v>
      </c>
      <c r="K2021" t="inlineStr">
        <is>
          <t>Non</t>
        </is>
      </c>
      <c r="L2021">
        <f>SUBTOTAL(103,A2021)</f>
        <v>1</v>
      </c>
    </row>
    <row r="2022">
      <c r="A2022" t="inlineStr">
        <is>
          <t>SOCIETE C955</t>
        </is>
      </c>
      <c r="B2022" t="inlineStr">
        <is>
          <t>C955</t>
        </is>
      </c>
      <c r="C2022" t="inlineStr">
        <is>
          <t>CORPORATE BANKING</t>
        </is>
      </c>
      <c r="D2022" t="inlineStr">
        <is>
          <t>IV</t>
        </is>
      </c>
      <c r="E2022" t="inlineStr">
        <is>
          <t>Stage 3</t>
        </is>
      </c>
      <c r="F2022" t="inlineStr">
        <is>
          <t>N/A</t>
        </is>
      </c>
      <c r="G2022" s="26">
        <v>39896289</v>
      </c>
      <c r="H2022" s="26">
        <v>21942959</v>
      </c>
      <c r="I2022" s="26">
        <v>6997205</v>
      </c>
      <c r="J2022" s="26">
        <v>46</v>
      </c>
      <c r="K2022" t="inlineStr">
        <is>
          <t>Oui</t>
        </is>
      </c>
      <c r="L2022">
        <f>SUBTOTAL(103,A2022)</f>
        <v>1</v>
      </c>
    </row>
    <row r="2023">
      <c r="A2023" t="inlineStr">
        <is>
          <t>SOCIETE C450</t>
        </is>
      </c>
      <c r="B2023" t="inlineStr">
        <is>
          <t>C450</t>
        </is>
      </c>
      <c r="C2023" t="inlineStr">
        <is>
          <t>CONSUMER BANKING</t>
        </is>
      </c>
      <c r="D2023" t="inlineStr">
        <is>
          <t>V</t>
        </is>
      </c>
      <c r="E2023" t="inlineStr">
        <is>
          <t>Stage 3</t>
        </is>
      </c>
      <c r="F2023" t="inlineStr">
        <is>
          <t>N/A</t>
        </is>
      </c>
      <c r="G2023" s="26">
        <v>1615613909</v>
      </c>
      <c r="H2023" s="26">
        <v>888587650</v>
      </c>
      <c r="I2023" s="26">
        <v>0</v>
      </c>
      <c r="J2023" s="26">
        <v>324</v>
      </c>
      <c r="K2023" t="inlineStr">
        <is>
          <t>Oui</t>
        </is>
      </c>
      <c r="L2023">
        <f>SUBTOTAL(103,A2023)</f>
        <v>1</v>
      </c>
    </row>
    <row r="2024">
      <c r="A2024" t="inlineStr">
        <is>
          <t>SOCIETE C145</t>
        </is>
      </c>
      <c r="B2024" t="inlineStr">
        <is>
          <t>C145</t>
        </is>
      </c>
      <c r="C2024" t="inlineStr">
        <is>
          <t>COMMERCIAL BANKING</t>
        </is>
      </c>
      <c r="D2024" t="inlineStr">
        <is>
          <t>IA</t>
        </is>
      </c>
      <c r="E2024" t="inlineStr">
        <is>
          <t>Stage 2</t>
        </is>
      </c>
      <c r="F2024" t="inlineStr">
        <is>
          <t>N/A</t>
        </is>
      </c>
      <c r="G2024" s="26">
        <v>254275783</v>
      </c>
      <c r="H2024" s="26">
        <v>15256547</v>
      </c>
      <c r="I2024" s="26">
        <v>0</v>
      </c>
      <c r="J2024" s="26">
        <v>29</v>
      </c>
      <c r="K2024" t="inlineStr">
        <is>
          <t>Non</t>
        </is>
      </c>
      <c r="L2024">
        <f>SUBTOTAL(103,A2024)</f>
        <v>1</v>
      </c>
    </row>
    <row r="2025">
      <c r="A2025" t="inlineStr">
        <is>
          <t>SOCIETE C1836</t>
        </is>
      </c>
      <c r="B2025" t="inlineStr">
        <is>
          <t>C1836</t>
        </is>
      </c>
      <c r="C2025" t="inlineStr">
        <is>
          <t>CONSUMER BANKING</t>
        </is>
      </c>
      <c r="D2025" t="inlineStr">
        <is>
          <t>I</t>
        </is>
      </c>
      <c r="E2025" t="inlineStr">
        <is>
          <t>Stage 1</t>
        </is>
      </c>
      <c r="F2025" t="inlineStr">
        <is>
          <t>N/A</t>
        </is>
      </c>
      <c r="G2025" s="26">
        <v>684629401</v>
      </c>
      <c r="H2025" s="26">
        <v>6846294</v>
      </c>
      <c r="I2025" s="26">
        <v>0</v>
      </c>
      <c r="J2025" s="26">
        <v>63</v>
      </c>
      <c r="K2025" t="inlineStr">
        <is>
          <t>Non</t>
        </is>
      </c>
      <c r="L2025">
        <f>SUBTOTAL(103,A2025)</f>
        <v>1</v>
      </c>
    </row>
    <row r="2026">
      <c r="A2026" t="inlineStr">
        <is>
          <t>SOCIETE C985</t>
        </is>
      </c>
      <c r="B2026" t="inlineStr">
        <is>
          <t>C985</t>
        </is>
      </c>
      <c r="C2026" t="inlineStr">
        <is>
          <t>CONSUMER BANKING</t>
        </is>
      </c>
      <c r="D2026" t="inlineStr">
        <is>
          <t>I</t>
        </is>
      </c>
      <c r="E2026" t="inlineStr">
        <is>
          <t>Stage 1</t>
        </is>
      </c>
      <c r="F2026" t="inlineStr">
        <is>
          <t>N/A</t>
        </is>
      </c>
      <c r="G2026" s="26">
        <v>59136531</v>
      </c>
      <c r="H2026" s="26">
        <v>591365</v>
      </c>
      <c r="I2026" s="26">
        <v>246523</v>
      </c>
      <c r="J2026" s="26">
        <v>27</v>
      </c>
      <c r="K2026" t="inlineStr">
        <is>
          <t>Non</t>
        </is>
      </c>
      <c r="L2026">
        <f>SUBTOTAL(103,A2026)</f>
        <v>1</v>
      </c>
    </row>
    <row r="2027">
      <c r="A2027" t="inlineStr">
        <is>
          <t>SOCIETE C2345</t>
        </is>
      </c>
      <c r="B2027" t="inlineStr">
        <is>
          <t>C2345</t>
        </is>
      </c>
      <c r="C2027" t="inlineStr">
        <is>
          <t>COMMERCIAL BANKING</t>
        </is>
      </c>
      <c r="D2027" t="inlineStr">
        <is>
          <t>I</t>
        </is>
      </c>
      <c r="E2027" t="inlineStr">
        <is>
          <t>Stage 1</t>
        </is>
      </c>
      <c r="F2027" t="inlineStr">
        <is>
          <t>N/A</t>
        </is>
      </c>
      <c r="G2027" s="26">
        <v>14930156</v>
      </c>
      <c r="H2027" s="26">
        <v>149302</v>
      </c>
      <c r="I2027" s="26">
        <v>1117141</v>
      </c>
      <c r="J2027" s="26">
        <v>282</v>
      </c>
      <c r="K2027" t="inlineStr">
        <is>
          <t>Non</t>
        </is>
      </c>
      <c r="L2027">
        <f>SUBTOTAL(103,A2027)</f>
        <v>1</v>
      </c>
    </row>
    <row r="2028">
      <c r="A2028" t="inlineStr">
        <is>
          <t>SOCIETE C2341</t>
        </is>
      </c>
      <c r="B2028" t="inlineStr">
        <is>
          <t>C2341</t>
        </is>
      </c>
      <c r="C2028" t="inlineStr">
        <is>
          <t>CONSUMER BANKING</t>
        </is>
      </c>
      <c r="D2028" t="inlineStr">
        <is>
          <t>I</t>
        </is>
      </c>
      <c r="E2028" t="inlineStr">
        <is>
          <t>Stage 1</t>
        </is>
      </c>
      <c r="F2028" t="inlineStr">
        <is>
          <t>N/A</t>
        </is>
      </c>
      <c r="G2028" s="26">
        <v>641651683</v>
      </c>
      <c r="H2028" s="26">
        <v>6416517</v>
      </c>
      <c r="I2028" s="26">
        <v>0</v>
      </c>
      <c r="J2028" s="26">
        <v>84</v>
      </c>
      <c r="K2028" t="inlineStr">
        <is>
          <t>Non</t>
        </is>
      </c>
      <c r="L2028">
        <f>SUBTOTAL(103,A2028)</f>
        <v>1</v>
      </c>
    </row>
    <row r="2029">
      <c r="A2029" t="inlineStr">
        <is>
          <t>SOCIETE C771</t>
        </is>
      </c>
      <c r="B2029" t="inlineStr">
        <is>
          <t>C771</t>
        </is>
      </c>
      <c r="C2029" t="inlineStr">
        <is>
          <t>COMMERCIAL BANKING</t>
        </is>
      </c>
      <c r="D2029" t="inlineStr">
        <is>
          <t>IA</t>
        </is>
      </c>
      <c r="E2029" t="inlineStr">
        <is>
          <t>Stage 2</t>
        </is>
      </c>
      <c r="F2029" t="inlineStr">
        <is>
          <t>N/A</t>
        </is>
      </c>
      <c r="G2029" s="26">
        <v>1803948485</v>
      </c>
      <c r="H2029" s="26">
        <v>108236909</v>
      </c>
      <c r="I2029" s="26">
        <v>0</v>
      </c>
      <c r="J2029" s="26">
        <v>104</v>
      </c>
      <c r="K2029" t="inlineStr">
        <is>
          <t>Non</t>
        </is>
      </c>
      <c r="L2029">
        <f>SUBTOTAL(103,A2029)</f>
        <v>1</v>
      </c>
    </row>
    <row r="2030">
      <c r="A2030" t="inlineStr">
        <is>
          <t>SOCIETE C1615</t>
        </is>
      </c>
      <c r="B2030" t="inlineStr">
        <is>
          <t>C1615</t>
        </is>
      </c>
      <c r="C2030" t="inlineStr">
        <is>
          <t>SME</t>
        </is>
      </c>
      <c r="D2030" t="inlineStr">
        <is>
          <t>I</t>
        </is>
      </c>
      <c r="E2030" t="inlineStr">
        <is>
          <t>Stage 1</t>
        </is>
      </c>
      <c r="F2030" t="inlineStr">
        <is>
          <t>N/A</t>
        </is>
      </c>
      <c r="G2030" s="26">
        <v>2293467317</v>
      </c>
      <c r="H2030" s="26">
        <v>22934673</v>
      </c>
      <c r="I2030" s="26">
        <v>125054079</v>
      </c>
      <c r="J2030" s="26">
        <v>38</v>
      </c>
      <c r="K2030" t="inlineStr">
        <is>
          <t>Non</t>
        </is>
      </c>
      <c r="L2030">
        <f>SUBTOTAL(103,A2030)</f>
        <v>1</v>
      </c>
    </row>
    <row r="2031">
      <c r="A2031" t="inlineStr">
        <is>
          <t>SOCIETE C1040</t>
        </is>
      </c>
      <c r="B2031" t="inlineStr">
        <is>
          <t>C1040</t>
        </is>
      </c>
      <c r="C2031" t="inlineStr">
        <is>
          <t>CORPORATE BANKING</t>
        </is>
      </c>
      <c r="D2031" t="inlineStr">
        <is>
          <t>I</t>
        </is>
      </c>
      <c r="E2031" t="inlineStr">
        <is>
          <t>Stage 1</t>
        </is>
      </c>
      <c r="F2031" t="inlineStr">
        <is>
          <t>N/A</t>
        </is>
      </c>
      <c r="G2031" s="26">
        <v>911662341</v>
      </c>
      <c r="H2031" s="26">
        <v>9116623</v>
      </c>
      <c r="I2031" s="26">
        <v>76960986</v>
      </c>
      <c r="J2031" s="26">
        <v>18</v>
      </c>
      <c r="K2031" t="inlineStr">
        <is>
          <t>Non</t>
        </is>
      </c>
      <c r="L2031">
        <f>SUBTOTAL(103,A2031)</f>
        <v>1</v>
      </c>
    </row>
    <row r="2032">
      <c r="A2032" t="inlineStr">
        <is>
          <t>SOCIETE C673</t>
        </is>
      </c>
      <c r="B2032" t="inlineStr">
        <is>
          <t>C673</t>
        </is>
      </c>
      <c r="C2032" t="inlineStr">
        <is>
          <t>PUBLIC SECTOR</t>
        </is>
      </c>
      <c r="D2032" t="inlineStr">
        <is>
          <t>III</t>
        </is>
      </c>
      <c r="E2032" t="inlineStr">
        <is>
          <t>Stage 3</t>
        </is>
      </c>
      <c r="F2032" t="inlineStr">
        <is>
          <t>N/A</t>
        </is>
      </c>
      <c r="G2032" s="26">
        <v>107472972</v>
      </c>
      <c r="H2032" s="26">
        <v>59110134</v>
      </c>
      <c r="I2032" s="26">
        <v>0</v>
      </c>
      <c r="J2032" s="26">
        <v>44</v>
      </c>
      <c r="K2032" t="inlineStr">
        <is>
          <t>Oui</t>
        </is>
      </c>
      <c r="L2032">
        <f>SUBTOTAL(103,A2032)</f>
        <v>1</v>
      </c>
    </row>
    <row r="2033">
      <c r="A2033" t="inlineStr">
        <is>
          <t>SOCIETE C2370</t>
        </is>
      </c>
      <c r="B2033" t="inlineStr">
        <is>
          <t>C2370</t>
        </is>
      </c>
      <c r="C2033" t="inlineStr">
        <is>
          <t>COMMERCIAL BANKING</t>
        </is>
      </c>
      <c r="D2033" t="inlineStr">
        <is>
          <t>IA</t>
        </is>
      </c>
      <c r="E2033" t="inlineStr">
        <is>
          <t>Stage 2</t>
        </is>
      </c>
      <c r="F2033" t="inlineStr">
        <is>
          <t>N/A</t>
        </is>
      </c>
      <c r="G2033" s="26">
        <v>2724512931</v>
      </c>
      <c r="H2033" s="26">
        <v>163470776</v>
      </c>
      <c r="I2033" s="26">
        <v>0</v>
      </c>
      <c r="J2033" s="26">
        <v>23</v>
      </c>
      <c r="K2033" t="inlineStr">
        <is>
          <t>Non</t>
        </is>
      </c>
      <c r="L2033">
        <f>SUBTOTAL(103,A2033)</f>
        <v>1</v>
      </c>
    </row>
    <row r="2034">
      <c r="A2034" t="inlineStr">
        <is>
          <t>SOCIETE C1701</t>
        </is>
      </c>
      <c r="B2034" t="inlineStr">
        <is>
          <t>C1701</t>
        </is>
      </c>
      <c r="C2034" t="inlineStr">
        <is>
          <t>CORPORATE BANKING</t>
        </is>
      </c>
      <c r="D2034" t="inlineStr">
        <is>
          <t>IA</t>
        </is>
      </c>
      <c r="E2034" t="inlineStr">
        <is>
          <t>Stage 2</t>
        </is>
      </c>
      <c r="F2034" t="inlineStr">
        <is>
          <t>N/A</t>
        </is>
      </c>
      <c r="G2034" s="26">
        <v>2152359460</v>
      </c>
      <c r="H2034" s="26">
        <v>129141568</v>
      </c>
      <c r="I2034" s="26">
        <v>0</v>
      </c>
      <c r="J2034" s="26">
        <v>82</v>
      </c>
      <c r="K2034" t="inlineStr">
        <is>
          <t>Non</t>
        </is>
      </c>
      <c r="L2034">
        <f>SUBTOTAL(103,A2034)</f>
        <v>1</v>
      </c>
    </row>
    <row r="2035">
      <c r="A2035" t="inlineStr">
        <is>
          <t>SOCIETE C108</t>
        </is>
      </c>
      <c r="B2035" t="inlineStr">
        <is>
          <t>C108</t>
        </is>
      </c>
      <c r="C2035" t="inlineStr">
        <is>
          <t>PUBLIC SECTOR</t>
        </is>
      </c>
      <c r="D2035" t="inlineStr">
        <is>
          <t>I</t>
        </is>
      </c>
      <c r="E2035" t="inlineStr">
        <is>
          <t>Stage 1</t>
        </is>
      </c>
      <c r="F2035" t="inlineStr">
        <is>
          <t>N/A</t>
        </is>
      </c>
      <c r="G2035" s="26">
        <v>934741798</v>
      </c>
      <c r="H2035" s="26">
        <v>9347418</v>
      </c>
      <c r="I2035" s="26">
        <v>0</v>
      </c>
      <c r="J2035" s="26">
        <v>129</v>
      </c>
      <c r="K2035" t="inlineStr">
        <is>
          <t>Non</t>
        </is>
      </c>
      <c r="L2035">
        <f>SUBTOTAL(103,A2035)</f>
        <v>1</v>
      </c>
    </row>
    <row r="2036">
      <c r="A2036" t="inlineStr">
        <is>
          <t>SOCIETE C772</t>
        </is>
      </c>
      <c r="B2036" t="inlineStr">
        <is>
          <t>C772</t>
        </is>
      </c>
      <c r="C2036" t="inlineStr">
        <is>
          <t>CORPORATE BANKING</t>
        </is>
      </c>
      <c r="D2036" t="inlineStr">
        <is>
          <t>II</t>
        </is>
      </c>
      <c r="E2036" t="inlineStr">
        <is>
          <t>Stage 2</t>
        </is>
      </c>
      <c r="F2036" t="inlineStr">
        <is>
          <t>N/A</t>
        </is>
      </c>
      <c r="G2036" s="26">
        <v>130536255</v>
      </c>
      <c r="H2036" s="26">
        <v>7832175</v>
      </c>
      <c r="I2036" s="26">
        <v>0</v>
      </c>
      <c r="J2036" s="26">
        <v>21</v>
      </c>
      <c r="K2036" t="inlineStr">
        <is>
          <t>Non</t>
        </is>
      </c>
      <c r="L2036">
        <f>SUBTOTAL(103,A2036)</f>
        <v>1</v>
      </c>
    </row>
    <row r="2037">
      <c r="A2037" t="inlineStr">
        <is>
          <t>SOCIETE C256</t>
        </is>
      </c>
      <c r="B2037" t="inlineStr">
        <is>
          <t>C256</t>
        </is>
      </c>
      <c r="C2037" t="inlineStr">
        <is>
          <t>CORPORATE BANKING</t>
        </is>
      </c>
      <c r="D2037" t="inlineStr">
        <is>
          <t>III</t>
        </is>
      </c>
      <c r="E2037" t="inlineStr">
        <is>
          <t>Stage 3</t>
        </is>
      </c>
      <c r="F2037" t="inlineStr">
        <is>
          <t>N/A</t>
        </is>
      </c>
      <c r="G2037" s="26">
        <v>2334645707</v>
      </c>
      <c r="H2037" s="26">
        <v>1284055139</v>
      </c>
      <c r="I2037" s="26">
        <v>0</v>
      </c>
      <c r="J2037" s="26">
        <v>314</v>
      </c>
      <c r="K2037" t="inlineStr">
        <is>
          <t>Oui</t>
        </is>
      </c>
      <c r="L2037">
        <f>SUBTOTAL(103,A2037)</f>
        <v>1</v>
      </c>
    </row>
    <row r="2038">
      <c r="A2038" t="inlineStr">
        <is>
          <t>SOCIETE C1981</t>
        </is>
      </c>
      <c r="B2038" t="inlineStr">
        <is>
          <t>C1981</t>
        </is>
      </c>
      <c r="C2038" t="inlineStr">
        <is>
          <t>CORPORATE BANKING</t>
        </is>
      </c>
      <c r="D2038" t="inlineStr">
        <is>
          <t>I</t>
        </is>
      </c>
      <c r="E2038" t="inlineStr">
        <is>
          <t>Stage 1</t>
        </is>
      </c>
      <c r="F2038" t="inlineStr">
        <is>
          <t>N/A</t>
        </is>
      </c>
      <c r="G2038" s="26">
        <v>1509472287</v>
      </c>
      <c r="H2038" s="26">
        <v>15094723</v>
      </c>
      <c r="I2038" s="26">
        <v>107401156</v>
      </c>
      <c r="J2038" s="26">
        <v>31</v>
      </c>
      <c r="K2038" t="inlineStr">
        <is>
          <t>Non</t>
        </is>
      </c>
      <c r="L2038">
        <f>SUBTOTAL(103,A2038)</f>
        <v>1</v>
      </c>
    </row>
    <row r="2039">
      <c r="A2039" t="inlineStr">
        <is>
          <t>SOCIETE C1711</t>
        </is>
      </c>
      <c r="B2039" t="inlineStr">
        <is>
          <t>C1711</t>
        </is>
      </c>
      <c r="C2039" t="inlineStr">
        <is>
          <t>CORPORATE BANKING</t>
        </is>
      </c>
      <c r="D2039" t="inlineStr">
        <is>
          <t>III</t>
        </is>
      </c>
      <c r="E2039" t="inlineStr">
        <is>
          <t>Stage 3</t>
        </is>
      </c>
      <c r="F2039" t="inlineStr">
        <is>
          <t>N/A</t>
        </is>
      </c>
      <c r="G2039" s="26">
        <v>539991541</v>
      </c>
      <c r="H2039" s="26">
        <v>296995348</v>
      </c>
      <c r="I2039" s="26">
        <v>0</v>
      </c>
      <c r="J2039" s="26">
        <v>4</v>
      </c>
      <c r="K2039" t="inlineStr">
        <is>
          <t>Oui</t>
        </is>
      </c>
      <c r="L2039">
        <f>SUBTOTAL(103,A2039)</f>
        <v>1</v>
      </c>
    </row>
    <row r="2040">
      <c r="A2040" t="inlineStr">
        <is>
          <t>SOCIETE C999</t>
        </is>
      </c>
      <c r="B2040" t="inlineStr">
        <is>
          <t>C999</t>
        </is>
      </c>
      <c r="C2040" t="inlineStr">
        <is>
          <t>CORPORATE BANKING</t>
        </is>
      </c>
      <c r="D2040" t="inlineStr">
        <is>
          <t>V</t>
        </is>
      </c>
      <c r="E2040" t="inlineStr">
        <is>
          <t>Stage 3</t>
        </is>
      </c>
      <c r="F2040" t="inlineStr">
        <is>
          <t>N/A</t>
        </is>
      </c>
      <c r="G2040" s="26">
        <v>1498530325</v>
      </c>
      <c r="H2040" s="26">
        <v>824191679</v>
      </c>
      <c r="I2040" s="26">
        <v>141609951</v>
      </c>
      <c r="J2040" s="26">
        <v>42</v>
      </c>
      <c r="K2040" t="inlineStr">
        <is>
          <t>Oui</t>
        </is>
      </c>
      <c r="L2040">
        <f>SUBTOTAL(103,A2040)</f>
        <v>1</v>
      </c>
    </row>
    <row r="2041">
      <c r="A2041" t="inlineStr">
        <is>
          <t>SOCIETE C929</t>
        </is>
      </c>
      <c r="B2041" t="inlineStr">
        <is>
          <t>C929</t>
        </is>
      </c>
      <c r="C2041" t="inlineStr">
        <is>
          <t>SME</t>
        </is>
      </c>
      <c r="D2041" t="inlineStr">
        <is>
          <t>IV</t>
        </is>
      </c>
      <c r="E2041" t="inlineStr">
        <is>
          <t>Stage 3</t>
        </is>
      </c>
      <c r="F2041" t="inlineStr">
        <is>
          <t>N/A</t>
        </is>
      </c>
      <c r="G2041" s="26">
        <v>2007179099</v>
      </c>
      <c r="H2041" s="26">
        <v>1103948504</v>
      </c>
      <c r="I2041" s="26">
        <v>0</v>
      </c>
      <c r="J2041" s="26">
        <v>88</v>
      </c>
      <c r="K2041" t="inlineStr">
        <is>
          <t>Oui</t>
        </is>
      </c>
      <c r="L2041">
        <f>SUBTOTAL(103,A2041)</f>
        <v>1</v>
      </c>
    </row>
    <row r="2042">
      <c r="A2042" t="inlineStr">
        <is>
          <t>SOCIETE C2229</t>
        </is>
      </c>
      <c r="B2042" t="inlineStr">
        <is>
          <t>C2229</t>
        </is>
      </c>
      <c r="C2042" t="inlineStr">
        <is>
          <t>PUBLIC SECTOR</t>
        </is>
      </c>
      <c r="D2042" t="inlineStr">
        <is>
          <t>IA</t>
        </is>
      </c>
      <c r="E2042" t="inlineStr">
        <is>
          <t>Stage 2</t>
        </is>
      </c>
      <c r="F2042" t="inlineStr">
        <is>
          <t>N/A</t>
        </is>
      </c>
      <c r="G2042" s="26">
        <v>104075848</v>
      </c>
      <c r="H2042" s="26">
        <v>6244551</v>
      </c>
      <c r="I2042" s="26">
        <v>13043334</v>
      </c>
      <c r="J2042" s="26">
        <v>61</v>
      </c>
      <c r="K2042" t="inlineStr">
        <is>
          <t>Non</t>
        </is>
      </c>
      <c r="L2042">
        <f>SUBTOTAL(103,A2042)</f>
        <v>1</v>
      </c>
    </row>
    <row r="2043">
      <c r="A2043" t="inlineStr">
        <is>
          <t>SOCIETE C229</t>
        </is>
      </c>
      <c r="B2043" t="inlineStr">
        <is>
          <t>C229</t>
        </is>
      </c>
      <c r="C2043" t="inlineStr">
        <is>
          <t>CONSUMER BANKING</t>
        </is>
      </c>
      <c r="D2043" t="inlineStr">
        <is>
          <t>I</t>
        </is>
      </c>
      <c r="E2043" t="inlineStr">
        <is>
          <t>Stage 1</t>
        </is>
      </c>
      <c r="F2043" t="inlineStr">
        <is>
          <t>N/A</t>
        </is>
      </c>
      <c r="G2043" s="26">
        <v>13383820</v>
      </c>
      <c r="H2043" s="26">
        <v>133838</v>
      </c>
      <c r="I2043" s="26">
        <v>0</v>
      </c>
      <c r="J2043" s="26">
        <v>166</v>
      </c>
      <c r="K2043" t="inlineStr">
        <is>
          <t>Non</t>
        </is>
      </c>
      <c r="L2043">
        <f>SUBTOTAL(103,A2043)</f>
        <v>1</v>
      </c>
    </row>
    <row r="2044">
      <c r="A2044" t="inlineStr">
        <is>
          <t>SOCIETE C516</t>
        </is>
      </c>
      <c r="B2044" t="inlineStr">
        <is>
          <t>C516</t>
        </is>
      </c>
      <c r="C2044" t="inlineStr">
        <is>
          <t>CORPORATE BANKING</t>
        </is>
      </c>
      <c r="D2044" t="inlineStr">
        <is>
          <t>I</t>
        </is>
      </c>
      <c r="E2044" t="inlineStr">
        <is>
          <t>Stage 1</t>
        </is>
      </c>
      <c r="F2044" t="inlineStr">
        <is>
          <t>N/A</t>
        </is>
      </c>
      <c r="G2044" s="26">
        <v>291197266</v>
      </c>
      <c r="H2044" s="26">
        <v>2911973</v>
      </c>
      <c r="I2044" s="26">
        <v>32397689</v>
      </c>
      <c r="J2044" s="26">
        <v>76</v>
      </c>
      <c r="K2044" t="inlineStr">
        <is>
          <t>Non</t>
        </is>
      </c>
      <c r="L2044">
        <f>SUBTOTAL(103,A2044)</f>
        <v>1</v>
      </c>
    </row>
    <row r="2045">
      <c r="A2045" t="inlineStr">
        <is>
          <t>SOCIETE C268</t>
        </is>
      </c>
      <c r="B2045" t="inlineStr">
        <is>
          <t>C268</t>
        </is>
      </c>
      <c r="C2045" t="inlineStr">
        <is>
          <t>SME</t>
        </is>
      </c>
      <c r="D2045" t="inlineStr">
        <is>
          <t>II</t>
        </is>
      </c>
      <c r="E2045" t="inlineStr">
        <is>
          <t>Stage 2</t>
        </is>
      </c>
      <c r="F2045" t="inlineStr">
        <is>
          <t>N/A</t>
        </is>
      </c>
      <c r="G2045" s="26">
        <v>2443178929</v>
      </c>
      <c r="H2045" s="26">
        <v>146590736</v>
      </c>
      <c r="I2045" s="26">
        <v>0</v>
      </c>
      <c r="J2045" s="26">
        <v>3</v>
      </c>
      <c r="K2045" t="inlineStr">
        <is>
          <t>Non</t>
        </is>
      </c>
      <c r="L2045">
        <f>SUBTOTAL(103,A2045)</f>
        <v>1</v>
      </c>
    </row>
    <row r="2046">
      <c r="A2046" t="inlineStr">
        <is>
          <t>SOCIETE C2473</t>
        </is>
      </c>
      <c r="B2046" t="inlineStr">
        <is>
          <t>C2473</t>
        </is>
      </c>
      <c r="C2046" t="inlineStr">
        <is>
          <t>COMMERCIAL BANKING</t>
        </is>
      </c>
      <c r="D2046" t="inlineStr">
        <is>
          <t>I</t>
        </is>
      </c>
      <c r="E2046" t="inlineStr">
        <is>
          <t>Stage 1</t>
        </is>
      </c>
      <c r="F2046" t="inlineStr">
        <is>
          <t>N/A</t>
        </is>
      </c>
      <c r="G2046" s="26">
        <v>172699952</v>
      </c>
      <c r="H2046" s="26">
        <v>1727000</v>
      </c>
      <c r="I2046" s="26">
        <v>0</v>
      </c>
      <c r="J2046" s="26">
        <v>38</v>
      </c>
      <c r="K2046" t="inlineStr">
        <is>
          <t>Non</t>
        </is>
      </c>
      <c r="L2046">
        <f>SUBTOTAL(103,A2046)</f>
        <v>1</v>
      </c>
    </row>
    <row r="2047">
      <c r="A2047" t="inlineStr">
        <is>
          <t>SOCIETE C2097</t>
        </is>
      </c>
      <c r="B2047" t="inlineStr">
        <is>
          <t>C2097</t>
        </is>
      </c>
      <c r="C2047" t="inlineStr">
        <is>
          <t>COMMERCIAL BANKING</t>
        </is>
      </c>
      <c r="D2047" t="inlineStr">
        <is>
          <t>I</t>
        </is>
      </c>
      <c r="E2047" t="inlineStr">
        <is>
          <t>Stage 1</t>
        </is>
      </c>
      <c r="F2047" t="inlineStr">
        <is>
          <t>N/A</t>
        </is>
      </c>
      <c r="G2047" s="26">
        <v>115567879</v>
      </c>
      <c r="H2047" s="26">
        <v>1155679</v>
      </c>
      <c r="I2047" s="26">
        <v>0</v>
      </c>
      <c r="J2047" s="26">
        <v>22</v>
      </c>
      <c r="K2047" t="inlineStr">
        <is>
          <t>Non</t>
        </is>
      </c>
      <c r="L2047">
        <f>SUBTOTAL(103,A2047)</f>
        <v>1</v>
      </c>
    </row>
    <row r="2048">
      <c r="A2048" t="inlineStr">
        <is>
          <t>SOCIETE C750</t>
        </is>
      </c>
      <c r="B2048" t="inlineStr">
        <is>
          <t>C750</t>
        </is>
      </c>
      <c r="C2048" t="inlineStr">
        <is>
          <t>PUBLIC SECTOR</t>
        </is>
      </c>
      <c r="D2048" t="inlineStr">
        <is>
          <t>IA</t>
        </is>
      </c>
      <c r="E2048" t="inlineStr">
        <is>
          <t>Stage 2</t>
        </is>
      </c>
      <c r="F2048" t="inlineStr">
        <is>
          <t>N/A</t>
        </is>
      </c>
      <c r="G2048" s="26">
        <v>180555738</v>
      </c>
      <c r="H2048" s="26">
        <v>10833344</v>
      </c>
      <c r="I2048" s="26">
        <v>13020850</v>
      </c>
      <c r="J2048" s="26">
        <v>51</v>
      </c>
      <c r="K2048" t="inlineStr">
        <is>
          <t>Non</t>
        </is>
      </c>
      <c r="L2048">
        <f>SUBTOTAL(103,A2048)</f>
        <v>1</v>
      </c>
    </row>
    <row r="2049">
      <c r="A2049" t="inlineStr">
        <is>
          <t>SOCIETE C214</t>
        </is>
      </c>
      <c r="B2049" t="inlineStr">
        <is>
          <t>C214</t>
        </is>
      </c>
      <c r="C2049" t="inlineStr">
        <is>
          <t>CORPORATE BANKING</t>
        </is>
      </c>
      <c r="D2049" t="inlineStr">
        <is>
          <t>I</t>
        </is>
      </c>
      <c r="E2049" t="inlineStr">
        <is>
          <t>Stage 1</t>
        </is>
      </c>
      <c r="F2049" t="inlineStr">
        <is>
          <t>N/A</t>
        </is>
      </c>
      <c r="G2049" s="26">
        <v>97443043</v>
      </c>
      <c r="H2049" s="26">
        <v>974430</v>
      </c>
      <c r="I2049" s="26">
        <v>8188277</v>
      </c>
      <c r="J2049" s="26">
        <v>108</v>
      </c>
      <c r="K2049" t="inlineStr">
        <is>
          <t>Non</t>
        </is>
      </c>
      <c r="L2049">
        <f>SUBTOTAL(103,A2049)</f>
        <v>1</v>
      </c>
    </row>
    <row r="2050">
      <c r="A2050" t="inlineStr">
        <is>
          <t>SOCIETE C2285</t>
        </is>
      </c>
      <c r="B2050" t="inlineStr">
        <is>
          <t>C2285</t>
        </is>
      </c>
      <c r="C2050" t="inlineStr">
        <is>
          <t>CONSUMER BANKING</t>
        </is>
      </c>
      <c r="D2050" t="inlineStr">
        <is>
          <t>II</t>
        </is>
      </c>
      <c r="E2050" t="inlineStr">
        <is>
          <t>Stage 2</t>
        </is>
      </c>
      <c r="F2050" t="inlineStr">
        <is>
          <t>N/A</t>
        </is>
      </c>
      <c r="G2050" s="26">
        <v>17453091</v>
      </c>
      <c r="H2050" s="26">
        <v>1047185</v>
      </c>
      <c r="I2050" s="26">
        <v>2853299</v>
      </c>
      <c r="J2050" s="26">
        <v>52</v>
      </c>
      <c r="K2050" t="inlineStr">
        <is>
          <t>Non</t>
        </is>
      </c>
      <c r="L2050">
        <f>SUBTOTAL(103,A2050)</f>
        <v>1</v>
      </c>
    </row>
    <row r="2051">
      <c r="A2051" t="inlineStr">
        <is>
          <t>SOCIETE C1629</t>
        </is>
      </c>
      <c r="B2051" t="inlineStr">
        <is>
          <t>C1629</t>
        </is>
      </c>
      <c r="C2051" t="inlineStr">
        <is>
          <t>CONSUMER BANKING</t>
        </is>
      </c>
      <c r="D2051" t="inlineStr">
        <is>
          <t>I</t>
        </is>
      </c>
      <c r="E2051" t="inlineStr">
        <is>
          <t>Stage 1</t>
        </is>
      </c>
      <c r="F2051" t="inlineStr">
        <is>
          <t>N/A</t>
        </is>
      </c>
      <c r="G2051" s="26">
        <v>208464260</v>
      </c>
      <c r="H2051" s="26">
        <v>2084643</v>
      </c>
      <c r="I2051" s="26">
        <v>0</v>
      </c>
      <c r="J2051" s="26">
        <v>77</v>
      </c>
      <c r="K2051" t="inlineStr">
        <is>
          <t>Non</t>
        </is>
      </c>
      <c r="L2051">
        <f>SUBTOTAL(103,A2051)</f>
        <v>1</v>
      </c>
    </row>
    <row r="2052">
      <c r="A2052" t="inlineStr">
        <is>
          <t>SOCIETE C192</t>
        </is>
      </c>
      <c r="B2052" t="inlineStr">
        <is>
          <t>C192</t>
        </is>
      </c>
      <c r="C2052" t="inlineStr">
        <is>
          <t>PUBLIC SECTOR</t>
        </is>
      </c>
      <c r="D2052" t="inlineStr">
        <is>
          <t>IA</t>
        </is>
      </c>
      <c r="E2052" t="inlineStr">
        <is>
          <t>Stage 2</t>
        </is>
      </c>
      <c r="F2052" t="inlineStr">
        <is>
          <t>N/A</t>
        </is>
      </c>
      <c r="G2052" s="26">
        <v>203845925</v>
      </c>
      <c r="H2052" s="26">
        <v>12230755</v>
      </c>
      <c r="I2052" s="26">
        <v>0</v>
      </c>
      <c r="J2052" s="26">
        <v>163</v>
      </c>
      <c r="K2052" t="inlineStr">
        <is>
          <t>Non</t>
        </is>
      </c>
      <c r="L2052">
        <f>SUBTOTAL(103,A2052)</f>
        <v>1</v>
      </c>
    </row>
    <row r="2053">
      <c r="A2053" t="inlineStr">
        <is>
          <t>SOCIETE C745</t>
        </is>
      </c>
      <c r="B2053" t="inlineStr">
        <is>
          <t>C745</t>
        </is>
      </c>
      <c r="C2053" t="inlineStr">
        <is>
          <t>CORPORATE BANKING</t>
        </is>
      </c>
      <c r="D2053" t="inlineStr">
        <is>
          <t>IA</t>
        </is>
      </c>
      <c r="E2053" t="inlineStr">
        <is>
          <t>Stage 2</t>
        </is>
      </c>
      <c r="F2053" t="inlineStr">
        <is>
          <t>N/A</t>
        </is>
      </c>
      <c r="G2053" s="26">
        <v>186184997</v>
      </c>
      <c r="H2053" s="26">
        <v>11171100</v>
      </c>
      <c r="I2053" s="26">
        <v>0</v>
      </c>
      <c r="J2053" s="26">
        <v>13</v>
      </c>
      <c r="K2053" t="inlineStr">
        <is>
          <t>Non</t>
        </is>
      </c>
      <c r="L2053">
        <f>SUBTOTAL(103,A2053)</f>
        <v>1</v>
      </c>
    </row>
    <row r="2054">
      <c r="A2054" t="inlineStr">
        <is>
          <t>SOCIETE C1529</t>
        </is>
      </c>
      <c r="B2054" t="inlineStr">
        <is>
          <t>C1529</t>
        </is>
      </c>
      <c r="C2054" t="inlineStr">
        <is>
          <t>COMMERCIAL BANKING</t>
        </is>
      </c>
      <c r="D2054" t="inlineStr">
        <is>
          <t>I</t>
        </is>
      </c>
      <c r="E2054" t="inlineStr">
        <is>
          <t>Stage 1</t>
        </is>
      </c>
      <c r="F2054" t="inlineStr">
        <is>
          <t>N/A</t>
        </is>
      </c>
      <c r="G2054" s="26">
        <v>1125907388</v>
      </c>
      <c r="H2054" s="26">
        <v>11259074</v>
      </c>
      <c r="I2054" s="26">
        <v>21272177</v>
      </c>
      <c r="J2054" s="26">
        <v>217</v>
      </c>
      <c r="K2054" t="inlineStr">
        <is>
          <t>Non</t>
        </is>
      </c>
      <c r="L2054">
        <f>SUBTOTAL(103,A2054)</f>
        <v>1</v>
      </c>
    </row>
    <row r="2055">
      <c r="A2055" t="inlineStr">
        <is>
          <t>SOCIETE C883</t>
        </is>
      </c>
      <c r="B2055" t="inlineStr">
        <is>
          <t>C883</t>
        </is>
      </c>
      <c r="C2055" t="inlineStr">
        <is>
          <t>CORPORATE BANKING</t>
        </is>
      </c>
      <c r="D2055" t="inlineStr">
        <is>
          <t>IA</t>
        </is>
      </c>
      <c r="E2055" t="inlineStr">
        <is>
          <t>Stage 2</t>
        </is>
      </c>
      <c r="F2055" t="inlineStr">
        <is>
          <t>N/A</t>
        </is>
      </c>
      <c r="G2055" s="26">
        <v>35848007</v>
      </c>
      <c r="H2055" s="26">
        <v>2150880</v>
      </c>
      <c r="I2055" s="26">
        <v>0</v>
      </c>
      <c r="J2055" s="26">
        <v>16</v>
      </c>
      <c r="K2055" t="inlineStr">
        <is>
          <t>Non</t>
        </is>
      </c>
      <c r="L2055">
        <f>SUBTOTAL(103,A2055)</f>
        <v>1</v>
      </c>
    </row>
    <row r="2056">
      <c r="A2056" t="inlineStr">
        <is>
          <t>SOCIETE C961</t>
        </is>
      </c>
      <c r="B2056" t="inlineStr">
        <is>
          <t>C961</t>
        </is>
      </c>
      <c r="C2056" t="inlineStr">
        <is>
          <t>CONSUMER BANKING</t>
        </is>
      </c>
      <c r="D2056" t="inlineStr">
        <is>
          <t>II</t>
        </is>
      </c>
      <c r="E2056" t="inlineStr">
        <is>
          <t>Stage 2</t>
        </is>
      </c>
      <c r="F2056" t="inlineStr">
        <is>
          <t>N/A</t>
        </is>
      </c>
      <c r="G2056" s="26">
        <v>453018671</v>
      </c>
      <c r="H2056" s="26">
        <v>27181120</v>
      </c>
      <c r="I2056" s="26">
        <v>0</v>
      </c>
      <c r="J2056" s="26">
        <v>103</v>
      </c>
      <c r="K2056" t="inlineStr">
        <is>
          <t>Non</t>
        </is>
      </c>
      <c r="L2056">
        <f>SUBTOTAL(103,A2056)</f>
        <v>1</v>
      </c>
    </row>
    <row r="2057">
      <c r="A2057" t="inlineStr">
        <is>
          <t>SOCIETE C2025</t>
        </is>
      </c>
      <c r="B2057" t="inlineStr">
        <is>
          <t>C2025</t>
        </is>
      </c>
      <c r="C2057" t="inlineStr">
        <is>
          <t>CORPORATE BANKING</t>
        </is>
      </c>
      <c r="D2057" t="inlineStr">
        <is>
          <t>II</t>
        </is>
      </c>
      <c r="E2057" t="inlineStr">
        <is>
          <t>Stage 2</t>
        </is>
      </c>
      <c r="F2057" t="inlineStr">
        <is>
          <t>N/A</t>
        </is>
      </c>
      <c r="G2057" s="26">
        <v>29674157</v>
      </c>
      <c r="H2057" s="26">
        <v>1780449</v>
      </c>
      <c r="I2057" s="26">
        <v>5623638</v>
      </c>
      <c r="J2057" s="26">
        <v>239</v>
      </c>
      <c r="K2057" t="inlineStr">
        <is>
          <t>Non</t>
        </is>
      </c>
      <c r="L2057">
        <f>SUBTOTAL(103,A2057)</f>
        <v>1</v>
      </c>
    </row>
    <row r="2058">
      <c r="A2058" t="inlineStr">
        <is>
          <t>SOCIETE C1646</t>
        </is>
      </c>
      <c r="B2058" t="inlineStr">
        <is>
          <t>C1646</t>
        </is>
      </c>
      <c r="C2058" t="inlineStr">
        <is>
          <t>CORPORATE BANKING</t>
        </is>
      </c>
      <c r="D2058" t="inlineStr">
        <is>
          <t>II</t>
        </is>
      </c>
      <c r="E2058" t="inlineStr">
        <is>
          <t>Stage 2</t>
        </is>
      </c>
      <c r="F2058" t="inlineStr">
        <is>
          <t>N/A</t>
        </is>
      </c>
      <c r="G2058" s="26">
        <v>1192055475</v>
      </c>
      <c r="H2058" s="26">
        <v>71523328</v>
      </c>
      <c r="I2058" s="26">
        <v>0</v>
      </c>
      <c r="J2058" s="26">
        <v>36</v>
      </c>
      <c r="K2058" t="inlineStr">
        <is>
          <t>Non</t>
        </is>
      </c>
      <c r="L2058">
        <f>SUBTOTAL(103,A2058)</f>
        <v>1</v>
      </c>
    </row>
    <row r="2059">
      <c r="A2059" t="inlineStr">
        <is>
          <t>SOCIETE C1863</t>
        </is>
      </c>
      <c r="B2059" t="inlineStr">
        <is>
          <t>C1863</t>
        </is>
      </c>
      <c r="C2059" t="inlineStr">
        <is>
          <t>CORPORATE BANKING</t>
        </is>
      </c>
      <c r="D2059" t="inlineStr">
        <is>
          <t>I</t>
        </is>
      </c>
      <c r="E2059" t="inlineStr">
        <is>
          <t>Stage 1</t>
        </is>
      </c>
      <c r="F2059" t="inlineStr">
        <is>
          <t>N/A</t>
        </is>
      </c>
      <c r="G2059" s="26">
        <v>352831608</v>
      </c>
      <c r="H2059" s="26">
        <v>3528316</v>
      </c>
      <c r="I2059" s="26">
        <v>31401777</v>
      </c>
      <c r="J2059" s="26">
        <v>2</v>
      </c>
      <c r="K2059" t="inlineStr">
        <is>
          <t>Non</t>
        </is>
      </c>
      <c r="L2059">
        <f>SUBTOTAL(103,A2059)</f>
        <v>1</v>
      </c>
    </row>
    <row r="2060">
      <c r="A2060" t="inlineStr">
        <is>
          <t>SOCIETE C1402</t>
        </is>
      </c>
      <c r="B2060" t="inlineStr">
        <is>
          <t>C1402</t>
        </is>
      </c>
      <c r="C2060" t="inlineStr">
        <is>
          <t>CORPORATE BANKING</t>
        </is>
      </c>
      <c r="D2060" t="inlineStr">
        <is>
          <t>III</t>
        </is>
      </c>
      <c r="E2060" t="inlineStr">
        <is>
          <t>Stage 3</t>
        </is>
      </c>
      <c r="F2060" t="inlineStr">
        <is>
          <t>N/A</t>
        </is>
      </c>
      <c r="G2060" s="26">
        <v>1677826855</v>
      </c>
      <c r="H2060" s="26">
        <v>922804770</v>
      </c>
      <c r="I2060" s="26">
        <v>28843010</v>
      </c>
      <c r="J2060" s="26">
        <v>129</v>
      </c>
      <c r="K2060" t="inlineStr">
        <is>
          <t>Oui</t>
        </is>
      </c>
      <c r="L2060">
        <f>SUBTOTAL(103,A2060)</f>
        <v>1</v>
      </c>
    </row>
    <row r="2061">
      <c r="A2061" t="inlineStr">
        <is>
          <t>SOCIETE C990</t>
        </is>
      </c>
      <c r="B2061" t="inlineStr">
        <is>
          <t>C990</t>
        </is>
      </c>
      <c r="C2061" t="inlineStr">
        <is>
          <t>CORPORATE BANKING</t>
        </is>
      </c>
      <c r="D2061" t="inlineStr">
        <is>
          <t>I</t>
        </is>
      </c>
      <c r="E2061" t="inlineStr">
        <is>
          <t>Stage 1</t>
        </is>
      </c>
      <c r="F2061" t="inlineStr">
        <is>
          <t>N/A</t>
        </is>
      </c>
      <c r="G2061" s="26">
        <v>1016123</v>
      </c>
      <c r="H2061" s="26">
        <v>10161</v>
      </c>
      <c r="I2061" s="26">
        <v>0</v>
      </c>
      <c r="J2061" s="26">
        <v>6</v>
      </c>
      <c r="K2061" t="inlineStr">
        <is>
          <t>Non</t>
        </is>
      </c>
      <c r="L2061">
        <f>SUBTOTAL(103,A2061)</f>
        <v>1</v>
      </c>
    </row>
    <row r="2062">
      <c r="A2062" t="inlineStr">
        <is>
          <t>SOCIETE C2154</t>
        </is>
      </c>
      <c r="B2062" t="inlineStr">
        <is>
          <t>C2154</t>
        </is>
      </c>
      <c r="C2062" t="inlineStr">
        <is>
          <t>COMMERCIAL BANKING</t>
        </is>
      </c>
      <c r="D2062" t="inlineStr">
        <is>
          <t>I</t>
        </is>
      </c>
      <c r="E2062" t="inlineStr">
        <is>
          <t>Stage 1</t>
        </is>
      </c>
      <c r="F2062" t="inlineStr">
        <is>
          <t>N/A</t>
        </is>
      </c>
      <c r="G2062" s="26">
        <v>345836864</v>
      </c>
      <c r="H2062" s="26">
        <v>3458369</v>
      </c>
      <c r="I2062" s="26">
        <v>57222743</v>
      </c>
      <c r="J2062" s="26">
        <v>72</v>
      </c>
      <c r="K2062" t="inlineStr">
        <is>
          <t>Non</t>
        </is>
      </c>
      <c r="L2062">
        <f>SUBTOTAL(103,A2062)</f>
        <v>1</v>
      </c>
    </row>
    <row r="2063">
      <c r="A2063" t="inlineStr">
        <is>
          <t>SOCIETE C271</t>
        </is>
      </c>
      <c r="B2063" t="inlineStr">
        <is>
          <t>C271</t>
        </is>
      </c>
      <c r="C2063" t="inlineStr">
        <is>
          <t>CORPORATE BANKING</t>
        </is>
      </c>
      <c r="D2063" t="inlineStr">
        <is>
          <t>I</t>
        </is>
      </c>
      <c r="E2063" t="inlineStr">
        <is>
          <t>Stage 1</t>
        </is>
      </c>
      <c r="F2063" t="inlineStr">
        <is>
          <t>N/A</t>
        </is>
      </c>
      <c r="G2063" s="26">
        <v>1711311568</v>
      </c>
      <c r="H2063" s="26">
        <v>17113116</v>
      </c>
      <c r="I2063" s="26">
        <v>0</v>
      </c>
      <c r="J2063" s="26">
        <v>314</v>
      </c>
      <c r="K2063" t="inlineStr">
        <is>
          <t>Non</t>
        </is>
      </c>
      <c r="L2063">
        <f>SUBTOTAL(103,A2063)</f>
        <v>1</v>
      </c>
    </row>
    <row r="2064">
      <c r="A2064" t="inlineStr">
        <is>
          <t>SOCIETE C282</t>
        </is>
      </c>
      <c r="B2064" t="inlineStr">
        <is>
          <t>C282</t>
        </is>
      </c>
      <c r="C2064" t="inlineStr">
        <is>
          <t>CONSUMER BANKING</t>
        </is>
      </c>
      <c r="D2064" t="inlineStr">
        <is>
          <t>II</t>
        </is>
      </c>
      <c r="E2064" t="inlineStr">
        <is>
          <t>Stage 2</t>
        </is>
      </c>
      <c r="F2064" t="inlineStr">
        <is>
          <t>N/A</t>
        </is>
      </c>
      <c r="G2064" s="26">
        <v>378631799</v>
      </c>
      <c r="H2064" s="26">
        <v>22717908</v>
      </c>
      <c r="I2064" s="26">
        <v>0</v>
      </c>
      <c r="J2064" s="26">
        <v>12</v>
      </c>
      <c r="K2064" t="inlineStr">
        <is>
          <t>Non</t>
        </is>
      </c>
      <c r="L2064">
        <f>SUBTOTAL(103,A2064)</f>
        <v>1</v>
      </c>
    </row>
    <row r="2065">
      <c r="A2065" t="inlineStr">
        <is>
          <t>SOCIETE C123</t>
        </is>
      </c>
      <c r="B2065" t="inlineStr">
        <is>
          <t>C123</t>
        </is>
      </c>
      <c r="C2065" t="inlineStr">
        <is>
          <t>CORPORATE BANKING</t>
        </is>
      </c>
      <c r="D2065" t="inlineStr">
        <is>
          <t>I</t>
        </is>
      </c>
      <c r="E2065" t="inlineStr">
        <is>
          <t>Stage 1</t>
        </is>
      </c>
      <c r="F2065" t="inlineStr">
        <is>
          <t>N/A</t>
        </is>
      </c>
      <c r="G2065" s="26">
        <v>1132166792</v>
      </c>
      <c r="H2065" s="26">
        <v>11321668</v>
      </c>
      <c r="I2065" s="26">
        <v>0</v>
      </c>
      <c r="J2065" s="26">
        <v>345</v>
      </c>
      <c r="K2065" t="inlineStr">
        <is>
          <t>Non</t>
        </is>
      </c>
      <c r="L2065">
        <f>SUBTOTAL(103,A2065)</f>
        <v>1</v>
      </c>
    </row>
    <row r="2066">
      <c r="A2066" t="inlineStr">
        <is>
          <t>SOCIETE C850</t>
        </is>
      </c>
      <c r="B2066" t="inlineStr">
        <is>
          <t>C850</t>
        </is>
      </c>
      <c r="C2066" t="inlineStr">
        <is>
          <t>COMMERCIAL BANKING</t>
        </is>
      </c>
      <c r="D2066" t="inlineStr">
        <is>
          <t>I</t>
        </is>
      </c>
      <c r="E2066" t="inlineStr">
        <is>
          <t>Stage 1</t>
        </is>
      </c>
      <c r="F2066" t="inlineStr">
        <is>
          <t>N/A</t>
        </is>
      </c>
      <c r="G2066" s="26">
        <v>2409826440</v>
      </c>
      <c r="H2066" s="26">
        <v>24098264</v>
      </c>
      <c r="I2066" s="26">
        <v>0</v>
      </c>
      <c r="J2066" s="26">
        <v>124</v>
      </c>
      <c r="K2066" t="inlineStr">
        <is>
          <t>Non</t>
        </is>
      </c>
      <c r="L2066">
        <f>SUBTOTAL(103,A2066)</f>
        <v>1</v>
      </c>
    </row>
    <row r="2067">
      <c r="A2067" t="inlineStr">
        <is>
          <t>SOCIETE C1435</t>
        </is>
      </c>
      <c r="B2067" t="inlineStr">
        <is>
          <t>C1435</t>
        </is>
      </c>
      <c r="C2067" t="inlineStr">
        <is>
          <t>CONSUMER BANKING</t>
        </is>
      </c>
      <c r="D2067" t="inlineStr">
        <is>
          <t>II</t>
        </is>
      </c>
      <c r="E2067" t="inlineStr">
        <is>
          <t>Stage 2</t>
        </is>
      </c>
      <c r="F2067" t="inlineStr">
        <is>
          <t>N/A</t>
        </is>
      </c>
      <c r="G2067" s="26">
        <v>436128458</v>
      </c>
      <c r="H2067" s="26">
        <v>26167707</v>
      </c>
      <c r="I2067" s="26">
        <v>0</v>
      </c>
      <c r="J2067" s="26">
        <v>80</v>
      </c>
      <c r="K2067" t="inlineStr">
        <is>
          <t>Non</t>
        </is>
      </c>
      <c r="L2067">
        <f>SUBTOTAL(103,A2067)</f>
        <v>1</v>
      </c>
    </row>
    <row r="2068">
      <c r="A2068" t="inlineStr">
        <is>
          <t>SOCIETE C2485</t>
        </is>
      </c>
      <c r="B2068" t="inlineStr">
        <is>
          <t>C2485</t>
        </is>
      </c>
      <c r="C2068" t="inlineStr">
        <is>
          <t>CORPORATE BANKING</t>
        </is>
      </c>
      <c r="D2068" t="inlineStr">
        <is>
          <t>V</t>
        </is>
      </c>
      <c r="E2068" t="inlineStr">
        <is>
          <t>Stage 3</t>
        </is>
      </c>
      <c r="F2068" t="inlineStr">
        <is>
          <t>N/A</t>
        </is>
      </c>
      <c r="G2068" s="26">
        <v>1661685430</v>
      </c>
      <c r="H2068" s="26">
        <v>913926986</v>
      </c>
      <c r="I2068" s="26">
        <v>0</v>
      </c>
      <c r="J2068" s="26">
        <v>195</v>
      </c>
      <c r="K2068" t="inlineStr">
        <is>
          <t>Oui</t>
        </is>
      </c>
      <c r="L2068">
        <f>SUBTOTAL(103,A2068)</f>
        <v>1</v>
      </c>
    </row>
    <row r="2069">
      <c r="A2069" t="inlineStr">
        <is>
          <t>SOCIETE C557</t>
        </is>
      </c>
      <c r="B2069" t="inlineStr">
        <is>
          <t>C557</t>
        </is>
      </c>
      <c r="C2069" t="inlineStr">
        <is>
          <t>PUBLIC SECTOR</t>
        </is>
      </c>
      <c r="D2069" t="inlineStr">
        <is>
          <t>I</t>
        </is>
      </c>
      <c r="E2069" t="inlineStr">
        <is>
          <t>Stage 1</t>
        </is>
      </c>
      <c r="F2069" t="inlineStr">
        <is>
          <t>N/A</t>
        </is>
      </c>
      <c r="G2069" s="26">
        <v>270175576</v>
      </c>
      <c r="H2069" s="26">
        <v>2701756</v>
      </c>
      <c r="I2069" s="26">
        <v>0</v>
      </c>
      <c r="J2069" s="26">
        <v>264</v>
      </c>
      <c r="K2069" t="inlineStr">
        <is>
          <t>Non</t>
        </is>
      </c>
      <c r="L2069">
        <f>SUBTOTAL(103,A2069)</f>
        <v>1</v>
      </c>
    </row>
    <row r="2070">
      <c r="A2070" t="inlineStr">
        <is>
          <t>SOCIETE C781</t>
        </is>
      </c>
      <c r="B2070" t="inlineStr">
        <is>
          <t>C781</t>
        </is>
      </c>
      <c r="C2070" t="inlineStr">
        <is>
          <t>CORPORATE BANKING</t>
        </is>
      </c>
      <c r="D2070" t="inlineStr">
        <is>
          <t>III</t>
        </is>
      </c>
      <c r="E2070" t="inlineStr">
        <is>
          <t>Stage 3</t>
        </is>
      </c>
      <c r="F2070" t="inlineStr">
        <is>
          <t>N/A</t>
        </is>
      </c>
      <c r="G2070" s="26">
        <v>25690064</v>
      </c>
      <c r="H2070" s="26">
        <v>14129535</v>
      </c>
      <c r="I2070" s="26">
        <v>0</v>
      </c>
      <c r="J2070" s="26">
        <v>209</v>
      </c>
      <c r="K2070" t="inlineStr">
        <is>
          <t>Oui</t>
        </is>
      </c>
      <c r="L2070">
        <f>SUBTOTAL(103,A2070)</f>
        <v>1</v>
      </c>
    </row>
    <row r="2071">
      <c r="A2071" t="inlineStr">
        <is>
          <t>SOCIETE C2150</t>
        </is>
      </c>
      <c r="B2071" t="inlineStr">
        <is>
          <t>C2150</t>
        </is>
      </c>
      <c r="C2071" t="inlineStr">
        <is>
          <t>SME</t>
        </is>
      </c>
      <c r="D2071" t="inlineStr">
        <is>
          <t>I</t>
        </is>
      </c>
      <c r="E2071" t="inlineStr">
        <is>
          <t>Stage 1</t>
        </is>
      </c>
      <c r="F2071" t="inlineStr">
        <is>
          <t>N/A</t>
        </is>
      </c>
      <c r="G2071" s="26">
        <v>723735097</v>
      </c>
      <c r="H2071" s="26">
        <v>7237351</v>
      </c>
      <c r="I2071" s="26">
        <v>0</v>
      </c>
      <c r="J2071" s="26">
        <v>105</v>
      </c>
      <c r="K2071" t="inlineStr">
        <is>
          <t>Non</t>
        </is>
      </c>
      <c r="L2071">
        <f>SUBTOTAL(103,A2071)</f>
        <v>1</v>
      </c>
    </row>
    <row r="2072">
      <c r="A2072" t="inlineStr">
        <is>
          <t>SOCIETE C1934</t>
        </is>
      </c>
      <c r="B2072" t="inlineStr">
        <is>
          <t>C1934</t>
        </is>
      </c>
      <c r="C2072" t="inlineStr">
        <is>
          <t>CORPORATE BANKING</t>
        </is>
      </c>
      <c r="D2072" t="inlineStr">
        <is>
          <t>III</t>
        </is>
      </c>
      <c r="E2072" t="inlineStr">
        <is>
          <t>Stage 3</t>
        </is>
      </c>
      <c r="F2072" t="inlineStr">
        <is>
          <t>N/A</t>
        </is>
      </c>
      <c r="G2072" s="26">
        <v>622491763</v>
      </c>
      <c r="H2072" s="26">
        <v>342370470</v>
      </c>
      <c r="I2072" s="26">
        <v>0</v>
      </c>
      <c r="J2072" s="26">
        <v>44</v>
      </c>
      <c r="K2072" t="inlineStr">
        <is>
          <t>Oui</t>
        </is>
      </c>
      <c r="L2072">
        <f>SUBTOTAL(103,A2072)</f>
        <v>1</v>
      </c>
    </row>
    <row r="2073">
      <c r="A2073" t="inlineStr">
        <is>
          <t>SOCIETE C965</t>
        </is>
      </c>
      <c r="B2073" t="inlineStr">
        <is>
          <t>C965</t>
        </is>
      </c>
      <c r="C2073" t="inlineStr">
        <is>
          <t>CONSUMER BANKING</t>
        </is>
      </c>
      <c r="D2073" t="inlineStr">
        <is>
          <t>III</t>
        </is>
      </c>
      <c r="E2073" t="inlineStr">
        <is>
          <t>Stage 3</t>
        </is>
      </c>
      <c r="F2073" t="inlineStr">
        <is>
          <t>N/A</t>
        </is>
      </c>
      <c r="G2073" s="26">
        <v>2159104536</v>
      </c>
      <c r="H2073" s="26">
        <v>1187507495</v>
      </c>
      <c r="I2073" s="26">
        <v>0</v>
      </c>
      <c r="J2073" s="26">
        <v>141</v>
      </c>
      <c r="K2073" t="inlineStr">
        <is>
          <t>Oui</t>
        </is>
      </c>
      <c r="L2073">
        <f>SUBTOTAL(103,A2073)</f>
        <v>1</v>
      </c>
    </row>
    <row r="2074">
      <c r="A2074" t="inlineStr">
        <is>
          <t>SOCIETE C1066</t>
        </is>
      </c>
      <c r="B2074" t="inlineStr">
        <is>
          <t>C1066</t>
        </is>
      </c>
      <c r="C2074" t="inlineStr">
        <is>
          <t>CORPORATE BANKING</t>
        </is>
      </c>
      <c r="D2074" t="inlineStr">
        <is>
          <t>III</t>
        </is>
      </c>
      <c r="E2074" t="inlineStr">
        <is>
          <t>Stage 3</t>
        </is>
      </c>
      <c r="F2074" t="inlineStr">
        <is>
          <t>N/A</t>
        </is>
      </c>
      <c r="G2074" s="26">
        <v>1367438125</v>
      </c>
      <c r="H2074" s="26">
        <v>752090969</v>
      </c>
      <c r="I2074" s="26">
        <v>128698692</v>
      </c>
      <c r="J2074" s="26">
        <v>16</v>
      </c>
      <c r="K2074" t="inlineStr">
        <is>
          <t>Oui</t>
        </is>
      </c>
      <c r="L2074">
        <f>SUBTOTAL(103,A2074)</f>
        <v>1</v>
      </c>
    </row>
    <row r="2075">
      <c r="A2075" t="inlineStr">
        <is>
          <t>SOCIETE C882</t>
        </is>
      </c>
      <c r="B2075" t="inlineStr">
        <is>
          <t>C882</t>
        </is>
      </c>
      <c r="C2075" t="inlineStr">
        <is>
          <t>CORPORATE BANKING</t>
        </is>
      </c>
      <c r="D2075" t="inlineStr">
        <is>
          <t>I</t>
        </is>
      </c>
      <c r="E2075" t="inlineStr">
        <is>
          <t>Stage 1</t>
        </is>
      </c>
      <c r="F2075" t="inlineStr">
        <is>
          <t>N/A</t>
        </is>
      </c>
      <c r="G2075" s="26">
        <v>31109364</v>
      </c>
      <c r="H2075" s="26">
        <v>311094</v>
      </c>
      <c r="I2075" s="26">
        <v>626491</v>
      </c>
      <c r="J2075" s="26">
        <v>25</v>
      </c>
      <c r="K2075" t="inlineStr">
        <is>
          <t>Non</t>
        </is>
      </c>
      <c r="L2075">
        <f>SUBTOTAL(103,A2075)</f>
        <v>1</v>
      </c>
    </row>
    <row r="2076">
      <c r="A2076" t="inlineStr">
        <is>
          <t>SOCIETE C331</t>
        </is>
      </c>
      <c r="B2076" t="inlineStr">
        <is>
          <t>C331</t>
        </is>
      </c>
      <c r="C2076" t="inlineStr">
        <is>
          <t>CORPORATE BANKING</t>
        </is>
      </c>
      <c r="D2076" t="inlineStr">
        <is>
          <t>V</t>
        </is>
      </c>
      <c r="E2076" t="inlineStr">
        <is>
          <t>Stage 3</t>
        </is>
      </c>
      <c r="F2076" t="inlineStr">
        <is>
          <t>N/A</t>
        </is>
      </c>
      <c r="G2076" s="26">
        <v>4612848</v>
      </c>
      <c r="H2076" s="26">
        <v>2537067</v>
      </c>
      <c r="I2076" s="26">
        <v>0</v>
      </c>
      <c r="J2076" s="26">
        <v>216</v>
      </c>
      <c r="K2076" t="inlineStr">
        <is>
          <t>Oui</t>
        </is>
      </c>
      <c r="L2076">
        <f>SUBTOTAL(103,A2076)</f>
        <v>1</v>
      </c>
    </row>
    <row r="2077">
      <c r="A2077" t="inlineStr">
        <is>
          <t>SOCIETE C1891</t>
        </is>
      </c>
      <c r="B2077" t="inlineStr">
        <is>
          <t>C1891</t>
        </is>
      </c>
      <c r="C2077" t="inlineStr">
        <is>
          <t>CONSUMER BANKING</t>
        </is>
      </c>
      <c r="D2077" t="inlineStr">
        <is>
          <t>I</t>
        </is>
      </c>
      <c r="E2077" t="inlineStr">
        <is>
          <t>Stage 1</t>
        </is>
      </c>
      <c r="F2077" t="inlineStr">
        <is>
          <t>N/A</t>
        </is>
      </c>
      <c r="G2077" s="26">
        <v>308519144</v>
      </c>
      <c r="H2077" s="26">
        <v>3085191</v>
      </c>
      <c r="I2077" s="26">
        <v>0</v>
      </c>
      <c r="J2077" s="26">
        <v>4</v>
      </c>
      <c r="K2077" t="inlineStr">
        <is>
          <t>Non</t>
        </is>
      </c>
      <c r="L2077">
        <f>SUBTOTAL(103,A2077)</f>
        <v>1</v>
      </c>
    </row>
    <row r="2078">
      <c r="A2078" t="inlineStr">
        <is>
          <t>SOCIETE C251</t>
        </is>
      </c>
      <c r="B2078" t="inlineStr">
        <is>
          <t>C251</t>
        </is>
      </c>
      <c r="C2078" t="inlineStr">
        <is>
          <t>COMMERCIAL BANKING</t>
        </is>
      </c>
      <c r="D2078" t="inlineStr">
        <is>
          <t>IV</t>
        </is>
      </c>
      <c r="E2078" t="inlineStr">
        <is>
          <t>Stage 3</t>
        </is>
      </c>
      <c r="F2078" t="inlineStr">
        <is>
          <t>N/A</t>
        </is>
      </c>
      <c r="G2078" s="26">
        <v>639389877</v>
      </c>
      <c r="H2078" s="26">
        <v>351664432</v>
      </c>
      <c r="I2078" s="26">
        <v>0</v>
      </c>
      <c r="J2078" s="26">
        <v>113</v>
      </c>
      <c r="K2078" t="inlineStr">
        <is>
          <t>Oui</t>
        </is>
      </c>
      <c r="L2078">
        <f>SUBTOTAL(103,A2078)</f>
        <v>1</v>
      </c>
    </row>
    <row r="2079">
      <c r="A2079" t="inlineStr">
        <is>
          <t>SOCIETE C783</t>
        </is>
      </c>
      <c r="B2079" t="inlineStr">
        <is>
          <t>C783</t>
        </is>
      </c>
      <c r="C2079" t="inlineStr">
        <is>
          <t>COMMERCIAL BANKING</t>
        </is>
      </c>
      <c r="D2079" t="inlineStr">
        <is>
          <t>I</t>
        </is>
      </c>
      <c r="E2079" t="inlineStr">
        <is>
          <t>Stage 1</t>
        </is>
      </c>
      <c r="F2079" t="inlineStr">
        <is>
          <t>N/A</t>
        </is>
      </c>
      <c r="G2079" s="26">
        <v>1102871956</v>
      </c>
      <c r="H2079" s="26">
        <v>11028720</v>
      </c>
      <c r="I2079" s="26">
        <v>0</v>
      </c>
      <c r="J2079" s="26">
        <v>5</v>
      </c>
      <c r="K2079" t="inlineStr">
        <is>
          <t>Non</t>
        </is>
      </c>
      <c r="L2079">
        <f>SUBTOTAL(103,A2079)</f>
        <v>1</v>
      </c>
    </row>
    <row r="2080">
      <c r="A2080" t="inlineStr">
        <is>
          <t>SOCIETE C2121</t>
        </is>
      </c>
      <c r="B2080" t="inlineStr">
        <is>
          <t>C2121</t>
        </is>
      </c>
      <c r="C2080" t="inlineStr">
        <is>
          <t>CONSUMER BANKING</t>
        </is>
      </c>
      <c r="D2080" t="inlineStr">
        <is>
          <t>I</t>
        </is>
      </c>
      <c r="E2080" t="inlineStr">
        <is>
          <t>Stage 1</t>
        </is>
      </c>
      <c r="F2080" t="inlineStr">
        <is>
          <t>N/A</t>
        </is>
      </c>
      <c r="G2080" s="26">
        <v>819749547</v>
      </c>
      <c r="H2080" s="26">
        <v>8197495</v>
      </c>
      <c r="I2080" s="26">
        <v>140053216</v>
      </c>
      <c r="J2080" s="26">
        <v>57</v>
      </c>
      <c r="K2080" t="inlineStr">
        <is>
          <t>Non</t>
        </is>
      </c>
      <c r="L2080">
        <f>SUBTOTAL(103,A2080)</f>
        <v>1</v>
      </c>
    </row>
    <row r="2081">
      <c r="A2081" t="inlineStr">
        <is>
          <t>SOCIETE C1037</t>
        </is>
      </c>
      <c r="B2081" t="inlineStr">
        <is>
          <t>C1037</t>
        </is>
      </c>
      <c r="C2081" t="inlineStr">
        <is>
          <t>CORPORATE BANKING</t>
        </is>
      </c>
      <c r="D2081" t="inlineStr">
        <is>
          <t>I</t>
        </is>
      </c>
      <c r="E2081" t="inlineStr">
        <is>
          <t>Stage 1</t>
        </is>
      </c>
      <c r="F2081" t="inlineStr">
        <is>
          <t>N/A</t>
        </is>
      </c>
      <c r="G2081" s="26">
        <v>2944087</v>
      </c>
      <c r="H2081" s="26">
        <v>29441</v>
      </c>
      <c r="I2081" s="26">
        <v>0</v>
      </c>
      <c r="J2081" s="26">
        <v>5</v>
      </c>
      <c r="K2081" t="inlineStr">
        <is>
          <t>Non</t>
        </is>
      </c>
      <c r="L2081">
        <f>SUBTOTAL(103,A2081)</f>
        <v>1</v>
      </c>
    </row>
    <row r="2082">
      <c r="A2082" t="inlineStr">
        <is>
          <t>SOCIETE C387</t>
        </is>
      </c>
      <c r="B2082" t="inlineStr">
        <is>
          <t>C387</t>
        </is>
      </c>
      <c r="C2082" t="inlineStr">
        <is>
          <t>SME</t>
        </is>
      </c>
      <c r="D2082" t="inlineStr">
        <is>
          <t>IV</t>
        </is>
      </c>
      <c r="E2082" t="inlineStr">
        <is>
          <t>Stage 3</t>
        </is>
      </c>
      <c r="F2082" t="inlineStr">
        <is>
          <t>N/A</t>
        </is>
      </c>
      <c r="G2082" s="26">
        <v>10651891</v>
      </c>
      <c r="H2082" s="26">
        <v>5858540</v>
      </c>
      <c r="I2082" s="26">
        <v>0</v>
      </c>
      <c r="J2082" s="26">
        <v>52</v>
      </c>
      <c r="K2082" t="inlineStr">
        <is>
          <t>Oui</t>
        </is>
      </c>
      <c r="L2082">
        <f>SUBTOTAL(103,A2082)</f>
        <v>1</v>
      </c>
    </row>
    <row r="2083">
      <c r="A2083" t="inlineStr">
        <is>
          <t>SOCIETE C1761</t>
        </is>
      </c>
      <c r="B2083" t="inlineStr">
        <is>
          <t>C1761</t>
        </is>
      </c>
      <c r="C2083" t="inlineStr">
        <is>
          <t>CORPORATE BANKING</t>
        </is>
      </c>
      <c r="D2083" t="inlineStr">
        <is>
          <t>IV</t>
        </is>
      </c>
      <c r="E2083" t="inlineStr">
        <is>
          <t>Stage 3</t>
        </is>
      </c>
      <c r="F2083" t="inlineStr">
        <is>
          <t>N/A</t>
        </is>
      </c>
      <c r="G2083" s="26">
        <v>348100585</v>
      </c>
      <c r="H2083" s="26">
        <v>191455322</v>
      </c>
      <c r="I2083" s="26">
        <v>0</v>
      </c>
      <c r="J2083" s="26">
        <v>9</v>
      </c>
      <c r="K2083" t="inlineStr">
        <is>
          <t>Oui</t>
        </is>
      </c>
      <c r="L2083">
        <f>SUBTOTAL(103,A2083)</f>
        <v>1</v>
      </c>
    </row>
    <row r="2084">
      <c r="A2084" t="inlineStr">
        <is>
          <t>SOCIETE C1789</t>
        </is>
      </c>
      <c r="B2084" t="inlineStr">
        <is>
          <t>C1789</t>
        </is>
      </c>
      <c r="C2084" t="inlineStr">
        <is>
          <t>COMMERCIAL BANKING</t>
        </is>
      </c>
      <c r="D2084" t="inlineStr">
        <is>
          <t>IA</t>
        </is>
      </c>
      <c r="E2084" t="inlineStr">
        <is>
          <t>Stage 2</t>
        </is>
      </c>
      <c r="F2084" t="inlineStr">
        <is>
          <t>N/A</t>
        </is>
      </c>
      <c r="G2084" s="26">
        <v>1576441956</v>
      </c>
      <c r="H2084" s="26">
        <v>94586517</v>
      </c>
      <c r="I2084" s="26">
        <v>0</v>
      </c>
      <c r="J2084" s="26">
        <v>22</v>
      </c>
      <c r="K2084" t="inlineStr">
        <is>
          <t>Non</t>
        </is>
      </c>
      <c r="L2084">
        <f>SUBTOTAL(103,A2084)</f>
        <v>1</v>
      </c>
    </row>
    <row r="2085">
      <c r="A2085" t="inlineStr">
        <is>
          <t>SOCIETE C1544</t>
        </is>
      </c>
      <c r="B2085" t="inlineStr">
        <is>
          <t>C1544</t>
        </is>
      </c>
      <c r="C2085" t="inlineStr">
        <is>
          <t>CORPORATE BANKING</t>
        </is>
      </c>
      <c r="D2085" t="inlineStr">
        <is>
          <t>I</t>
        </is>
      </c>
      <c r="E2085" t="inlineStr">
        <is>
          <t>Stage 1</t>
        </is>
      </c>
      <c r="F2085" t="inlineStr">
        <is>
          <t>N/A</t>
        </is>
      </c>
      <c r="G2085" s="26">
        <v>22684409</v>
      </c>
      <c r="H2085" s="26">
        <v>226844</v>
      </c>
      <c r="I2085" s="26">
        <v>0</v>
      </c>
      <c r="J2085" s="26">
        <v>124</v>
      </c>
      <c r="K2085" t="inlineStr">
        <is>
          <t>Non</t>
        </is>
      </c>
      <c r="L2085">
        <f>SUBTOTAL(103,A2085)</f>
        <v>1</v>
      </c>
    </row>
    <row r="2086">
      <c r="A2086" t="inlineStr">
        <is>
          <t>SOCIETE C1753</t>
        </is>
      </c>
      <c r="B2086" t="inlineStr">
        <is>
          <t>C1753</t>
        </is>
      </c>
      <c r="C2086" t="inlineStr">
        <is>
          <t>CORPORATE BANKING</t>
        </is>
      </c>
      <c r="D2086" t="inlineStr">
        <is>
          <t>III</t>
        </is>
      </c>
      <c r="E2086" t="inlineStr">
        <is>
          <t>Stage 3</t>
        </is>
      </c>
      <c r="F2086" t="inlineStr">
        <is>
          <t>N/A</t>
        </is>
      </c>
      <c r="G2086" s="26">
        <v>197916619</v>
      </c>
      <c r="H2086" s="26">
        <v>108854141</v>
      </c>
      <c r="I2086" s="26">
        <v>9860823</v>
      </c>
      <c r="J2086" s="26">
        <v>245</v>
      </c>
      <c r="K2086" t="inlineStr">
        <is>
          <t>Oui</t>
        </is>
      </c>
      <c r="L2086">
        <f>SUBTOTAL(103,A2086)</f>
        <v>1</v>
      </c>
    </row>
    <row r="2087">
      <c r="A2087" t="inlineStr">
        <is>
          <t>SOCIETE C1492</t>
        </is>
      </c>
      <c r="B2087" t="inlineStr">
        <is>
          <t>C1492</t>
        </is>
      </c>
      <c r="C2087" t="inlineStr">
        <is>
          <t>CORPORATE BANKING</t>
        </is>
      </c>
      <c r="D2087" t="inlineStr">
        <is>
          <t>III</t>
        </is>
      </c>
      <c r="E2087" t="inlineStr">
        <is>
          <t>Stage 3</t>
        </is>
      </c>
      <c r="F2087" t="inlineStr">
        <is>
          <t>N/A</t>
        </is>
      </c>
      <c r="G2087" s="26">
        <v>87342256</v>
      </c>
      <c r="H2087" s="26">
        <v>48038241</v>
      </c>
      <c r="I2087" s="26">
        <v>0</v>
      </c>
      <c r="J2087" s="26">
        <v>215</v>
      </c>
      <c r="K2087" t="inlineStr">
        <is>
          <t>Oui</t>
        </is>
      </c>
      <c r="L2087">
        <f>SUBTOTAL(103,A2087)</f>
        <v>1</v>
      </c>
    </row>
    <row r="2088">
      <c r="A2088" t="inlineStr">
        <is>
          <t>SOCIETE C333</t>
        </is>
      </c>
      <c r="B2088" t="inlineStr">
        <is>
          <t>C333</t>
        </is>
      </c>
      <c r="C2088" t="inlineStr">
        <is>
          <t>CORPORATE BANKING</t>
        </is>
      </c>
      <c r="D2088" t="inlineStr">
        <is>
          <t>IA</t>
        </is>
      </c>
      <c r="E2088" t="inlineStr">
        <is>
          <t>Stage 2</t>
        </is>
      </c>
      <c r="F2088" t="inlineStr">
        <is>
          <t>N/A</t>
        </is>
      </c>
      <c r="G2088" s="26">
        <v>6397323</v>
      </c>
      <c r="H2088" s="26">
        <v>383839</v>
      </c>
      <c r="I2088" s="26">
        <v>0</v>
      </c>
      <c r="J2088" s="26">
        <v>10</v>
      </c>
      <c r="K2088" t="inlineStr">
        <is>
          <t>Non</t>
        </is>
      </c>
      <c r="L2088">
        <f>SUBTOTAL(103,A2088)</f>
        <v>1</v>
      </c>
    </row>
    <row r="2089">
      <c r="A2089" t="inlineStr">
        <is>
          <t>SOCIETE C62</t>
        </is>
      </c>
      <c r="B2089" t="inlineStr">
        <is>
          <t>C62</t>
        </is>
      </c>
      <c r="C2089" t="inlineStr">
        <is>
          <t>CORPORATE BANKING</t>
        </is>
      </c>
      <c r="D2089" t="inlineStr">
        <is>
          <t>III</t>
        </is>
      </c>
      <c r="E2089" t="inlineStr">
        <is>
          <t>Stage 3</t>
        </is>
      </c>
      <c r="F2089" t="inlineStr">
        <is>
          <t>N/A</t>
        </is>
      </c>
      <c r="G2089" s="26">
        <v>13716552</v>
      </c>
      <c r="H2089" s="26">
        <v>7544103</v>
      </c>
      <c r="I2089" s="26">
        <v>0</v>
      </c>
      <c r="J2089" s="26">
        <v>18</v>
      </c>
      <c r="K2089" t="inlineStr">
        <is>
          <t>Oui</t>
        </is>
      </c>
      <c r="L2089">
        <f>SUBTOTAL(103,A2089)</f>
        <v>1</v>
      </c>
    </row>
    <row r="2090">
      <c r="A2090" t="inlineStr">
        <is>
          <t>SOCIETE C372</t>
        </is>
      </c>
      <c r="B2090" t="inlineStr">
        <is>
          <t>C372</t>
        </is>
      </c>
      <c r="C2090" t="inlineStr">
        <is>
          <t>COMMERCIAL BANKING</t>
        </is>
      </c>
      <c r="D2090" t="inlineStr">
        <is>
          <t>I</t>
        </is>
      </c>
      <c r="E2090" t="inlineStr">
        <is>
          <t>Stage 1</t>
        </is>
      </c>
      <c r="F2090" t="inlineStr">
        <is>
          <t>N/A</t>
        </is>
      </c>
      <c r="G2090" s="26">
        <v>1959558500</v>
      </c>
      <c r="H2090" s="26">
        <v>19595585</v>
      </c>
      <c r="I2090" s="26">
        <v>0</v>
      </c>
      <c r="J2090" s="26">
        <v>158</v>
      </c>
      <c r="K2090" t="inlineStr">
        <is>
          <t>Non</t>
        </is>
      </c>
      <c r="L2090">
        <f>SUBTOTAL(103,A2090)</f>
        <v>1</v>
      </c>
    </row>
    <row r="2091">
      <c r="A2091" t="inlineStr">
        <is>
          <t>SOCIETE C1482</t>
        </is>
      </c>
      <c r="B2091" t="inlineStr">
        <is>
          <t>C1482</t>
        </is>
      </c>
      <c r="C2091" t="inlineStr">
        <is>
          <t>SME</t>
        </is>
      </c>
      <c r="D2091" t="inlineStr">
        <is>
          <t>III</t>
        </is>
      </c>
      <c r="E2091" t="inlineStr">
        <is>
          <t>Stage 3</t>
        </is>
      </c>
      <c r="F2091" t="inlineStr">
        <is>
          <t>N/A</t>
        </is>
      </c>
      <c r="G2091" s="26">
        <v>1727741949</v>
      </c>
      <c r="H2091" s="26">
        <v>950258072</v>
      </c>
      <c r="I2091" s="26">
        <v>56666819</v>
      </c>
      <c r="J2091" s="26">
        <v>63</v>
      </c>
      <c r="K2091" t="inlineStr">
        <is>
          <t>Oui</t>
        </is>
      </c>
      <c r="L2091">
        <f>SUBTOTAL(103,A2091)</f>
        <v>1</v>
      </c>
    </row>
    <row r="2092">
      <c r="A2092" t="inlineStr">
        <is>
          <t>SOCIETE C570</t>
        </is>
      </c>
      <c r="B2092" t="inlineStr">
        <is>
          <t>C570</t>
        </is>
      </c>
      <c r="C2092" t="inlineStr">
        <is>
          <t>CORPORATE BANKING</t>
        </is>
      </c>
      <c r="D2092" t="inlineStr">
        <is>
          <t>I</t>
        </is>
      </c>
      <c r="E2092" t="inlineStr">
        <is>
          <t>Stage 1</t>
        </is>
      </c>
      <c r="F2092" t="inlineStr">
        <is>
          <t>N/A</t>
        </is>
      </c>
      <c r="G2092" s="26">
        <v>130465049</v>
      </c>
      <c r="H2092" s="26">
        <v>1304650</v>
      </c>
      <c r="I2092" s="26">
        <v>0</v>
      </c>
      <c r="J2092" s="26">
        <v>61</v>
      </c>
      <c r="K2092" t="inlineStr">
        <is>
          <t>Non</t>
        </is>
      </c>
      <c r="L2092">
        <f>SUBTOTAL(103,A2092)</f>
        <v>1</v>
      </c>
    </row>
    <row r="2093">
      <c r="A2093" t="inlineStr">
        <is>
          <t>SOCIETE C2421</t>
        </is>
      </c>
      <c r="B2093" t="inlineStr">
        <is>
          <t>C2421</t>
        </is>
      </c>
      <c r="C2093" t="inlineStr">
        <is>
          <t>CORPORATE BANKING</t>
        </is>
      </c>
      <c r="D2093" t="inlineStr">
        <is>
          <t>I</t>
        </is>
      </c>
      <c r="E2093" t="inlineStr">
        <is>
          <t>Stage 1</t>
        </is>
      </c>
      <c r="F2093" t="inlineStr">
        <is>
          <t>N/A</t>
        </is>
      </c>
      <c r="G2093" s="26">
        <v>178081936</v>
      </c>
      <c r="H2093" s="26">
        <v>1780819</v>
      </c>
      <c r="I2093" s="26">
        <v>0</v>
      </c>
      <c r="J2093" s="26">
        <v>125</v>
      </c>
      <c r="K2093" t="inlineStr">
        <is>
          <t>Non</t>
        </is>
      </c>
      <c r="L2093">
        <f>SUBTOTAL(103,A2093)</f>
        <v>1</v>
      </c>
    </row>
    <row r="2094">
      <c r="A2094" t="inlineStr">
        <is>
          <t>SOCIETE C1315</t>
        </is>
      </c>
      <c r="B2094" t="inlineStr">
        <is>
          <t>C1315</t>
        </is>
      </c>
      <c r="C2094" t="inlineStr">
        <is>
          <t>CORPORATE BANKING</t>
        </is>
      </c>
      <c r="D2094" t="inlineStr">
        <is>
          <t>IA</t>
        </is>
      </c>
      <c r="E2094" t="inlineStr">
        <is>
          <t>Stage 2</t>
        </is>
      </c>
      <c r="F2094" t="inlineStr">
        <is>
          <t>N/A</t>
        </is>
      </c>
      <c r="G2094" s="26">
        <v>527278268</v>
      </c>
      <c r="H2094" s="26">
        <v>31636696</v>
      </c>
      <c r="I2094" s="26">
        <v>68522757</v>
      </c>
      <c r="J2094" s="26">
        <v>253</v>
      </c>
      <c r="K2094" t="inlineStr">
        <is>
          <t>Non</t>
        </is>
      </c>
      <c r="L2094">
        <f>SUBTOTAL(103,A2094)</f>
        <v>1</v>
      </c>
    </row>
    <row r="2095">
      <c r="A2095" t="inlineStr">
        <is>
          <t>SOCIETE C253</t>
        </is>
      </c>
      <c r="B2095" t="inlineStr">
        <is>
          <t>C253</t>
        </is>
      </c>
      <c r="C2095" t="inlineStr">
        <is>
          <t>SME</t>
        </is>
      </c>
      <c r="D2095" t="inlineStr">
        <is>
          <t>IA</t>
        </is>
      </c>
      <c r="E2095" t="inlineStr">
        <is>
          <t>Stage 2</t>
        </is>
      </c>
      <c r="F2095" t="inlineStr">
        <is>
          <t>N/A</t>
        </is>
      </c>
      <c r="G2095" s="26">
        <v>284578736</v>
      </c>
      <c r="H2095" s="26">
        <v>17074724</v>
      </c>
      <c r="I2095" s="26">
        <v>0</v>
      </c>
      <c r="J2095" s="26">
        <v>16</v>
      </c>
      <c r="K2095" t="inlineStr">
        <is>
          <t>Non</t>
        </is>
      </c>
      <c r="L2095">
        <f>SUBTOTAL(103,A2095)</f>
        <v>1</v>
      </c>
    </row>
    <row r="2096">
      <c r="A2096" t="inlineStr">
        <is>
          <t>SOCIETE C2316</t>
        </is>
      </c>
      <c r="B2096" t="inlineStr">
        <is>
          <t>C2316</t>
        </is>
      </c>
      <c r="C2096" t="inlineStr">
        <is>
          <t>COMMERCIAL BANKING</t>
        </is>
      </c>
      <c r="D2096" t="inlineStr">
        <is>
          <t>IA</t>
        </is>
      </c>
      <c r="E2096" t="inlineStr">
        <is>
          <t>Stage 2</t>
        </is>
      </c>
      <c r="F2096" t="inlineStr">
        <is>
          <t>N/A</t>
        </is>
      </c>
      <c r="G2096" s="26">
        <v>809670093</v>
      </c>
      <c r="H2096" s="26">
        <v>48580206</v>
      </c>
      <c r="I2096" s="26">
        <v>19479094</v>
      </c>
      <c r="J2096" s="26">
        <v>220</v>
      </c>
      <c r="K2096" t="inlineStr">
        <is>
          <t>Non</t>
        </is>
      </c>
      <c r="L2096">
        <f>SUBTOTAL(103,A2096)</f>
        <v>1</v>
      </c>
    </row>
    <row r="2097">
      <c r="A2097" t="inlineStr">
        <is>
          <t>SOCIETE C2319</t>
        </is>
      </c>
      <c r="B2097" t="inlineStr">
        <is>
          <t>C2319</t>
        </is>
      </c>
      <c r="C2097" t="inlineStr">
        <is>
          <t>CORPORATE BANKING</t>
        </is>
      </c>
      <c r="D2097" t="inlineStr">
        <is>
          <t>V</t>
        </is>
      </c>
      <c r="E2097" t="inlineStr">
        <is>
          <t>Stage 3</t>
        </is>
      </c>
      <c r="F2097" t="inlineStr">
        <is>
          <t>N/A</t>
        </is>
      </c>
      <c r="G2097" s="26">
        <v>16779922</v>
      </c>
      <c r="H2097" s="26">
        <v>9228957</v>
      </c>
      <c r="I2097" s="26">
        <v>0</v>
      </c>
      <c r="J2097" s="26">
        <v>111</v>
      </c>
      <c r="K2097" t="inlineStr">
        <is>
          <t>Oui</t>
        </is>
      </c>
      <c r="L2097">
        <f>SUBTOTAL(103,A2097)</f>
        <v>1</v>
      </c>
    </row>
    <row r="2098">
      <c r="A2098" t="inlineStr">
        <is>
          <t>SOCIETE C478</t>
        </is>
      </c>
      <c r="B2098" t="inlineStr">
        <is>
          <t>C478</t>
        </is>
      </c>
      <c r="C2098" t="inlineStr">
        <is>
          <t>INSTITUTIONAL</t>
        </is>
      </c>
      <c r="D2098" t="inlineStr">
        <is>
          <t>I</t>
        </is>
      </c>
      <c r="E2098" t="inlineStr">
        <is>
          <t>Stage 1</t>
        </is>
      </c>
      <c r="F2098" t="inlineStr">
        <is>
          <t>N/A</t>
        </is>
      </c>
      <c r="G2098" s="26">
        <v>544695080</v>
      </c>
      <c r="H2098" s="26">
        <v>5446951</v>
      </c>
      <c r="I2098" s="26">
        <v>0</v>
      </c>
      <c r="J2098" s="26">
        <v>197</v>
      </c>
      <c r="K2098" t="inlineStr">
        <is>
          <t>Non</t>
        </is>
      </c>
      <c r="L2098">
        <f>SUBTOTAL(103,A2098)</f>
        <v>1</v>
      </c>
    </row>
    <row r="2099">
      <c r="A2099" t="inlineStr">
        <is>
          <t>SOCIETE C1562</t>
        </is>
      </c>
      <c r="B2099" t="inlineStr">
        <is>
          <t>C1562</t>
        </is>
      </c>
      <c r="C2099" t="inlineStr">
        <is>
          <t>CONSUMER BANKING</t>
        </is>
      </c>
      <c r="D2099" t="inlineStr">
        <is>
          <t>IA</t>
        </is>
      </c>
      <c r="E2099" t="inlineStr">
        <is>
          <t>Stage 2</t>
        </is>
      </c>
      <c r="F2099" t="inlineStr">
        <is>
          <t>N/A</t>
        </is>
      </c>
      <c r="G2099" s="26">
        <v>718722102</v>
      </c>
      <c r="H2099" s="26">
        <v>43123326</v>
      </c>
      <c r="I2099" s="26">
        <v>95699964</v>
      </c>
      <c r="J2099" s="26">
        <v>146</v>
      </c>
      <c r="K2099" t="inlineStr">
        <is>
          <t>Non</t>
        </is>
      </c>
      <c r="L2099">
        <f>SUBTOTAL(103,A2099)</f>
        <v>1</v>
      </c>
    </row>
    <row r="2100">
      <c r="A2100" t="inlineStr">
        <is>
          <t>SOCIETE C304</t>
        </is>
      </c>
      <c r="B2100" t="inlineStr">
        <is>
          <t>C304</t>
        </is>
      </c>
      <c r="C2100" t="inlineStr">
        <is>
          <t>SME</t>
        </is>
      </c>
      <c r="D2100" t="inlineStr">
        <is>
          <t>I</t>
        </is>
      </c>
      <c r="E2100" t="inlineStr">
        <is>
          <t>Stage 1</t>
        </is>
      </c>
      <c r="F2100" t="inlineStr">
        <is>
          <t>N/A</t>
        </is>
      </c>
      <c r="G2100" s="26">
        <v>1000000</v>
      </c>
      <c r="H2100" s="26">
        <v>10000</v>
      </c>
      <c r="I2100" s="26">
        <v>175808</v>
      </c>
      <c r="J2100" s="26">
        <v>7</v>
      </c>
      <c r="K2100" t="inlineStr">
        <is>
          <t>Non</t>
        </is>
      </c>
      <c r="L2100">
        <f>SUBTOTAL(103,A2100)</f>
        <v>1</v>
      </c>
    </row>
    <row r="2101">
      <c r="A2101" t="inlineStr">
        <is>
          <t>SOCIETE C609</t>
        </is>
      </c>
      <c r="B2101" t="inlineStr">
        <is>
          <t>C609</t>
        </is>
      </c>
      <c r="C2101" t="inlineStr">
        <is>
          <t>COMMERCIAL BANKING</t>
        </is>
      </c>
      <c r="D2101" t="inlineStr">
        <is>
          <t>I</t>
        </is>
      </c>
      <c r="E2101" t="inlineStr">
        <is>
          <t>Stage 1</t>
        </is>
      </c>
      <c r="F2101" t="inlineStr">
        <is>
          <t>N/A</t>
        </is>
      </c>
      <c r="G2101" s="26">
        <v>138054491</v>
      </c>
      <c r="H2101" s="26">
        <v>1380545</v>
      </c>
      <c r="I2101" s="26">
        <v>26718522</v>
      </c>
      <c r="J2101" s="26">
        <v>71</v>
      </c>
      <c r="K2101" t="inlineStr">
        <is>
          <t>Non</t>
        </is>
      </c>
      <c r="L2101">
        <f>SUBTOTAL(103,A2101)</f>
        <v>1</v>
      </c>
    </row>
    <row r="2102">
      <c r="A2102" t="inlineStr">
        <is>
          <t>SOCIETE C2145</t>
        </is>
      </c>
      <c r="B2102" t="inlineStr">
        <is>
          <t>C2145</t>
        </is>
      </c>
      <c r="C2102" t="inlineStr">
        <is>
          <t>INSTITUTIONAL</t>
        </is>
      </c>
      <c r="D2102" t="inlineStr">
        <is>
          <t>V</t>
        </is>
      </c>
      <c r="E2102" t="inlineStr">
        <is>
          <t>Stage 3</t>
        </is>
      </c>
      <c r="F2102" t="inlineStr">
        <is>
          <t>N/A</t>
        </is>
      </c>
      <c r="G2102" s="26">
        <v>63064511</v>
      </c>
      <c r="H2102" s="26">
        <v>34685481</v>
      </c>
      <c r="I2102" s="26">
        <v>2801740</v>
      </c>
      <c r="J2102" s="26">
        <v>114</v>
      </c>
      <c r="K2102" t="inlineStr">
        <is>
          <t>Oui</t>
        </is>
      </c>
      <c r="L2102">
        <f>SUBTOTAL(103,A2102)</f>
        <v>1</v>
      </c>
    </row>
    <row r="2103">
      <c r="A2103" t="inlineStr">
        <is>
          <t>SOCIETE C2050</t>
        </is>
      </c>
      <c r="B2103" t="inlineStr">
        <is>
          <t>C2050</t>
        </is>
      </c>
      <c r="C2103" t="inlineStr">
        <is>
          <t>CORPORATE BANKING</t>
        </is>
      </c>
      <c r="D2103" t="inlineStr">
        <is>
          <t>I</t>
        </is>
      </c>
      <c r="E2103" t="inlineStr">
        <is>
          <t>Stage 1</t>
        </is>
      </c>
      <c r="F2103" t="inlineStr">
        <is>
          <t>N/A</t>
        </is>
      </c>
      <c r="G2103" s="26">
        <v>473398270</v>
      </c>
      <c r="H2103" s="26">
        <v>4733983</v>
      </c>
      <c r="I2103" s="26">
        <v>0</v>
      </c>
      <c r="J2103" s="26">
        <v>69</v>
      </c>
      <c r="K2103" t="inlineStr">
        <is>
          <t>Non</t>
        </is>
      </c>
      <c r="L2103">
        <f>SUBTOTAL(103,A2103)</f>
        <v>1</v>
      </c>
    </row>
    <row r="2104">
      <c r="A2104" t="inlineStr">
        <is>
          <t>SOCIETE C1579</t>
        </is>
      </c>
      <c r="B2104" t="inlineStr">
        <is>
          <t>C1579</t>
        </is>
      </c>
      <c r="C2104" t="inlineStr">
        <is>
          <t>CORPORATE BANKING</t>
        </is>
      </c>
      <c r="D2104" t="inlineStr">
        <is>
          <t>I</t>
        </is>
      </c>
      <c r="E2104" t="inlineStr">
        <is>
          <t>Stage 1</t>
        </is>
      </c>
      <c r="F2104" t="inlineStr">
        <is>
          <t>N/A</t>
        </is>
      </c>
      <c r="G2104" s="26">
        <v>5791750</v>
      </c>
      <c r="H2104" s="26">
        <v>57917</v>
      </c>
      <c r="I2104" s="26">
        <v>54934</v>
      </c>
      <c r="J2104" s="26">
        <v>6</v>
      </c>
      <c r="K2104" t="inlineStr">
        <is>
          <t>Non</t>
        </is>
      </c>
      <c r="L2104">
        <f>SUBTOTAL(103,A2104)</f>
        <v>1</v>
      </c>
    </row>
    <row r="2105">
      <c r="A2105" t="inlineStr">
        <is>
          <t>SOCIETE C391</t>
        </is>
      </c>
      <c r="B2105" t="inlineStr">
        <is>
          <t>C391</t>
        </is>
      </c>
      <c r="C2105" t="inlineStr">
        <is>
          <t>COMMERCIAL BANKING</t>
        </is>
      </c>
      <c r="D2105" t="inlineStr">
        <is>
          <t>I</t>
        </is>
      </c>
      <c r="E2105" t="inlineStr">
        <is>
          <t>Stage 1</t>
        </is>
      </c>
      <c r="F2105" t="inlineStr">
        <is>
          <t>N/A</t>
        </is>
      </c>
      <c r="G2105" s="26">
        <v>2933587744</v>
      </c>
      <c r="H2105" s="26">
        <v>29335877</v>
      </c>
      <c r="I2105" s="26">
        <v>0</v>
      </c>
      <c r="J2105" s="26">
        <v>224</v>
      </c>
      <c r="K2105" t="inlineStr">
        <is>
          <t>Non</t>
        </is>
      </c>
      <c r="L2105">
        <f>SUBTOTAL(103,A2105)</f>
        <v>1</v>
      </c>
    </row>
    <row r="2106">
      <c r="A2106" t="inlineStr">
        <is>
          <t>SOCIETE C728</t>
        </is>
      </c>
      <c r="B2106" t="inlineStr">
        <is>
          <t>C728</t>
        </is>
      </c>
      <c r="C2106" t="inlineStr">
        <is>
          <t>CORPORATE BANKING</t>
        </is>
      </c>
      <c r="D2106" t="inlineStr">
        <is>
          <t>IA</t>
        </is>
      </c>
      <c r="E2106" t="inlineStr">
        <is>
          <t>Stage 2</t>
        </is>
      </c>
      <c r="F2106" t="inlineStr">
        <is>
          <t>N/A</t>
        </is>
      </c>
      <c r="G2106" s="26">
        <v>1321944102</v>
      </c>
      <c r="H2106" s="26">
        <v>79316646</v>
      </c>
      <c r="I2106" s="26">
        <v>0</v>
      </c>
      <c r="J2106" s="26">
        <v>157</v>
      </c>
      <c r="K2106" t="inlineStr">
        <is>
          <t>Non</t>
        </is>
      </c>
      <c r="L2106">
        <f>SUBTOTAL(103,A2106)</f>
        <v>1</v>
      </c>
    </row>
    <row r="2107">
      <c r="A2107" t="inlineStr">
        <is>
          <t>SOCIETE C1755</t>
        </is>
      </c>
      <c r="B2107" t="inlineStr">
        <is>
          <t>C1755</t>
        </is>
      </c>
      <c r="C2107" t="inlineStr">
        <is>
          <t>SME</t>
        </is>
      </c>
      <c r="D2107" t="inlineStr">
        <is>
          <t>IA</t>
        </is>
      </c>
      <c r="E2107" t="inlineStr">
        <is>
          <t>Stage 2</t>
        </is>
      </c>
      <c r="F2107" t="inlineStr">
        <is>
          <t>N/A</t>
        </is>
      </c>
      <c r="G2107" s="26">
        <v>1056326</v>
      </c>
      <c r="H2107" s="26">
        <v>63380</v>
      </c>
      <c r="I2107" s="26">
        <v>0</v>
      </c>
      <c r="J2107" s="26">
        <v>37</v>
      </c>
      <c r="K2107" t="inlineStr">
        <is>
          <t>Non</t>
        </is>
      </c>
      <c r="L2107">
        <f>SUBTOTAL(103,A2107)</f>
        <v>1</v>
      </c>
    </row>
    <row r="2108">
      <c r="A2108" t="inlineStr">
        <is>
          <t>SOCIETE C2102</t>
        </is>
      </c>
      <c r="B2108" t="inlineStr">
        <is>
          <t>C2102</t>
        </is>
      </c>
      <c r="C2108" t="inlineStr">
        <is>
          <t>CORPORATE BANKING</t>
        </is>
      </c>
      <c r="D2108" t="inlineStr">
        <is>
          <t>I</t>
        </is>
      </c>
      <c r="E2108" t="inlineStr">
        <is>
          <t>Stage 1</t>
        </is>
      </c>
      <c r="F2108" t="inlineStr">
        <is>
          <t>N/A</t>
        </is>
      </c>
      <c r="G2108" s="26">
        <v>2423499521</v>
      </c>
      <c r="H2108" s="26">
        <v>24234995</v>
      </c>
      <c r="I2108" s="26">
        <v>98167724</v>
      </c>
      <c r="J2108" s="26">
        <v>344</v>
      </c>
      <c r="K2108" t="inlineStr">
        <is>
          <t>Non</t>
        </is>
      </c>
      <c r="L2108">
        <f>SUBTOTAL(103,A2108)</f>
        <v>1</v>
      </c>
    </row>
    <row r="2109">
      <c r="A2109" t="inlineStr">
        <is>
          <t>SOCIETE C3</t>
        </is>
      </c>
      <c r="B2109" t="inlineStr">
        <is>
          <t>C3</t>
        </is>
      </c>
      <c r="C2109" t="inlineStr">
        <is>
          <t>CORPORATE BANKING</t>
        </is>
      </c>
      <c r="D2109" t="inlineStr">
        <is>
          <t>I</t>
        </is>
      </c>
      <c r="E2109" t="inlineStr">
        <is>
          <t>Stage 1</t>
        </is>
      </c>
      <c r="F2109" t="inlineStr">
        <is>
          <t>N/A</t>
        </is>
      </c>
      <c r="G2109" s="26">
        <v>157057434</v>
      </c>
      <c r="H2109" s="26">
        <v>1570574</v>
      </c>
      <c r="I2109" s="26">
        <v>11241370</v>
      </c>
      <c r="J2109" s="26">
        <v>199</v>
      </c>
      <c r="K2109" t="inlineStr">
        <is>
          <t>Non</t>
        </is>
      </c>
      <c r="L2109">
        <f>SUBTOTAL(103,A2109)</f>
        <v>1</v>
      </c>
    </row>
    <row r="2110">
      <c r="A2110" t="inlineStr">
        <is>
          <t>SOCIETE C2090</t>
        </is>
      </c>
      <c r="B2110" t="inlineStr">
        <is>
          <t>C2090</t>
        </is>
      </c>
      <c r="C2110" t="inlineStr">
        <is>
          <t>CORPORATE BANKING</t>
        </is>
      </c>
      <c r="D2110" t="inlineStr">
        <is>
          <t>I</t>
        </is>
      </c>
      <c r="E2110" t="inlineStr">
        <is>
          <t>Stage 1</t>
        </is>
      </c>
      <c r="F2110" t="inlineStr">
        <is>
          <t>N/A</t>
        </is>
      </c>
      <c r="G2110" s="26">
        <v>1875555</v>
      </c>
      <c r="H2110" s="26">
        <v>18756</v>
      </c>
      <c r="I2110" s="26">
        <v>0</v>
      </c>
      <c r="J2110" s="26">
        <v>125</v>
      </c>
      <c r="K2110" t="inlineStr">
        <is>
          <t>Non</t>
        </is>
      </c>
      <c r="L2110">
        <f>SUBTOTAL(103,A2110)</f>
        <v>1</v>
      </c>
    </row>
    <row r="2111">
      <c r="A2111" t="inlineStr">
        <is>
          <t>SOCIETE C1137</t>
        </is>
      </c>
      <c r="B2111" t="inlineStr">
        <is>
          <t>C1137</t>
        </is>
      </c>
      <c r="C2111" t="inlineStr">
        <is>
          <t>CONSUMER BANKING</t>
        </is>
      </c>
      <c r="D2111" t="inlineStr">
        <is>
          <t>IA</t>
        </is>
      </c>
      <c r="E2111" t="inlineStr">
        <is>
          <t>Stage 2</t>
        </is>
      </c>
      <c r="F2111" t="inlineStr">
        <is>
          <t>N/A</t>
        </is>
      </c>
      <c r="G2111" s="26">
        <v>1103680</v>
      </c>
      <c r="H2111" s="26">
        <v>66221</v>
      </c>
      <c r="I2111" s="26">
        <v>0</v>
      </c>
      <c r="J2111" s="26">
        <v>112</v>
      </c>
      <c r="K2111" t="inlineStr">
        <is>
          <t>Non</t>
        </is>
      </c>
      <c r="L2111">
        <f>SUBTOTAL(103,A2111)</f>
        <v>1</v>
      </c>
    </row>
    <row r="2112">
      <c r="A2112" t="inlineStr">
        <is>
          <t>SOCIETE C1856</t>
        </is>
      </c>
      <c r="B2112" t="inlineStr">
        <is>
          <t>C1856</t>
        </is>
      </c>
      <c r="C2112" t="inlineStr">
        <is>
          <t>COMMERCIAL BANKING</t>
        </is>
      </c>
      <c r="D2112" t="inlineStr">
        <is>
          <t>V</t>
        </is>
      </c>
      <c r="E2112" t="inlineStr">
        <is>
          <t>Stage 3</t>
        </is>
      </c>
      <c r="F2112" t="inlineStr">
        <is>
          <t>N/A</t>
        </is>
      </c>
      <c r="G2112" s="26">
        <v>2080348</v>
      </c>
      <c r="H2112" s="26">
        <v>1144191</v>
      </c>
      <c r="I2112" s="26">
        <v>0</v>
      </c>
      <c r="J2112" s="26">
        <v>147</v>
      </c>
      <c r="K2112" t="inlineStr">
        <is>
          <t>Oui</t>
        </is>
      </c>
      <c r="L2112">
        <f>SUBTOTAL(103,A2112)</f>
        <v>1</v>
      </c>
    </row>
    <row r="2113">
      <c r="A2113" t="inlineStr">
        <is>
          <t>SOCIETE C102</t>
        </is>
      </c>
      <c r="B2113" t="inlineStr">
        <is>
          <t>C102</t>
        </is>
      </c>
      <c r="C2113" t="inlineStr">
        <is>
          <t>CONSUMER BANKING</t>
        </is>
      </c>
      <c r="D2113" t="inlineStr">
        <is>
          <t>IV</t>
        </is>
      </c>
      <c r="E2113" t="inlineStr">
        <is>
          <t>Stage 3</t>
        </is>
      </c>
      <c r="F2113" t="inlineStr">
        <is>
          <t>N/A</t>
        </is>
      </c>
      <c r="G2113" s="26">
        <v>2608268995</v>
      </c>
      <c r="H2113" s="26">
        <v>1434547947</v>
      </c>
      <c r="I2113" s="26">
        <v>0</v>
      </c>
      <c r="J2113" s="26">
        <v>17</v>
      </c>
      <c r="K2113" t="inlineStr">
        <is>
          <t>Oui</t>
        </is>
      </c>
      <c r="L2113">
        <f>SUBTOTAL(103,A2113)</f>
        <v>1</v>
      </c>
    </row>
    <row r="2114">
      <c r="A2114" t="inlineStr">
        <is>
          <t>SOCIETE C2479</t>
        </is>
      </c>
      <c r="B2114" t="inlineStr">
        <is>
          <t>C2479</t>
        </is>
      </c>
      <c r="C2114" t="inlineStr">
        <is>
          <t>CORPORATE BANKING</t>
        </is>
      </c>
      <c r="D2114" t="inlineStr">
        <is>
          <t>IA</t>
        </is>
      </c>
      <c r="E2114" t="inlineStr">
        <is>
          <t>Stage 2</t>
        </is>
      </c>
      <c r="F2114" t="inlineStr">
        <is>
          <t>N/A</t>
        </is>
      </c>
      <c r="G2114" s="26">
        <v>70143219</v>
      </c>
      <c r="H2114" s="26">
        <v>4208593</v>
      </c>
      <c r="I2114" s="26">
        <v>0</v>
      </c>
      <c r="J2114" s="26">
        <v>13</v>
      </c>
      <c r="K2114" t="inlineStr">
        <is>
          <t>Non</t>
        </is>
      </c>
      <c r="L2114">
        <f>SUBTOTAL(103,A2114)</f>
        <v>1</v>
      </c>
    </row>
    <row r="2115">
      <c r="A2115" t="inlineStr">
        <is>
          <t>SOCIETE C2415</t>
        </is>
      </c>
      <c r="B2115" t="inlineStr">
        <is>
          <t>C2415</t>
        </is>
      </c>
      <c r="C2115" t="inlineStr">
        <is>
          <t>PUBLIC SECTOR</t>
        </is>
      </c>
      <c r="D2115" t="inlineStr">
        <is>
          <t>I</t>
        </is>
      </c>
      <c r="E2115" t="inlineStr">
        <is>
          <t>Stage 1</t>
        </is>
      </c>
      <c r="F2115" t="inlineStr">
        <is>
          <t>N/A</t>
        </is>
      </c>
      <c r="G2115" s="26">
        <v>221476541</v>
      </c>
      <c r="H2115" s="26">
        <v>2214765</v>
      </c>
      <c r="I2115" s="26">
        <v>0</v>
      </c>
      <c r="J2115" s="26">
        <v>249</v>
      </c>
      <c r="K2115" t="inlineStr">
        <is>
          <t>Non</t>
        </is>
      </c>
      <c r="L2115">
        <f>SUBTOTAL(103,A2115)</f>
        <v>1</v>
      </c>
    </row>
    <row r="2116">
      <c r="A2116" t="inlineStr">
        <is>
          <t>SOCIETE C263</t>
        </is>
      </c>
      <c r="B2116" t="inlineStr">
        <is>
          <t>C263</t>
        </is>
      </c>
      <c r="C2116" t="inlineStr">
        <is>
          <t>CORPORATE BANKING</t>
        </is>
      </c>
      <c r="D2116" t="inlineStr">
        <is>
          <t>IA</t>
        </is>
      </c>
      <c r="E2116" t="inlineStr">
        <is>
          <t>Stage 2</t>
        </is>
      </c>
      <c r="F2116" t="inlineStr">
        <is>
          <t>N/A</t>
        </is>
      </c>
      <c r="G2116" s="26">
        <v>1340256178</v>
      </c>
      <c r="H2116" s="26">
        <v>80415371</v>
      </c>
      <c r="I2116" s="26">
        <v>0</v>
      </c>
      <c r="J2116" s="26">
        <v>61</v>
      </c>
      <c r="K2116" t="inlineStr">
        <is>
          <t>Non</t>
        </is>
      </c>
      <c r="L2116">
        <f>SUBTOTAL(103,A2116)</f>
        <v>1</v>
      </c>
    </row>
    <row r="2117">
      <c r="A2117" t="inlineStr">
        <is>
          <t>SOCIETE C1480</t>
        </is>
      </c>
      <c r="B2117" t="inlineStr">
        <is>
          <t>C1480</t>
        </is>
      </c>
      <c r="C2117" t="inlineStr">
        <is>
          <t>PUBLIC SECTOR</t>
        </is>
      </c>
      <c r="D2117" t="inlineStr">
        <is>
          <t>IA</t>
        </is>
      </c>
      <c r="E2117" t="inlineStr">
        <is>
          <t>Stage 2</t>
        </is>
      </c>
      <c r="F2117" t="inlineStr">
        <is>
          <t>N/A</t>
        </is>
      </c>
      <c r="G2117" s="26">
        <v>543050559</v>
      </c>
      <c r="H2117" s="26">
        <v>32583034</v>
      </c>
      <c r="I2117" s="26">
        <v>0</v>
      </c>
      <c r="J2117" s="26">
        <v>46</v>
      </c>
      <c r="K2117" t="inlineStr">
        <is>
          <t>Non</t>
        </is>
      </c>
      <c r="L2117">
        <f>SUBTOTAL(103,A2117)</f>
        <v>1</v>
      </c>
    </row>
    <row r="2118">
      <c r="A2118" t="inlineStr">
        <is>
          <t>SOCIETE C557</t>
        </is>
      </c>
      <c r="B2118" t="inlineStr">
        <is>
          <t>C557</t>
        </is>
      </c>
      <c r="C2118" t="inlineStr">
        <is>
          <t>PUBLIC SECTOR</t>
        </is>
      </c>
      <c r="D2118" t="inlineStr">
        <is>
          <t>V</t>
        </is>
      </c>
      <c r="E2118" t="inlineStr">
        <is>
          <t>Stage 3</t>
        </is>
      </c>
      <c r="F2118" t="inlineStr">
        <is>
          <t>N/A</t>
        </is>
      </c>
      <c r="G2118" s="26">
        <v>1958782425</v>
      </c>
      <c r="H2118" s="26">
        <v>1077330334</v>
      </c>
      <c r="I2118" s="26">
        <v>0</v>
      </c>
      <c r="J2118" s="26">
        <v>199</v>
      </c>
      <c r="K2118" t="inlineStr">
        <is>
          <t>Oui</t>
        </is>
      </c>
      <c r="L2118">
        <f>SUBTOTAL(103,A2118)</f>
        <v>1</v>
      </c>
    </row>
    <row r="2119">
      <c r="A2119" t="inlineStr">
        <is>
          <t>SOCIETE C1161</t>
        </is>
      </c>
      <c r="B2119" t="inlineStr">
        <is>
          <t>C1161</t>
        </is>
      </c>
      <c r="C2119" t="inlineStr">
        <is>
          <t>CONSUMER BANKING</t>
        </is>
      </c>
      <c r="D2119" t="inlineStr">
        <is>
          <t>I</t>
        </is>
      </c>
      <c r="E2119" t="inlineStr">
        <is>
          <t>Stage 1</t>
        </is>
      </c>
      <c r="F2119" t="inlineStr">
        <is>
          <t>N/A</t>
        </is>
      </c>
      <c r="G2119" s="26">
        <v>2496484627</v>
      </c>
      <c r="H2119" s="26">
        <v>24964846</v>
      </c>
      <c r="I2119" s="26">
        <v>0</v>
      </c>
      <c r="J2119" s="26">
        <v>50</v>
      </c>
      <c r="K2119" t="inlineStr">
        <is>
          <t>Non</t>
        </is>
      </c>
      <c r="L2119">
        <f>SUBTOTAL(103,A2119)</f>
        <v>1</v>
      </c>
    </row>
    <row r="2120">
      <c r="A2120" t="inlineStr">
        <is>
          <t>SOCIETE C429</t>
        </is>
      </c>
      <c r="B2120" t="inlineStr">
        <is>
          <t>C429</t>
        </is>
      </c>
      <c r="C2120" t="inlineStr">
        <is>
          <t>CORPORATE BANKING</t>
        </is>
      </c>
      <c r="D2120" t="inlineStr">
        <is>
          <t>I</t>
        </is>
      </c>
      <c r="E2120" t="inlineStr">
        <is>
          <t>Stage 1</t>
        </is>
      </c>
      <c r="F2120" t="inlineStr">
        <is>
          <t>N/A</t>
        </is>
      </c>
      <c r="G2120" s="26">
        <v>2662840970</v>
      </c>
      <c r="H2120" s="26">
        <v>26628410</v>
      </c>
      <c r="I2120" s="26">
        <v>0</v>
      </c>
      <c r="J2120" s="26">
        <v>0</v>
      </c>
      <c r="K2120" t="inlineStr">
        <is>
          <t>Non</t>
        </is>
      </c>
      <c r="L2120">
        <f>SUBTOTAL(103,A2120)</f>
        <v>1</v>
      </c>
    </row>
    <row r="2121">
      <c r="A2121" t="inlineStr">
        <is>
          <t>SOCIETE C255</t>
        </is>
      </c>
      <c r="B2121" t="inlineStr">
        <is>
          <t>C255</t>
        </is>
      </c>
      <c r="C2121" t="inlineStr">
        <is>
          <t>INSTITUTIONAL</t>
        </is>
      </c>
      <c r="D2121" t="inlineStr">
        <is>
          <t>IA</t>
        </is>
      </c>
      <c r="E2121" t="inlineStr">
        <is>
          <t>Stage 2</t>
        </is>
      </c>
      <c r="F2121" t="inlineStr">
        <is>
          <t>N/A</t>
        </is>
      </c>
      <c r="G2121" s="26">
        <v>649752559</v>
      </c>
      <c r="H2121" s="26">
        <v>38985154</v>
      </c>
      <c r="I2121" s="26">
        <v>0</v>
      </c>
      <c r="J2121" s="26">
        <v>173</v>
      </c>
      <c r="K2121" t="inlineStr">
        <is>
          <t>Non</t>
        </is>
      </c>
      <c r="L2121">
        <f>SUBTOTAL(103,A2121)</f>
        <v>1</v>
      </c>
    </row>
    <row r="2122">
      <c r="A2122" t="inlineStr">
        <is>
          <t>SOCIETE C2319</t>
        </is>
      </c>
      <c r="B2122" t="inlineStr">
        <is>
          <t>C2319</t>
        </is>
      </c>
      <c r="C2122" t="inlineStr">
        <is>
          <t>COMMERCIAL BANKING</t>
        </is>
      </c>
      <c r="D2122" t="inlineStr">
        <is>
          <t>I</t>
        </is>
      </c>
      <c r="E2122" t="inlineStr">
        <is>
          <t>Stage 1</t>
        </is>
      </c>
      <c r="F2122" t="inlineStr">
        <is>
          <t>N/A</t>
        </is>
      </c>
      <c r="G2122" s="26">
        <v>966296197</v>
      </c>
      <c r="H2122" s="26">
        <v>9662962</v>
      </c>
      <c r="I2122" s="26">
        <v>65934377</v>
      </c>
      <c r="J2122" s="26">
        <v>10</v>
      </c>
      <c r="K2122" t="inlineStr">
        <is>
          <t>Non</t>
        </is>
      </c>
      <c r="L2122">
        <f>SUBTOTAL(103,A2122)</f>
        <v>1</v>
      </c>
    </row>
    <row r="2123">
      <c r="A2123" t="inlineStr">
        <is>
          <t>SOCIETE C1900</t>
        </is>
      </c>
      <c r="B2123" t="inlineStr">
        <is>
          <t>C1900</t>
        </is>
      </c>
      <c r="C2123" t="inlineStr">
        <is>
          <t>CORPORATE BANKING</t>
        </is>
      </c>
      <c r="D2123" t="inlineStr">
        <is>
          <t>I</t>
        </is>
      </c>
      <c r="E2123" t="inlineStr">
        <is>
          <t>Stage 1</t>
        </is>
      </c>
      <c r="F2123" t="inlineStr">
        <is>
          <t>N/A</t>
        </is>
      </c>
      <c r="G2123" s="26">
        <v>17235006</v>
      </c>
      <c r="H2123" s="26">
        <v>172350</v>
      </c>
      <c r="I2123" s="26">
        <v>0</v>
      </c>
      <c r="J2123" s="26">
        <v>58</v>
      </c>
      <c r="K2123" t="inlineStr">
        <is>
          <t>Non</t>
        </is>
      </c>
      <c r="L2123">
        <f>SUBTOTAL(103,A2123)</f>
        <v>1</v>
      </c>
    </row>
    <row r="2124">
      <c r="A2124" t="inlineStr">
        <is>
          <t>SOCIETE C1361</t>
        </is>
      </c>
      <c r="B2124" t="inlineStr">
        <is>
          <t>C1361</t>
        </is>
      </c>
      <c r="C2124" t="inlineStr">
        <is>
          <t>CONSUMER BANKING</t>
        </is>
      </c>
      <c r="D2124" t="inlineStr">
        <is>
          <t>I</t>
        </is>
      </c>
      <c r="E2124" t="inlineStr">
        <is>
          <t>Stage 1</t>
        </is>
      </c>
      <c r="F2124" t="inlineStr">
        <is>
          <t>N/A</t>
        </is>
      </c>
      <c r="G2124" s="26">
        <v>1117833043</v>
      </c>
      <c r="H2124" s="26">
        <v>11178330</v>
      </c>
      <c r="I2124" s="26">
        <v>155891996</v>
      </c>
      <c r="J2124" s="26">
        <v>171</v>
      </c>
      <c r="K2124" t="inlineStr">
        <is>
          <t>Non</t>
        </is>
      </c>
      <c r="L2124">
        <f>SUBTOTAL(103,A2124)</f>
        <v>1</v>
      </c>
    </row>
    <row r="2125">
      <c r="A2125" t="inlineStr">
        <is>
          <t>SOCIETE C1742</t>
        </is>
      </c>
      <c r="B2125" t="inlineStr">
        <is>
          <t>C1742</t>
        </is>
      </c>
      <c r="C2125" t="inlineStr">
        <is>
          <t>COMMERCIAL BANKING</t>
        </is>
      </c>
      <c r="D2125" t="inlineStr">
        <is>
          <t>III</t>
        </is>
      </c>
      <c r="E2125" t="inlineStr">
        <is>
          <t>Stage 3</t>
        </is>
      </c>
      <c r="F2125" t="inlineStr">
        <is>
          <t>N/A</t>
        </is>
      </c>
      <c r="G2125" s="26">
        <v>68154860</v>
      </c>
      <c r="H2125" s="26">
        <v>37485173</v>
      </c>
      <c r="I2125" s="26">
        <v>5294871</v>
      </c>
      <c r="J2125" s="26">
        <v>51</v>
      </c>
      <c r="K2125" t="inlineStr">
        <is>
          <t>Oui</t>
        </is>
      </c>
      <c r="L2125">
        <f>SUBTOTAL(103,A2125)</f>
        <v>1</v>
      </c>
    </row>
    <row r="2126">
      <c r="A2126" t="inlineStr">
        <is>
          <t>SOCIETE C1572</t>
        </is>
      </c>
      <c r="B2126" t="inlineStr">
        <is>
          <t>C1572</t>
        </is>
      </c>
      <c r="C2126" t="inlineStr">
        <is>
          <t>COMMERCIAL BANKING</t>
        </is>
      </c>
      <c r="D2126" t="inlineStr">
        <is>
          <t>IA</t>
        </is>
      </c>
      <c r="E2126" t="inlineStr">
        <is>
          <t>Stage 2</t>
        </is>
      </c>
      <c r="F2126" t="inlineStr">
        <is>
          <t>N/A</t>
        </is>
      </c>
      <c r="G2126" s="26">
        <v>120919582</v>
      </c>
      <c r="H2126" s="26">
        <v>7255175</v>
      </c>
      <c r="I2126" s="26">
        <v>0</v>
      </c>
      <c r="J2126" s="26">
        <v>143</v>
      </c>
      <c r="K2126" t="inlineStr">
        <is>
          <t>Non</t>
        </is>
      </c>
      <c r="L2126">
        <f>SUBTOTAL(103,A2126)</f>
        <v>1</v>
      </c>
    </row>
    <row r="2127">
      <c r="A2127" t="inlineStr">
        <is>
          <t>SOCIETE C1312</t>
        </is>
      </c>
      <c r="B2127" t="inlineStr">
        <is>
          <t>C1312</t>
        </is>
      </c>
      <c r="C2127" t="inlineStr">
        <is>
          <t>COMMERCIAL BANKING</t>
        </is>
      </c>
      <c r="D2127" t="inlineStr">
        <is>
          <t>I</t>
        </is>
      </c>
      <c r="E2127" t="inlineStr">
        <is>
          <t>Stage 1</t>
        </is>
      </c>
      <c r="F2127" t="inlineStr">
        <is>
          <t>N/A</t>
        </is>
      </c>
      <c r="G2127" s="26">
        <v>244356900</v>
      </c>
      <c r="H2127" s="26">
        <v>2443569</v>
      </c>
      <c r="I2127" s="26">
        <v>0</v>
      </c>
      <c r="J2127" s="26">
        <v>2</v>
      </c>
      <c r="K2127" t="inlineStr">
        <is>
          <t>Non</t>
        </is>
      </c>
      <c r="L2127">
        <f>SUBTOTAL(103,A2127)</f>
        <v>1</v>
      </c>
    </row>
    <row r="2128">
      <c r="A2128" t="inlineStr">
        <is>
          <t>SOCIETE C1869</t>
        </is>
      </c>
      <c r="B2128" t="inlineStr">
        <is>
          <t>C1869</t>
        </is>
      </c>
      <c r="C2128" t="inlineStr">
        <is>
          <t>COMMERCIAL BANKING</t>
        </is>
      </c>
      <c r="D2128" t="inlineStr">
        <is>
          <t>IA</t>
        </is>
      </c>
      <c r="E2128" t="inlineStr">
        <is>
          <t>Stage 2</t>
        </is>
      </c>
      <c r="F2128" t="inlineStr">
        <is>
          <t>N/A</t>
        </is>
      </c>
      <c r="G2128" s="26">
        <v>185804637</v>
      </c>
      <c r="H2128" s="26">
        <v>11148278</v>
      </c>
      <c r="I2128" s="26">
        <v>3828618</v>
      </c>
      <c r="J2128" s="26">
        <v>113</v>
      </c>
      <c r="K2128" t="inlineStr">
        <is>
          <t>Non</t>
        </is>
      </c>
      <c r="L2128">
        <f>SUBTOTAL(103,A2128)</f>
        <v>1</v>
      </c>
    </row>
    <row r="2129">
      <c r="A2129" t="inlineStr">
        <is>
          <t>SOCIETE C2156</t>
        </is>
      </c>
      <c r="B2129" t="inlineStr">
        <is>
          <t>C2156</t>
        </is>
      </c>
      <c r="C2129" t="inlineStr">
        <is>
          <t>COMMERCIAL BANKING</t>
        </is>
      </c>
      <c r="D2129" t="inlineStr">
        <is>
          <t>I</t>
        </is>
      </c>
      <c r="E2129" t="inlineStr">
        <is>
          <t>Stage 1</t>
        </is>
      </c>
      <c r="F2129" t="inlineStr">
        <is>
          <t>N/A</t>
        </is>
      </c>
      <c r="G2129" s="26">
        <v>1436221109</v>
      </c>
      <c r="H2129" s="26">
        <v>14362211</v>
      </c>
      <c r="I2129" s="26">
        <v>0</v>
      </c>
      <c r="J2129" s="26">
        <v>61</v>
      </c>
      <c r="K2129" t="inlineStr">
        <is>
          <t>Non</t>
        </is>
      </c>
      <c r="L2129">
        <f>SUBTOTAL(103,A2129)</f>
        <v>1</v>
      </c>
    </row>
    <row r="2130">
      <c r="A2130" t="inlineStr">
        <is>
          <t>SOCIETE C639</t>
        </is>
      </c>
      <c r="B2130" t="inlineStr">
        <is>
          <t>C639</t>
        </is>
      </c>
      <c r="C2130" t="inlineStr">
        <is>
          <t>SME</t>
        </is>
      </c>
      <c r="D2130" t="inlineStr">
        <is>
          <t>I</t>
        </is>
      </c>
      <c r="E2130" t="inlineStr">
        <is>
          <t>Stage 1</t>
        </is>
      </c>
      <c r="F2130" t="inlineStr">
        <is>
          <t>N/A</t>
        </is>
      </c>
      <c r="G2130" s="26">
        <v>202089394</v>
      </c>
      <c r="H2130" s="26">
        <v>2020894</v>
      </c>
      <c r="I2130" s="26">
        <v>3852671</v>
      </c>
      <c r="J2130" s="26">
        <v>2</v>
      </c>
      <c r="K2130" t="inlineStr">
        <is>
          <t>Non</t>
        </is>
      </c>
      <c r="L2130">
        <f>SUBTOTAL(103,A2130)</f>
        <v>1</v>
      </c>
    </row>
    <row r="2131">
      <c r="A2131" t="inlineStr">
        <is>
          <t>SOCIETE C1112</t>
        </is>
      </c>
      <c r="B2131" t="inlineStr">
        <is>
          <t>C1112</t>
        </is>
      </c>
      <c r="C2131" t="inlineStr">
        <is>
          <t>SME</t>
        </is>
      </c>
      <c r="D2131" t="inlineStr">
        <is>
          <t>II</t>
        </is>
      </c>
      <c r="E2131" t="inlineStr">
        <is>
          <t>Stage 2</t>
        </is>
      </c>
      <c r="F2131" t="inlineStr">
        <is>
          <t>N/A</t>
        </is>
      </c>
      <c r="G2131" s="26">
        <v>41728969</v>
      </c>
      <c r="H2131" s="26">
        <v>2503738</v>
      </c>
      <c r="I2131" s="26">
        <v>0</v>
      </c>
      <c r="J2131" s="26">
        <v>108</v>
      </c>
      <c r="K2131" t="inlineStr">
        <is>
          <t>Non</t>
        </is>
      </c>
      <c r="L2131">
        <f>SUBTOTAL(103,A2131)</f>
        <v>1</v>
      </c>
    </row>
    <row r="2132">
      <c r="A2132" t="inlineStr">
        <is>
          <t>SOCIETE C1284</t>
        </is>
      </c>
      <c r="B2132" t="inlineStr">
        <is>
          <t>C1284</t>
        </is>
      </c>
      <c r="C2132" t="inlineStr">
        <is>
          <t>CORPORATE BANKING</t>
        </is>
      </c>
      <c r="D2132" t="inlineStr">
        <is>
          <t>IA</t>
        </is>
      </c>
      <c r="E2132" t="inlineStr">
        <is>
          <t>Stage 2</t>
        </is>
      </c>
      <c r="F2132" t="inlineStr">
        <is>
          <t>N/A</t>
        </is>
      </c>
      <c r="G2132" s="26">
        <v>329842618</v>
      </c>
      <c r="H2132" s="26">
        <v>19790557</v>
      </c>
      <c r="I2132" s="26">
        <v>0</v>
      </c>
      <c r="J2132" s="26">
        <v>28</v>
      </c>
      <c r="K2132" t="inlineStr">
        <is>
          <t>Non</t>
        </is>
      </c>
      <c r="L2132">
        <f>SUBTOTAL(103,A2132)</f>
        <v>1</v>
      </c>
    </row>
    <row r="2133">
      <c r="A2133" t="inlineStr">
        <is>
          <t>SOCIETE C1196</t>
        </is>
      </c>
      <c r="B2133" t="inlineStr">
        <is>
          <t>C1196</t>
        </is>
      </c>
      <c r="C2133" t="inlineStr">
        <is>
          <t>PUBLIC SECTOR</t>
        </is>
      </c>
      <c r="D2133" t="inlineStr">
        <is>
          <t>V</t>
        </is>
      </c>
      <c r="E2133" t="inlineStr">
        <is>
          <t>Stage 3</t>
        </is>
      </c>
      <c r="F2133" t="inlineStr">
        <is>
          <t>N/A</t>
        </is>
      </c>
      <c r="G2133" s="26">
        <v>21773808</v>
      </c>
      <c r="H2133" s="26">
        <v>11975594</v>
      </c>
      <c r="I2133" s="26">
        <v>0</v>
      </c>
      <c r="J2133" s="26">
        <v>168</v>
      </c>
      <c r="K2133" t="inlineStr">
        <is>
          <t>Oui</t>
        </is>
      </c>
      <c r="L2133">
        <f>SUBTOTAL(103,A2133)</f>
        <v>1</v>
      </c>
    </row>
    <row r="2134">
      <c r="A2134" t="inlineStr">
        <is>
          <t>SOCIETE C1348</t>
        </is>
      </c>
      <c r="B2134" t="inlineStr">
        <is>
          <t>C1348</t>
        </is>
      </c>
      <c r="C2134" t="inlineStr">
        <is>
          <t>COMMERCIAL BANKING</t>
        </is>
      </c>
      <c r="D2134" t="inlineStr">
        <is>
          <t>II</t>
        </is>
      </c>
      <c r="E2134" t="inlineStr">
        <is>
          <t>Stage 2</t>
        </is>
      </c>
      <c r="F2134" t="inlineStr">
        <is>
          <t>N/A</t>
        </is>
      </c>
      <c r="G2134" s="26">
        <v>30152609</v>
      </c>
      <c r="H2134" s="26">
        <v>1809157</v>
      </c>
      <c r="I2134" s="26">
        <v>0</v>
      </c>
      <c r="J2134" s="26">
        <v>3</v>
      </c>
      <c r="K2134" t="inlineStr">
        <is>
          <t>Non</t>
        </is>
      </c>
      <c r="L2134">
        <f>SUBTOTAL(103,A2134)</f>
        <v>1</v>
      </c>
    </row>
    <row r="2135">
      <c r="A2135" t="inlineStr">
        <is>
          <t>SOCIETE C934</t>
        </is>
      </c>
      <c r="B2135" t="inlineStr">
        <is>
          <t>C934</t>
        </is>
      </c>
      <c r="C2135" t="inlineStr">
        <is>
          <t>CONSUMER BANKING</t>
        </is>
      </c>
      <c r="D2135" t="inlineStr">
        <is>
          <t>I</t>
        </is>
      </c>
      <c r="E2135" t="inlineStr">
        <is>
          <t>Stage 1</t>
        </is>
      </c>
      <c r="F2135" t="inlineStr">
        <is>
          <t>N/A</t>
        </is>
      </c>
      <c r="G2135" s="26">
        <v>8001635</v>
      </c>
      <c r="H2135" s="26">
        <v>80016</v>
      </c>
      <c r="I2135" s="26">
        <v>0</v>
      </c>
      <c r="J2135" s="26">
        <v>1</v>
      </c>
      <c r="K2135" t="inlineStr">
        <is>
          <t>Non</t>
        </is>
      </c>
      <c r="L2135">
        <f>SUBTOTAL(103,A2135)</f>
        <v>1</v>
      </c>
    </row>
    <row r="2136">
      <c r="A2136" t="inlineStr">
        <is>
          <t>SOCIETE C2455</t>
        </is>
      </c>
      <c r="B2136" t="inlineStr">
        <is>
          <t>C2455</t>
        </is>
      </c>
      <c r="C2136" t="inlineStr">
        <is>
          <t>COMMERCIAL BANKING</t>
        </is>
      </c>
      <c r="D2136" t="inlineStr">
        <is>
          <t>IA</t>
        </is>
      </c>
      <c r="E2136" t="inlineStr">
        <is>
          <t>Stage 2</t>
        </is>
      </c>
      <c r="F2136" t="inlineStr">
        <is>
          <t>N/A</t>
        </is>
      </c>
      <c r="G2136" s="26">
        <v>573092839</v>
      </c>
      <c r="H2136" s="26">
        <v>34385570</v>
      </c>
      <c r="I2136" s="26">
        <v>50923737</v>
      </c>
      <c r="J2136" s="26">
        <v>10</v>
      </c>
      <c r="K2136" t="inlineStr">
        <is>
          <t>Non</t>
        </is>
      </c>
      <c r="L2136">
        <f>SUBTOTAL(103,A2136)</f>
        <v>1</v>
      </c>
    </row>
    <row r="2137">
      <c r="A2137" t="inlineStr">
        <is>
          <t>SOCIETE C1282</t>
        </is>
      </c>
      <c r="B2137" t="inlineStr">
        <is>
          <t>C1282</t>
        </is>
      </c>
      <c r="C2137" t="inlineStr">
        <is>
          <t>COMMERCIAL BANKING</t>
        </is>
      </c>
      <c r="D2137" t="inlineStr">
        <is>
          <t>II</t>
        </is>
      </c>
      <c r="E2137" t="inlineStr">
        <is>
          <t>Stage 2</t>
        </is>
      </c>
      <c r="F2137" t="inlineStr">
        <is>
          <t>N/A</t>
        </is>
      </c>
      <c r="G2137" s="26">
        <v>1467115786</v>
      </c>
      <c r="H2137" s="26">
        <v>88026947</v>
      </c>
      <c r="I2137" s="26">
        <v>0</v>
      </c>
      <c r="J2137" s="26">
        <v>2</v>
      </c>
      <c r="K2137" t="inlineStr">
        <is>
          <t>Non</t>
        </is>
      </c>
      <c r="L2137">
        <f>SUBTOTAL(103,A2137)</f>
        <v>1</v>
      </c>
    </row>
    <row r="2138">
      <c r="A2138" t="inlineStr">
        <is>
          <t>SOCIETE C826</t>
        </is>
      </c>
      <c r="B2138" t="inlineStr">
        <is>
          <t>C826</t>
        </is>
      </c>
      <c r="C2138" t="inlineStr">
        <is>
          <t>CORPORATE BANKING</t>
        </is>
      </c>
      <c r="D2138" t="inlineStr">
        <is>
          <t>IV</t>
        </is>
      </c>
      <c r="E2138" t="inlineStr">
        <is>
          <t>Stage 3</t>
        </is>
      </c>
      <c r="F2138" t="inlineStr">
        <is>
          <t>N/A</t>
        </is>
      </c>
      <c r="G2138" s="26">
        <v>2135948362</v>
      </c>
      <c r="H2138" s="26">
        <v>1174771599</v>
      </c>
      <c r="I2138" s="26">
        <v>44017686</v>
      </c>
      <c r="J2138" s="26">
        <v>264</v>
      </c>
      <c r="K2138" t="inlineStr">
        <is>
          <t>Oui</t>
        </is>
      </c>
      <c r="L2138">
        <f>SUBTOTAL(103,A2138)</f>
        <v>1</v>
      </c>
    </row>
    <row r="2139">
      <c r="A2139" t="inlineStr">
        <is>
          <t>SOCIETE C2275</t>
        </is>
      </c>
      <c r="B2139" t="inlineStr">
        <is>
          <t>C2275</t>
        </is>
      </c>
      <c r="C2139" t="inlineStr">
        <is>
          <t>CORPORATE BANKING</t>
        </is>
      </c>
      <c r="D2139" t="inlineStr">
        <is>
          <t>I</t>
        </is>
      </c>
      <c r="E2139" t="inlineStr">
        <is>
          <t>Stage 1</t>
        </is>
      </c>
      <c r="F2139" t="inlineStr">
        <is>
          <t>N/A</t>
        </is>
      </c>
      <c r="G2139" s="26">
        <v>2767261</v>
      </c>
      <c r="H2139" s="26">
        <v>27673</v>
      </c>
      <c r="I2139" s="26">
        <v>0</v>
      </c>
      <c r="J2139" s="26">
        <v>34</v>
      </c>
      <c r="K2139" t="inlineStr">
        <is>
          <t>Non</t>
        </is>
      </c>
      <c r="L2139">
        <f>SUBTOTAL(103,A2139)</f>
        <v>1</v>
      </c>
    </row>
    <row r="2140">
      <c r="A2140" t="inlineStr">
        <is>
          <t>SOCIETE C396</t>
        </is>
      </c>
      <c r="B2140" t="inlineStr">
        <is>
          <t>C396</t>
        </is>
      </c>
      <c r="C2140" t="inlineStr">
        <is>
          <t>PUBLIC SECTOR</t>
        </is>
      </c>
      <c r="D2140" t="inlineStr">
        <is>
          <t>V</t>
        </is>
      </c>
      <c r="E2140" t="inlineStr">
        <is>
          <t>Stage 3</t>
        </is>
      </c>
      <c r="F2140" t="inlineStr">
        <is>
          <t>N/A</t>
        </is>
      </c>
      <c r="G2140" s="26">
        <v>4546740</v>
      </c>
      <c r="H2140" s="26">
        <v>2500707</v>
      </c>
      <c r="I2140" s="26">
        <v>0</v>
      </c>
      <c r="J2140" s="26">
        <v>16</v>
      </c>
      <c r="K2140" t="inlineStr">
        <is>
          <t>Oui</t>
        </is>
      </c>
      <c r="L2140">
        <f>SUBTOTAL(103,A2140)</f>
        <v>1</v>
      </c>
    </row>
    <row r="2141">
      <c r="A2141" t="inlineStr">
        <is>
          <t>SOCIETE C1649</t>
        </is>
      </c>
      <c r="B2141" t="inlineStr">
        <is>
          <t>C1649</t>
        </is>
      </c>
      <c r="C2141" t="inlineStr">
        <is>
          <t>CORPORATE BANKING</t>
        </is>
      </c>
      <c r="D2141" t="inlineStr">
        <is>
          <t>II</t>
        </is>
      </c>
      <c r="E2141" t="inlineStr">
        <is>
          <t>Stage 2</t>
        </is>
      </c>
      <c r="F2141" t="inlineStr">
        <is>
          <t>N/A</t>
        </is>
      </c>
      <c r="G2141" s="26">
        <v>875212993</v>
      </c>
      <c r="H2141" s="26">
        <v>52512780</v>
      </c>
      <c r="I2141" s="26">
        <v>126685057</v>
      </c>
      <c r="J2141" s="26">
        <v>246</v>
      </c>
      <c r="K2141" t="inlineStr">
        <is>
          <t>Non</t>
        </is>
      </c>
      <c r="L2141">
        <f>SUBTOTAL(103,A2141)</f>
        <v>1</v>
      </c>
    </row>
    <row r="2142">
      <c r="A2142" t="inlineStr">
        <is>
          <t>SOCIETE C2000</t>
        </is>
      </c>
      <c r="B2142" t="inlineStr">
        <is>
          <t>C2000</t>
        </is>
      </c>
      <c r="C2142" t="inlineStr">
        <is>
          <t>INSTITUTIONAL</t>
        </is>
      </c>
      <c r="D2142" t="inlineStr">
        <is>
          <t>IA</t>
        </is>
      </c>
      <c r="E2142" t="inlineStr">
        <is>
          <t>Stage 2</t>
        </is>
      </c>
      <c r="F2142" t="inlineStr">
        <is>
          <t>N/A</t>
        </is>
      </c>
      <c r="G2142" s="26">
        <v>112675336</v>
      </c>
      <c r="H2142" s="26">
        <v>6760520</v>
      </c>
      <c r="I2142" s="26">
        <v>0</v>
      </c>
      <c r="J2142" s="26">
        <v>166</v>
      </c>
      <c r="K2142" t="inlineStr">
        <is>
          <t>Non</t>
        </is>
      </c>
      <c r="L2142">
        <f>SUBTOTAL(103,A2142)</f>
        <v>1</v>
      </c>
    </row>
    <row r="2143">
      <c r="A2143" t="inlineStr">
        <is>
          <t>SOCIETE C698</t>
        </is>
      </c>
      <c r="B2143" t="inlineStr">
        <is>
          <t>C698</t>
        </is>
      </c>
      <c r="C2143" t="inlineStr">
        <is>
          <t>CORPORATE BANKING</t>
        </is>
      </c>
      <c r="D2143" t="inlineStr">
        <is>
          <t>I</t>
        </is>
      </c>
      <c r="E2143" t="inlineStr">
        <is>
          <t>Stage 1</t>
        </is>
      </c>
      <c r="F2143" t="inlineStr">
        <is>
          <t>N/A</t>
        </is>
      </c>
      <c r="G2143" s="26">
        <v>4029976</v>
      </c>
      <c r="H2143" s="26">
        <v>40300</v>
      </c>
      <c r="I2143" s="26">
        <v>0</v>
      </c>
      <c r="J2143" s="26">
        <v>57</v>
      </c>
      <c r="K2143" t="inlineStr">
        <is>
          <t>Non</t>
        </is>
      </c>
      <c r="L2143">
        <f>SUBTOTAL(103,A2143)</f>
        <v>1</v>
      </c>
    </row>
    <row r="2144">
      <c r="A2144" t="inlineStr">
        <is>
          <t>SOCIETE C1498</t>
        </is>
      </c>
      <c r="B2144" t="inlineStr">
        <is>
          <t>C1498</t>
        </is>
      </c>
      <c r="C2144" t="inlineStr">
        <is>
          <t>CONSUMER BANKING</t>
        </is>
      </c>
      <c r="D2144" t="inlineStr">
        <is>
          <t>I</t>
        </is>
      </c>
      <c r="E2144" t="inlineStr">
        <is>
          <t>Stage 1</t>
        </is>
      </c>
      <c r="F2144" t="inlineStr">
        <is>
          <t>N/A</t>
        </is>
      </c>
      <c r="G2144" s="26">
        <v>1020053</v>
      </c>
      <c r="H2144" s="26">
        <v>10201</v>
      </c>
      <c r="I2144" s="26">
        <v>0</v>
      </c>
      <c r="J2144" s="26">
        <v>57</v>
      </c>
      <c r="K2144" t="inlineStr">
        <is>
          <t>Non</t>
        </is>
      </c>
      <c r="L2144">
        <f>SUBTOTAL(103,A2144)</f>
        <v>1</v>
      </c>
    </row>
    <row r="2145">
      <c r="A2145" t="inlineStr">
        <is>
          <t>SOCIETE C1767</t>
        </is>
      </c>
      <c r="B2145" t="inlineStr">
        <is>
          <t>C1767</t>
        </is>
      </c>
      <c r="C2145" t="inlineStr">
        <is>
          <t>CORPORATE BANKING</t>
        </is>
      </c>
      <c r="D2145" t="inlineStr">
        <is>
          <t>IA</t>
        </is>
      </c>
      <c r="E2145" t="inlineStr">
        <is>
          <t>Stage 2</t>
        </is>
      </c>
      <c r="F2145" t="inlineStr">
        <is>
          <t>N/A</t>
        </is>
      </c>
      <c r="G2145" s="26">
        <v>799164509</v>
      </c>
      <c r="H2145" s="26">
        <v>47949871</v>
      </c>
      <c r="I2145" s="26">
        <v>120562497</v>
      </c>
      <c r="J2145" s="26">
        <v>74</v>
      </c>
      <c r="K2145" t="inlineStr">
        <is>
          <t>Non</t>
        </is>
      </c>
      <c r="L2145">
        <f>SUBTOTAL(103,A2145)</f>
        <v>1</v>
      </c>
    </row>
    <row r="2146">
      <c r="A2146" t="inlineStr">
        <is>
          <t>SOCIETE C2084</t>
        </is>
      </c>
      <c r="B2146" t="inlineStr">
        <is>
          <t>C2084</t>
        </is>
      </c>
      <c r="C2146" t="inlineStr">
        <is>
          <t>COMMERCIAL BANKING</t>
        </is>
      </c>
      <c r="D2146" t="inlineStr">
        <is>
          <t>IA</t>
        </is>
      </c>
      <c r="E2146" t="inlineStr">
        <is>
          <t>Stage 2</t>
        </is>
      </c>
      <c r="F2146" t="inlineStr">
        <is>
          <t>N/A</t>
        </is>
      </c>
      <c r="G2146" s="26">
        <v>18715062</v>
      </c>
      <c r="H2146" s="26">
        <v>1122904</v>
      </c>
      <c r="I2146" s="26">
        <v>0</v>
      </c>
      <c r="J2146" s="26">
        <v>281</v>
      </c>
      <c r="K2146" t="inlineStr">
        <is>
          <t>Non</t>
        </is>
      </c>
      <c r="L2146">
        <f>SUBTOTAL(103,A2146)</f>
        <v>1</v>
      </c>
    </row>
    <row r="2147">
      <c r="A2147" t="inlineStr">
        <is>
          <t>SOCIETE C1789</t>
        </is>
      </c>
      <c r="B2147" t="inlineStr">
        <is>
          <t>C1789</t>
        </is>
      </c>
      <c r="C2147" t="inlineStr">
        <is>
          <t>CORPORATE BANKING</t>
        </is>
      </c>
      <c r="D2147" t="inlineStr">
        <is>
          <t>IA</t>
        </is>
      </c>
      <c r="E2147" t="inlineStr">
        <is>
          <t>Stage 2</t>
        </is>
      </c>
      <c r="F2147" t="inlineStr">
        <is>
          <t>N/A</t>
        </is>
      </c>
      <c r="G2147" s="26">
        <v>1877630</v>
      </c>
      <c r="H2147" s="26">
        <v>112658</v>
      </c>
      <c r="I2147" s="26">
        <v>0</v>
      </c>
      <c r="J2147" s="26">
        <v>298</v>
      </c>
      <c r="K2147" t="inlineStr">
        <is>
          <t>Non</t>
        </is>
      </c>
      <c r="L2147">
        <f>SUBTOTAL(103,A2147)</f>
        <v>1</v>
      </c>
    </row>
    <row r="2148">
      <c r="A2148" t="inlineStr">
        <is>
          <t>SOCIETE C1167</t>
        </is>
      </c>
      <c r="B2148" t="inlineStr">
        <is>
          <t>C1167</t>
        </is>
      </c>
      <c r="C2148" t="inlineStr">
        <is>
          <t>CORPORATE BANKING</t>
        </is>
      </c>
      <c r="D2148" t="inlineStr">
        <is>
          <t>IV</t>
        </is>
      </c>
      <c r="E2148" t="inlineStr">
        <is>
          <t>Stage 3</t>
        </is>
      </c>
      <c r="F2148" t="inlineStr">
        <is>
          <t>N/A</t>
        </is>
      </c>
      <c r="G2148" s="26">
        <v>394636654</v>
      </c>
      <c r="H2148" s="26">
        <v>217050160</v>
      </c>
      <c r="I2148" s="26">
        <v>0</v>
      </c>
      <c r="J2148" s="26">
        <v>102</v>
      </c>
      <c r="K2148" t="inlineStr">
        <is>
          <t>Oui</t>
        </is>
      </c>
      <c r="L2148">
        <f>SUBTOTAL(103,A2148)</f>
        <v>1</v>
      </c>
    </row>
    <row r="2149">
      <c r="A2149" t="inlineStr">
        <is>
          <t>SOCIETE C1880</t>
        </is>
      </c>
      <c r="B2149" t="inlineStr">
        <is>
          <t>C1880</t>
        </is>
      </c>
      <c r="C2149" t="inlineStr">
        <is>
          <t>CORPORATE BANKING</t>
        </is>
      </c>
      <c r="D2149" t="inlineStr">
        <is>
          <t>IV</t>
        </is>
      </c>
      <c r="E2149" t="inlineStr">
        <is>
          <t>Stage 3</t>
        </is>
      </c>
      <c r="F2149" t="inlineStr">
        <is>
          <t>N/A</t>
        </is>
      </c>
      <c r="G2149" s="26">
        <v>169127441</v>
      </c>
      <c r="H2149" s="26">
        <v>93020093</v>
      </c>
      <c r="I2149" s="26">
        <v>0</v>
      </c>
      <c r="J2149" s="26">
        <v>232</v>
      </c>
      <c r="K2149" t="inlineStr">
        <is>
          <t>Oui</t>
        </is>
      </c>
      <c r="L2149">
        <f>SUBTOTAL(103,A2149)</f>
        <v>1</v>
      </c>
    </row>
    <row r="2150">
      <c r="A2150" t="inlineStr">
        <is>
          <t>SOCIETE C2422</t>
        </is>
      </c>
      <c r="B2150" t="inlineStr">
        <is>
          <t>C2422</t>
        </is>
      </c>
      <c r="C2150" t="inlineStr">
        <is>
          <t>COMMERCIAL BANKING</t>
        </is>
      </c>
      <c r="D2150" t="inlineStr">
        <is>
          <t>IV</t>
        </is>
      </c>
      <c r="E2150" t="inlineStr">
        <is>
          <t>Stage 3</t>
        </is>
      </c>
      <c r="F2150" t="inlineStr">
        <is>
          <t>N/A</t>
        </is>
      </c>
      <c r="G2150" s="26">
        <v>829276284</v>
      </c>
      <c r="H2150" s="26">
        <v>456101956</v>
      </c>
      <c r="I2150" s="26">
        <v>0</v>
      </c>
      <c r="J2150" s="26">
        <v>111</v>
      </c>
      <c r="K2150" t="inlineStr">
        <is>
          <t>Oui</t>
        </is>
      </c>
      <c r="L2150">
        <f>SUBTOTAL(103,A2150)</f>
        <v>1</v>
      </c>
    </row>
    <row r="2151">
      <c r="A2151" t="inlineStr">
        <is>
          <t>SOCIETE C1579</t>
        </is>
      </c>
      <c r="B2151" t="inlineStr">
        <is>
          <t>C1579</t>
        </is>
      </c>
      <c r="C2151" t="inlineStr">
        <is>
          <t>PUBLIC SECTOR</t>
        </is>
      </c>
      <c r="D2151" t="inlineStr">
        <is>
          <t>IA</t>
        </is>
      </c>
      <c r="E2151" t="inlineStr">
        <is>
          <t>Stage 2</t>
        </is>
      </c>
      <c r="F2151" t="inlineStr">
        <is>
          <t>N/A</t>
        </is>
      </c>
      <c r="G2151" s="26">
        <v>53108245</v>
      </c>
      <c r="H2151" s="26">
        <v>3186495</v>
      </c>
      <c r="I2151" s="26">
        <v>0</v>
      </c>
      <c r="J2151" s="26">
        <v>49</v>
      </c>
      <c r="K2151" t="inlineStr">
        <is>
          <t>Non</t>
        </is>
      </c>
      <c r="L2151">
        <f>SUBTOTAL(103,A2151)</f>
        <v>1</v>
      </c>
    </row>
    <row r="2152">
      <c r="A2152" t="inlineStr">
        <is>
          <t>SOCIETE C1340</t>
        </is>
      </c>
      <c r="B2152" t="inlineStr">
        <is>
          <t>C1340</t>
        </is>
      </c>
      <c r="C2152" t="inlineStr">
        <is>
          <t>COMMERCIAL BANKING</t>
        </is>
      </c>
      <c r="D2152" t="inlineStr">
        <is>
          <t>IA</t>
        </is>
      </c>
      <c r="E2152" t="inlineStr">
        <is>
          <t>Stage 2</t>
        </is>
      </c>
      <c r="F2152" t="inlineStr">
        <is>
          <t>N/A</t>
        </is>
      </c>
      <c r="G2152" s="26">
        <v>2239246138</v>
      </c>
      <c r="H2152" s="26">
        <v>134354768</v>
      </c>
      <c r="I2152" s="26">
        <v>351415848</v>
      </c>
      <c r="J2152" s="26">
        <v>7</v>
      </c>
      <c r="K2152" t="inlineStr">
        <is>
          <t>Non</t>
        </is>
      </c>
      <c r="L2152">
        <f>SUBTOTAL(103,A2152)</f>
        <v>1</v>
      </c>
    </row>
    <row r="2153">
      <c r="A2153" t="inlineStr">
        <is>
          <t>SOCIETE C697</t>
        </is>
      </c>
      <c r="B2153" t="inlineStr">
        <is>
          <t>C697</t>
        </is>
      </c>
      <c r="C2153" t="inlineStr">
        <is>
          <t>COMMERCIAL BANKING</t>
        </is>
      </c>
      <c r="D2153" t="inlineStr">
        <is>
          <t>I</t>
        </is>
      </c>
      <c r="E2153" t="inlineStr">
        <is>
          <t>Stage 1</t>
        </is>
      </c>
      <c r="F2153" t="inlineStr">
        <is>
          <t>N/A</t>
        </is>
      </c>
      <c r="G2153" s="26">
        <v>2971792667</v>
      </c>
      <c r="H2153" s="26">
        <v>29717927</v>
      </c>
      <c r="I2153" s="26">
        <v>0</v>
      </c>
      <c r="J2153" s="26">
        <v>148</v>
      </c>
      <c r="K2153" t="inlineStr">
        <is>
          <t>Non</t>
        </is>
      </c>
      <c r="L2153">
        <f>SUBTOTAL(103,A2153)</f>
        <v>1</v>
      </c>
    </row>
    <row r="2154">
      <c r="A2154" t="inlineStr">
        <is>
          <t>SOCIETE C916</t>
        </is>
      </c>
      <c r="B2154" t="inlineStr">
        <is>
          <t>C916</t>
        </is>
      </c>
      <c r="C2154" t="inlineStr">
        <is>
          <t>CORPORATE BANKING</t>
        </is>
      </c>
      <c r="D2154" t="inlineStr">
        <is>
          <t>II</t>
        </is>
      </c>
      <c r="E2154" t="inlineStr">
        <is>
          <t>Stage 2</t>
        </is>
      </c>
      <c r="F2154" t="inlineStr">
        <is>
          <t>N/A</t>
        </is>
      </c>
      <c r="G2154" s="26">
        <v>963392092</v>
      </c>
      <c r="H2154" s="26">
        <v>57803525</v>
      </c>
      <c r="I2154" s="26">
        <v>0</v>
      </c>
      <c r="J2154" s="26">
        <v>67</v>
      </c>
      <c r="K2154" t="inlineStr">
        <is>
          <t>Non</t>
        </is>
      </c>
      <c r="L2154">
        <f>SUBTOTAL(103,A2154)</f>
        <v>1</v>
      </c>
    </row>
    <row r="2155">
      <c r="A2155" t="inlineStr">
        <is>
          <t>SOCIETE C933</t>
        </is>
      </c>
      <c r="B2155" t="inlineStr">
        <is>
          <t>C933</t>
        </is>
      </c>
      <c r="C2155" t="inlineStr">
        <is>
          <t>CORPORATE BANKING</t>
        </is>
      </c>
      <c r="D2155" t="inlineStr">
        <is>
          <t>II</t>
        </is>
      </c>
      <c r="E2155" t="inlineStr">
        <is>
          <t>Stage 2</t>
        </is>
      </c>
      <c r="F2155" t="inlineStr">
        <is>
          <t>N/A</t>
        </is>
      </c>
      <c r="G2155" s="26">
        <v>68652713</v>
      </c>
      <c r="H2155" s="26">
        <v>4119163</v>
      </c>
      <c r="I2155" s="26">
        <v>10262509</v>
      </c>
      <c r="J2155" s="26">
        <v>147</v>
      </c>
      <c r="K2155" t="inlineStr">
        <is>
          <t>Non</t>
        </is>
      </c>
      <c r="L2155">
        <f>SUBTOTAL(103,A2155)</f>
        <v>1</v>
      </c>
    </row>
    <row r="2156">
      <c r="A2156" t="inlineStr">
        <is>
          <t>SOCIETE C1729</t>
        </is>
      </c>
      <c r="B2156" t="inlineStr">
        <is>
          <t>C1729</t>
        </is>
      </c>
      <c r="C2156" t="inlineStr">
        <is>
          <t>COMMERCIAL BANKING</t>
        </is>
      </c>
      <c r="D2156" t="inlineStr">
        <is>
          <t>III</t>
        </is>
      </c>
      <c r="E2156" t="inlineStr">
        <is>
          <t>Stage 3</t>
        </is>
      </c>
      <c r="F2156" t="inlineStr">
        <is>
          <t>N/A</t>
        </is>
      </c>
      <c r="G2156" s="26">
        <v>1510792880</v>
      </c>
      <c r="H2156" s="26">
        <v>830936084</v>
      </c>
      <c r="I2156" s="26">
        <v>243335570</v>
      </c>
      <c r="J2156" s="26">
        <v>0</v>
      </c>
      <c r="K2156" t="inlineStr">
        <is>
          <t>Oui</t>
        </is>
      </c>
      <c r="L2156">
        <f>SUBTOTAL(103,A2156)</f>
        <v>1</v>
      </c>
    </row>
    <row r="2157">
      <c r="A2157" t="inlineStr">
        <is>
          <t>SOCIETE C141</t>
        </is>
      </c>
      <c r="B2157" t="inlineStr">
        <is>
          <t>C141</t>
        </is>
      </c>
      <c r="C2157" t="inlineStr">
        <is>
          <t>CORPORATE BANKING</t>
        </is>
      </c>
      <c r="D2157" t="inlineStr">
        <is>
          <t>V</t>
        </is>
      </c>
      <c r="E2157" t="inlineStr">
        <is>
          <t>Stage 3</t>
        </is>
      </c>
      <c r="F2157" t="inlineStr">
        <is>
          <t>N/A</t>
        </is>
      </c>
      <c r="G2157" s="26">
        <v>1362255377</v>
      </c>
      <c r="H2157" s="26">
        <v>749240458</v>
      </c>
      <c r="I2157" s="26">
        <v>0</v>
      </c>
      <c r="J2157" s="26">
        <v>104</v>
      </c>
      <c r="K2157" t="inlineStr">
        <is>
          <t>Oui</t>
        </is>
      </c>
      <c r="L2157">
        <f>SUBTOTAL(103,A2157)</f>
        <v>1</v>
      </c>
    </row>
    <row r="2158">
      <c r="A2158" t="inlineStr">
        <is>
          <t>SOCIETE C1185</t>
        </is>
      </c>
      <c r="B2158" t="inlineStr">
        <is>
          <t>C1185</t>
        </is>
      </c>
      <c r="C2158" t="inlineStr">
        <is>
          <t>CONSUMER BANKING</t>
        </is>
      </c>
      <c r="D2158" t="inlineStr">
        <is>
          <t>IA</t>
        </is>
      </c>
      <c r="E2158" t="inlineStr">
        <is>
          <t>Stage 2</t>
        </is>
      </c>
      <c r="F2158" t="inlineStr">
        <is>
          <t>N/A</t>
        </is>
      </c>
      <c r="G2158" s="26">
        <v>101415494</v>
      </c>
      <c r="H2158" s="26">
        <v>6084930</v>
      </c>
      <c r="I2158" s="26">
        <v>0</v>
      </c>
      <c r="J2158" s="26">
        <v>3</v>
      </c>
      <c r="K2158" t="inlineStr">
        <is>
          <t>Non</t>
        </is>
      </c>
      <c r="L2158">
        <f>SUBTOTAL(103,A2158)</f>
        <v>1</v>
      </c>
    </row>
    <row r="2159">
      <c r="A2159" t="inlineStr">
        <is>
          <t>SOCIETE C1814</t>
        </is>
      </c>
      <c r="B2159" t="inlineStr">
        <is>
          <t>C1814</t>
        </is>
      </c>
      <c r="C2159" t="inlineStr">
        <is>
          <t>CORPORATE BANKING</t>
        </is>
      </c>
      <c r="D2159" t="inlineStr">
        <is>
          <t>I</t>
        </is>
      </c>
      <c r="E2159" t="inlineStr">
        <is>
          <t>Stage 1</t>
        </is>
      </c>
      <c r="F2159" t="inlineStr">
        <is>
          <t>N/A</t>
        </is>
      </c>
      <c r="G2159" s="26">
        <v>171726531</v>
      </c>
      <c r="H2159" s="26">
        <v>1717265</v>
      </c>
      <c r="I2159" s="26">
        <v>591533</v>
      </c>
      <c r="J2159" s="26">
        <v>66</v>
      </c>
      <c r="K2159" t="inlineStr">
        <is>
          <t>Non</t>
        </is>
      </c>
      <c r="L2159">
        <f>SUBTOTAL(103,A2159)</f>
        <v>1</v>
      </c>
    </row>
    <row r="2160">
      <c r="A2160" t="inlineStr">
        <is>
          <t>SOCIETE C1072</t>
        </is>
      </c>
      <c r="B2160" t="inlineStr">
        <is>
          <t>C1072</t>
        </is>
      </c>
      <c r="C2160" t="inlineStr">
        <is>
          <t>COMMERCIAL BANKING</t>
        </is>
      </c>
      <c r="D2160" t="inlineStr">
        <is>
          <t>I</t>
        </is>
      </c>
      <c r="E2160" t="inlineStr">
        <is>
          <t>Stage 1</t>
        </is>
      </c>
      <c r="F2160" t="inlineStr">
        <is>
          <t>N/A</t>
        </is>
      </c>
      <c r="G2160" s="26">
        <v>10937953</v>
      </c>
      <c r="H2160" s="26">
        <v>109380</v>
      </c>
      <c r="I2160" s="26">
        <v>1400746</v>
      </c>
      <c r="J2160" s="26">
        <v>244</v>
      </c>
      <c r="K2160" t="inlineStr">
        <is>
          <t>Non</t>
        </is>
      </c>
      <c r="L2160">
        <f>SUBTOTAL(103,A2160)</f>
        <v>1</v>
      </c>
    </row>
    <row r="2161">
      <c r="A2161" t="inlineStr">
        <is>
          <t>SOCIETE C370</t>
        </is>
      </c>
      <c r="B2161" t="inlineStr">
        <is>
          <t>C370</t>
        </is>
      </c>
      <c r="C2161" t="inlineStr">
        <is>
          <t>CORPORATE BANKING</t>
        </is>
      </c>
      <c r="D2161" t="inlineStr">
        <is>
          <t>I</t>
        </is>
      </c>
      <c r="E2161" t="inlineStr">
        <is>
          <t>Stage 1</t>
        </is>
      </c>
      <c r="F2161" t="inlineStr">
        <is>
          <t>N/A</t>
        </is>
      </c>
      <c r="G2161" s="26">
        <v>187597878</v>
      </c>
      <c r="H2161" s="26">
        <v>1875979</v>
      </c>
      <c r="I2161" s="26">
        <v>0</v>
      </c>
      <c r="J2161" s="26">
        <v>1</v>
      </c>
      <c r="K2161" t="inlineStr">
        <is>
          <t>Non</t>
        </is>
      </c>
      <c r="L2161">
        <f>SUBTOTAL(103,A2161)</f>
        <v>1</v>
      </c>
    </row>
    <row r="2162">
      <c r="A2162" t="inlineStr">
        <is>
          <t>SOCIETE C940</t>
        </is>
      </c>
      <c r="B2162" t="inlineStr">
        <is>
          <t>C940</t>
        </is>
      </c>
      <c r="C2162" t="inlineStr">
        <is>
          <t>COMMERCIAL BANKING</t>
        </is>
      </c>
      <c r="D2162" t="inlineStr">
        <is>
          <t>V</t>
        </is>
      </c>
      <c r="E2162" t="inlineStr">
        <is>
          <t>Stage 3</t>
        </is>
      </c>
      <c r="F2162" t="inlineStr">
        <is>
          <t>N/A</t>
        </is>
      </c>
      <c r="G2162" s="26">
        <v>293479189</v>
      </c>
      <c r="H2162" s="26">
        <v>161413554</v>
      </c>
      <c r="I2162" s="26">
        <v>0</v>
      </c>
      <c r="J2162" s="26">
        <v>146</v>
      </c>
      <c r="K2162" t="inlineStr">
        <is>
          <t>Oui</t>
        </is>
      </c>
      <c r="L2162">
        <f>SUBTOTAL(103,A2162)</f>
        <v>1</v>
      </c>
    </row>
    <row r="2163">
      <c r="A2163" t="inlineStr">
        <is>
          <t>SOCIETE C391</t>
        </is>
      </c>
      <c r="B2163" t="inlineStr">
        <is>
          <t>C391</t>
        </is>
      </c>
      <c r="C2163" t="inlineStr">
        <is>
          <t>CORPORATE BANKING</t>
        </is>
      </c>
      <c r="D2163" t="inlineStr">
        <is>
          <t>I</t>
        </is>
      </c>
      <c r="E2163" t="inlineStr">
        <is>
          <t>Stage 1</t>
        </is>
      </c>
      <c r="F2163" t="inlineStr">
        <is>
          <t>N/A</t>
        </is>
      </c>
      <c r="G2163" s="26">
        <v>28493230</v>
      </c>
      <c r="H2163" s="26">
        <v>284932</v>
      </c>
      <c r="I2163" s="26">
        <v>0</v>
      </c>
      <c r="J2163" s="26">
        <v>86</v>
      </c>
      <c r="K2163" t="inlineStr">
        <is>
          <t>Non</t>
        </is>
      </c>
      <c r="L2163">
        <f>SUBTOTAL(103,A2163)</f>
        <v>1</v>
      </c>
    </row>
    <row r="2164">
      <c r="A2164" t="inlineStr">
        <is>
          <t>SOCIETE C1355</t>
        </is>
      </c>
      <c r="B2164" t="inlineStr">
        <is>
          <t>C1355</t>
        </is>
      </c>
      <c r="C2164" t="inlineStr">
        <is>
          <t>CORPORATE BANKING</t>
        </is>
      </c>
      <c r="D2164" t="inlineStr">
        <is>
          <t>II</t>
        </is>
      </c>
      <c r="E2164" t="inlineStr">
        <is>
          <t>Stage 2</t>
        </is>
      </c>
      <c r="F2164" t="inlineStr">
        <is>
          <t>N/A</t>
        </is>
      </c>
      <c r="G2164" s="26">
        <v>66754539</v>
      </c>
      <c r="H2164" s="26">
        <v>4005272</v>
      </c>
      <c r="I2164" s="26">
        <v>0</v>
      </c>
      <c r="J2164" s="26">
        <v>50</v>
      </c>
      <c r="K2164" t="inlineStr">
        <is>
          <t>Non</t>
        </is>
      </c>
      <c r="L2164">
        <f>SUBTOTAL(103,A2164)</f>
        <v>1</v>
      </c>
    </row>
    <row r="2165">
      <c r="A2165" t="inlineStr">
        <is>
          <t>SOCIETE C775</t>
        </is>
      </c>
      <c r="B2165" t="inlineStr">
        <is>
          <t>C775</t>
        </is>
      </c>
      <c r="C2165" t="inlineStr">
        <is>
          <t>CORPORATE BANKING</t>
        </is>
      </c>
      <c r="D2165" t="inlineStr">
        <is>
          <t>II</t>
        </is>
      </c>
      <c r="E2165" t="inlineStr">
        <is>
          <t>Stage 2</t>
        </is>
      </c>
      <c r="F2165" t="inlineStr">
        <is>
          <t>N/A</t>
        </is>
      </c>
      <c r="G2165" s="26">
        <v>2701855</v>
      </c>
      <c r="H2165" s="26">
        <v>162111</v>
      </c>
      <c r="I2165" s="26">
        <v>0</v>
      </c>
      <c r="J2165" s="26">
        <v>153</v>
      </c>
      <c r="K2165" t="inlineStr">
        <is>
          <t>Non</t>
        </is>
      </c>
      <c r="L2165">
        <f>SUBTOTAL(103,A2165)</f>
        <v>1</v>
      </c>
    </row>
    <row r="2166">
      <c r="A2166" t="inlineStr">
        <is>
          <t>SOCIETE C1236</t>
        </is>
      </c>
      <c r="B2166" t="inlineStr">
        <is>
          <t>C1236</t>
        </is>
      </c>
      <c r="C2166" t="inlineStr">
        <is>
          <t>SME</t>
        </is>
      </c>
      <c r="D2166" t="inlineStr">
        <is>
          <t>I</t>
        </is>
      </c>
      <c r="E2166" t="inlineStr">
        <is>
          <t>Stage 1</t>
        </is>
      </c>
      <c r="F2166" t="inlineStr">
        <is>
          <t>N/A</t>
        </is>
      </c>
      <c r="G2166" s="26">
        <v>38469306</v>
      </c>
      <c r="H2166" s="26">
        <v>384693</v>
      </c>
      <c r="I2166" s="26">
        <v>3031101</v>
      </c>
      <c r="J2166" s="26">
        <v>20</v>
      </c>
      <c r="K2166" t="inlineStr">
        <is>
          <t>Non</t>
        </is>
      </c>
      <c r="L2166">
        <f>SUBTOTAL(103,A2166)</f>
        <v>1</v>
      </c>
    </row>
    <row r="2167">
      <c r="A2167" t="inlineStr">
        <is>
          <t>SOCIETE C2188</t>
        </is>
      </c>
      <c r="B2167" t="inlineStr">
        <is>
          <t>C2188</t>
        </is>
      </c>
      <c r="C2167" t="inlineStr">
        <is>
          <t>CORPORATE BANKING</t>
        </is>
      </c>
      <c r="D2167" t="inlineStr">
        <is>
          <t>IV</t>
        </is>
      </c>
      <c r="E2167" t="inlineStr">
        <is>
          <t>Stage 3</t>
        </is>
      </c>
      <c r="F2167" t="inlineStr">
        <is>
          <t>N/A</t>
        </is>
      </c>
      <c r="G2167" s="26">
        <v>16521362</v>
      </c>
      <c r="H2167" s="26">
        <v>9086749</v>
      </c>
      <c r="I2167" s="26">
        <v>0</v>
      </c>
      <c r="J2167" s="26">
        <v>117</v>
      </c>
      <c r="K2167" t="inlineStr">
        <is>
          <t>Oui</t>
        </is>
      </c>
      <c r="L2167">
        <f>SUBTOTAL(103,A2167)</f>
        <v>1</v>
      </c>
    </row>
    <row r="2168">
      <c r="A2168" t="inlineStr">
        <is>
          <t>SOCIETE C883</t>
        </is>
      </c>
      <c r="B2168" t="inlineStr">
        <is>
          <t>C883</t>
        </is>
      </c>
      <c r="C2168" t="inlineStr">
        <is>
          <t>COMMERCIAL BANKING</t>
        </is>
      </c>
      <c r="D2168" t="inlineStr">
        <is>
          <t>I</t>
        </is>
      </c>
      <c r="E2168" t="inlineStr">
        <is>
          <t>Stage 1</t>
        </is>
      </c>
      <c r="F2168" t="inlineStr">
        <is>
          <t>N/A</t>
        </is>
      </c>
      <c r="G2168" s="26">
        <v>11818640</v>
      </c>
      <c r="H2168" s="26">
        <v>118186</v>
      </c>
      <c r="I2168" s="26">
        <v>1884570</v>
      </c>
      <c r="J2168" s="26">
        <v>1</v>
      </c>
      <c r="K2168" t="inlineStr">
        <is>
          <t>Non</t>
        </is>
      </c>
      <c r="L2168">
        <f>SUBTOTAL(103,A2168)</f>
        <v>1</v>
      </c>
    </row>
    <row r="2169">
      <c r="A2169" t="inlineStr">
        <is>
          <t>SOCIETE C950</t>
        </is>
      </c>
      <c r="B2169" t="inlineStr">
        <is>
          <t>C950</t>
        </is>
      </c>
      <c r="C2169" t="inlineStr">
        <is>
          <t>SME</t>
        </is>
      </c>
      <c r="D2169" t="inlineStr">
        <is>
          <t>IV</t>
        </is>
      </c>
      <c r="E2169" t="inlineStr">
        <is>
          <t>Stage 3</t>
        </is>
      </c>
      <c r="F2169" t="inlineStr">
        <is>
          <t>N/A</t>
        </is>
      </c>
      <c r="G2169" s="26">
        <v>18239105</v>
      </c>
      <c r="H2169" s="26">
        <v>10031508</v>
      </c>
      <c r="I2169" s="26">
        <v>0</v>
      </c>
      <c r="J2169" s="26">
        <v>8</v>
      </c>
      <c r="K2169" t="inlineStr">
        <is>
          <t>Oui</t>
        </is>
      </c>
      <c r="L2169">
        <f>SUBTOTAL(103,A2169)</f>
        <v>1</v>
      </c>
    </row>
    <row r="2170">
      <c r="A2170" t="inlineStr">
        <is>
          <t>SOCIETE C1908</t>
        </is>
      </c>
      <c r="B2170" t="inlineStr">
        <is>
          <t>C1908</t>
        </is>
      </c>
      <c r="C2170" t="inlineStr">
        <is>
          <t>CORPORATE BANKING</t>
        </is>
      </c>
      <c r="D2170" t="inlineStr">
        <is>
          <t>I</t>
        </is>
      </c>
      <c r="E2170" t="inlineStr">
        <is>
          <t>Stage 1</t>
        </is>
      </c>
      <c r="F2170" t="inlineStr">
        <is>
          <t>N/A</t>
        </is>
      </c>
      <c r="G2170" s="26">
        <v>199319482</v>
      </c>
      <c r="H2170" s="26">
        <v>1993195</v>
      </c>
      <c r="I2170" s="26">
        <v>0</v>
      </c>
      <c r="J2170" s="26">
        <v>101</v>
      </c>
      <c r="K2170" t="inlineStr">
        <is>
          <t>Non</t>
        </is>
      </c>
      <c r="L2170">
        <f>SUBTOTAL(103,A2170)</f>
        <v>1</v>
      </c>
    </row>
    <row r="2171">
      <c r="A2171" t="inlineStr">
        <is>
          <t>SOCIETE C2102</t>
        </is>
      </c>
      <c r="B2171" t="inlineStr">
        <is>
          <t>C2102</t>
        </is>
      </c>
      <c r="C2171" t="inlineStr">
        <is>
          <t>CORPORATE BANKING</t>
        </is>
      </c>
      <c r="D2171" t="inlineStr">
        <is>
          <t>I</t>
        </is>
      </c>
      <c r="E2171" t="inlineStr">
        <is>
          <t>Stage 1</t>
        </is>
      </c>
      <c r="F2171" t="inlineStr">
        <is>
          <t>N/A</t>
        </is>
      </c>
      <c r="G2171" s="26">
        <v>22990588</v>
      </c>
      <c r="H2171" s="26">
        <v>229906</v>
      </c>
      <c r="I2171" s="26">
        <v>1836561</v>
      </c>
      <c r="J2171" s="26">
        <v>372</v>
      </c>
      <c r="K2171" t="inlineStr">
        <is>
          <t>Non</t>
        </is>
      </c>
      <c r="L2171">
        <f>SUBTOTAL(103,A2171)</f>
        <v>1</v>
      </c>
    </row>
    <row r="2172">
      <c r="A2172" t="inlineStr">
        <is>
          <t>SOCIETE C2464</t>
        </is>
      </c>
      <c r="B2172" t="inlineStr">
        <is>
          <t>C2464</t>
        </is>
      </c>
      <c r="C2172" t="inlineStr">
        <is>
          <t>CORPORATE BANKING</t>
        </is>
      </c>
      <c r="D2172" t="inlineStr">
        <is>
          <t>I</t>
        </is>
      </c>
      <c r="E2172" t="inlineStr">
        <is>
          <t>Stage 1</t>
        </is>
      </c>
      <c r="F2172" t="inlineStr">
        <is>
          <t>N/A</t>
        </is>
      </c>
      <c r="G2172" s="26">
        <v>1002352</v>
      </c>
      <c r="H2172" s="26">
        <v>10024</v>
      </c>
      <c r="I2172" s="26">
        <v>130511</v>
      </c>
      <c r="J2172" s="26">
        <v>12</v>
      </c>
      <c r="K2172" t="inlineStr">
        <is>
          <t>Non</t>
        </is>
      </c>
      <c r="L2172">
        <f>SUBTOTAL(103,A2172)</f>
        <v>1</v>
      </c>
    </row>
    <row r="2173">
      <c r="A2173" t="inlineStr">
        <is>
          <t>SOCIETE C821</t>
        </is>
      </c>
      <c r="B2173" t="inlineStr">
        <is>
          <t>C821</t>
        </is>
      </c>
      <c r="C2173" t="inlineStr">
        <is>
          <t>CORPORATE BANKING</t>
        </is>
      </c>
      <c r="D2173" t="inlineStr">
        <is>
          <t>III</t>
        </is>
      </c>
      <c r="E2173" t="inlineStr">
        <is>
          <t>Stage 3</t>
        </is>
      </c>
      <c r="F2173" t="inlineStr">
        <is>
          <t>N/A</t>
        </is>
      </c>
      <c r="G2173" s="26">
        <v>297347390</v>
      </c>
      <c r="H2173" s="26">
        <v>163541064</v>
      </c>
      <c r="I2173" s="26">
        <v>0</v>
      </c>
      <c r="J2173" s="26">
        <v>114</v>
      </c>
      <c r="K2173" t="inlineStr">
        <is>
          <t>Oui</t>
        </is>
      </c>
      <c r="L2173">
        <f>SUBTOTAL(103,A2173)</f>
        <v>1</v>
      </c>
    </row>
    <row r="2174">
      <c r="A2174" t="inlineStr">
        <is>
          <t>SOCIETE C1069</t>
        </is>
      </c>
      <c r="B2174" t="inlineStr">
        <is>
          <t>C1069</t>
        </is>
      </c>
      <c r="C2174" t="inlineStr">
        <is>
          <t>CONSUMER BANKING</t>
        </is>
      </c>
      <c r="D2174" t="inlineStr">
        <is>
          <t>IV</t>
        </is>
      </c>
      <c r="E2174" t="inlineStr">
        <is>
          <t>Stage 3</t>
        </is>
      </c>
      <c r="F2174" t="inlineStr">
        <is>
          <t>N/A</t>
        </is>
      </c>
      <c r="G2174" s="26">
        <v>1166430283</v>
      </c>
      <c r="H2174" s="26">
        <v>641536656</v>
      </c>
      <c r="I2174" s="26">
        <v>233193138</v>
      </c>
      <c r="J2174" s="26">
        <v>83</v>
      </c>
      <c r="K2174" t="inlineStr">
        <is>
          <t>Oui</t>
        </is>
      </c>
      <c r="L2174">
        <f>SUBTOTAL(103,A2174)</f>
        <v>1</v>
      </c>
    </row>
    <row r="2175">
      <c r="A2175" t="inlineStr">
        <is>
          <t>SOCIETE C1686</t>
        </is>
      </c>
      <c r="B2175" t="inlineStr">
        <is>
          <t>C1686</t>
        </is>
      </c>
      <c r="C2175" t="inlineStr">
        <is>
          <t>CORPORATE BANKING</t>
        </is>
      </c>
      <c r="D2175" t="inlineStr">
        <is>
          <t>I</t>
        </is>
      </c>
      <c r="E2175" t="inlineStr">
        <is>
          <t>Stage 1</t>
        </is>
      </c>
      <c r="F2175" t="inlineStr">
        <is>
          <t>N/A</t>
        </is>
      </c>
      <c r="G2175" s="26">
        <v>264046375</v>
      </c>
      <c r="H2175" s="26">
        <v>2640464</v>
      </c>
      <c r="I2175" s="26">
        <v>0</v>
      </c>
      <c r="J2175" s="26">
        <v>36</v>
      </c>
      <c r="K2175" t="inlineStr">
        <is>
          <t>Non</t>
        </is>
      </c>
      <c r="L2175">
        <f>SUBTOTAL(103,A2175)</f>
        <v>1</v>
      </c>
    </row>
    <row r="2176">
      <c r="A2176" t="inlineStr">
        <is>
          <t>SOCIETE C287</t>
        </is>
      </c>
      <c r="B2176" t="inlineStr">
        <is>
          <t>C287</t>
        </is>
      </c>
      <c r="C2176" t="inlineStr">
        <is>
          <t>SME</t>
        </is>
      </c>
      <c r="D2176" t="inlineStr">
        <is>
          <t>I</t>
        </is>
      </c>
      <c r="E2176" t="inlineStr">
        <is>
          <t>Stage 1</t>
        </is>
      </c>
      <c r="F2176" t="inlineStr">
        <is>
          <t>N/A</t>
        </is>
      </c>
      <c r="G2176" s="26">
        <v>69586276</v>
      </c>
      <c r="H2176" s="26">
        <v>695863</v>
      </c>
      <c r="I2176" s="26">
        <v>820103</v>
      </c>
      <c r="J2176" s="26">
        <v>148</v>
      </c>
      <c r="K2176" t="inlineStr">
        <is>
          <t>Non</t>
        </is>
      </c>
      <c r="L2176">
        <f>SUBTOTAL(103,A2176)</f>
        <v>1</v>
      </c>
    </row>
    <row r="2177">
      <c r="A2177" t="inlineStr">
        <is>
          <t>SOCIETE C1768</t>
        </is>
      </c>
      <c r="B2177" t="inlineStr">
        <is>
          <t>C1768</t>
        </is>
      </c>
      <c r="C2177" t="inlineStr">
        <is>
          <t>CORPORATE BANKING</t>
        </is>
      </c>
      <c r="D2177" t="inlineStr">
        <is>
          <t>III</t>
        </is>
      </c>
      <c r="E2177" t="inlineStr">
        <is>
          <t>Stage 3</t>
        </is>
      </c>
      <c r="F2177" t="inlineStr">
        <is>
          <t>N/A</t>
        </is>
      </c>
      <c r="G2177" s="26">
        <v>1217401</v>
      </c>
      <c r="H2177" s="26">
        <v>669570</v>
      </c>
      <c r="I2177" s="26">
        <v>0</v>
      </c>
      <c r="J2177" s="26">
        <v>45</v>
      </c>
      <c r="K2177" t="inlineStr">
        <is>
          <t>Oui</t>
        </is>
      </c>
      <c r="L2177">
        <f>SUBTOTAL(103,A2177)</f>
        <v>1</v>
      </c>
    </row>
    <row r="2178">
      <c r="A2178" t="inlineStr">
        <is>
          <t>SOCIETE C1074</t>
        </is>
      </c>
      <c r="B2178" t="inlineStr">
        <is>
          <t>C1074</t>
        </is>
      </c>
      <c r="C2178" t="inlineStr">
        <is>
          <t>SME</t>
        </is>
      </c>
      <c r="D2178" t="inlineStr">
        <is>
          <t>I</t>
        </is>
      </c>
      <c r="E2178" t="inlineStr">
        <is>
          <t>Stage 1</t>
        </is>
      </c>
      <c r="F2178" t="inlineStr">
        <is>
          <t>N/A</t>
        </is>
      </c>
      <c r="G2178" s="26">
        <v>695816694</v>
      </c>
      <c r="H2178" s="26">
        <v>6958167</v>
      </c>
      <c r="I2178" s="26">
        <v>0</v>
      </c>
      <c r="J2178" s="26">
        <v>50</v>
      </c>
      <c r="K2178" t="inlineStr">
        <is>
          <t>Non</t>
        </is>
      </c>
      <c r="L2178">
        <f>SUBTOTAL(103,A2178)</f>
        <v>1</v>
      </c>
    </row>
    <row r="2179">
      <c r="A2179" t="inlineStr">
        <is>
          <t>SOCIETE C791</t>
        </is>
      </c>
      <c r="B2179" t="inlineStr">
        <is>
          <t>C791</t>
        </is>
      </c>
      <c r="C2179" t="inlineStr">
        <is>
          <t>CORPORATE BANKING</t>
        </is>
      </c>
      <c r="D2179" t="inlineStr">
        <is>
          <t>I</t>
        </is>
      </c>
      <c r="E2179" t="inlineStr">
        <is>
          <t>Stage 1</t>
        </is>
      </c>
      <c r="F2179" t="inlineStr">
        <is>
          <t>N/A</t>
        </is>
      </c>
      <c r="G2179" s="26">
        <v>7823608</v>
      </c>
      <c r="H2179" s="26">
        <v>78236</v>
      </c>
      <c r="I2179" s="26">
        <v>849468</v>
      </c>
      <c r="J2179" s="26">
        <v>12</v>
      </c>
      <c r="K2179" t="inlineStr">
        <is>
          <t>Non</t>
        </is>
      </c>
      <c r="L2179">
        <f>SUBTOTAL(103,A2179)</f>
        <v>1</v>
      </c>
    </row>
    <row r="2180">
      <c r="A2180" t="inlineStr">
        <is>
          <t>SOCIETE C1830</t>
        </is>
      </c>
      <c r="B2180" t="inlineStr">
        <is>
          <t>C1830</t>
        </is>
      </c>
      <c r="C2180" t="inlineStr">
        <is>
          <t>CORPORATE BANKING</t>
        </is>
      </c>
      <c r="D2180" t="inlineStr">
        <is>
          <t>IA</t>
        </is>
      </c>
      <c r="E2180" t="inlineStr">
        <is>
          <t>Stage 2</t>
        </is>
      </c>
      <c r="F2180" t="inlineStr">
        <is>
          <t>N/A</t>
        </is>
      </c>
      <c r="G2180" s="26">
        <v>8715799</v>
      </c>
      <c r="H2180" s="26">
        <v>522948</v>
      </c>
      <c r="I2180" s="26">
        <v>0</v>
      </c>
      <c r="J2180" s="26">
        <v>129</v>
      </c>
      <c r="K2180" t="inlineStr">
        <is>
          <t>Non</t>
        </is>
      </c>
      <c r="L2180">
        <f>SUBTOTAL(103,A2180)</f>
        <v>1</v>
      </c>
    </row>
    <row r="2181">
      <c r="A2181" t="inlineStr">
        <is>
          <t>SOCIETE C1124</t>
        </is>
      </c>
      <c r="B2181" t="inlineStr">
        <is>
          <t>C1124</t>
        </is>
      </c>
      <c r="C2181" t="inlineStr">
        <is>
          <t>CORPORATE BANKING</t>
        </is>
      </c>
      <c r="D2181" t="inlineStr">
        <is>
          <t>I</t>
        </is>
      </c>
      <c r="E2181" t="inlineStr">
        <is>
          <t>Stage 1</t>
        </is>
      </c>
      <c r="F2181" t="inlineStr">
        <is>
          <t>N/A</t>
        </is>
      </c>
      <c r="G2181" s="26">
        <v>1187661526</v>
      </c>
      <c r="H2181" s="26">
        <v>11876615</v>
      </c>
      <c r="I2181" s="26">
        <v>0</v>
      </c>
      <c r="J2181" s="26">
        <v>251</v>
      </c>
      <c r="K2181" t="inlineStr">
        <is>
          <t>Non</t>
        </is>
      </c>
      <c r="L2181">
        <f>SUBTOTAL(103,A2181)</f>
        <v>1</v>
      </c>
    </row>
    <row r="2182">
      <c r="A2182" t="inlineStr">
        <is>
          <t>SOCIETE C1375</t>
        </is>
      </c>
      <c r="B2182" t="inlineStr">
        <is>
          <t>C1375</t>
        </is>
      </c>
      <c r="C2182" t="inlineStr">
        <is>
          <t>COMMERCIAL BANKING</t>
        </is>
      </c>
      <c r="D2182" t="inlineStr">
        <is>
          <t>I</t>
        </is>
      </c>
      <c r="E2182" t="inlineStr">
        <is>
          <t>Stage 1</t>
        </is>
      </c>
      <c r="F2182" t="inlineStr">
        <is>
          <t>N/A</t>
        </is>
      </c>
      <c r="G2182" s="26">
        <v>21350122</v>
      </c>
      <c r="H2182" s="26">
        <v>213501</v>
      </c>
      <c r="I2182" s="26">
        <v>0</v>
      </c>
      <c r="J2182" s="26">
        <v>27</v>
      </c>
      <c r="K2182" t="inlineStr">
        <is>
          <t>Non</t>
        </is>
      </c>
      <c r="L2182">
        <f>SUBTOTAL(103,A2182)</f>
        <v>1</v>
      </c>
    </row>
    <row r="2183">
      <c r="A2183" t="inlineStr">
        <is>
          <t>SOCIETE C1554</t>
        </is>
      </c>
      <c r="B2183" t="inlineStr">
        <is>
          <t>C1554</t>
        </is>
      </c>
      <c r="C2183" t="inlineStr">
        <is>
          <t>COMMERCIAL BANKING</t>
        </is>
      </c>
      <c r="D2183" t="inlineStr">
        <is>
          <t>IV</t>
        </is>
      </c>
      <c r="E2183" t="inlineStr">
        <is>
          <t>Stage 3</t>
        </is>
      </c>
      <c r="F2183" t="inlineStr">
        <is>
          <t>N/A</t>
        </is>
      </c>
      <c r="G2183" s="26">
        <v>1666610056</v>
      </c>
      <c r="H2183" s="26">
        <v>916635531</v>
      </c>
      <c r="I2183" s="26">
        <v>0</v>
      </c>
      <c r="J2183" s="26">
        <v>59</v>
      </c>
      <c r="K2183" t="inlineStr">
        <is>
          <t>Oui</t>
        </is>
      </c>
      <c r="L2183">
        <f>SUBTOTAL(103,A2183)</f>
        <v>1</v>
      </c>
    </row>
    <row r="2184">
      <c r="A2184" t="inlineStr">
        <is>
          <t>SOCIETE C1871</t>
        </is>
      </c>
      <c r="B2184" t="inlineStr">
        <is>
          <t>C1871</t>
        </is>
      </c>
      <c r="C2184" t="inlineStr">
        <is>
          <t>COMMERCIAL BANKING</t>
        </is>
      </c>
      <c r="D2184" t="inlineStr">
        <is>
          <t>IA</t>
        </is>
      </c>
      <c r="E2184" t="inlineStr">
        <is>
          <t>Stage 2</t>
        </is>
      </c>
      <c r="F2184" t="inlineStr">
        <is>
          <t>N/A</t>
        </is>
      </c>
      <c r="G2184" s="26">
        <v>87450510</v>
      </c>
      <c r="H2184" s="26">
        <v>5247031</v>
      </c>
      <c r="I2184" s="26">
        <v>0</v>
      </c>
      <c r="J2184" s="26">
        <v>173</v>
      </c>
      <c r="K2184" t="inlineStr">
        <is>
          <t>Non</t>
        </is>
      </c>
      <c r="L2184">
        <f>SUBTOTAL(103,A2184)</f>
        <v>1</v>
      </c>
    </row>
    <row r="2185">
      <c r="A2185" t="inlineStr">
        <is>
          <t>SOCIETE C141</t>
        </is>
      </c>
      <c r="B2185" t="inlineStr">
        <is>
          <t>C141</t>
        </is>
      </c>
      <c r="C2185" t="inlineStr">
        <is>
          <t>CORPORATE BANKING</t>
        </is>
      </c>
      <c r="D2185" t="inlineStr">
        <is>
          <t>I</t>
        </is>
      </c>
      <c r="E2185" t="inlineStr">
        <is>
          <t>Stage 1</t>
        </is>
      </c>
      <c r="F2185" t="inlineStr">
        <is>
          <t>N/A</t>
        </is>
      </c>
      <c r="G2185" s="26">
        <v>142887733</v>
      </c>
      <c r="H2185" s="26">
        <v>1428877</v>
      </c>
      <c r="I2185" s="26">
        <v>0</v>
      </c>
      <c r="J2185" s="26">
        <v>67</v>
      </c>
      <c r="K2185" t="inlineStr">
        <is>
          <t>Non</t>
        </is>
      </c>
      <c r="L2185">
        <f>SUBTOTAL(103,A2185)</f>
        <v>1</v>
      </c>
    </row>
    <row r="2186">
      <c r="A2186" t="inlineStr">
        <is>
          <t>SOCIETE C279</t>
        </is>
      </c>
      <c r="B2186" t="inlineStr">
        <is>
          <t>C279</t>
        </is>
      </c>
      <c r="C2186" t="inlineStr">
        <is>
          <t>CORPORATE BANKING</t>
        </is>
      </c>
      <c r="D2186" t="inlineStr">
        <is>
          <t>III</t>
        </is>
      </c>
      <c r="E2186" t="inlineStr">
        <is>
          <t>Stage 3</t>
        </is>
      </c>
      <c r="F2186" t="inlineStr">
        <is>
          <t>N/A</t>
        </is>
      </c>
      <c r="G2186" s="26">
        <v>1309324</v>
      </c>
      <c r="H2186" s="26">
        <v>720128</v>
      </c>
      <c r="I2186" s="26">
        <v>0</v>
      </c>
      <c r="J2186" s="26">
        <v>112</v>
      </c>
      <c r="K2186" t="inlineStr">
        <is>
          <t>Oui</t>
        </is>
      </c>
      <c r="L2186">
        <f>SUBTOTAL(103,A2186)</f>
        <v>1</v>
      </c>
    </row>
    <row r="2187">
      <c r="A2187" t="inlineStr">
        <is>
          <t>SOCIETE C2185</t>
        </is>
      </c>
      <c r="B2187" t="inlineStr">
        <is>
          <t>C2185</t>
        </is>
      </c>
      <c r="C2187" t="inlineStr">
        <is>
          <t>COMMERCIAL BANKING</t>
        </is>
      </c>
      <c r="D2187" t="inlineStr">
        <is>
          <t>I</t>
        </is>
      </c>
      <c r="E2187" t="inlineStr">
        <is>
          <t>Stage 1</t>
        </is>
      </c>
      <c r="F2187" t="inlineStr">
        <is>
          <t>N/A</t>
        </is>
      </c>
      <c r="G2187" s="26">
        <v>2959889056</v>
      </c>
      <c r="H2187" s="26">
        <v>29598891</v>
      </c>
      <c r="I2187" s="26">
        <v>0</v>
      </c>
      <c r="J2187" s="26">
        <v>153</v>
      </c>
      <c r="K2187" t="inlineStr">
        <is>
          <t>Non</t>
        </is>
      </c>
      <c r="L2187">
        <f>SUBTOTAL(103,A2187)</f>
        <v>1</v>
      </c>
    </row>
    <row r="2188">
      <c r="A2188" t="inlineStr">
        <is>
          <t>SOCIETE C1408</t>
        </is>
      </c>
      <c r="B2188" t="inlineStr">
        <is>
          <t>C1408</t>
        </is>
      </c>
      <c r="C2188" t="inlineStr">
        <is>
          <t>CORPORATE BANKING</t>
        </is>
      </c>
      <c r="D2188" t="inlineStr">
        <is>
          <t>IV</t>
        </is>
      </c>
      <c r="E2188" t="inlineStr">
        <is>
          <t>Stage 3</t>
        </is>
      </c>
      <c r="F2188" t="inlineStr">
        <is>
          <t>N/A</t>
        </is>
      </c>
      <c r="G2188" s="26">
        <v>977816575</v>
      </c>
      <c r="H2188" s="26">
        <v>537799116</v>
      </c>
      <c r="I2188" s="26">
        <v>0</v>
      </c>
      <c r="J2188" s="26">
        <v>172</v>
      </c>
      <c r="K2188" t="inlineStr">
        <is>
          <t>Oui</t>
        </is>
      </c>
      <c r="L2188">
        <f>SUBTOTAL(103,A2188)</f>
        <v>1</v>
      </c>
    </row>
    <row r="2189">
      <c r="A2189" t="inlineStr">
        <is>
          <t>SOCIETE C1267</t>
        </is>
      </c>
      <c r="B2189" t="inlineStr">
        <is>
          <t>C1267</t>
        </is>
      </c>
      <c r="C2189" t="inlineStr">
        <is>
          <t>CORPORATE BANKING</t>
        </is>
      </c>
      <c r="D2189" t="inlineStr">
        <is>
          <t>V</t>
        </is>
      </c>
      <c r="E2189" t="inlineStr">
        <is>
          <t>Stage 3</t>
        </is>
      </c>
      <c r="F2189" t="inlineStr">
        <is>
          <t>N/A</t>
        </is>
      </c>
      <c r="G2189" s="26">
        <v>960168628</v>
      </c>
      <c r="H2189" s="26">
        <v>528092745</v>
      </c>
      <c r="I2189" s="26">
        <v>184514188</v>
      </c>
      <c r="J2189" s="26">
        <v>220</v>
      </c>
      <c r="K2189" t="inlineStr">
        <is>
          <t>Oui</t>
        </is>
      </c>
      <c r="L2189">
        <f>SUBTOTAL(103,A2189)</f>
        <v>1</v>
      </c>
    </row>
    <row r="2190">
      <c r="A2190" t="inlineStr">
        <is>
          <t>SOCIETE C109</t>
        </is>
      </c>
      <c r="B2190" t="inlineStr">
        <is>
          <t>C109</t>
        </is>
      </c>
      <c r="C2190" t="inlineStr">
        <is>
          <t>CORPORATE BANKING</t>
        </is>
      </c>
      <c r="D2190" t="inlineStr">
        <is>
          <t>I</t>
        </is>
      </c>
      <c r="E2190" t="inlineStr">
        <is>
          <t>Stage 1</t>
        </is>
      </c>
      <c r="F2190" t="inlineStr">
        <is>
          <t>N/A</t>
        </is>
      </c>
      <c r="G2190" s="26">
        <v>2325120549</v>
      </c>
      <c r="H2190" s="26">
        <v>23251205</v>
      </c>
      <c r="I2190" s="26">
        <v>0</v>
      </c>
      <c r="J2190" s="26">
        <v>4</v>
      </c>
      <c r="K2190" t="inlineStr">
        <is>
          <t>Non</t>
        </is>
      </c>
      <c r="L2190">
        <f>SUBTOTAL(103,A2190)</f>
        <v>1</v>
      </c>
    </row>
    <row r="2191">
      <c r="A2191" t="inlineStr">
        <is>
          <t>SOCIETE C1196</t>
        </is>
      </c>
      <c r="B2191" t="inlineStr">
        <is>
          <t>C1196</t>
        </is>
      </c>
      <c r="C2191" t="inlineStr">
        <is>
          <t>CORPORATE BANKING</t>
        </is>
      </c>
      <c r="D2191" t="inlineStr">
        <is>
          <t>I</t>
        </is>
      </c>
      <c r="E2191" t="inlineStr">
        <is>
          <t>Stage 1</t>
        </is>
      </c>
      <c r="F2191" t="inlineStr">
        <is>
          <t>N/A</t>
        </is>
      </c>
      <c r="G2191" s="26">
        <v>1476936</v>
      </c>
      <c r="H2191" s="26">
        <v>14769</v>
      </c>
      <c r="I2191" s="26">
        <v>211849</v>
      </c>
      <c r="J2191" s="26">
        <v>238</v>
      </c>
      <c r="K2191" t="inlineStr">
        <is>
          <t>Non</t>
        </is>
      </c>
      <c r="L2191">
        <f>SUBTOTAL(103,A2191)</f>
        <v>1</v>
      </c>
    </row>
    <row r="2192">
      <c r="A2192" t="inlineStr">
        <is>
          <t>SOCIETE C1705</t>
        </is>
      </c>
      <c r="B2192" t="inlineStr">
        <is>
          <t>C1705</t>
        </is>
      </c>
      <c r="C2192" t="inlineStr">
        <is>
          <t>COMMERCIAL BANKING</t>
        </is>
      </c>
      <c r="D2192" t="inlineStr">
        <is>
          <t>IA</t>
        </is>
      </c>
      <c r="E2192" t="inlineStr">
        <is>
          <t>Stage 2</t>
        </is>
      </c>
      <c r="F2192" t="inlineStr">
        <is>
          <t>N/A</t>
        </is>
      </c>
      <c r="G2192" s="26">
        <v>2679941205</v>
      </c>
      <c r="H2192" s="26">
        <v>160796472</v>
      </c>
      <c r="I2192" s="26">
        <v>77044228</v>
      </c>
      <c r="J2192" s="26">
        <v>341</v>
      </c>
      <c r="K2192" t="inlineStr">
        <is>
          <t>Non</t>
        </is>
      </c>
      <c r="L2192">
        <f>SUBTOTAL(103,A2192)</f>
        <v>1</v>
      </c>
    </row>
    <row r="2193">
      <c r="A2193" t="inlineStr">
        <is>
          <t>SOCIETE C520</t>
        </is>
      </c>
      <c r="B2193" t="inlineStr">
        <is>
          <t>C520</t>
        </is>
      </c>
      <c r="C2193" t="inlineStr">
        <is>
          <t>CORPORATE BANKING</t>
        </is>
      </c>
      <c r="D2193" t="inlineStr">
        <is>
          <t>I</t>
        </is>
      </c>
      <c r="E2193" t="inlineStr">
        <is>
          <t>Stage 1</t>
        </is>
      </c>
      <c r="F2193" t="inlineStr">
        <is>
          <t>N/A</t>
        </is>
      </c>
      <c r="G2193" s="26">
        <v>214435138</v>
      </c>
      <c r="H2193" s="26">
        <v>2144351</v>
      </c>
      <c r="I2193" s="26">
        <v>31009708</v>
      </c>
      <c r="J2193" s="26">
        <v>117</v>
      </c>
      <c r="K2193" t="inlineStr">
        <is>
          <t>Non</t>
        </is>
      </c>
      <c r="L2193">
        <f>SUBTOTAL(103,A2193)</f>
        <v>1</v>
      </c>
    </row>
    <row r="2194">
      <c r="A2194" t="inlineStr">
        <is>
          <t>SOCIETE C2302</t>
        </is>
      </c>
      <c r="B2194" t="inlineStr">
        <is>
          <t>C2302</t>
        </is>
      </c>
      <c r="C2194" t="inlineStr">
        <is>
          <t>CONSUMER BANKING</t>
        </is>
      </c>
      <c r="D2194" t="inlineStr">
        <is>
          <t>I</t>
        </is>
      </c>
      <c r="E2194" t="inlineStr">
        <is>
          <t>Stage 1</t>
        </is>
      </c>
      <c r="F2194" t="inlineStr">
        <is>
          <t>N/A</t>
        </is>
      </c>
      <c r="G2194" s="26">
        <v>1195895839</v>
      </c>
      <c r="H2194" s="26">
        <v>11958958</v>
      </c>
      <c r="I2194" s="26">
        <v>36675310</v>
      </c>
      <c r="J2194" s="26">
        <v>24</v>
      </c>
      <c r="K2194" t="inlineStr">
        <is>
          <t>Non</t>
        </is>
      </c>
      <c r="L2194">
        <f>SUBTOTAL(103,A2194)</f>
        <v>1</v>
      </c>
    </row>
    <row r="2195">
      <c r="A2195" t="inlineStr">
        <is>
          <t>SOCIETE C2456</t>
        </is>
      </c>
      <c r="B2195" t="inlineStr">
        <is>
          <t>C2456</t>
        </is>
      </c>
      <c r="C2195" t="inlineStr">
        <is>
          <t>CONSUMER BANKING</t>
        </is>
      </c>
      <c r="D2195" t="inlineStr">
        <is>
          <t>I</t>
        </is>
      </c>
      <c r="E2195" t="inlineStr">
        <is>
          <t>Stage 1</t>
        </is>
      </c>
      <c r="F2195" t="inlineStr">
        <is>
          <t>N/A</t>
        </is>
      </c>
      <c r="G2195" s="26">
        <v>2196029</v>
      </c>
      <c r="H2195" s="26">
        <v>21960</v>
      </c>
      <c r="I2195" s="26">
        <v>0</v>
      </c>
      <c r="J2195" s="26">
        <v>5</v>
      </c>
      <c r="K2195" t="inlineStr">
        <is>
          <t>Non</t>
        </is>
      </c>
      <c r="L2195">
        <f>SUBTOTAL(103,A2195)</f>
        <v>1</v>
      </c>
    </row>
    <row r="2196">
      <c r="A2196" t="inlineStr">
        <is>
          <t>SOCIETE C1209</t>
        </is>
      </c>
      <c r="B2196" t="inlineStr">
        <is>
          <t>C1209</t>
        </is>
      </c>
      <c r="C2196" t="inlineStr">
        <is>
          <t>COMMERCIAL BANKING</t>
        </is>
      </c>
      <c r="D2196" t="inlineStr">
        <is>
          <t>II</t>
        </is>
      </c>
      <c r="E2196" t="inlineStr">
        <is>
          <t>Stage 2</t>
        </is>
      </c>
      <c r="F2196" t="inlineStr">
        <is>
          <t>N/A</t>
        </is>
      </c>
      <c r="G2196" s="26">
        <v>850921753</v>
      </c>
      <c r="H2196" s="26">
        <v>51055305</v>
      </c>
      <c r="I2196" s="26">
        <v>0</v>
      </c>
      <c r="J2196" s="26">
        <v>6</v>
      </c>
      <c r="K2196" t="inlineStr">
        <is>
          <t>Non</t>
        </is>
      </c>
      <c r="L2196">
        <f>SUBTOTAL(103,A2196)</f>
        <v>1</v>
      </c>
    </row>
    <row r="2197">
      <c r="A2197" t="inlineStr">
        <is>
          <t>SOCIETE C1357</t>
        </is>
      </c>
      <c r="B2197" t="inlineStr">
        <is>
          <t>C1357</t>
        </is>
      </c>
      <c r="C2197" t="inlineStr">
        <is>
          <t>CORPORATE BANKING</t>
        </is>
      </c>
      <c r="D2197" t="inlineStr">
        <is>
          <t>I</t>
        </is>
      </c>
      <c r="E2197" t="inlineStr">
        <is>
          <t>Stage 1</t>
        </is>
      </c>
      <c r="F2197" t="inlineStr">
        <is>
          <t>N/A</t>
        </is>
      </c>
      <c r="G2197" s="26">
        <v>2146299712</v>
      </c>
      <c r="H2197" s="26">
        <v>21462997</v>
      </c>
      <c r="I2197" s="26">
        <v>168713919</v>
      </c>
      <c r="J2197" s="26">
        <v>5</v>
      </c>
      <c r="K2197" t="inlineStr">
        <is>
          <t>Non</t>
        </is>
      </c>
      <c r="L2197">
        <f>SUBTOTAL(103,A2197)</f>
        <v>1</v>
      </c>
    </row>
    <row r="2198">
      <c r="A2198" t="inlineStr">
        <is>
          <t>SOCIETE C1881</t>
        </is>
      </c>
      <c r="B2198" t="inlineStr">
        <is>
          <t>C1881</t>
        </is>
      </c>
      <c r="C2198" t="inlineStr">
        <is>
          <t>CORPORATE BANKING</t>
        </is>
      </c>
      <c r="D2198" t="inlineStr">
        <is>
          <t>IV</t>
        </is>
      </c>
      <c r="E2198" t="inlineStr">
        <is>
          <t>Stage 3</t>
        </is>
      </c>
      <c r="F2198" t="inlineStr">
        <is>
          <t>N/A</t>
        </is>
      </c>
      <c r="G2198" s="26">
        <v>6546156</v>
      </c>
      <c r="H2198" s="26">
        <v>3600386</v>
      </c>
      <c r="I2198" s="26">
        <v>0</v>
      </c>
      <c r="J2198" s="26">
        <v>2</v>
      </c>
      <c r="K2198" t="inlineStr">
        <is>
          <t>Oui</t>
        </is>
      </c>
      <c r="L2198">
        <f>SUBTOTAL(103,A2198)</f>
        <v>1</v>
      </c>
    </row>
    <row r="2199">
      <c r="A2199" t="inlineStr">
        <is>
          <t>SOCIETE C1806</t>
        </is>
      </c>
      <c r="B2199" t="inlineStr">
        <is>
          <t>C1806</t>
        </is>
      </c>
      <c r="C2199" t="inlineStr">
        <is>
          <t>CORPORATE BANKING</t>
        </is>
      </c>
      <c r="D2199" t="inlineStr">
        <is>
          <t>II</t>
        </is>
      </c>
      <c r="E2199" t="inlineStr">
        <is>
          <t>Stage 2</t>
        </is>
      </c>
      <c r="F2199" t="inlineStr">
        <is>
          <t>N/A</t>
        </is>
      </c>
      <c r="G2199" s="26">
        <v>1935707600</v>
      </c>
      <c r="H2199" s="26">
        <v>116142456</v>
      </c>
      <c r="I2199" s="26">
        <v>47122758</v>
      </c>
      <c r="J2199" s="26">
        <v>172</v>
      </c>
      <c r="K2199" t="inlineStr">
        <is>
          <t>Non</t>
        </is>
      </c>
      <c r="L2199">
        <f>SUBTOTAL(103,A2199)</f>
        <v>1</v>
      </c>
    </row>
    <row r="2200">
      <c r="A2200" t="inlineStr">
        <is>
          <t>SOCIETE C228</t>
        </is>
      </c>
      <c r="B2200" t="inlineStr">
        <is>
          <t>C228</t>
        </is>
      </c>
      <c r="C2200" t="inlineStr">
        <is>
          <t>CONSUMER BANKING</t>
        </is>
      </c>
      <c r="D2200" t="inlineStr">
        <is>
          <t>II</t>
        </is>
      </c>
      <c r="E2200" t="inlineStr">
        <is>
          <t>Stage 2</t>
        </is>
      </c>
      <c r="F2200" t="inlineStr">
        <is>
          <t>N/A</t>
        </is>
      </c>
      <c r="G2200" s="26">
        <v>483347176</v>
      </c>
      <c r="H2200" s="26">
        <v>29000831</v>
      </c>
      <c r="I2200" s="26">
        <v>0</v>
      </c>
      <c r="J2200" s="26">
        <v>45</v>
      </c>
      <c r="K2200" t="inlineStr">
        <is>
          <t>Non</t>
        </is>
      </c>
      <c r="L2200">
        <f>SUBTOTAL(103,A2200)</f>
        <v>1</v>
      </c>
    </row>
    <row r="2201">
      <c r="A2201" t="inlineStr">
        <is>
          <t>SOCIETE C57</t>
        </is>
      </c>
      <c r="B2201" t="inlineStr">
        <is>
          <t>C57</t>
        </is>
      </c>
      <c r="C2201" t="inlineStr">
        <is>
          <t>CORPORATE BANKING</t>
        </is>
      </c>
      <c r="D2201" t="inlineStr">
        <is>
          <t>I</t>
        </is>
      </c>
      <c r="E2201" t="inlineStr">
        <is>
          <t>Stage 1</t>
        </is>
      </c>
      <c r="F2201" t="inlineStr">
        <is>
          <t>N/A</t>
        </is>
      </c>
      <c r="G2201" s="26">
        <v>546211015</v>
      </c>
      <c r="H2201" s="26">
        <v>5462110</v>
      </c>
      <c r="I2201" s="26">
        <v>16486404</v>
      </c>
      <c r="J2201" s="26">
        <v>165</v>
      </c>
      <c r="K2201" t="inlineStr">
        <is>
          <t>Non</t>
        </is>
      </c>
      <c r="L2201">
        <f>SUBTOTAL(103,A2201)</f>
        <v>1</v>
      </c>
    </row>
    <row r="2202">
      <c r="A2202" t="inlineStr">
        <is>
          <t>SOCIETE C720</t>
        </is>
      </c>
      <c r="B2202" t="inlineStr">
        <is>
          <t>C720</t>
        </is>
      </c>
      <c r="C2202" t="inlineStr">
        <is>
          <t>CORPORATE BANKING</t>
        </is>
      </c>
      <c r="D2202" t="inlineStr">
        <is>
          <t>III</t>
        </is>
      </c>
      <c r="E2202" t="inlineStr">
        <is>
          <t>Stage 3</t>
        </is>
      </c>
      <c r="F2202" t="inlineStr">
        <is>
          <t>N/A</t>
        </is>
      </c>
      <c r="G2202" s="26">
        <v>988429721</v>
      </c>
      <c r="H2202" s="26">
        <v>543636346</v>
      </c>
      <c r="I2202" s="26">
        <v>0</v>
      </c>
      <c r="J2202" s="26">
        <v>228</v>
      </c>
      <c r="K2202" t="inlineStr">
        <is>
          <t>Oui</t>
        </is>
      </c>
      <c r="L2202">
        <f>SUBTOTAL(103,A2202)</f>
        <v>1</v>
      </c>
    </row>
    <row r="2203">
      <c r="A2203" t="inlineStr">
        <is>
          <t>SOCIETE C1261</t>
        </is>
      </c>
      <c r="B2203" t="inlineStr">
        <is>
          <t>C1261</t>
        </is>
      </c>
      <c r="C2203" t="inlineStr">
        <is>
          <t>CORPORATE BANKING</t>
        </is>
      </c>
      <c r="D2203" t="inlineStr">
        <is>
          <t>I</t>
        </is>
      </c>
      <c r="E2203" t="inlineStr">
        <is>
          <t>Stage 1</t>
        </is>
      </c>
      <c r="F2203" t="inlineStr">
        <is>
          <t>N/A</t>
        </is>
      </c>
      <c r="G2203" s="26">
        <v>1734656</v>
      </c>
      <c r="H2203" s="26">
        <v>17347</v>
      </c>
      <c r="I2203" s="26">
        <v>0</v>
      </c>
      <c r="J2203" s="26">
        <v>232</v>
      </c>
      <c r="K2203" t="inlineStr">
        <is>
          <t>Non</t>
        </is>
      </c>
      <c r="L2203">
        <f>SUBTOTAL(103,A2203)</f>
        <v>1</v>
      </c>
    </row>
    <row r="2204">
      <c r="A2204" t="inlineStr">
        <is>
          <t>SOCIETE C737</t>
        </is>
      </c>
      <c r="B2204" t="inlineStr">
        <is>
          <t>C737</t>
        </is>
      </c>
      <c r="C2204" t="inlineStr">
        <is>
          <t>CORPORATE BANKING</t>
        </is>
      </c>
      <c r="D2204" t="inlineStr">
        <is>
          <t>I</t>
        </is>
      </c>
      <c r="E2204" t="inlineStr">
        <is>
          <t>Stage 1</t>
        </is>
      </c>
      <c r="F2204" t="inlineStr">
        <is>
          <t>N/A</t>
        </is>
      </c>
      <c r="G2204" s="26">
        <v>6390683</v>
      </c>
      <c r="H2204" s="26">
        <v>63907</v>
      </c>
      <c r="I2204" s="26">
        <v>0</v>
      </c>
      <c r="J2204" s="26">
        <v>12</v>
      </c>
      <c r="K2204" t="inlineStr">
        <is>
          <t>Non</t>
        </is>
      </c>
      <c r="L2204">
        <f>SUBTOTAL(103,A2204)</f>
        <v>1</v>
      </c>
    </row>
    <row r="2205">
      <c r="A2205" t="inlineStr">
        <is>
          <t>SOCIETE C1744</t>
        </is>
      </c>
      <c r="B2205" t="inlineStr">
        <is>
          <t>C1744</t>
        </is>
      </c>
      <c r="C2205" t="inlineStr">
        <is>
          <t>COMMERCIAL BANKING</t>
        </is>
      </c>
      <c r="D2205" t="inlineStr">
        <is>
          <t>II</t>
        </is>
      </c>
      <c r="E2205" t="inlineStr">
        <is>
          <t>Stage 2</t>
        </is>
      </c>
      <c r="F2205" t="inlineStr">
        <is>
          <t>N/A</t>
        </is>
      </c>
      <c r="G2205" s="26">
        <v>3333590</v>
      </c>
      <c r="H2205" s="26">
        <v>200015</v>
      </c>
      <c r="I2205" s="26">
        <v>117483</v>
      </c>
      <c r="J2205" s="26">
        <v>184</v>
      </c>
      <c r="K2205" t="inlineStr">
        <is>
          <t>Non</t>
        </is>
      </c>
      <c r="L2205">
        <f>SUBTOTAL(103,A2205)</f>
        <v>1</v>
      </c>
    </row>
    <row r="2206">
      <c r="A2206" t="inlineStr">
        <is>
          <t>SOCIETE C210</t>
        </is>
      </c>
      <c r="B2206" t="inlineStr">
        <is>
          <t>C210</t>
        </is>
      </c>
      <c r="C2206" t="inlineStr">
        <is>
          <t>CORPORATE BANKING</t>
        </is>
      </c>
      <c r="D2206" t="inlineStr">
        <is>
          <t>I</t>
        </is>
      </c>
      <c r="E2206" t="inlineStr">
        <is>
          <t>Stage 1</t>
        </is>
      </c>
      <c r="F2206" t="inlineStr">
        <is>
          <t>N/A</t>
        </is>
      </c>
      <c r="G2206" s="26">
        <v>205361213</v>
      </c>
      <c r="H2206" s="26">
        <v>2053612</v>
      </c>
      <c r="I2206" s="26">
        <v>33633112</v>
      </c>
      <c r="J2206" s="26">
        <v>302</v>
      </c>
      <c r="K2206" t="inlineStr">
        <is>
          <t>Non</t>
        </is>
      </c>
      <c r="L2206">
        <f>SUBTOTAL(103,A2206)</f>
        <v>1</v>
      </c>
    </row>
    <row r="2207">
      <c r="A2207" t="inlineStr">
        <is>
          <t>SOCIETE C2133</t>
        </is>
      </c>
      <c r="B2207" t="inlineStr">
        <is>
          <t>C2133</t>
        </is>
      </c>
      <c r="C2207" t="inlineStr">
        <is>
          <t>COMMERCIAL BANKING</t>
        </is>
      </c>
      <c r="D2207" t="inlineStr">
        <is>
          <t>III</t>
        </is>
      </c>
      <c r="E2207" t="inlineStr">
        <is>
          <t>Stage 3</t>
        </is>
      </c>
      <c r="F2207" t="inlineStr">
        <is>
          <t>N/A</t>
        </is>
      </c>
      <c r="G2207" s="26">
        <v>1496662163</v>
      </c>
      <c r="H2207" s="26">
        <v>823164189</v>
      </c>
      <c r="I2207" s="26">
        <v>0</v>
      </c>
      <c r="J2207" s="26">
        <v>41</v>
      </c>
      <c r="K2207" t="inlineStr">
        <is>
          <t>Oui</t>
        </is>
      </c>
      <c r="L2207">
        <f>SUBTOTAL(103,A2207)</f>
        <v>1</v>
      </c>
    </row>
    <row r="2208">
      <c r="A2208" t="inlineStr">
        <is>
          <t>SOCIETE C433</t>
        </is>
      </c>
      <c r="B2208" t="inlineStr">
        <is>
          <t>C433</t>
        </is>
      </c>
      <c r="C2208" t="inlineStr">
        <is>
          <t>PUBLIC SECTOR</t>
        </is>
      </c>
      <c r="D2208" t="inlineStr">
        <is>
          <t>I</t>
        </is>
      </c>
      <c r="E2208" t="inlineStr">
        <is>
          <t>Stage 1</t>
        </is>
      </c>
      <c r="F2208" t="inlineStr">
        <is>
          <t>N/A</t>
        </is>
      </c>
      <c r="G2208" s="26">
        <v>1127923</v>
      </c>
      <c r="H2208" s="26">
        <v>11279</v>
      </c>
      <c r="I2208" s="26">
        <v>11817</v>
      </c>
      <c r="J2208" s="26">
        <v>66</v>
      </c>
      <c r="K2208" t="inlineStr">
        <is>
          <t>Non</t>
        </is>
      </c>
      <c r="L2208">
        <f>SUBTOTAL(103,A2208)</f>
        <v>1</v>
      </c>
    </row>
    <row r="2209">
      <c r="A2209" t="inlineStr">
        <is>
          <t>SOCIETE C968</t>
        </is>
      </c>
      <c r="B2209" t="inlineStr">
        <is>
          <t>C968</t>
        </is>
      </c>
      <c r="C2209" t="inlineStr">
        <is>
          <t>CORPORATE BANKING</t>
        </is>
      </c>
      <c r="D2209" t="inlineStr">
        <is>
          <t>III</t>
        </is>
      </c>
      <c r="E2209" t="inlineStr">
        <is>
          <t>Stage 3</t>
        </is>
      </c>
      <c r="F2209" t="inlineStr">
        <is>
          <t>N/A</t>
        </is>
      </c>
      <c r="G2209" s="26">
        <v>27410979</v>
      </c>
      <c r="H2209" s="26">
        <v>15076039</v>
      </c>
      <c r="I2209" s="26">
        <v>0</v>
      </c>
      <c r="J2209" s="26">
        <v>73</v>
      </c>
      <c r="K2209" t="inlineStr">
        <is>
          <t>Oui</t>
        </is>
      </c>
      <c r="L2209">
        <f>SUBTOTAL(103,A2209)</f>
        <v>1</v>
      </c>
    </row>
    <row r="2210">
      <c r="A2210" t="inlineStr">
        <is>
          <t>SOCIETE C1089</t>
        </is>
      </c>
      <c r="B2210" t="inlineStr">
        <is>
          <t>C1089</t>
        </is>
      </c>
      <c r="C2210" t="inlineStr">
        <is>
          <t>CORPORATE BANKING</t>
        </is>
      </c>
      <c r="D2210" t="inlineStr">
        <is>
          <t>I</t>
        </is>
      </c>
      <c r="E2210" t="inlineStr">
        <is>
          <t>Stage 1</t>
        </is>
      </c>
      <c r="F2210" t="inlineStr">
        <is>
          <t>N/A</t>
        </is>
      </c>
      <c r="G2210" s="26">
        <v>2064248736</v>
      </c>
      <c r="H2210" s="26">
        <v>20642487</v>
      </c>
      <c r="I2210" s="26">
        <v>48877958</v>
      </c>
      <c r="J2210" s="26">
        <v>283</v>
      </c>
      <c r="K2210" t="inlineStr">
        <is>
          <t>Non</t>
        </is>
      </c>
      <c r="L2210">
        <f>SUBTOTAL(103,A2210)</f>
        <v>1</v>
      </c>
    </row>
    <row r="2211">
      <c r="A2211" t="inlineStr">
        <is>
          <t>SOCIETE C282</t>
        </is>
      </c>
      <c r="B2211" t="inlineStr">
        <is>
          <t>C282</t>
        </is>
      </c>
      <c r="C2211" t="inlineStr">
        <is>
          <t>COMMERCIAL BANKING</t>
        </is>
      </c>
      <c r="D2211" t="inlineStr">
        <is>
          <t>II</t>
        </is>
      </c>
      <c r="E2211" t="inlineStr">
        <is>
          <t>Stage 2</t>
        </is>
      </c>
      <c r="F2211" t="inlineStr">
        <is>
          <t>N/A</t>
        </is>
      </c>
      <c r="G2211" s="26">
        <v>624244359</v>
      </c>
      <c r="H2211" s="26">
        <v>37454662</v>
      </c>
      <c r="I2211" s="26">
        <v>0</v>
      </c>
      <c r="J2211" s="26">
        <v>23</v>
      </c>
      <c r="K2211" t="inlineStr">
        <is>
          <t>Non</t>
        </is>
      </c>
      <c r="L2211">
        <f>SUBTOTAL(103,A2211)</f>
        <v>1</v>
      </c>
    </row>
    <row r="2212">
      <c r="A2212" t="inlineStr">
        <is>
          <t>SOCIETE C2157</t>
        </is>
      </c>
      <c r="B2212" t="inlineStr">
        <is>
          <t>C2157</t>
        </is>
      </c>
      <c r="C2212" t="inlineStr">
        <is>
          <t>CONSUMER BANKING</t>
        </is>
      </c>
      <c r="D2212" t="inlineStr">
        <is>
          <t>I</t>
        </is>
      </c>
      <c r="E2212" t="inlineStr">
        <is>
          <t>Stage 1</t>
        </is>
      </c>
      <c r="F2212" t="inlineStr">
        <is>
          <t>N/A</t>
        </is>
      </c>
      <c r="G2212" s="26">
        <v>40355608</v>
      </c>
      <c r="H2212" s="26">
        <v>403556</v>
      </c>
      <c r="I2212" s="26">
        <v>6713290</v>
      </c>
      <c r="J2212" s="26">
        <v>177</v>
      </c>
      <c r="K2212" t="inlineStr">
        <is>
          <t>Non</t>
        </is>
      </c>
      <c r="L2212">
        <f>SUBTOTAL(103,A2212)</f>
        <v>1</v>
      </c>
    </row>
    <row r="2213">
      <c r="A2213" t="inlineStr">
        <is>
          <t>SOCIETE C65</t>
        </is>
      </c>
      <c r="B2213" t="inlineStr">
        <is>
          <t>C65</t>
        </is>
      </c>
      <c r="C2213" t="inlineStr">
        <is>
          <t>COMMERCIAL BANKING</t>
        </is>
      </c>
      <c r="D2213" t="inlineStr">
        <is>
          <t>I</t>
        </is>
      </c>
      <c r="E2213" t="inlineStr">
        <is>
          <t>Stage 1</t>
        </is>
      </c>
      <c r="F2213" t="inlineStr">
        <is>
          <t>N/A</t>
        </is>
      </c>
      <c r="G2213" s="26">
        <v>1007394</v>
      </c>
      <c r="H2213" s="26">
        <v>10074</v>
      </c>
      <c r="I2213" s="26">
        <v>0</v>
      </c>
      <c r="J2213" s="26">
        <v>29</v>
      </c>
      <c r="K2213" t="inlineStr">
        <is>
          <t>Non</t>
        </is>
      </c>
      <c r="L2213">
        <f>SUBTOTAL(103,A2213)</f>
        <v>1</v>
      </c>
    </row>
    <row r="2214">
      <c r="A2214" t="inlineStr">
        <is>
          <t>SOCIETE C1562</t>
        </is>
      </c>
      <c r="B2214" t="inlineStr">
        <is>
          <t>C1562</t>
        </is>
      </c>
      <c r="C2214" t="inlineStr">
        <is>
          <t>CORPORATE BANKING</t>
        </is>
      </c>
      <c r="D2214" t="inlineStr">
        <is>
          <t>IA</t>
        </is>
      </c>
      <c r="E2214" t="inlineStr">
        <is>
          <t>Stage 2</t>
        </is>
      </c>
      <c r="F2214" t="inlineStr">
        <is>
          <t>N/A</t>
        </is>
      </c>
      <c r="G2214" s="26">
        <v>44126578</v>
      </c>
      <c r="H2214" s="26">
        <v>2647595</v>
      </c>
      <c r="I2214" s="26">
        <v>0</v>
      </c>
      <c r="J2214" s="26">
        <v>11</v>
      </c>
      <c r="K2214" t="inlineStr">
        <is>
          <t>Non</t>
        </is>
      </c>
      <c r="L2214">
        <f>SUBTOTAL(103,A2214)</f>
        <v>1</v>
      </c>
    </row>
    <row r="2215">
      <c r="A2215" t="inlineStr">
        <is>
          <t>SOCIETE C1988</t>
        </is>
      </c>
      <c r="B2215" t="inlineStr">
        <is>
          <t>C1988</t>
        </is>
      </c>
      <c r="C2215" t="inlineStr">
        <is>
          <t>CORPORATE BANKING</t>
        </is>
      </c>
      <c r="D2215" t="inlineStr">
        <is>
          <t>II</t>
        </is>
      </c>
      <c r="E2215" t="inlineStr">
        <is>
          <t>Stage 2</t>
        </is>
      </c>
      <c r="F2215" t="inlineStr">
        <is>
          <t>N/A</t>
        </is>
      </c>
      <c r="G2215" s="26">
        <v>803178052</v>
      </c>
      <c r="H2215" s="26">
        <v>48190683</v>
      </c>
      <c r="I2215" s="26">
        <v>0</v>
      </c>
      <c r="J2215" s="26">
        <v>8</v>
      </c>
      <c r="K2215" t="inlineStr">
        <is>
          <t>Non</t>
        </is>
      </c>
      <c r="L2215">
        <f>SUBTOTAL(103,A2215)</f>
        <v>1</v>
      </c>
    </row>
    <row r="2216">
      <c r="A2216" t="inlineStr">
        <is>
          <t>SOCIETE C2364</t>
        </is>
      </c>
      <c r="B2216" t="inlineStr">
        <is>
          <t>C2364</t>
        </is>
      </c>
      <c r="C2216" t="inlineStr">
        <is>
          <t>INSTITUTIONAL</t>
        </is>
      </c>
      <c r="D2216" t="inlineStr">
        <is>
          <t>IA</t>
        </is>
      </c>
      <c r="E2216" t="inlineStr">
        <is>
          <t>Stage 2</t>
        </is>
      </c>
      <c r="F2216" t="inlineStr">
        <is>
          <t>N/A</t>
        </is>
      </c>
      <c r="G2216" s="26">
        <v>60993063</v>
      </c>
      <c r="H2216" s="26">
        <v>3659584</v>
      </c>
      <c r="I2216" s="26">
        <v>8059059</v>
      </c>
      <c r="J2216" s="26">
        <v>134</v>
      </c>
      <c r="K2216" t="inlineStr">
        <is>
          <t>Non</t>
        </is>
      </c>
      <c r="L2216">
        <f>SUBTOTAL(103,A2216)</f>
        <v>1</v>
      </c>
    </row>
    <row r="2217">
      <c r="A2217" t="inlineStr">
        <is>
          <t>SOCIETE C1991</t>
        </is>
      </c>
      <c r="B2217" t="inlineStr">
        <is>
          <t>C1991</t>
        </is>
      </c>
      <c r="C2217" t="inlineStr">
        <is>
          <t>CORPORATE BANKING</t>
        </is>
      </c>
      <c r="D2217" t="inlineStr">
        <is>
          <t>I</t>
        </is>
      </c>
      <c r="E2217" t="inlineStr">
        <is>
          <t>Stage 1</t>
        </is>
      </c>
      <c r="F2217" t="inlineStr">
        <is>
          <t>N/A</t>
        </is>
      </c>
      <c r="G2217" s="26">
        <v>128340077</v>
      </c>
      <c r="H2217" s="26">
        <v>1283401</v>
      </c>
      <c r="I2217" s="26">
        <v>0</v>
      </c>
      <c r="J2217" s="26">
        <v>15</v>
      </c>
      <c r="K2217" t="inlineStr">
        <is>
          <t>Non</t>
        </is>
      </c>
      <c r="L2217">
        <f>SUBTOTAL(103,A2217)</f>
        <v>1</v>
      </c>
    </row>
    <row r="2218">
      <c r="A2218" t="inlineStr">
        <is>
          <t>SOCIETE C1714</t>
        </is>
      </c>
      <c r="B2218" t="inlineStr">
        <is>
          <t>C1714</t>
        </is>
      </c>
      <c r="C2218" t="inlineStr">
        <is>
          <t>CONSUMER BANKING</t>
        </is>
      </c>
      <c r="D2218" t="inlineStr">
        <is>
          <t>I</t>
        </is>
      </c>
      <c r="E2218" t="inlineStr">
        <is>
          <t>Stage 1</t>
        </is>
      </c>
      <c r="F2218" t="inlineStr">
        <is>
          <t>N/A</t>
        </is>
      </c>
      <c r="G2218" s="26">
        <v>2918071192</v>
      </c>
      <c r="H2218" s="26">
        <v>29180712</v>
      </c>
      <c r="I2218" s="26">
        <v>370420131</v>
      </c>
      <c r="J2218" s="26">
        <v>145</v>
      </c>
      <c r="K2218" t="inlineStr">
        <is>
          <t>Non</t>
        </is>
      </c>
      <c r="L2218">
        <f>SUBTOTAL(103,A2218)</f>
        <v>1</v>
      </c>
    </row>
    <row r="2219">
      <c r="A2219" t="inlineStr">
        <is>
          <t>SOCIETE C1268</t>
        </is>
      </c>
      <c r="B2219" t="inlineStr">
        <is>
          <t>C1268</t>
        </is>
      </c>
      <c r="C2219" t="inlineStr">
        <is>
          <t>COMMERCIAL BANKING</t>
        </is>
      </c>
      <c r="D2219" t="inlineStr">
        <is>
          <t>IV</t>
        </is>
      </c>
      <c r="E2219" t="inlineStr">
        <is>
          <t>Stage 3</t>
        </is>
      </c>
      <c r="F2219" t="inlineStr">
        <is>
          <t>N/A</t>
        </is>
      </c>
      <c r="G2219" s="26">
        <v>1789191995</v>
      </c>
      <c r="H2219" s="26">
        <v>984055597</v>
      </c>
      <c r="I2219" s="26">
        <v>0</v>
      </c>
      <c r="J2219" s="26">
        <v>35</v>
      </c>
      <c r="K2219" t="inlineStr">
        <is>
          <t>Oui</t>
        </is>
      </c>
      <c r="L2219">
        <f>SUBTOTAL(103,A2219)</f>
        <v>1</v>
      </c>
    </row>
    <row r="2220">
      <c r="A2220" t="inlineStr">
        <is>
          <t>SOCIETE C2320</t>
        </is>
      </c>
      <c r="B2220" t="inlineStr">
        <is>
          <t>C2320</t>
        </is>
      </c>
      <c r="C2220" t="inlineStr">
        <is>
          <t>PUBLIC SECTOR</t>
        </is>
      </c>
      <c r="D2220" t="inlineStr">
        <is>
          <t>V</t>
        </is>
      </c>
      <c r="E2220" t="inlineStr">
        <is>
          <t>Stage 3</t>
        </is>
      </c>
      <c r="F2220" t="inlineStr">
        <is>
          <t>N/A</t>
        </is>
      </c>
      <c r="G2220" s="26">
        <v>194127002</v>
      </c>
      <c r="H2220" s="26">
        <v>106769851</v>
      </c>
      <c r="I2220" s="26">
        <v>0</v>
      </c>
      <c r="J2220" s="26">
        <v>42</v>
      </c>
      <c r="K2220" t="inlineStr">
        <is>
          <t>Oui</t>
        </is>
      </c>
      <c r="L2220">
        <f>SUBTOTAL(103,A2220)</f>
        <v>1</v>
      </c>
    </row>
    <row r="2221">
      <c r="A2221" t="inlineStr">
        <is>
          <t>SOCIETE C2066</t>
        </is>
      </c>
      <c r="B2221" t="inlineStr">
        <is>
          <t>C2066</t>
        </is>
      </c>
      <c r="C2221" t="inlineStr">
        <is>
          <t>CONSUMER BANKING</t>
        </is>
      </c>
      <c r="D2221" t="inlineStr">
        <is>
          <t>II</t>
        </is>
      </c>
      <c r="E2221" t="inlineStr">
        <is>
          <t>Stage 2</t>
        </is>
      </c>
      <c r="F2221" t="inlineStr">
        <is>
          <t>N/A</t>
        </is>
      </c>
      <c r="G2221" s="26">
        <v>1025264991</v>
      </c>
      <c r="H2221" s="26">
        <v>61515899</v>
      </c>
      <c r="I2221" s="26">
        <v>68847977</v>
      </c>
      <c r="J2221" s="26">
        <v>24</v>
      </c>
      <c r="K2221" t="inlineStr">
        <is>
          <t>Non</t>
        </is>
      </c>
      <c r="L2221">
        <f>SUBTOTAL(103,A2221)</f>
        <v>1</v>
      </c>
    </row>
    <row r="2222">
      <c r="A2222" t="inlineStr">
        <is>
          <t>SOCIETE C1905</t>
        </is>
      </c>
      <c r="B2222" t="inlineStr">
        <is>
          <t>C1905</t>
        </is>
      </c>
      <c r="C2222" t="inlineStr">
        <is>
          <t>PUBLIC SECTOR</t>
        </is>
      </c>
      <c r="D2222" t="inlineStr">
        <is>
          <t>III</t>
        </is>
      </c>
      <c r="E2222" t="inlineStr">
        <is>
          <t>Stage 3</t>
        </is>
      </c>
      <c r="F2222" t="inlineStr">
        <is>
          <t>N/A</t>
        </is>
      </c>
      <c r="G2222" s="26">
        <v>158461594</v>
      </c>
      <c r="H2222" s="26">
        <v>87153877</v>
      </c>
      <c r="I2222" s="26">
        <v>0</v>
      </c>
      <c r="J2222" s="26">
        <v>17</v>
      </c>
      <c r="K2222" t="inlineStr">
        <is>
          <t>Oui</t>
        </is>
      </c>
      <c r="L2222">
        <f>SUBTOTAL(103,A2222)</f>
        <v>1</v>
      </c>
    </row>
    <row r="2223">
      <c r="A2223" t="inlineStr">
        <is>
          <t>SOCIETE C2294</t>
        </is>
      </c>
      <c r="B2223" t="inlineStr">
        <is>
          <t>C2294</t>
        </is>
      </c>
      <c r="C2223" t="inlineStr">
        <is>
          <t>COMMERCIAL BANKING</t>
        </is>
      </c>
      <c r="D2223" t="inlineStr">
        <is>
          <t>I</t>
        </is>
      </c>
      <c r="E2223" t="inlineStr">
        <is>
          <t>Stage 1</t>
        </is>
      </c>
      <c r="F2223" t="inlineStr">
        <is>
          <t>N/A</t>
        </is>
      </c>
      <c r="G2223" s="26">
        <v>1379797</v>
      </c>
      <c r="H2223" s="26">
        <v>13798</v>
      </c>
      <c r="I2223" s="26">
        <v>0</v>
      </c>
      <c r="J2223" s="26">
        <v>125</v>
      </c>
      <c r="K2223" t="inlineStr">
        <is>
          <t>Non</t>
        </is>
      </c>
      <c r="L2223">
        <f>SUBTOTAL(103,A2223)</f>
        <v>1</v>
      </c>
    </row>
    <row r="2224">
      <c r="A2224" t="inlineStr">
        <is>
          <t>SOCIETE C403</t>
        </is>
      </c>
      <c r="B2224" t="inlineStr">
        <is>
          <t>C403</t>
        </is>
      </c>
      <c r="C2224" t="inlineStr">
        <is>
          <t>COMMERCIAL BANKING</t>
        </is>
      </c>
      <c r="D2224" t="inlineStr">
        <is>
          <t>II</t>
        </is>
      </c>
      <c r="E2224" t="inlineStr">
        <is>
          <t>Stage 2</t>
        </is>
      </c>
      <c r="F2224" t="inlineStr">
        <is>
          <t>N/A</t>
        </is>
      </c>
      <c r="G2224" s="26">
        <v>5586435</v>
      </c>
      <c r="H2224" s="26">
        <v>335186</v>
      </c>
      <c r="I2224" s="26">
        <v>710953</v>
      </c>
      <c r="J2224" s="26">
        <v>40</v>
      </c>
      <c r="K2224" t="inlineStr">
        <is>
          <t>Non</t>
        </is>
      </c>
      <c r="L2224">
        <f>SUBTOTAL(103,A2224)</f>
        <v>1</v>
      </c>
    </row>
    <row r="2225">
      <c r="A2225" t="inlineStr">
        <is>
          <t>SOCIETE C305</t>
        </is>
      </c>
      <c r="B2225" t="inlineStr">
        <is>
          <t>C305</t>
        </is>
      </c>
      <c r="C2225" t="inlineStr">
        <is>
          <t>CONSUMER BANKING</t>
        </is>
      </c>
      <c r="D2225" t="inlineStr">
        <is>
          <t>I</t>
        </is>
      </c>
      <c r="E2225" t="inlineStr">
        <is>
          <t>Stage 1</t>
        </is>
      </c>
      <c r="F2225" t="inlineStr">
        <is>
          <t>N/A</t>
        </is>
      </c>
      <c r="G2225" s="26">
        <v>1129201</v>
      </c>
      <c r="H2225" s="26">
        <v>11292</v>
      </c>
      <c r="I2225" s="26">
        <v>0</v>
      </c>
      <c r="J2225" s="26">
        <v>12</v>
      </c>
      <c r="K2225" t="inlineStr">
        <is>
          <t>Non</t>
        </is>
      </c>
      <c r="L2225">
        <f>SUBTOTAL(103,A2225)</f>
        <v>1</v>
      </c>
    </row>
    <row r="2226">
      <c r="A2226" t="inlineStr">
        <is>
          <t>SOCIETE C546</t>
        </is>
      </c>
      <c r="B2226" t="inlineStr">
        <is>
          <t>C546</t>
        </is>
      </c>
      <c r="C2226" t="inlineStr">
        <is>
          <t>COMMERCIAL BANKING</t>
        </is>
      </c>
      <c r="D2226" t="inlineStr">
        <is>
          <t>I</t>
        </is>
      </c>
      <c r="E2226" t="inlineStr">
        <is>
          <t>Stage 1</t>
        </is>
      </c>
      <c r="F2226" t="inlineStr">
        <is>
          <t>N/A</t>
        </is>
      </c>
      <c r="G2226" s="26">
        <v>57864213</v>
      </c>
      <c r="H2226" s="26">
        <v>578642</v>
      </c>
      <c r="I2226" s="26">
        <v>0</v>
      </c>
      <c r="J2226" s="26">
        <v>251</v>
      </c>
      <c r="K2226" t="inlineStr">
        <is>
          <t>Non</t>
        </is>
      </c>
      <c r="L2226">
        <f>SUBTOTAL(103,A2226)</f>
        <v>1</v>
      </c>
    </row>
    <row r="2227">
      <c r="A2227" t="inlineStr">
        <is>
          <t>SOCIETE C919</t>
        </is>
      </c>
      <c r="B2227" t="inlineStr">
        <is>
          <t>C919</t>
        </is>
      </c>
      <c r="C2227" t="inlineStr">
        <is>
          <t>CORPORATE BANKING</t>
        </is>
      </c>
      <c r="D2227" t="inlineStr">
        <is>
          <t>II</t>
        </is>
      </c>
      <c r="E2227" t="inlineStr">
        <is>
          <t>Stage 2</t>
        </is>
      </c>
      <c r="F2227" t="inlineStr">
        <is>
          <t>N/A</t>
        </is>
      </c>
      <c r="G2227" s="26">
        <v>5623535</v>
      </c>
      <c r="H2227" s="26">
        <v>337412</v>
      </c>
      <c r="I2227" s="26">
        <v>1013866</v>
      </c>
      <c r="J2227" s="26">
        <v>26</v>
      </c>
      <c r="K2227" t="inlineStr">
        <is>
          <t>Non</t>
        </is>
      </c>
      <c r="L2227">
        <f>SUBTOTAL(103,A2227)</f>
        <v>1</v>
      </c>
    </row>
    <row r="2228">
      <c r="A2228" t="inlineStr">
        <is>
          <t>SOCIETE C1471</t>
        </is>
      </c>
      <c r="B2228" t="inlineStr">
        <is>
          <t>C1471</t>
        </is>
      </c>
      <c r="C2228" t="inlineStr">
        <is>
          <t>COMMERCIAL BANKING</t>
        </is>
      </c>
      <c r="D2228" t="inlineStr">
        <is>
          <t>I</t>
        </is>
      </c>
      <c r="E2228" t="inlineStr">
        <is>
          <t>Stage 1</t>
        </is>
      </c>
      <c r="F2228" t="inlineStr">
        <is>
          <t>N/A</t>
        </is>
      </c>
      <c r="G2228" s="26">
        <v>1250530156</v>
      </c>
      <c r="H2228" s="26">
        <v>12505302</v>
      </c>
      <c r="I2228" s="26">
        <v>49195482</v>
      </c>
      <c r="J2228" s="26">
        <v>51</v>
      </c>
      <c r="K2228" t="inlineStr">
        <is>
          <t>Non</t>
        </is>
      </c>
      <c r="L2228">
        <f>SUBTOTAL(103,A2228)</f>
        <v>1</v>
      </c>
    </row>
    <row r="2229">
      <c r="A2229" t="inlineStr">
        <is>
          <t>SOCIETE C2229</t>
        </is>
      </c>
      <c r="B2229" t="inlineStr">
        <is>
          <t>C2229</t>
        </is>
      </c>
      <c r="C2229" t="inlineStr">
        <is>
          <t>COMMERCIAL BANKING</t>
        </is>
      </c>
      <c r="D2229" t="inlineStr">
        <is>
          <t>IA</t>
        </is>
      </c>
      <c r="E2229" t="inlineStr">
        <is>
          <t>Stage 2</t>
        </is>
      </c>
      <c r="F2229" t="inlineStr">
        <is>
          <t>N/A</t>
        </is>
      </c>
      <c r="G2229" s="26">
        <v>231482306</v>
      </c>
      <c r="H2229" s="26">
        <v>13888938</v>
      </c>
      <c r="I2229" s="26">
        <v>0</v>
      </c>
      <c r="J2229" s="26">
        <v>16</v>
      </c>
      <c r="K2229" t="inlineStr">
        <is>
          <t>Non</t>
        </is>
      </c>
      <c r="L2229">
        <f>SUBTOTAL(103,A2229)</f>
        <v>1</v>
      </c>
    </row>
    <row r="2230">
      <c r="A2230" t="inlineStr">
        <is>
          <t>SOCIETE C566</t>
        </is>
      </c>
      <c r="B2230" t="inlineStr">
        <is>
          <t>C566</t>
        </is>
      </c>
      <c r="C2230" t="inlineStr">
        <is>
          <t>CORPORATE BANKING</t>
        </is>
      </c>
      <c r="D2230" t="inlineStr">
        <is>
          <t>I</t>
        </is>
      </c>
      <c r="E2230" t="inlineStr">
        <is>
          <t>Stage 1</t>
        </is>
      </c>
      <c r="F2230" t="inlineStr">
        <is>
          <t>N/A</t>
        </is>
      </c>
      <c r="G2230" s="26">
        <v>170975039</v>
      </c>
      <c r="H2230" s="26">
        <v>1709750</v>
      </c>
      <c r="I2230" s="26">
        <v>0</v>
      </c>
      <c r="J2230" s="26">
        <v>91</v>
      </c>
      <c r="K2230" t="inlineStr">
        <is>
          <t>Non</t>
        </is>
      </c>
      <c r="L2230">
        <f>SUBTOTAL(103,A2230)</f>
        <v>1</v>
      </c>
    </row>
    <row r="2231">
      <c r="A2231" t="inlineStr">
        <is>
          <t>SOCIETE C1944</t>
        </is>
      </c>
      <c r="B2231" t="inlineStr">
        <is>
          <t>C1944</t>
        </is>
      </c>
      <c r="C2231" t="inlineStr">
        <is>
          <t>CORPORATE BANKING</t>
        </is>
      </c>
      <c r="D2231" t="inlineStr">
        <is>
          <t>IV</t>
        </is>
      </c>
      <c r="E2231" t="inlineStr">
        <is>
          <t>Stage 3</t>
        </is>
      </c>
      <c r="F2231" t="inlineStr">
        <is>
          <t>N/A</t>
        </is>
      </c>
      <c r="G2231" s="26">
        <v>854459381</v>
      </c>
      <c r="H2231" s="26">
        <v>469952659</v>
      </c>
      <c r="I2231" s="26">
        <v>30449522</v>
      </c>
      <c r="J2231" s="26">
        <v>160</v>
      </c>
      <c r="K2231" t="inlineStr">
        <is>
          <t>Oui</t>
        </is>
      </c>
      <c r="L2231">
        <f>SUBTOTAL(103,A2231)</f>
        <v>1</v>
      </c>
    </row>
    <row r="2232">
      <c r="A2232" t="inlineStr">
        <is>
          <t>SOCIETE C1768</t>
        </is>
      </c>
      <c r="B2232" t="inlineStr">
        <is>
          <t>C1768</t>
        </is>
      </c>
      <c r="C2232" t="inlineStr">
        <is>
          <t>COMMERCIAL BANKING</t>
        </is>
      </c>
      <c r="D2232" t="inlineStr">
        <is>
          <t>I</t>
        </is>
      </c>
      <c r="E2232" t="inlineStr">
        <is>
          <t>Stage 1</t>
        </is>
      </c>
      <c r="F2232" t="inlineStr">
        <is>
          <t>N/A</t>
        </is>
      </c>
      <c r="G2232" s="26">
        <v>152308750</v>
      </c>
      <c r="H2232" s="26">
        <v>1523088</v>
      </c>
      <c r="I2232" s="26">
        <v>1851316</v>
      </c>
      <c r="J2232" s="26">
        <v>6</v>
      </c>
      <c r="K2232" t="inlineStr">
        <is>
          <t>Non</t>
        </is>
      </c>
      <c r="L2232">
        <f>SUBTOTAL(103,A2232)</f>
        <v>1</v>
      </c>
    </row>
    <row r="2233">
      <c r="A2233" t="inlineStr">
        <is>
          <t>SOCIETE C1423</t>
        </is>
      </c>
      <c r="B2233" t="inlineStr">
        <is>
          <t>C1423</t>
        </is>
      </c>
      <c r="C2233" t="inlineStr">
        <is>
          <t>COMMERCIAL BANKING</t>
        </is>
      </c>
      <c r="D2233" t="inlineStr">
        <is>
          <t>IA</t>
        </is>
      </c>
      <c r="E2233" t="inlineStr">
        <is>
          <t>Stage 2</t>
        </is>
      </c>
      <c r="F2233" t="inlineStr">
        <is>
          <t>N/A</t>
        </is>
      </c>
      <c r="G2233" s="26">
        <v>26223344</v>
      </c>
      <c r="H2233" s="26">
        <v>1573401</v>
      </c>
      <c r="I2233" s="26">
        <v>0</v>
      </c>
      <c r="J2233" s="26">
        <v>71</v>
      </c>
      <c r="K2233" t="inlineStr">
        <is>
          <t>Non</t>
        </is>
      </c>
      <c r="L2233">
        <f>SUBTOTAL(103,A2233)</f>
        <v>1</v>
      </c>
    </row>
    <row r="2234">
      <c r="A2234" t="inlineStr">
        <is>
          <t>SOCIETE C1624</t>
        </is>
      </c>
      <c r="B2234" t="inlineStr">
        <is>
          <t>C1624</t>
        </is>
      </c>
      <c r="C2234" t="inlineStr">
        <is>
          <t>CORPORATE BANKING</t>
        </is>
      </c>
      <c r="D2234" t="inlineStr">
        <is>
          <t>I</t>
        </is>
      </c>
      <c r="E2234" t="inlineStr">
        <is>
          <t>Stage 1</t>
        </is>
      </c>
      <c r="F2234" t="inlineStr">
        <is>
          <t>N/A</t>
        </is>
      </c>
      <c r="G2234" s="26">
        <v>1742999407</v>
      </c>
      <c r="H2234" s="26">
        <v>17429994</v>
      </c>
      <c r="I2234" s="26">
        <v>0</v>
      </c>
      <c r="J2234" s="26">
        <v>108</v>
      </c>
      <c r="K2234" t="inlineStr">
        <is>
          <t>Non</t>
        </is>
      </c>
      <c r="L2234">
        <f>SUBTOTAL(103,A2234)</f>
        <v>1</v>
      </c>
    </row>
    <row r="2235">
      <c r="A2235" t="inlineStr">
        <is>
          <t>SOCIETE C2430</t>
        </is>
      </c>
      <c r="B2235" t="inlineStr">
        <is>
          <t>C2430</t>
        </is>
      </c>
      <c r="C2235" t="inlineStr">
        <is>
          <t>CORPORATE BANKING</t>
        </is>
      </c>
      <c r="D2235" t="inlineStr">
        <is>
          <t>IA</t>
        </is>
      </c>
      <c r="E2235" t="inlineStr">
        <is>
          <t>Stage 2</t>
        </is>
      </c>
      <c r="F2235" t="inlineStr">
        <is>
          <t>N/A</t>
        </is>
      </c>
      <c r="G2235" s="26">
        <v>1765400</v>
      </c>
      <c r="H2235" s="26">
        <v>105924</v>
      </c>
      <c r="I2235" s="26">
        <v>220943</v>
      </c>
      <c r="J2235" s="26">
        <v>11</v>
      </c>
      <c r="K2235" t="inlineStr">
        <is>
          <t>Non</t>
        </is>
      </c>
      <c r="L2235">
        <f>SUBTOTAL(103,A2235)</f>
        <v>1</v>
      </c>
    </row>
    <row r="2236">
      <c r="A2236" t="inlineStr">
        <is>
          <t>SOCIETE C632</t>
        </is>
      </c>
      <c r="B2236" t="inlineStr">
        <is>
          <t>C632</t>
        </is>
      </c>
      <c r="C2236" t="inlineStr">
        <is>
          <t>CORPORATE BANKING</t>
        </is>
      </c>
      <c r="D2236" t="inlineStr">
        <is>
          <t>V</t>
        </is>
      </c>
      <c r="E2236" t="inlineStr">
        <is>
          <t>Stage 3</t>
        </is>
      </c>
      <c r="F2236" t="inlineStr">
        <is>
          <t>N/A</t>
        </is>
      </c>
      <c r="G2236" s="26">
        <v>12936802</v>
      </c>
      <c r="H2236" s="26">
        <v>7115241</v>
      </c>
      <c r="I2236" s="26">
        <v>0</v>
      </c>
      <c r="J2236" s="26">
        <v>72</v>
      </c>
      <c r="K2236" t="inlineStr">
        <is>
          <t>Oui</t>
        </is>
      </c>
      <c r="L2236">
        <f>SUBTOTAL(103,A2236)</f>
        <v>1</v>
      </c>
    </row>
    <row r="2237">
      <c r="A2237" t="inlineStr">
        <is>
          <t>SOCIETE C1232</t>
        </is>
      </c>
      <c r="B2237" t="inlineStr">
        <is>
          <t>C1232</t>
        </is>
      </c>
      <c r="C2237" t="inlineStr">
        <is>
          <t>CORPORATE BANKING</t>
        </is>
      </c>
      <c r="D2237" t="inlineStr">
        <is>
          <t>I</t>
        </is>
      </c>
      <c r="E2237" t="inlineStr">
        <is>
          <t>Stage 1</t>
        </is>
      </c>
      <c r="F2237" t="inlineStr">
        <is>
          <t>N/A</t>
        </is>
      </c>
      <c r="G2237" s="26">
        <v>1891334</v>
      </c>
      <c r="H2237" s="26">
        <v>18913</v>
      </c>
      <c r="I2237" s="26">
        <v>17523</v>
      </c>
      <c r="J2237" s="26">
        <v>12</v>
      </c>
      <c r="K2237" t="inlineStr">
        <is>
          <t>Non</t>
        </is>
      </c>
      <c r="L2237">
        <f>SUBTOTAL(103,A2237)</f>
        <v>1</v>
      </c>
    </row>
    <row r="2238">
      <c r="A2238" t="inlineStr">
        <is>
          <t>SOCIETE C978</t>
        </is>
      </c>
      <c r="B2238" t="inlineStr">
        <is>
          <t>C978</t>
        </is>
      </c>
      <c r="C2238" t="inlineStr">
        <is>
          <t>PUBLIC SECTOR</t>
        </is>
      </c>
      <c r="D2238" t="inlineStr">
        <is>
          <t>I</t>
        </is>
      </c>
      <c r="E2238" t="inlineStr">
        <is>
          <t>Stage 1</t>
        </is>
      </c>
      <c r="F2238" t="inlineStr">
        <is>
          <t>N/A</t>
        </is>
      </c>
      <c r="G2238" s="26">
        <v>1693437717</v>
      </c>
      <c r="H2238" s="26">
        <v>16934377</v>
      </c>
      <c r="I2238" s="26">
        <v>317806225</v>
      </c>
      <c r="J2238" s="26">
        <v>220</v>
      </c>
      <c r="K2238" t="inlineStr">
        <is>
          <t>Non</t>
        </is>
      </c>
      <c r="L2238">
        <f>SUBTOTAL(103,A2238)</f>
        <v>1</v>
      </c>
    </row>
    <row r="2239">
      <c r="A2239" t="inlineStr">
        <is>
          <t>SOCIETE C2498</t>
        </is>
      </c>
      <c r="B2239" t="inlineStr">
        <is>
          <t>C2498</t>
        </is>
      </c>
      <c r="C2239" t="inlineStr">
        <is>
          <t>CORPORATE BANKING</t>
        </is>
      </c>
      <c r="D2239" t="inlineStr">
        <is>
          <t>I</t>
        </is>
      </c>
      <c r="E2239" t="inlineStr">
        <is>
          <t>Stage 1</t>
        </is>
      </c>
      <c r="F2239" t="inlineStr">
        <is>
          <t>N/A</t>
        </is>
      </c>
      <c r="G2239" s="26">
        <v>1600714902</v>
      </c>
      <c r="H2239" s="26">
        <v>16007149</v>
      </c>
      <c r="I2239" s="26">
        <v>99585315</v>
      </c>
      <c r="J2239" s="26">
        <v>12</v>
      </c>
      <c r="K2239" t="inlineStr">
        <is>
          <t>Non</t>
        </is>
      </c>
      <c r="L2239">
        <f>SUBTOTAL(103,A2239)</f>
        <v>1</v>
      </c>
    </row>
    <row r="2240">
      <c r="A2240" t="inlineStr">
        <is>
          <t>SOCIETE C1203</t>
        </is>
      </c>
      <c r="B2240" t="inlineStr">
        <is>
          <t>C1203</t>
        </is>
      </c>
      <c r="C2240" t="inlineStr">
        <is>
          <t>CORPORATE BANKING</t>
        </is>
      </c>
      <c r="D2240" t="inlineStr">
        <is>
          <t>V</t>
        </is>
      </c>
      <c r="E2240" t="inlineStr">
        <is>
          <t>Stage 3</t>
        </is>
      </c>
      <c r="F2240" t="inlineStr">
        <is>
          <t>N/A</t>
        </is>
      </c>
      <c r="G2240" s="26">
        <v>2373988066</v>
      </c>
      <c r="H2240" s="26">
        <v>1305693436</v>
      </c>
      <c r="I2240" s="26">
        <v>0</v>
      </c>
      <c r="J2240" s="26">
        <v>113</v>
      </c>
      <c r="K2240" t="inlineStr">
        <is>
          <t>Oui</t>
        </is>
      </c>
      <c r="L2240">
        <f>SUBTOTAL(103,A2240)</f>
        <v>1</v>
      </c>
    </row>
    <row r="2241">
      <c r="A2241" t="inlineStr">
        <is>
          <t>SOCIETE C28</t>
        </is>
      </c>
      <c r="B2241" t="inlineStr">
        <is>
          <t>C28</t>
        </is>
      </c>
      <c r="C2241" t="inlineStr">
        <is>
          <t>COMMERCIAL BANKING</t>
        </is>
      </c>
      <c r="D2241" t="inlineStr">
        <is>
          <t>V</t>
        </is>
      </c>
      <c r="E2241" t="inlineStr">
        <is>
          <t>Stage 3</t>
        </is>
      </c>
      <c r="F2241" t="inlineStr">
        <is>
          <t>N/A</t>
        </is>
      </c>
      <c r="G2241" s="26">
        <v>385655139</v>
      </c>
      <c r="H2241" s="26">
        <v>212110326</v>
      </c>
      <c r="I2241" s="26">
        <v>0</v>
      </c>
      <c r="J2241" s="26">
        <v>12</v>
      </c>
      <c r="K2241" t="inlineStr">
        <is>
          <t>Oui</t>
        </is>
      </c>
      <c r="L2241">
        <f>SUBTOTAL(103,A2241)</f>
        <v>1</v>
      </c>
    </row>
    <row r="2242">
      <c r="A2242" t="inlineStr">
        <is>
          <t>SOCIETE C2214</t>
        </is>
      </c>
      <c r="B2242" t="inlineStr">
        <is>
          <t>C2214</t>
        </is>
      </c>
      <c r="C2242" t="inlineStr">
        <is>
          <t>COMMERCIAL BANKING</t>
        </is>
      </c>
      <c r="D2242" t="inlineStr">
        <is>
          <t>I</t>
        </is>
      </c>
      <c r="E2242" t="inlineStr">
        <is>
          <t>Stage 1</t>
        </is>
      </c>
      <c r="F2242" t="inlineStr">
        <is>
          <t>N/A</t>
        </is>
      </c>
      <c r="G2242" s="26">
        <v>2469312665</v>
      </c>
      <c r="H2242" s="26">
        <v>24693127</v>
      </c>
      <c r="I2242" s="26">
        <v>0</v>
      </c>
      <c r="J2242" s="26">
        <v>11</v>
      </c>
      <c r="K2242" t="inlineStr">
        <is>
          <t>Non</t>
        </is>
      </c>
      <c r="L2242">
        <f>SUBTOTAL(103,A2242)</f>
        <v>1</v>
      </c>
    </row>
    <row r="2243">
      <c r="A2243" t="inlineStr">
        <is>
          <t>SOCIETE C389</t>
        </is>
      </c>
      <c r="B2243" t="inlineStr">
        <is>
          <t>C389</t>
        </is>
      </c>
      <c r="C2243" t="inlineStr">
        <is>
          <t>COMMERCIAL BANKING</t>
        </is>
      </c>
      <c r="D2243" t="inlineStr">
        <is>
          <t>I</t>
        </is>
      </c>
      <c r="E2243" t="inlineStr">
        <is>
          <t>Stage 1</t>
        </is>
      </c>
      <c r="F2243" t="inlineStr">
        <is>
          <t>N/A</t>
        </is>
      </c>
      <c r="G2243" s="26">
        <v>86019315</v>
      </c>
      <c r="H2243" s="26">
        <v>860193</v>
      </c>
      <c r="I2243" s="26">
        <v>8707090</v>
      </c>
      <c r="J2243" s="26">
        <v>12</v>
      </c>
      <c r="K2243" t="inlineStr">
        <is>
          <t>Non</t>
        </is>
      </c>
      <c r="L2243">
        <f>SUBTOTAL(103,A2243)</f>
        <v>1</v>
      </c>
    </row>
    <row r="2244">
      <c r="A2244" t="inlineStr">
        <is>
          <t>SOCIETE C899</t>
        </is>
      </c>
      <c r="B2244" t="inlineStr">
        <is>
          <t>C899</t>
        </is>
      </c>
      <c r="C2244" t="inlineStr">
        <is>
          <t>PUBLIC SECTOR</t>
        </is>
      </c>
      <c r="D2244" t="inlineStr">
        <is>
          <t>V</t>
        </is>
      </c>
      <c r="E2244" t="inlineStr">
        <is>
          <t>Stage 3</t>
        </is>
      </c>
      <c r="F2244" t="inlineStr">
        <is>
          <t>N/A</t>
        </is>
      </c>
      <c r="G2244" s="26">
        <v>397115890</v>
      </c>
      <c r="H2244" s="26">
        <v>218413740</v>
      </c>
      <c r="I2244" s="26">
        <v>0</v>
      </c>
      <c r="J2244" s="26">
        <v>53</v>
      </c>
      <c r="K2244" t="inlineStr">
        <is>
          <t>Oui</t>
        </is>
      </c>
      <c r="L2244">
        <f>SUBTOTAL(103,A2244)</f>
        <v>1</v>
      </c>
    </row>
    <row r="2245">
      <c r="A2245" t="inlineStr">
        <is>
          <t>SOCIETE C1100</t>
        </is>
      </c>
      <c r="B2245" t="inlineStr">
        <is>
          <t>C1100</t>
        </is>
      </c>
      <c r="C2245" t="inlineStr">
        <is>
          <t>SME</t>
        </is>
      </c>
      <c r="D2245" t="inlineStr">
        <is>
          <t>V</t>
        </is>
      </c>
      <c r="E2245" t="inlineStr">
        <is>
          <t>Stage 3</t>
        </is>
      </c>
      <c r="F2245" t="inlineStr">
        <is>
          <t>N/A</t>
        </is>
      </c>
      <c r="G2245" s="26">
        <v>10400686</v>
      </c>
      <c r="H2245" s="26">
        <v>5720377</v>
      </c>
      <c r="I2245" s="26">
        <v>0</v>
      </c>
      <c r="J2245" s="26">
        <v>149</v>
      </c>
      <c r="K2245" t="inlineStr">
        <is>
          <t>Oui</t>
        </is>
      </c>
      <c r="L2245">
        <f>SUBTOTAL(103,A2245)</f>
        <v>1</v>
      </c>
    </row>
    <row r="2246">
      <c r="A2246" t="inlineStr">
        <is>
          <t>SOCIETE C2482</t>
        </is>
      </c>
      <c r="B2246" t="inlineStr">
        <is>
          <t>C2482</t>
        </is>
      </c>
      <c r="C2246" t="inlineStr">
        <is>
          <t>SME</t>
        </is>
      </c>
      <c r="D2246" t="inlineStr">
        <is>
          <t>IA</t>
        </is>
      </c>
      <c r="E2246" t="inlineStr">
        <is>
          <t>Stage 2</t>
        </is>
      </c>
      <c r="F2246" t="inlineStr">
        <is>
          <t>N/A</t>
        </is>
      </c>
      <c r="G2246" s="26">
        <v>435746988</v>
      </c>
      <c r="H2246" s="26">
        <v>26144819</v>
      </c>
      <c r="I2246" s="26">
        <v>0</v>
      </c>
      <c r="J2246" s="26">
        <v>6</v>
      </c>
      <c r="K2246" t="inlineStr">
        <is>
          <t>Non</t>
        </is>
      </c>
      <c r="L2246">
        <f>SUBTOTAL(103,A2246)</f>
        <v>1</v>
      </c>
    </row>
    <row r="2247">
      <c r="A2247" t="inlineStr">
        <is>
          <t>SOCIETE C1134</t>
        </is>
      </c>
      <c r="B2247" t="inlineStr">
        <is>
          <t>C1134</t>
        </is>
      </c>
      <c r="C2247" t="inlineStr">
        <is>
          <t>CORPORATE BANKING</t>
        </is>
      </c>
      <c r="D2247" t="inlineStr">
        <is>
          <t>III</t>
        </is>
      </c>
      <c r="E2247" t="inlineStr">
        <is>
          <t>Stage 3</t>
        </is>
      </c>
      <c r="F2247" t="inlineStr">
        <is>
          <t>N/A</t>
        </is>
      </c>
      <c r="G2247" s="26">
        <v>864149163</v>
      </c>
      <c r="H2247" s="26">
        <v>475282040</v>
      </c>
      <c r="I2247" s="26">
        <v>0</v>
      </c>
      <c r="J2247" s="26">
        <v>360</v>
      </c>
      <c r="K2247" t="inlineStr">
        <is>
          <t>Oui</t>
        </is>
      </c>
      <c r="L2247">
        <f>SUBTOTAL(103,A2247)</f>
        <v>1</v>
      </c>
    </row>
    <row r="2248">
      <c r="A2248" t="inlineStr">
        <is>
          <t>SOCIETE C1833</t>
        </is>
      </c>
      <c r="B2248" t="inlineStr">
        <is>
          <t>C1833</t>
        </is>
      </c>
      <c r="C2248" t="inlineStr">
        <is>
          <t>CONSUMER BANKING</t>
        </is>
      </c>
      <c r="D2248" t="inlineStr">
        <is>
          <t>II</t>
        </is>
      </c>
      <c r="E2248" t="inlineStr">
        <is>
          <t>Stage 2</t>
        </is>
      </c>
      <c r="F2248" t="inlineStr">
        <is>
          <t>N/A</t>
        </is>
      </c>
      <c r="G2248" s="26">
        <v>1167658173</v>
      </c>
      <c r="H2248" s="26">
        <v>70059490</v>
      </c>
      <c r="I2248" s="26">
        <v>151821013</v>
      </c>
      <c r="J2248" s="26">
        <v>74</v>
      </c>
      <c r="K2248" t="inlineStr">
        <is>
          <t>Non</t>
        </is>
      </c>
      <c r="L2248">
        <f>SUBTOTAL(103,A2248)</f>
        <v>1</v>
      </c>
    </row>
    <row r="2249">
      <c r="A2249" t="inlineStr">
        <is>
          <t>SOCIETE C1132</t>
        </is>
      </c>
      <c r="B2249" t="inlineStr">
        <is>
          <t>C1132</t>
        </is>
      </c>
      <c r="C2249" t="inlineStr">
        <is>
          <t>COMMERCIAL BANKING</t>
        </is>
      </c>
      <c r="D2249" t="inlineStr">
        <is>
          <t>II</t>
        </is>
      </c>
      <c r="E2249" t="inlineStr">
        <is>
          <t>Stage 2</t>
        </is>
      </c>
      <c r="F2249" t="inlineStr">
        <is>
          <t>N/A</t>
        </is>
      </c>
      <c r="G2249" s="26">
        <v>496505768</v>
      </c>
      <c r="H2249" s="26">
        <v>29790346</v>
      </c>
      <c r="I2249" s="26">
        <v>0</v>
      </c>
      <c r="J2249" s="26">
        <v>1</v>
      </c>
      <c r="K2249" t="inlineStr">
        <is>
          <t>Non</t>
        </is>
      </c>
      <c r="L2249">
        <f>SUBTOTAL(103,A2249)</f>
        <v>1</v>
      </c>
    </row>
    <row r="2250">
      <c r="A2250" t="inlineStr">
        <is>
          <t>SOCIETE C2449</t>
        </is>
      </c>
      <c r="B2250" t="inlineStr">
        <is>
          <t>C2449</t>
        </is>
      </c>
      <c r="C2250" t="inlineStr">
        <is>
          <t>COMMERCIAL BANKING</t>
        </is>
      </c>
      <c r="D2250" t="inlineStr">
        <is>
          <t>IA</t>
        </is>
      </c>
      <c r="E2250" t="inlineStr">
        <is>
          <t>Stage 2</t>
        </is>
      </c>
      <c r="F2250" t="inlineStr">
        <is>
          <t>N/A</t>
        </is>
      </c>
      <c r="G2250" s="26">
        <v>694716602</v>
      </c>
      <c r="H2250" s="26">
        <v>41682996</v>
      </c>
      <c r="I2250" s="26">
        <v>134673471</v>
      </c>
      <c r="J2250" s="26">
        <v>48</v>
      </c>
      <c r="K2250" t="inlineStr">
        <is>
          <t>Non</t>
        </is>
      </c>
      <c r="L2250">
        <f>SUBTOTAL(103,A2250)</f>
        <v>1</v>
      </c>
    </row>
    <row r="2251">
      <c r="A2251" t="inlineStr">
        <is>
          <t>SOCIETE C1743</t>
        </is>
      </c>
      <c r="B2251" t="inlineStr">
        <is>
          <t>C1743</t>
        </is>
      </c>
      <c r="C2251" t="inlineStr">
        <is>
          <t>CORPORATE BANKING</t>
        </is>
      </c>
      <c r="D2251" t="inlineStr">
        <is>
          <t>I</t>
        </is>
      </c>
      <c r="E2251" t="inlineStr">
        <is>
          <t>Stage 1</t>
        </is>
      </c>
      <c r="F2251" t="inlineStr">
        <is>
          <t>N/A</t>
        </is>
      </c>
      <c r="G2251" s="26">
        <v>2083190806</v>
      </c>
      <c r="H2251" s="26">
        <v>20831908</v>
      </c>
      <c r="I2251" s="26">
        <v>0</v>
      </c>
      <c r="J2251" s="26">
        <v>192</v>
      </c>
      <c r="K2251" t="inlineStr">
        <is>
          <t>Non</t>
        </is>
      </c>
      <c r="L2251">
        <f>SUBTOTAL(103,A2251)</f>
        <v>1</v>
      </c>
    </row>
    <row r="2252">
      <c r="A2252" t="inlineStr">
        <is>
          <t>SOCIETE C1187</t>
        </is>
      </c>
      <c r="B2252" t="inlineStr">
        <is>
          <t>C1187</t>
        </is>
      </c>
      <c r="C2252" t="inlineStr">
        <is>
          <t>CORPORATE BANKING</t>
        </is>
      </c>
      <c r="D2252" t="inlineStr">
        <is>
          <t>I</t>
        </is>
      </c>
      <c r="E2252" t="inlineStr">
        <is>
          <t>Stage 1</t>
        </is>
      </c>
      <c r="F2252" t="inlineStr">
        <is>
          <t>N/A</t>
        </is>
      </c>
      <c r="G2252" s="26">
        <v>1744798376</v>
      </c>
      <c r="H2252" s="26">
        <v>17447984</v>
      </c>
      <c r="I2252" s="26">
        <v>0</v>
      </c>
      <c r="J2252" s="26">
        <v>49</v>
      </c>
      <c r="K2252" t="inlineStr">
        <is>
          <t>Non</t>
        </is>
      </c>
      <c r="L2252">
        <f>SUBTOTAL(103,A2252)</f>
        <v>1</v>
      </c>
    </row>
    <row r="2253">
      <c r="A2253" t="inlineStr">
        <is>
          <t>SOCIETE C990</t>
        </is>
      </c>
      <c r="B2253" t="inlineStr">
        <is>
          <t>C990</t>
        </is>
      </c>
      <c r="C2253" t="inlineStr">
        <is>
          <t>PUBLIC SECTOR</t>
        </is>
      </c>
      <c r="D2253" t="inlineStr">
        <is>
          <t>I</t>
        </is>
      </c>
      <c r="E2253" t="inlineStr">
        <is>
          <t>Stage 1</t>
        </is>
      </c>
      <c r="F2253" t="inlineStr">
        <is>
          <t>N/A</t>
        </is>
      </c>
      <c r="G2253" s="26">
        <v>123489893</v>
      </c>
      <c r="H2253" s="26">
        <v>1234899</v>
      </c>
      <c r="I2253" s="26">
        <v>5584660</v>
      </c>
      <c r="J2253" s="26">
        <v>14</v>
      </c>
      <c r="K2253" t="inlineStr">
        <is>
          <t>Non</t>
        </is>
      </c>
      <c r="L2253">
        <f>SUBTOTAL(103,A2253)</f>
        <v>1</v>
      </c>
    </row>
    <row r="2254">
      <c r="A2254" t="inlineStr">
        <is>
          <t>SOCIETE C750</t>
        </is>
      </c>
      <c r="B2254" t="inlineStr">
        <is>
          <t>C750</t>
        </is>
      </c>
      <c r="C2254" t="inlineStr">
        <is>
          <t>CORPORATE BANKING</t>
        </is>
      </c>
      <c r="D2254" t="inlineStr">
        <is>
          <t>I</t>
        </is>
      </c>
      <c r="E2254" t="inlineStr">
        <is>
          <t>Stage 1</t>
        </is>
      </c>
      <c r="F2254" t="inlineStr">
        <is>
          <t>N/A</t>
        </is>
      </c>
      <c r="G2254" s="26">
        <v>1661073964</v>
      </c>
      <c r="H2254" s="26">
        <v>16610740</v>
      </c>
      <c r="I2254" s="26">
        <v>0</v>
      </c>
      <c r="J2254" s="26">
        <v>28</v>
      </c>
      <c r="K2254" t="inlineStr">
        <is>
          <t>Non</t>
        </is>
      </c>
      <c r="L2254">
        <f>SUBTOTAL(103,A2254)</f>
        <v>1</v>
      </c>
    </row>
    <row r="2255">
      <c r="A2255" t="inlineStr">
        <is>
          <t>SOCIETE C2470</t>
        </is>
      </c>
      <c r="B2255" t="inlineStr">
        <is>
          <t>C2470</t>
        </is>
      </c>
      <c r="C2255" t="inlineStr">
        <is>
          <t>SME</t>
        </is>
      </c>
      <c r="D2255" t="inlineStr">
        <is>
          <t>I</t>
        </is>
      </c>
      <c r="E2255" t="inlineStr">
        <is>
          <t>Stage 1</t>
        </is>
      </c>
      <c r="F2255" t="inlineStr">
        <is>
          <t>N/A</t>
        </is>
      </c>
      <c r="G2255" s="26">
        <v>814385490</v>
      </c>
      <c r="H2255" s="26">
        <v>8143855</v>
      </c>
      <c r="I2255" s="26">
        <v>0</v>
      </c>
      <c r="J2255" s="26">
        <v>1</v>
      </c>
      <c r="K2255" t="inlineStr">
        <is>
          <t>Non</t>
        </is>
      </c>
      <c r="L2255">
        <f>SUBTOTAL(103,A2255)</f>
        <v>1</v>
      </c>
    </row>
    <row r="2256">
      <c r="A2256" t="inlineStr">
        <is>
          <t>SOCIETE C1027</t>
        </is>
      </c>
      <c r="B2256" t="inlineStr">
        <is>
          <t>C1027</t>
        </is>
      </c>
      <c r="C2256" t="inlineStr">
        <is>
          <t>INSTITUTIONAL</t>
        </is>
      </c>
      <c r="D2256" t="inlineStr">
        <is>
          <t>IA</t>
        </is>
      </c>
      <c r="E2256" t="inlineStr">
        <is>
          <t>Stage 2</t>
        </is>
      </c>
      <c r="F2256" t="inlineStr">
        <is>
          <t>N/A</t>
        </is>
      </c>
      <c r="G2256" s="26">
        <v>226059484</v>
      </c>
      <c r="H2256" s="26">
        <v>13563569</v>
      </c>
      <c r="I2256" s="26">
        <v>20318997</v>
      </c>
      <c r="J2256" s="26">
        <v>78</v>
      </c>
      <c r="K2256" t="inlineStr">
        <is>
          <t>Non</t>
        </is>
      </c>
      <c r="L2256">
        <f>SUBTOTAL(103,A2256)</f>
        <v>1</v>
      </c>
    </row>
    <row r="2257">
      <c r="A2257" t="inlineStr">
        <is>
          <t>SOCIETE C1969</t>
        </is>
      </c>
      <c r="B2257" t="inlineStr">
        <is>
          <t>C1969</t>
        </is>
      </c>
      <c r="C2257" t="inlineStr">
        <is>
          <t>CORPORATE BANKING</t>
        </is>
      </c>
      <c r="D2257" t="inlineStr">
        <is>
          <t>IV</t>
        </is>
      </c>
      <c r="E2257" t="inlineStr">
        <is>
          <t>Stage 3</t>
        </is>
      </c>
      <c r="F2257" t="inlineStr">
        <is>
          <t>N/A</t>
        </is>
      </c>
      <c r="G2257" s="26">
        <v>123705387</v>
      </c>
      <c r="H2257" s="26">
        <v>68037963</v>
      </c>
      <c r="I2257" s="26">
        <v>0</v>
      </c>
      <c r="J2257" s="26">
        <v>59</v>
      </c>
      <c r="K2257" t="inlineStr">
        <is>
          <t>Oui</t>
        </is>
      </c>
      <c r="L2257">
        <f>SUBTOTAL(103,A2257)</f>
        <v>1</v>
      </c>
    </row>
    <row r="2258">
      <c r="A2258" t="inlineStr">
        <is>
          <t>SOCIETE C1122</t>
        </is>
      </c>
      <c r="B2258" t="inlineStr">
        <is>
          <t>C1122</t>
        </is>
      </c>
      <c r="C2258" t="inlineStr">
        <is>
          <t>SME</t>
        </is>
      </c>
      <c r="D2258" t="inlineStr">
        <is>
          <t>IV</t>
        </is>
      </c>
      <c r="E2258" t="inlineStr">
        <is>
          <t>Stage 3</t>
        </is>
      </c>
      <c r="F2258" t="inlineStr">
        <is>
          <t>N/A</t>
        </is>
      </c>
      <c r="G2258" s="26">
        <v>721992612</v>
      </c>
      <c r="H2258" s="26">
        <v>397095937</v>
      </c>
      <c r="I2258" s="26">
        <v>0</v>
      </c>
      <c r="J2258" s="26">
        <v>103</v>
      </c>
      <c r="K2258" t="inlineStr">
        <is>
          <t>Oui</t>
        </is>
      </c>
      <c r="L2258">
        <f>SUBTOTAL(103,A2258)</f>
        <v>1</v>
      </c>
    </row>
    <row r="2259">
      <c r="A2259" t="inlineStr">
        <is>
          <t>SOCIETE C1052</t>
        </is>
      </c>
      <c r="B2259" t="inlineStr">
        <is>
          <t>C1052</t>
        </is>
      </c>
      <c r="C2259" t="inlineStr">
        <is>
          <t>CORPORATE BANKING</t>
        </is>
      </c>
      <c r="D2259" t="inlineStr">
        <is>
          <t>I</t>
        </is>
      </c>
      <c r="E2259" t="inlineStr">
        <is>
          <t>Stage 1</t>
        </is>
      </c>
      <c r="F2259" t="inlineStr">
        <is>
          <t>N/A</t>
        </is>
      </c>
      <c r="G2259" s="26">
        <v>2370755858</v>
      </c>
      <c r="H2259" s="26">
        <v>23707559</v>
      </c>
      <c r="I2259" s="26">
        <v>0</v>
      </c>
      <c r="J2259" s="26">
        <v>11</v>
      </c>
      <c r="K2259" t="inlineStr">
        <is>
          <t>Non</t>
        </is>
      </c>
      <c r="L2259">
        <f>SUBTOTAL(103,A2259)</f>
        <v>1</v>
      </c>
    </row>
    <row r="2260">
      <c r="A2260" t="inlineStr">
        <is>
          <t>SOCIETE C956</t>
        </is>
      </c>
      <c r="B2260" t="inlineStr">
        <is>
          <t>C956</t>
        </is>
      </c>
      <c r="C2260" t="inlineStr">
        <is>
          <t>CORPORATE BANKING</t>
        </is>
      </c>
      <c r="D2260" t="inlineStr">
        <is>
          <t>III</t>
        </is>
      </c>
      <c r="E2260" t="inlineStr">
        <is>
          <t>Stage 3</t>
        </is>
      </c>
      <c r="F2260" t="inlineStr">
        <is>
          <t>N/A</t>
        </is>
      </c>
      <c r="G2260" s="26">
        <v>93718327</v>
      </c>
      <c r="H2260" s="26">
        <v>51545080</v>
      </c>
      <c r="I2260" s="26">
        <v>15619732</v>
      </c>
      <c r="J2260" s="26">
        <v>39</v>
      </c>
      <c r="K2260" t="inlineStr">
        <is>
          <t>Oui</t>
        </is>
      </c>
      <c r="L2260">
        <f>SUBTOTAL(103,A2260)</f>
        <v>1</v>
      </c>
    </row>
    <row r="2261">
      <c r="A2261" t="inlineStr">
        <is>
          <t>SOCIETE C138</t>
        </is>
      </c>
      <c r="B2261" t="inlineStr">
        <is>
          <t>C138</t>
        </is>
      </c>
      <c r="C2261" t="inlineStr">
        <is>
          <t>CORPORATE BANKING</t>
        </is>
      </c>
      <c r="D2261" t="inlineStr">
        <is>
          <t>I</t>
        </is>
      </c>
      <c r="E2261" t="inlineStr">
        <is>
          <t>Stage 1</t>
        </is>
      </c>
      <c r="F2261" t="inlineStr">
        <is>
          <t>N/A</t>
        </is>
      </c>
      <c r="G2261" s="26">
        <v>456160165</v>
      </c>
      <c r="H2261" s="26">
        <v>4561602</v>
      </c>
      <c r="I2261" s="26">
        <v>0</v>
      </c>
      <c r="J2261" s="26">
        <v>268</v>
      </c>
      <c r="K2261" t="inlineStr">
        <is>
          <t>Non</t>
        </is>
      </c>
      <c r="L2261">
        <f>SUBTOTAL(103,A2261)</f>
        <v>1</v>
      </c>
    </row>
    <row r="2262">
      <c r="A2262" t="inlineStr">
        <is>
          <t>SOCIETE C340</t>
        </is>
      </c>
      <c r="B2262" t="inlineStr">
        <is>
          <t>C340</t>
        </is>
      </c>
      <c r="C2262" t="inlineStr">
        <is>
          <t>CORPORATE BANKING</t>
        </is>
      </c>
      <c r="D2262" t="inlineStr">
        <is>
          <t>II</t>
        </is>
      </c>
      <c r="E2262" t="inlineStr">
        <is>
          <t>Stage 2</t>
        </is>
      </c>
      <c r="F2262" t="inlineStr">
        <is>
          <t>N/A</t>
        </is>
      </c>
      <c r="G2262" s="26">
        <v>156769205</v>
      </c>
      <c r="H2262" s="26">
        <v>9406152</v>
      </c>
      <c r="I2262" s="26">
        <v>0</v>
      </c>
      <c r="J2262" s="26">
        <v>47</v>
      </c>
      <c r="K2262" t="inlineStr">
        <is>
          <t>Non</t>
        </is>
      </c>
      <c r="L2262">
        <f>SUBTOTAL(103,A2262)</f>
        <v>1</v>
      </c>
    </row>
    <row r="2263">
      <c r="A2263" t="inlineStr">
        <is>
          <t>SOCIETE C917</t>
        </is>
      </c>
      <c r="B2263" t="inlineStr">
        <is>
          <t>C917</t>
        </is>
      </c>
      <c r="C2263" t="inlineStr">
        <is>
          <t>COMMERCIAL BANKING</t>
        </is>
      </c>
      <c r="D2263" t="inlineStr">
        <is>
          <t>I</t>
        </is>
      </c>
      <c r="E2263" t="inlineStr">
        <is>
          <t>Stage 1</t>
        </is>
      </c>
      <c r="F2263" t="inlineStr">
        <is>
          <t>N/A</t>
        </is>
      </c>
      <c r="G2263" s="26">
        <v>402416781</v>
      </c>
      <c r="H2263" s="26">
        <v>4024168</v>
      </c>
      <c r="I2263" s="26">
        <v>34141570</v>
      </c>
      <c r="J2263" s="26">
        <v>43</v>
      </c>
      <c r="K2263" t="inlineStr">
        <is>
          <t>Non</t>
        </is>
      </c>
      <c r="L2263">
        <f>SUBTOTAL(103,A2263)</f>
        <v>1</v>
      </c>
    </row>
    <row r="2264">
      <c r="A2264" t="inlineStr">
        <is>
          <t>SOCIETE C2014</t>
        </is>
      </c>
      <c r="B2264" t="inlineStr">
        <is>
          <t>C2014</t>
        </is>
      </c>
      <c r="C2264" t="inlineStr">
        <is>
          <t>COMMERCIAL BANKING</t>
        </is>
      </c>
      <c r="D2264" t="inlineStr">
        <is>
          <t>V</t>
        </is>
      </c>
      <c r="E2264" t="inlineStr">
        <is>
          <t>Stage 3</t>
        </is>
      </c>
      <c r="F2264" t="inlineStr">
        <is>
          <t>N/A</t>
        </is>
      </c>
      <c r="G2264" s="26">
        <v>766202376</v>
      </c>
      <c r="H2264" s="26">
        <v>421411307</v>
      </c>
      <c r="I2264" s="26">
        <v>0</v>
      </c>
      <c r="J2264" s="26">
        <v>38</v>
      </c>
      <c r="K2264" t="inlineStr">
        <is>
          <t>Oui</t>
        </is>
      </c>
      <c r="L2264">
        <f>SUBTOTAL(103,A2264)</f>
        <v>1</v>
      </c>
    </row>
    <row r="2265">
      <c r="A2265" t="inlineStr">
        <is>
          <t>SOCIETE C2039</t>
        </is>
      </c>
      <c r="B2265" t="inlineStr">
        <is>
          <t>C2039</t>
        </is>
      </c>
      <c r="C2265" t="inlineStr">
        <is>
          <t>CORPORATE BANKING</t>
        </is>
      </c>
      <c r="D2265" t="inlineStr">
        <is>
          <t>V</t>
        </is>
      </c>
      <c r="E2265" t="inlineStr">
        <is>
          <t>Stage 3</t>
        </is>
      </c>
      <c r="F2265" t="inlineStr">
        <is>
          <t>N/A</t>
        </is>
      </c>
      <c r="G2265" s="26">
        <v>506790341</v>
      </c>
      <c r="H2265" s="26">
        <v>278734688</v>
      </c>
      <c r="I2265" s="26">
        <v>11526310</v>
      </c>
      <c r="J2265" s="26">
        <v>27</v>
      </c>
      <c r="K2265" t="inlineStr">
        <is>
          <t>Oui</t>
        </is>
      </c>
      <c r="L2265">
        <f>SUBTOTAL(103,A2265)</f>
        <v>1</v>
      </c>
    </row>
    <row r="2266">
      <c r="A2266" t="inlineStr">
        <is>
          <t>SOCIETE C390</t>
        </is>
      </c>
      <c r="B2266" t="inlineStr">
        <is>
          <t>C390</t>
        </is>
      </c>
      <c r="C2266" t="inlineStr">
        <is>
          <t>COMMERCIAL BANKING</t>
        </is>
      </c>
      <c r="D2266" t="inlineStr">
        <is>
          <t>V</t>
        </is>
      </c>
      <c r="E2266" t="inlineStr">
        <is>
          <t>Stage 3</t>
        </is>
      </c>
      <c r="F2266" t="inlineStr">
        <is>
          <t>N/A</t>
        </is>
      </c>
      <c r="G2266" s="26">
        <v>88532486</v>
      </c>
      <c r="H2266" s="26">
        <v>48692867</v>
      </c>
      <c r="I2266" s="26">
        <v>0</v>
      </c>
      <c r="J2266" s="26">
        <v>262</v>
      </c>
      <c r="K2266" t="inlineStr">
        <is>
          <t>Oui</t>
        </is>
      </c>
      <c r="L2266">
        <f>SUBTOTAL(103,A2266)</f>
        <v>1</v>
      </c>
    </row>
    <row r="2267">
      <c r="A2267" t="inlineStr">
        <is>
          <t>SOCIETE C1995</t>
        </is>
      </c>
      <c r="B2267" t="inlineStr">
        <is>
          <t>C1995</t>
        </is>
      </c>
      <c r="C2267" t="inlineStr">
        <is>
          <t>CORPORATE BANKING</t>
        </is>
      </c>
      <c r="D2267" t="inlineStr">
        <is>
          <t>I</t>
        </is>
      </c>
      <c r="E2267" t="inlineStr">
        <is>
          <t>Stage 1</t>
        </is>
      </c>
      <c r="F2267" t="inlineStr">
        <is>
          <t>N/A</t>
        </is>
      </c>
      <c r="G2267" s="26">
        <v>87151347</v>
      </c>
      <c r="H2267" s="26">
        <v>871513</v>
      </c>
      <c r="I2267" s="26">
        <v>1124354</v>
      </c>
      <c r="J2267" s="26">
        <v>8</v>
      </c>
      <c r="K2267" t="inlineStr">
        <is>
          <t>Non</t>
        </is>
      </c>
      <c r="L2267">
        <f>SUBTOTAL(103,A2267)</f>
        <v>1</v>
      </c>
    </row>
    <row r="2268">
      <c r="A2268" t="inlineStr">
        <is>
          <t>SOCIETE C126</t>
        </is>
      </c>
      <c r="B2268" t="inlineStr">
        <is>
          <t>C126</t>
        </is>
      </c>
      <c r="C2268" t="inlineStr">
        <is>
          <t>CONSUMER BANKING</t>
        </is>
      </c>
      <c r="D2268" t="inlineStr">
        <is>
          <t>IV</t>
        </is>
      </c>
      <c r="E2268" t="inlineStr">
        <is>
          <t>Stage 3</t>
        </is>
      </c>
      <c r="F2268" t="inlineStr">
        <is>
          <t>N/A</t>
        </is>
      </c>
      <c r="G2268" s="26">
        <v>116250066</v>
      </c>
      <c r="H2268" s="26">
        <v>63937536</v>
      </c>
      <c r="I2268" s="26">
        <v>0</v>
      </c>
      <c r="J2268" s="26">
        <v>22</v>
      </c>
      <c r="K2268" t="inlineStr">
        <is>
          <t>Oui</t>
        </is>
      </c>
      <c r="L2268">
        <f>SUBTOTAL(103,A2268)</f>
        <v>1</v>
      </c>
    </row>
    <row r="2269">
      <c r="A2269" t="inlineStr">
        <is>
          <t>SOCIETE C253</t>
        </is>
      </c>
      <c r="B2269" t="inlineStr">
        <is>
          <t>C253</t>
        </is>
      </c>
      <c r="C2269" t="inlineStr">
        <is>
          <t>COMMERCIAL BANKING</t>
        </is>
      </c>
      <c r="D2269" t="inlineStr">
        <is>
          <t>I</t>
        </is>
      </c>
      <c r="E2269" t="inlineStr">
        <is>
          <t>Stage 1</t>
        </is>
      </c>
      <c r="F2269" t="inlineStr">
        <is>
          <t>N/A</t>
        </is>
      </c>
      <c r="G2269" s="26">
        <v>1453070098</v>
      </c>
      <c r="H2269" s="26">
        <v>14530701</v>
      </c>
      <c r="I2269" s="26">
        <v>92089200</v>
      </c>
      <c r="J2269" s="26">
        <v>288</v>
      </c>
      <c r="K2269" t="inlineStr">
        <is>
          <t>Non</t>
        </is>
      </c>
      <c r="L2269">
        <f>SUBTOTAL(103,A2269)</f>
        <v>1</v>
      </c>
    </row>
    <row r="2270">
      <c r="A2270" t="inlineStr">
        <is>
          <t>SOCIETE C717</t>
        </is>
      </c>
      <c r="B2270" t="inlineStr">
        <is>
          <t>C717</t>
        </is>
      </c>
      <c r="C2270" t="inlineStr">
        <is>
          <t>COMMERCIAL BANKING</t>
        </is>
      </c>
      <c r="D2270" t="inlineStr">
        <is>
          <t>I</t>
        </is>
      </c>
      <c r="E2270" t="inlineStr">
        <is>
          <t>Stage 1</t>
        </is>
      </c>
      <c r="F2270" t="inlineStr">
        <is>
          <t>N/A</t>
        </is>
      </c>
      <c r="G2270" s="26">
        <v>2423242287</v>
      </c>
      <c r="H2270" s="26">
        <v>24232423</v>
      </c>
      <c r="I2270" s="26">
        <v>390820523</v>
      </c>
      <c r="J2270" s="26">
        <v>58</v>
      </c>
      <c r="K2270" t="inlineStr">
        <is>
          <t>Non</t>
        </is>
      </c>
      <c r="L2270">
        <f>SUBTOTAL(103,A2270)</f>
        <v>1</v>
      </c>
    </row>
    <row r="2271">
      <c r="A2271" t="inlineStr">
        <is>
          <t>SOCIETE C1748</t>
        </is>
      </c>
      <c r="B2271" t="inlineStr">
        <is>
          <t>C1748</t>
        </is>
      </c>
      <c r="C2271" t="inlineStr">
        <is>
          <t>PUBLIC SECTOR</t>
        </is>
      </c>
      <c r="D2271" t="inlineStr">
        <is>
          <t>I</t>
        </is>
      </c>
      <c r="E2271" t="inlineStr">
        <is>
          <t>Stage 1</t>
        </is>
      </c>
      <c r="F2271" t="inlineStr">
        <is>
          <t>N/A</t>
        </is>
      </c>
      <c r="G2271" s="26">
        <v>1541264</v>
      </c>
      <c r="H2271" s="26">
        <v>15413</v>
      </c>
      <c r="I2271" s="26">
        <v>63378</v>
      </c>
      <c r="J2271" s="26">
        <v>74</v>
      </c>
      <c r="K2271" t="inlineStr">
        <is>
          <t>Non</t>
        </is>
      </c>
      <c r="L2271">
        <f>SUBTOTAL(103,A2271)</f>
        <v>1</v>
      </c>
    </row>
    <row r="2272">
      <c r="A2272" t="inlineStr">
        <is>
          <t>SOCIETE C356</t>
        </is>
      </c>
      <c r="B2272" t="inlineStr">
        <is>
          <t>C356</t>
        </is>
      </c>
      <c r="C2272" t="inlineStr">
        <is>
          <t>COMMERCIAL BANKING</t>
        </is>
      </c>
      <c r="D2272" t="inlineStr">
        <is>
          <t>I</t>
        </is>
      </c>
      <c r="E2272" t="inlineStr">
        <is>
          <t>Stage 1</t>
        </is>
      </c>
      <c r="F2272" t="inlineStr">
        <is>
          <t>N/A</t>
        </is>
      </c>
      <c r="G2272" s="26">
        <v>12814719</v>
      </c>
      <c r="H2272" s="26">
        <v>128147</v>
      </c>
      <c r="I2272" s="26">
        <v>0</v>
      </c>
      <c r="J2272" s="26">
        <v>97</v>
      </c>
      <c r="K2272" t="inlineStr">
        <is>
          <t>Non</t>
        </is>
      </c>
      <c r="L2272">
        <f>SUBTOTAL(103,A2272)</f>
        <v>1</v>
      </c>
    </row>
    <row r="2273">
      <c r="A2273" t="inlineStr">
        <is>
          <t>SOCIETE C2030</t>
        </is>
      </c>
      <c r="B2273" t="inlineStr">
        <is>
          <t>C2030</t>
        </is>
      </c>
      <c r="C2273" t="inlineStr">
        <is>
          <t>COMMERCIAL BANKING</t>
        </is>
      </c>
      <c r="D2273" t="inlineStr">
        <is>
          <t>I</t>
        </is>
      </c>
      <c r="E2273" t="inlineStr">
        <is>
          <t>Stage 1</t>
        </is>
      </c>
      <c r="F2273" t="inlineStr">
        <is>
          <t>N/A</t>
        </is>
      </c>
      <c r="G2273" s="26">
        <v>2231887292</v>
      </c>
      <c r="H2273" s="26">
        <v>22318873</v>
      </c>
      <c r="I2273" s="26">
        <v>0</v>
      </c>
      <c r="J2273" s="26">
        <v>262</v>
      </c>
      <c r="K2273" t="inlineStr">
        <is>
          <t>Non</t>
        </is>
      </c>
      <c r="L2273">
        <f>SUBTOTAL(103,A2273)</f>
        <v>1</v>
      </c>
    </row>
    <row r="2274">
      <c r="A2274" t="inlineStr">
        <is>
          <t>SOCIETE C2306</t>
        </is>
      </c>
      <c r="B2274" t="inlineStr">
        <is>
          <t>C2306</t>
        </is>
      </c>
      <c r="C2274" t="inlineStr">
        <is>
          <t>CORPORATE BANKING</t>
        </is>
      </c>
      <c r="D2274" t="inlineStr">
        <is>
          <t>IA</t>
        </is>
      </c>
      <c r="E2274" t="inlineStr">
        <is>
          <t>Stage 2</t>
        </is>
      </c>
      <c r="F2274" t="inlineStr">
        <is>
          <t>N/A</t>
        </is>
      </c>
      <c r="G2274" s="26">
        <v>122068471</v>
      </c>
      <c r="H2274" s="26">
        <v>7324108</v>
      </c>
      <c r="I2274" s="26">
        <v>9350685</v>
      </c>
      <c r="J2274" s="26">
        <v>43</v>
      </c>
      <c r="K2274" t="inlineStr">
        <is>
          <t>Non</t>
        </is>
      </c>
      <c r="L2274">
        <f>SUBTOTAL(103,A2274)</f>
        <v>1</v>
      </c>
    </row>
    <row r="2275">
      <c r="A2275" t="inlineStr">
        <is>
          <t>SOCIETE C216</t>
        </is>
      </c>
      <c r="B2275" t="inlineStr">
        <is>
          <t>C216</t>
        </is>
      </c>
      <c r="C2275" t="inlineStr">
        <is>
          <t>PUBLIC SECTOR</t>
        </is>
      </c>
      <c r="D2275" t="inlineStr">
        <is>
          <t>I</t>
        </is>
      </c>
      <c r="E2275" t="inlineStr">
        <is>
          <t>Stage 1</t>
        </is>
      </c>
      <c r="F2275" t="inlineStr">
        <is>
          <t>N/A</t>
        </is>
      </c>
      <c r="G2275" s="26">
        <v>46265108</v>
      </c>
      <c r="H2275" s="26">
        <v>462651</v>
      </c>
      <c r="I2275" s="26">
        <v>0</v>
      </c>
      <c r="J2275" s="26">
        <v>288</v>
      </c>
      <c r="K2275" t="inlineStr">
        <is>
          <t>Non</t>
        </is>
      </c>
      <c r="L2275">
        <f>SUBTOTAL(103,A2275)</f>
        <v>1</v>
      </c>
    </row>
    <row r="2276">
      <c r="A2276" t="inlineStr">
        <is>
          <t>SOCIETE C1193</t>
        </is>
      </c>
      <c r="B2276" t="inlineStr">
        <is>
          <t>C1193</t>
        </is>
      </c>
      <c r="C2276" t="inlineStr">
        <is>
          <t>CONSUMER BANKING</t>
        </is>
      </c>
      <c r="D2276" t="inlineStr">
        <is>
          <t>I</t>
        </is>
      </c>
      <c r="E2276" t="inlineStr">
        <is>
          <t>Stage 1</t>
        </is>
      </c>
      <c r="F2276" t="inlineStr">
        <is>
          <t>N/A</t>
        </is>
      </c>
      <c r="G2276" s="26">
        <v>232217187</v>
      </c>
      <c r="H2276" s="26">
        <v>2322172</v>
      </c>
      <c r="I2276" s="26">
        <v>0</v>
      </c>
      <c r="J2276" s="26">
        <v>151</v>
      </c>
      <c r="K2276" t="inlineStr">
        <is>
          <t>Non</t>
        </is>
      </c>
      <c r="L2276">
        <f>SUBTOTAL(103,A2276)</f>
        <v>1</v>
      </c>
    </row>
    <row r="2277">
      <c r="A2277" t="inlineStr">
        <is>
          <t>SOCIETE C2084</t>
        </is>
      </c>
      <c r="B2277" t="inlineStr">
        <is>
          <t>C2084</t>
        </is>
      </c>
      <c r="C2277" t="inlineStr">
        <is>
          <t>COMMERCIAL BANKING</t>
        </is>
      </c>
      <c r="D2277" t="inlineStr">
        <is>
          <t>III</t>
        </is>
      </c>
      <c r="E2277" t="inlineStr">
        <is>
          <t>Stage 3</t>
        </is>
      </c>
      <c r="F2277" t="inlineStr">
        <is>
          <t>N/A</t>
        </is>
      </c>
      <c r="G2277" s="26">
        <v>586295232</v>
      </c>
      <c r="H2277" s="26">
        <v>322462378</v>
      </c>
      <c r="I2277" s="26">
        <v>0</v>
      </c>
      <c r="J2277" s="26">
        <v>5</v>
      </c>
      <c r="K2277" t="inlineStr">
        <is>
          <t>Oui</t>
        </is>
      </c>
      <c r="L2277">
        <f>SUBTOTAL(103,A2277)</f>
        <v>1</v>
      </c>
    </row>
    <row r="2278">
      <c r="A2278" t="inlineStr">
        <is>
          <t>SOCIETE C2373</t>
        </is>
      </c>
      <c r="B2278" t="inlineStr">
        <is>
          <t>C2373</t>
        </is>
      </c>
      <c r="C2278" t="inlineStr">
        <is>
          <t>COMMERCIAL BANKING</t>
        </is>
      </c>
      <c r="D2278" t="inlineStr">
        <is>
          <t>I</t>
        </is>
      </c>
      <c r="E2278" t="inlineStr">
        <is>
          <t>Stage 1</t>
        </is>
      </c>
      <c r="F2278" t="inlineStr">
        <is>
          <t>N/A</t>
        </is>
      </c>
      <c r="G2278" s="26">
        <v>111257466</v>
      </c>
      <c r="H2278" s="26">
        <v>1112575</v>
      </c>
      <c r="I2278" s="26">
        <v>0</v>
      </c>
      <c r="J2278" s="26">
        <v>29</v>
      </c>
      <c r="K2278" t="inlineStr">
        <is>
          <t>Non</t>
        </is>
      </c>
      <c r="L2278">
        <f>SUBTOTAL(103,A2278)</f>
        <v>1</v>
      </c>
    </row>
    <row r="2279">
      <c r="A2279" t="inlineStr">
        <is>
          <t>SOCIETE C2008</t>
        </is>
      </c>
      <c r="B2279" t="inlineStr">
        <is>
          <t>C2008</t>
        </is>
      </c>
      <c r="C2279" t="inlineStr">
        <is>
          <t>CORPORATE BANKING</t>
        </is>
      </c>
      <c r="D2279" t="inlineStr">
        <is>
          <t>I</t>
        </is>
      </c>
      <c r="E2279" t="inlineStr">
        <is>
          <t>Stage 1</t>
        </is>
      </c>
      <c r="F2279" t="inlineStr">
        <is>
          <t>N/A</t>
        </is>
      </c>
      <c r="G2279" s="26">
        <v>2756192284</v>
      </c>
      <c r="H2279" s="26">
        <v>27561923</v>
      </c>
      <c r="I2279" s="26">
        <v>0</v>
      </c>
      <c r="J2279" s="26">
        <v>87</v>
      </c>
      <c r="K2279" t="inlineStr">
        <is>
          <t>Non</t>
        </is>
      </c>
      <c r="L2279">
        <f>SUBTOTAL(103,A2279)</f>
        <v>1</v>
      </c>
    </row>
    <row r="2280">
      <c r="A2280" t="inlineStr">
        <is>
          <t>SOCIETE C790</t>
        </is>
      </c>
      <c r="B2280" t="inlineStr">
        <is>
          <t>C790</t>
        </is>
      </c>
      <c r="C2280" t="inlineStr">
        <is>
          <t>CORPORATE BANKING</t>
        </is>
      </c>
      <c r="D2280" t="inlineStr">
        <is>
          <t>IA</t>
        </is>
      </c>
      <c r="E2280" t="inlineStr">
        <is>
          <t>Stage 2</t>
        </is>
      </c>
      <c r="F2280" t="inlineStr">
        <is>
          <t>N/A</t>
        </is>
      </c>
      <c r="G2280" s="26">
        <v>469582302</v>
      </c>
      <c r="H2280" s="26">
        <v>28174938</v>
      </c>
      <c r="I2280" s="26">
        <v>0</v>
      </c>
      <c r="J2280" s="26">
        <v>29</v>
      </c>
      <c r="K2280" t="inlineStr">
        <is>
          <t>Non</t>
        </is>
      </c>
      <c r="L2280">
        <f>SUBTOTAL(103,A2280)</f>
        <v>1</v>
      </c>
    </row>
    <row r="2281">
      <c r="A2281" t="inlineStr">
        <is>
          <t>SOCIETE C244</t>
        </is>
      </c>
      <c r="B2281" t="inlineStr">
        <is>
          <t>C244</t>
        </is>
      </c>
      <c r="C2281" t="inlineStr">
        <is>
          <t>PUBLIC SECTOR</t>
        </is>
      </c>
      <c r="D2281" t="inlineStr">
        <is>
          <t>IA</t>
        </is>
      </c>
      <c r="E2281" t="inlineStr">
        <is>
          <t>Stage 2</t>
        </is>
      </c>
      <c r="F2281" t="inlineStr">
        <is>
          <t>N/A</t>
        </is>
      </c>
      <c r="G2281" s="26">
        <v>16349364</v>
      </c>
      <c r="H2281" s="26">
        <v>980962</v>
      </c>
      <c r="I2281" s="26">
        <v>730569</v>
      </c>
      <c r="J2281" s="26">
        <v>17</v>
      </c>
      <c r="K2281" t="inlineStr">
        <is>
          <t>Non</t>
        </is>
      </c>
      <c r="L2281">
        <f>SUBTOTAL(103,A2281)</f>
        <v>1</v>
      </c>
    </row>
    <row r="2282">
      <c r="A2282" t="inlineStr">
        <is>
          <t>SOCIETE C1628</t>
        </is>
      </c>
      <c r="B2282" t="inlineStr">
        <is>
          <t>C1628</t>
        </is>
      </c>
      <c r="C2282" t="inlineStr">
        <is>
          <t>CORPORATE BANKING</t>
        </is>
      </c>
      <c r="D2282" t="inlineStr">
        <is>
          <t>IA</t>
        </is>
      </c>
      <c r="E2282" t="inlineStr">
        <is>
          <t>Stage 2</t>
        </is>
      </c>
      <c r="F2282" t="inlineStr">
        <is>
          <t>N/A</t>
        </is>
      </c>
      <c r="G2282" s="26">
        <v>41400918</v>
      </c>
      <c r="H2282" s="26">
        <v>2484055</v>
      </c>
      <c r="I2282" s="26">
        <v>0</v>
      </c>
      <c r="J2282" s="26">
        <v>51</v>
      </c>
      <c r="K2282" t="inlineStr">
        <is>
          <t>Non</t>
        </is>
      </c>
      <c r="L2282">
        <f>SUBTOTAL(103,A2282)</f>
        <v>1</v>
      </c>
    </row>
    <row r="2283">
      <c r="A2283" t="inlineStr">
        <is>
          <t>SOCIETE C1482</t>
        </is>
      </c>
      <c r="B2283" t="inlineStr">
        <is>
          <t>C1482</t>
        </is>
      </c>
      <c r="C2283" t="inlineStr">
        <is>
          <t>COMMERCIAL BANKING</t>
        </is>
      </c>
      <c r="D2283" t="inlineStr">
        <is>
          <t>I</t>
        </is>
      </c>
      <c r="E2283" t="inlineStr">
        <is>
          <t>Stage 1</t>
        </is>
      </c>
      <c r="F2283" t="inlineStr">
        <is>
          <t>N/A</t>
        </is>
      </c>
      <c r="G2283" s="26">
        <v>2335320789</v>
      </c>
      <c r="H2283" s="26">
        <v>23353208</v>
      </c>
      <c r="I2283" s="26">
        <v>0</v>
      </c>
      <c r="J2283" s="26">
        <v>97</v>
      </c>
      <c r="K2283" t="inlineStr">
        <is>
          <t>Non</t>
        </is>
      </c>
      <c r="L2283">
        <f>SUBTOTAL(103,A2283)</f>
        <v>1</v>
      </c>
    </row>
    <row r="2284">
      <c r="A2284" t="inlineStr">
        <is>
          <t>SOCIETE C1225</t>
        </is>
      </c>
      <c r="B2284" t="inlineStr">
        <is>
          <t>C1225</t>
        </is>
      </c>
      <c r="C2284" t="inlineStr">
        <is>
          <t>CONSUMER BANKING</t>
        </is>
      </c>
      <c r="D2284" t="inlineStr">
        <is>
          <t>IA</t>
        </is>
      </c>
      <c r="E2284" t="inlineStr">
        <is>
          <t>Stage 2</t>
        </is>
      </c>
      <c r="F2284" t="inlineStr">
        <is>
          <t>N/A</t>
        </is>
      </c>
      <c r="G2284" s="26">
        <v>72489385</v>
      </c>
      <c r="H2284" s="26">
        <v>4349363</v>
      </c>
      <c r="I2284" s="26">
        <v>0</v>
      </c>
      <c r="J2284" s="26">
        <v>195</v>
      </c>
      <c r="K2284" t="inlineStr">
        <is>
          <t>Non</t>
        </is>
      </c>
      <c r="L2284">
        <f>SUBTOTAL(103,A2284)</f>
        <v>1</v>
      </c>
    </row>
    <row r="2285">
      <c r="A2285" t="inlineStr">
        <is>
          <t>SOCIETE C2142</t>
        </is>
      </c>
      <c r="B2285" t="inlineStr">
        <is>
          <t>C2142</t>
        </is>
      </c>
      <c r="C2285" t="inlineStr">
        <is>
          <t>PUBLIC SECTOR</t>
        </is>
      </c>
      <c r="D2285" t="inlineStr">
        <is>
          <t>IV</t>
        </is>
      </c>
      <c r="E2285" t="inlineStr">
        <is>
          <t>Stage 3</t>
        </is>
      </c>
      <c r="F2285" t="inlineStr">
        <is>
          <t>N/A</t>
        </is>
      </c>
      <c r="G2285" s="26">
        <v>262588712</v>
      </c>
      <c r="H2285" s="26">
        <v>144423791</v>
      </c>
      <c r="I2285" s="26">
        <v>0</v>
      </c>
      <c r="J2285" s="26">
        <v>193</v>
      </c>
      <c r="K2285" t="inlineStr">
        <is>
          <t>Oui</t>
        </is>
      </c>
      <c r="L2285">
        <f>SUBTOTAL(103,A2285)</f>
        <v>1</v>
      </c>
    </row>
    <row r="2286">
      <c r="A2286" t="inlineStr">
        <is>
          <t>SOCIETE C2423</t>
        </is>
      </c>
      <c r="B2286" t="inlineStr">
        <is>
          <t>C2423</t>
        </is>
      </c>
      <c r="C2286" t="inlineStr">
        <is>
          <t>COMMERCIAL BANKING</t>
        </is>
      </c>
      <c r="D2286" t="inlineStr">
        <is>
          <t>IA</t>
        </is>
      </c>
      <c r="E2286" t="inlineStr">
        <is>
          <t>Stage 2</t>
        </is>
      </c>
      <c r="F2286" t="inlineStr">
        <is>
          <t>N/A</t>
        </is>
      </c>
      <c r="G2286" s="26">
        <v>79466308</v>
      </c>
      <c r="H2286" s="26">
        <v>4767978</v>
      </c>
      <c r="I2286" s="26">
        <v>0</v>
      </c>
      <c r="J2286" s="26">
        <v>47</v>
      </c>
      <c r="K2286" t="inlineStr">
        <is>
          <t>Non</t>
        </is>
      </c>
      <c r="L2286">
        <f>SUBTOTAL(103,A2286)</f>
        <v>1</v>
      </c>
    </row>
    <row r="2287">
      <c r="A2287" t="inlineStr">
        <is>
          <t>SOCIETE C1707</t>
        </is>
      </c>
      <c r="B2287" t="inlineStr">
        <is>
          <t>C1707</t>
        </is>
      </c>
      <c r="C2287" t="inlineStr">
        <is>
          <t>COMMERCIAL BANKING</t>
        </is>
      </c>
      <c r="D2287" t="inlineStr">
        <is>
          <t>V</t>
        </is>
      </c>
      <c r="E2287" t="inlineStr">
        <is>
          <t>Stage 3</t>
        </is>
      </c>
      <c r="F2287" t="inlineStr">
        <is>
          <t>N/A</t>
        </is>
      </c>
      <c r="G2287" s="26">
        <v>1350786319</v>
      </c>
      <c r="H2287" s="26">
        <v>742932475</v>
      </c>
      <c r="I2287" s="26">
        <v>209329866</v>
      </c>
      <c r="J2287" s="26">
        <v>10</v>
      </c>
      <c r="K2287" t="inlineStr">
        <is>
          <t>Oui</t>
        </is>
      </c>
      <c r="L2287">
        <f>SUBTOTAL(103,A2287)</f>
        <v>1</v>
      </c>
    </row>
    <row r="2288">
      <c r="A2288" t="inlineStr">
        <is>
          <t>SOCIETE C1089</t>
        </is>
      </c>
      <c r="B2288" t="inlineStr">
        <is>
          <t>C1089</t>
        </is>
      </c>
      <c r="C2288" t="inlineStr">
        <is>
          <t>CONSUMER BANKING</t>
        </is>
      </c>
      <c r="D2288" t="inlineStr">
        <is>
          <t>V</t>
        </is>
      </c>
      <c r="E2288" t="inlineStr">
        <is>
          <t>Stage 3</t>
        </is>
      </c>
      <c r="F2288" t="inlineStr">
        <is>
          <t>N/A</t>
        </is>
      </c>
      <c r="G2288" s="26">
        <v>70423064</v>
      </c>
      <c r="H2288" s="26">
        <v>38732685</v>
      </c>
      <c r="I2288" s="26">
        <v>0</v>
      </c>
      <c r="J2288" s="26">
        <v>8</v>
      </c>
      <c r="K2288" t="inlineStr">
        <is>
          <t>Oui</t>
        </is>
      </c>
      <c r="L2288">
        <f>SUBTOTAL(103,A2288)</f>
        <v>1</v>
      </c>
    </row>
    <row r="2289">
      <c r="A2289" t="inlineStr">
        <is>
          <t>SOCIETE C903</t>
        </is>
      </c>
      <c r="B2289" t="inlineStr">
        <is>
          <t>C903</t>
        </is>
      </c>
      <c r="C2289" t="inlineStr">
        <is>
          <t>CORPORATE BANKING</t>
        </is>
      </c>
      <c r="D2289" t="inlineStr">
        <is>
          <t>IV</t>
        </is>
      </c>
      <c r="E2289" t="inlineStr">
        <is>
          <t>Stage 3</t>
        </is>
      </c>
      <c r="F2289" t="inlineStr">
        <is>
          <t>N/A</t>
        </is>
      </c>
      <c r="G2289" s="26">
        <v>153676470</v>
      </c>
      <c r="H2289" s="26">
        <v>84522058</v>
      </c>
      <c r="I2289" s="26">
        <v>0</v>
      </c>
      <c r="J2289" s="26">
        <v>87</v>
      </c>
      <c r="K2289" t="inlineStr">
        <is>
          <t>Oui</t>
        </is>
      </c>
      <c r="L2289">
        <f>SUBTOTAL(103,A2289)</f>
        <v>1</v>
      </c>
    </row>
    <row r="2290">
      <c r="A2290" t="inlineStr">
        <is>
          <t>SOCIETE C1034</t>
        </is>
      </c>
      <c r="B2290" t="inlineStr">
        <is>
          <t>C1034</t>
        </is>
      </c>
      <c r="C2290" t="inlineStr">
        <is>
          <t>CONSUMER BANKING</t>
        </is>
      </c>
      <c r="D2290" t="inlineStr">
        <is>
          <t>III</t>
        </is>
      </c>
      <c r="E2290" t="inlineStr">
        <is>
          <t>Stage 3</t>
        </is>
      </c>
      <c r="F2290" t="inlineStr">
        <is>
          <t>N/A</t>
        </is>
      </c>
      <c r="G2290" s="26">
        <v>1423338245</v>
      </c>
      <c r="H2290" s="26">
        <v>782836035</v>
      </c>
      <c r="I2290" s="26">
        <v>238233065</v>
      </c>
      <c r="J2290" s="26">
        <v>109</v>
      </c>
      <c r="K2290" t="inlineStr">
        <is>
          <t>Oui</t>
        </is>
      </c>
      <c r="L2290">
        <f>SUBTOTAL(103,A2290)</f>
        <v>1</v>
      </c>
    </row>
    <row r="2291">
      <c r="A2291" t="inlineStr">
        <is>
          <t>SOCIETE C704</t>
        </is>
      </c>
      <c r="B2291" t="inlineStr">
        <is>
          <t>C704</t>
        </is>
      </c>
      <c r="C2291" t="inlineStr">
        <is>
          <t>CORPORATE BANKING</t>
        </is>
      </c>
      <c r="D2291" t="inlineStr">
        <is>
          <t>I</t>
        </is>
      </c>
      <c r="E2291" t="inlineStr">
        <is>
          <t>Stage 1</t>
        </is>
      </c>
      <c r="F2291" t="inlineStr">
        <is>
          <t>N/A</t>
        </is>
      </c>
      <c r="G2291" s="26">
        <v>2568600279</v>
      </c>
      <c r="H2291" s="26">
        <v>25686003</v>
      </c>
      <c r="I2291" s="26">
        <v>492467927</v>
      </c>
      <c r="J2291" s="26">
        <v>99</v>
      </c>
      <c r="K2291" t="inlineStr">
        <is>
          <t>Non</t>
        </is>
      </c>
      <c r="L2291">
        <f>SUBTOTAL(103,A2291)</f>
        <v>1</v>
      </c>
    </row>
    <row r="2292">
      <c r="A2292" t="inlineStr">
        <is>
          <t>SOCIETE C436</t>
        </is>
      </c>
      <c r="B2292" t="inlineStr">
        <is>
          <t>C436</t>
        </is>
      </c>
      <c r="C2292" t="inlineStr">
        <is>
          <t>SME</t>
        </is>
      </c>
      <c r="D2292" t="inlineStr">
        <is>
          <t>IV</t>
        </is>
      </c>
      <c r="E2292" t="inlineStr">
        <is>
          <t>Stage 3</t>
        </is>
      </c>
      <c r="F2292" t="inlineStr">
        <is>
          <t>N/A</t>
        </is>
      </c>
      <c r="G2292" s="26">
        <v>2016942041</v>
      </c>
      <c r="H2292" s="26">
        <v>1109318123</v>
      </c>
      <c r="I2292" s="26">
        <v>0</v>
      </c>
      <c r="J2292" s="26">
        <v>50</v>
      </c>
      <c r="K2292" t="inlineStr">
        <is>
          <t>Oui</t>
        </is>
      </c>
      <c r="L2292">
        <f>SUBTOTAL(103,A2292)</f>
        <v>1</v>
      </c>
    </row>
    <row r="2293">
      <c r="A2293" t="inlineStr">
        <is>
          <t>SOCIETE C2444</t>
        </is>
      </c>
      <c r="B2293" t="inlineStr">
        <is>
          <t>C2444</t>
        </is>
      </c>
      <c r="C2293" t="inlineStr">
        <is>
          <t>CORPORATE BANKING</t>
        </is>
      </c>
      <c r="D2293" t="inlineStr">
        <is>
          <t>IA</t>
        </is>
      </c>
      <c r="E2293" t="inlineStr">
        <is>
          <t>Stage 2</t>
        </is>
      </c>
      <c r="F2293" t="inlineStr">
        <is>
          <t>N/A</t>
        </is>
      </c>
      <c r="G2293" s="26">
        <v>365191921</v>
      </c>
      <c r="H2293" s="26">
        <v>21911515</v>
      </c>
      <c r="I2293" s="26">
        <v>0</v>
      </c>
      <c r="J2293" s="26">
        <v>116</v>
      </c>
      <c r="K2293" t="inlineStr">
        <is>
          <t>Non</t>
        </is>
      </c>
      <c r="L2293">
        <f>SUBTOTAL(103,A2293)</f>
        <v>1</v>
      </c>
    </row>
    <row r="2294">
      <c r="A2294" t="inlineStr">
        <is>
          <t>SOCIETE C815</t>
        </is>
      </c>
      <c r="B2294" t="inlineStr">
        <is>
          <t>C815</t>
        </is>
      </c>
      <c r="C2294" t="inlineStr">
        <is>
          <t>CONSUMER BANKING</t>
        </is>
      </c>
      <c r="D2294" t="inlineStr">
        <is>
          <t>II</t>
        </is>
      </c>
      <c r="E2294" t="inlineStr">
        <is>
          <t>Stage 2</t>
        </is>
      </c>
      <c r="F2294" t="inlineStr">
        <is>
          <t>N/A</t>
        </is>
      </c>
      <c r="G2294" s="26">
        <v>277223306</v>
      </c>
      <c r="H2294" s="26">
        <v>16633398</v>
      </c>
      <c r="I2294" s="26">
        <v>0</v>
      </c>
      <c r="J2294" s="26">
        <v>96</v>
      </c>
      <c r="K2294" t="inlineStr">
        <is>
          <t>Non</t>
        </is>
      </c>
      <c r="L2294">
        <f>SUBTOTAL(103,A2294)</f>
        <v>1</v>
      </c>
    </row>
    <row r="2295">
      <c r="A2295" t="inlineStr">
        <is>
          <t>SOCIETE C1482</t>
        </is>
      </c>
      <c r="B2295" t="inlineStr">
        <is>
          <t>C1482</t>
        </is>
      </c>
      <c r="C2295" t="inlineStr">
        <is>
          <t>COMMERCIAL BANKING</t>
        </is>
      </c>
      <c r="D2295" t="inlineStr">
        <is>
          <t>I</t>
        </is>
      </c>
      <c r="E2295" t="inlineStr">
        <is>
          <t>Stage 1</t>
        </is>
      </c>
      <c r="F2295" t="inlineStr">
        <is>
          <t>N/A</t>
        </is>
      </c>
      <c r="G2295" s="26">
        <v>393134976</v>
      </c>
      <c r="H2295" s="26">
        <v>3931350</v>
      </c>
      <c r="I2295" s="26">
        <v>0</v>
      </c>
      <c r="J2295" s="26">
        <v>110</v>
      </c>
      <c r="K2295" t="inlineStr">
        <is>
          <t>Non</t>
        </is>
      </c>
      <c r="L2295">
        <f>SUBTOTAL(103,A2295)</f>
        <v>1</v>
      </c>
    </row>
    <row r="2296">
      <c r="A2296" t="inlineStr">
        <is>
          <t>SOCIETE C1755</t>
        </is>
      </c>
      <c r="B2296" t="inlineStr">
        <is>
          <t>C1755</t>
        </is>
      </c>
      <c r="C2296" t="inlineStr">
        <is>
          <t>COMMERCIAL BANKING</t>
        </is>
      </c>
      <c r="D2296" t="inlineStr">
        <is>
          <t>V</t>
        </is>
      </c>
      <c r="E2296" t="inlineStr">
        <is>
          <t>Stage 3</t>
        </is>
      </c>
      <c r="F2296" t="inlineStr">
        <is>
          <t>N/A</t>
        </is>
      </c>
      <c r="G2296" s="26">
        <v>7771744</v>
      </c>
      <c r="H2296" s="26">
        <v>4274459</v>
      </c>
      <c r="I2296" s="26">
        <v>353254</v>
      </c>
      <c r="J2296" s="26">
        <v>5</v>
      </c>
      <c r="K2296" t="inlineStr">
        <is>
          <t>Oui</t>
        </is>
      </c>
      <c r="L2296">
        <f>SUBTOTAL(103,A2296)</f>
        <v>1</v>
      </c>
    </row>
    <row r="2297">
      <c r="A2297" t="inlineStr">
        <is>
          <t>SOCIETE C2261</t>
        </is>
      </c>
      <c r="B2297" t="inlineStr">
        <is>
          <t>C2261</t>
        </is>
      </c>
      <c r="C2297" t="inlineStr">
        <is>
          <t>COMMERCIAL BANKING</t>
        </is>
      </c>
      <c r="D2297" t="inlineStr">
        <is>
          <t>I</t>
        </is>
      </c>
      <c r="E2297" t="inlineStr">
        <is>
          <t>Stage 1</t>
        </is>
      </c>
      <c r="F2297" t="inlineStr">
        <is>
          <t>N/A</t>
        </is>
      </c>
      <c r="G2297" s="26">
        <v>2132353817</v>
      </c>
      <c r="H2297" s="26">
        <v>21323538</v>
      </c>
      <c r="I2297" s="26">
        <v>245673289</v>
      </c>
      <c r="J2297" s="26">
        <v>144</v>
      </c>
      <c r="K2297" t="inlineStr">
        <is>
          <t>Non</t>
        </is>
      </c>
      <c r="L2297">
        <f>SUBTOTAL(103,A2297)</f>
        <v>1</v>
      </c>
    </row>
    <row r="2298">
      <c r="A2298" t="inlineStr">
        <is>
          <t>SOCIETE C428</t>
        </is>
      </c>
      <c r="B2298" t="inlineStr">
        <is>
          <t>C428</t>
        </is>
      </c>
      <c r="C2298" t="inlineStr">
        <is>
          <t>CORPORATE BANKING</t>
        </is>
      </c>
      <c r="D2298" t="inlineStr">
        <is>
          <t>I</t>
        </is>
      </c>
      <c r="E2298" t="inlineStr">
        <is>
          <t>Stage 1</t>
        </is>
      </c>
      <c r="F2298" t="inlineStr">
        <is>
          <t>N/A</t>
        </is>
      </c>
      <c r="G2298" s="26">
        <v>619945010</v>
      </c>
      <c r="H2298" s="26">
        <v>6199450</v>
      </c>
      <c r="I2298" s="26">
        <v>0</v>
      </c>
      <c r="J2298" s="26">
        <v>239</v>
      </c>
      <c r="K2298" t="inlineStr">
        <is>
          <t>Non</t>
        </is>
      </c>
      <c r="L2298">
        <f>SUBTOTAL(103,A2298)</f>
        <v>1</v>
      </c>
    </row>
    <row r="2299">
      <c r="A2299" t="inlineStr">
        <is>
          <t>SOCIETE C247</t>
        </is>
      </c>
      <c r="B2299" t="inlineStr">
        <is>
          <t>C247</t>
        </is>
      </c>
      <c r="C2299" t="inlineStr">
        <is>
          <t>SME</t>
        </is>
      </c>
      <c r="D2299" t="inlineStr">
        <is>
          <t>IA</t>
        </is>
      </c>
      <c r="E2299" t="inlineStr">
        <is>
          <t>Stage 2</t>
        </is>
      </c>
      <c r="F2299" t="inlineStr">
        <is>
          <t>N/A</t>
        </is>
      </c>
      <c r="G2299" s="26">
        <v>2188780408</v>
      </c>
      <c r="H2299" s="26">
        <v>131326824</v>
      </c>
      <c r="I2299" s="26">
        <v>0</v>
      </c>
      <c r="J2299" s="26">
        <v>120</v>
      </c>
      <c r="K2299" t="inlineStr">
        <is>
          <t>Non</t>
        </is>
      </c>
      <c r="L2299">
        <f>SUBTOTAL(103,A2299)</f>
        <v>1</v>
      </c>
    </row>
    <row r="2300">
      <c r="A2300" t="inlineStr">
        <is>
          <t>SOCIETE C2411</t>
        </is>
      </c>
      <c r="B2300" t="inlineStr">
        <is>
          <t>C2411</t>
        </is>
      </c>
      <c r="C2300" t="inlineStr">
        <is>
          <t>CORPORATE BANKING</t>
        </is>
      </c>
      <c r="D2300" t="inlineStr">
        <is>
          <t>IA</t>
        </is>
      </c>
      <c r="E2300" t="inlineStr">
        <is>
          <t>Stage 2</t>
        </is>
      </c>
      <c r="F2300" t="inlineStr">
        <is>
          <t>N/A</t>
        </is>
      </c>
      <c r="G2300" s="26">
        <v>39677486</v>
      </c>
      <c r="H2300" s="26">
        <v>2380649</v>
      </c>
      <c r="I2300" s="26">
        <v>0</v>
      </c>
      <c r="J2300" s="26">
        <v>113</v>
      </c>
      <c r="K2300" t="inlineStr">
        <is>
          <t>Non</t>
        </is>
      </c>
      <c r="L2300">
        <f>SUBTOTAL(103,A2300)</f>
        <v>1</v>
      </c>
    </row>
    <row r="2301">
      <c r="A2301" t="inlineStr">
        <is>
          <t>SOCIETE C2129</t>
        </is>
      </c>
      <c r="B2301" t="inlineStr">
        <is>
          <t>C2129</t>
        </is>
      </c>
      <c r="C2301" t="inlineStr">
        <is>
          <t>CONSUMER BANKING</t>
        </is>
      </c>
      <c r="D2301" t="inlineStr">
        <is>
          <t>I</t>
        </is>
      </c>
      <c r="E2301" t="inlineStr">
        <is>
          <t>Stage 1</t>
        </is>
      </c>
      <c r="F2301" t="inlineStr">
        <is>
          <t>N/A</t>
        </is>
      </c>
      <c r="G2301" s="26">
        <v>2318536</v>
      </c>
      <c r="H2301" s="26">
        <v>23185</v>
      </c>
      <c r="I2301" s="26">
        <v>0</v>
      </c>
      <c r="J2301" s="26">
        <v>357</v>
      </c>
      <c r="K2301" t="inlineStr">
        <is>
          <t>Non</t>
        </is>
      </c>
      <c r="L2301">
        <f>SUBTOTAL(103,A2301)</f>
        <v>1</v>
      </c>
    </row>
    <row r="2302">
      <c r="A2302" t="inlineStr">
        <is>
          <t>SOCIETE C2246</t>
        </is>
      </c>
      <c r="B2302" t="inlineStr">
        <is>
          <t>C2246</t>
        </is>
      </c>
      <c r="C2302" t="inlineStr">
        <is>
          <t>CORPORATE BANKING</t>
        </is>
      </c>
      <c r="D2302" t="inlineStr">
        <is>
          <t>I</t>
        </is>
      </c>
      <c r="E2302" t="inlineStr">
        <is>
          <t>Stage 1</t>
        </is>
      </c>
      <c r="F2302" t="inlineStr">
        <is>
          <t>N/A</t>
        </is>
      </c>
      <c r="G2302" s="26">
        <v>1570239789</v>
      </c>
      <c r="H2302" s="26">
        <v>15702398</v>
      </c>
      <c r="I2302" s="26">
        <v>303798294</v>
      </c>
      <c r="J2302" s="26">
        <v>172</v>
      </c>
      <c r="K2302" t="inlineStr">
        <is>
          <t>Non</t>
        </is>
      </c>
      <c r="L2302">
        <f>SUBTOTAL(103,A2302)</f>
        <v>1</v>
      </c>
    </row>
    <row r="2303">
      <c r="A2303" t="inlineStr">
        <is>
          <t>SOCIETE C1790</t>
        </is>
      </c>
      <c r="B2303" t="inlineStr">
        <is>
          <t>C1790</t>
        </is>
      </c>
      <c r="C2303" t="inlineStr">
        <is>
          <t>CORPORATE BANKING</t>
        </is>
      </c>
      <c r="D2303" t="inlineStr">
        <is>
          <t>IV</t>
        </is>
      </c>
      <c r="E2303" t="inlineStr">
        <is>
          <t>Stage 3</t>
        </is>
      </c>
      <c r="F2303" t="inlineStr">
        <is>
          <t>N/A</t>
        </is>
      </c>
      <c r="G2303" s="26">
        <v>329990107</v>
      </c>
      <c r="H2303" s="26">
        <v>181494559</v>
      </c>
      <c r="I2303" s="26">
        <v>0</v>
      </c>
      <c r="J2303" s="26">
        <v>41</v>
      </c>
      <c r="K2303" t="inlineStr">
        <is>
          <t>Oui</t>
        </is>
      </c>
      <c r="L2303">
        <f>SUBTOTAL(103,A2303)</f>
        <v>1</v>
      </c>
    </row>
    <row r="2304">
      <c r="A2304" t="inlineStr">
        <is>
          <t>SOCIETE C1066</t>
        </is>
      </c>
      <c r="B2304" t="inlineStr">
        <is>
          <t>C1066</t>
        </is>
      </c>
      <c r="C2304" t="inlineStr">
        <is>
          <t>COMMERCIAL BANKING</t>
        </is>
      </c>
      <c r="D2304" t="inlineStr">
        <is>
          <t>I</t>
        </is>
      </c>
      <c r="E2304" t="inlineStr">
        <is>
          <t>Stage 1</t>
        </is>
      </c>
      <c r="F2304" t="inlineStr">
        <is>
          <t>N/A</t>
        </is>
      </c>
      <c r="G2304" s="26">
        <v>1651033855</v>
      </c>
      <c r="H2304" s="26">
        <v>16510339</v>
      </c>
      <c r="I2304" s="26">
        <v>0</v>
      </c>
      <c r="J2304" s="26">
        <v>121</v>
      </c>
      <c r="K2304" t="inlineStr">
        <is>
          <t>Non</t>
        </is>
      </c>
      <c r="L2304">
        <f>SUBTOTAL(103,A2304)</f>
        <v>1</v>
      </c>
    </row>
    <row r="2305">
      <c r="A2305" t="inlineStr">
        <is>
          <t>SOCIETE C2192</t>
        </is>
      </c>
      <c r="B2305" t="inlineStr">
        <is>
          <t>C2192</t>
        </is>
      </c>
      <c r="C2305" t="inlineStr">
        <is>
          <t>CONSUMER BANKING</t>
        </is>
      </c>
      <c r="D2305" t="inlineStr">
        <is>
          <t>IV</t>
        </is>
      </c>
      <c r="E2305" t="inlineStr">
        <is>
          <t>Stage 3</t>
        </is>
      </c>
      <c r="F2305" t="inlineStr">
        <is>
          <t>N/A</t>
        </is>
      </c>
      <c r="G2305" s="26">
        <v>2953527958</v>
      </c>
      <c r="H2305" s="26">
        <v>1624440377</v>
      </c>
      <c r="I2305" s="26">
        <v>577931164</v>
      </c>
      <c r="J2305" s="26">
        <v>27</v>
      </c>
      <c r="K2305" t="inlineStr">
        <is>
          <t>Oui</t>
        </is>
      </c>
      <c r="L2305">
        <f>SUBTOTAL(103,A2305)</f>
        <v>1</v>
      </c>
    </row>
    <row r="2306">
      <c r="A2306" t="inlineStr">
        <is>
          <t>SOCIETE C1318</t>
        </is>
      </c>
      <c r="B2306" t="inlineStr">
        <is>
          <t>C1318</t>
        </is>
      </c>
      <c r="C2306" t="inlineStr">
        <is>
          <t>CONSUMER BANKING</t>
        </is>
      </c>
      <c r="D2306" t="inlineStr">
        <is>
          <t>I</t>
        </is>
      </c>
      <c r="E2306" t="inlineStr">
        <is>
          <t>Stage 1</t>
        </is>
      </c>
      <c r="F2306" t="inlineStr">
        <is>
          <t>N/A</t>
        </is>
      </c>
      <c r="G2306" s="26">
        <v>381654498</v>
      </c>
      <c r="H2306" s="26">
        <v>3816545</v>
      </c>
      <c r="I2306" s="26">
        <v>6574529</v>
      </c>
      <c r="J2306" s="26">
        <v>204</v>
      </c>
      <c r="K2306" t="inlineStr">
        <is>
          <t>Non</t>
        </is>
      </c>
      <c r="L2306">
        <f>SUBTOTAL(103,A2306)</f>
        <v>1</v>
      </c>
    </row>
    <row r="2307">
      <c r="A2307" t="inlineStr">
        <is>
          <t>SOCIETE C750</t>
        </is>
      </c>
      <c r="B2307" t="inlineStr">
        <is>
          <t>C750</t>
        </is>
      </c>
      <c r="C2307" t="inlineStr">
        <is>
          <t>SME</t>
        </is>
      </c>
      <c r="D2307" t="inlineStr">
        <is>
          <t>I</t>
        </is>
      </c>
      <c r="E2307" t="inlineStr">
        <is>
          <t>Stage 1</t>
        </is>
      </c>
      <c r="F2307" t="inlineStr">
        <is>
          <t>N/A</t>
        </is>
      </c>
      <c r="G2307" s="26">
        <v>1147678831</v>
      </c>
      <c r="H2307" s="26">
        <v>11476788</v>
      </c>
      <c r="I2307" s="26">
        <v>0</v>
      </c>
      <c r="J2307" s="26">
        <v>178</v>
      </c>
      <c r="K2307" t="inlineStr">
        <is>
          <t>Non</t>
        </is>
      </c>
      <c r="L2307">
        <f>SUBTOTAL(103,A2307)</f>
        <v>1</v>
      </c>
    </row>
    <row r="2308">
      <c r="A2308" t="inlineStr">
        <is>
          <t>SOCIETE C1178</t>
        </is>
      </c>
      <c r="B2308" t="inlineStr">
        <is>
          <t>C1178</t>
        </is>
      </c>
      <c r="C2308" t="inlineStr">
        <is>
          <t>COMMERCIAL BANKING</t>
        </is>
      </c>
      <c r="D2308" t="inlineStr">
        <is>
          <t>II</t>
        </is>
      </c>
      <c r="E2308" t="inlineStr">
        <is>
          <t>Stage 2</t>
        </is>
      </c>
      <c r="F2308" t="inlineStr">
        <is>
          <t>N/A</t>
        </is>
      </c>
      <c r="G2308" s="26">
        <v>433605099</v>
      </c>
      <c r="H2308" s="26">
        <v>26016306</v>
      </c>
      <c r="I2308" s="26">
        <v>0</v>
      </c>
      <c r="J2308" s="26">
        <v>83</v>
      </c>
      <c r="K2308" t="inlineStr">
        <is>
          <t>Non</t>
        </is>
      </c>
      <c r="L2308">
        <f>SUBTOTAL(103,A2308)</f>
        <v>1</v>
      </c>
    </row>
    <row r="2309">
      <c r="A2309" t="inlineStr">
        <is>
          <t>SOCIETE C689</t>
        </is>
      </c>
      <c r="B2309" t="inlineStr">
        <is>
          <t>C689</t>
        </is>
      </c>
      <c r="C2309" t="inlineStr">
        <is>
          <t>CORPORATE BANKING</t>
        </is>
      </c>
      <c r="D2309" t="inlineStr">
        <is>
          <t>IA</t>
        </is>
      </c>
      <c r="E2309" t="inlineStr">
        <is>
          <t>Stage 2</t>
        </is>
      </c>
      <c r="F2309" t="inlineStr">
        <is>
          <t>N/A</t>
        </is>
      </c>
      <c r="G2309" s="26">
        <v>314007618</v>
      </c>
      <c r="H2309" s="26">
        <v>18840457</v>
      </c>
      <c r="I2309" s="26">
        <v>0</v>
      </c>
      <c r="J2309" s="26">
        <v>62</v>
      </c>
      <c r="K2309" t="inlineStr">
        <is>
          <t>Non</t>
        </is>
      </c>
      <c r="L2309">
        <f>SUBTOTAL(103,A2309)</f>
        <v>1</v>
      </c>
    </row>
    <row r="2310">
      <c r="A2310" t="inlineStr">
        <is>
          <t>SOCIETE C396</t>
        </is>
      </c>
      <c r="B2310" t="inlineStr">
        <is>
          <t>C396</t>
        </is>
      </c>
      <c r="C2310" t="inlineStr">
        <is>
          <t>CORPORATE BANKING</t>
        </is>
      </c>
      <c r="D2310" t="inlineStr">
        <is>
          <t>IV</t>
        </is>
      </c>
      <c r="E2310" t="inlineStr">
        <is>
          <t>Stage 3</t>
        </is>
      </c>
      <c r="F2310" t="inlineStr">
        <is>
          <t>N/A</t>
        </is>
      </c>
      <c r="G2310" s="26">
        <v>1187288982</v>
      </c>
      <c r="H2310" s="26">
        <v>653008940</v>
      </c>
      <c r="I2310" s="26">
        <v>0</v>
      </c>
      <c r="J2310" s="26">
        <v>17</v>
      </c>
      <c r="K2310" t="inlineStr">
        <is>
          <t>Oui</t>
        </is>
      </c>
      <c r="L2310">
        <f>SUBTOTAL(103,A2310)</f>
        <v>1</v>
      </c>
    </row>
    <row r="2311">
      <c r="A2311" t="inlineStr">
        <is>
          <t>SOCIETE C478</t>
        </is>
      </c>
      <c r="B2311" t="inlineStr">
        <is>
          <t>C478</t>
        </is>
      </c>
      <c r="C2311" t="inlineStr">
        <is>
          <t>CONSUMER BANKING</t>
        </is>
      </c>
      <c r="D2311" t="inlineStr">
        <is>
          <t>IA</t>
        </is>
      </c>
      <c r="E2311" t="inlineStr">
        <is>
          <t>Stage 2</t>
        </is>
      </c>
      <c r="F2311" t="inlineStr">
        <is>
          <t>N/A</t>
        </is>
      </c>
      <c r="G2311" s="26">
        <v>1414951</v>
      </c>
      <c r="H2311" s="26">
        <v>84897</v>
      </c>
      <c r="I2311" s="26">
        <v>0</v>
      </c>
      <c r="J2311" s="26">
        <v>289</v>
      </c>
      <c r="K2311" t="inlineStr">
        <is>
          <t>Non</t>
        </is>
      </c>
      <c r="L2311">
        <f>SUBTOTAL(103,A2311)</f>
        <v>1</v>
      </c>
    </row>
    <row r="2312">
      <c r="A2312" t="inlineStr">
        <is>
          <t>SOCIETE C957</t>
        </is>
      </c>
      <c r="B2312" t="inlineStr">
        <is>
          <t>C957</t>
        </is>
      </c>
      <c r="C2312" t="inlineStr">
        <is>
          <t>CORPORATE BANKING</t>
        </is>
      </c>
      <c r="D2312" t="inlineStr">
        <is>
          <t>II</t>
        </is>
      </c>
      <c r="E2312" t="inlineStr">
        <is>
          <t>Stage 2</t>
        </is>
      </c>
      <c r="F2312" t="inlineStr">
        <is>
          <t>N/A</t>
        </is>
      </c>
      <c r="G2312" s="26">
        <v>77938765</v>
      </c>
      <c r="H2312" s="26">
        <v>4676326</v>
      </c>
      <c r="I2312" s="26">
        <v>0</v>
      </c>
      <c r="J2312" s="26">
        <v>79</v>
      </c>
      <c r="K2312" t="inlineStr">
        <is>
          <t>Non</t>
        </is>
      </c>
      <c r="L2312">
        <f>SUBTOTAL(103,A2312)</f>
        <v>1</v>
      </c>
    </row>
    <row r="2313">
      <c r="A2313" t="inlineStr">
        <is>
          <t>SOCIETE C1491</t>
        </is>
      </c>
      <c r="B2313" t="inlineStr">
        <is>
          <t>C1491</t>
        </is>
      </c>
      <c r="C2313" t="inlineStr">
        <is>
          <t>COMMERCIAL BANKING</t>
        </is>
      </c>
      <c r="D2313" t="inlineStr">
        <is>
          <t>IA</t>
        </is>
      </c>
      <c r="E2313" t="inlineStr">
        <is>
          <t>Stage 2</t>
        </is>
      </c>
      <c r="F2313" t="inlineStr">
        <is>
          <t>N/A</t>
        </is>
      </c>
      <c r="G2313" s="26">
        <v>4218755</v>
      </c>
      <c r="H2313" s="26">
        <v>253125</v>
      </c>
      <c r="I2313" s="26">
        <v>21235</v>
      </c>
      <c r="J2313" s="26">
        <v>366</v>
      </c>
      <c r="K2313" t="inlineStr">
        <is>
          <t>Non</t>
        </is>
      </c>
      <c r="L2313">
        <f>SUBTOTAL(103,A2313)</f>
        <v>1</v>
      </c>
    </row>
    <row r="2314">
      <c r="A2314" t="inlineStr">
        <is>
          <t>SOCIETE C1308</t>
        </is>
      </c>
      <c r="B2314" t="inlineStr">
        <is>
          <t>C1308</t>
        </is>
      </c>
      <c r="C2314" t="inlineStr">
        <is>
          <t>CORPORATE BANKING</t>
        </is>
      </c>
      <c r="D2314" t="inlineStr">
        <is>
          <t>II</t>
        </is>
      </c>
      <c r="E2314" t="inlineStr">
        <is>
          <t>Stage 2</t>
        </is>
      </c>
      <c r="F2314" t="inlineStr">
        <is>
          <t>N/A</t>
        </is>
      </c>
      <c r="G2314" s="26">
        <v>1393307690</v>
      </c>
      <c r="H2314" s="26">
        <v>83598461</v>
      </c>
      <c r="I2314" s="26">
        <v>89871199</v>
      </c>
      <c r="J2314" s="26">
        <v>64</v>
      </c>
      <c r="K2314" t="inlineStr">
        <is>
          <t>Non</t>
        </is>
      </c>
      <c r="L2314">
        <f>SUBTOTAL(103,A2314)</f>
        <v>1</v>
      </c>
    </row>
    <row r="2315">
      <c r="A2315" t="inlineStr">
        <is>
          <t>SOCIETE C1625</t>
        </is>
      </c>
      <c r="B2315" t="inlineStr">
        <is>
          <t>C1625</t>
        </is>
      </c>
      <c r="C2315" t="inlineStr">
        <is>
          <t>CORPORATE BANKING</t>
        </is>
      </c>
      <c r="D2315" t="inlineStr">
        <is>
          <t>I</t>
        </is>
      </c>
      <c r="E2315" t="inlineStr">
        <is>
          <t>Stage 1</t>
        </is>
      </c>
      <c r="F2315" t="inlineStr">
        <is>
          <t>N/A</t>
        </is>
      </c>
      <c r="G2315" s="26">
        <v>294532434</v>
      </c>
      <c r="H2315" s="26">
        <v>2945324</v>
      </c>
      <c r="I2315" s="26">
        <v>0</v>
      </c>
      <c r="J2315" s="26">
        <v>75</v>
      </c>
      <c r="K2315" t="inlineStr">
        <is>
          <t>Non</t>
        </is>
      </c>
      <c r="L2315">
        <f>SUBTOTAL(103,A2315)</f>
        <v>1</v>
      </c>
    </row>
    <row r="2316">
      <c r="A2316" t="inlineStr">
        <is>
          <t>SOCIETE C614</t>
        </is>
      </c>
      <c r="B2316" t="inlineStr">
        <is>
          <t>C614</t>
        </is>
      </c>
      <c r="C2316" t="inlineStr">
        <is>
          <t>CORPORATE BANKING</t>
        </is>
      </c>
      <c r="D2316" t="inlineStr">
        <is>
          <t>IA</t>
        </is>
      </c>
      <c r="E2316" t="inlineStr">
        <is>
          <t>Stage 2</t>
        </is>
      </c>
      <c r="F2316" t="inlineStr">
        <is>
          <t>N/A</t>
        </is>
      </c>
      <c r="G2316" s="26">
        <v>1278710589</v>
      </c>
      <c r="H2316" s="26">
        <v>76722635</v>
      </c>
      <c r="I2316" s="26">
        <v>0</v>
      </c>
      <c r="J2316" s="26">
        <v>28</v>
      </c>
      <c r="K2316" t="inlineStr">
        <is>
          <t>Non</t>
        </is>
      </c>
      <c r="L2316">
        <f>SUBTOTAL(103,A2316)</f>
        <v>1</v>
      </c>
    </row>
    <row r="2317">
      <c r="A2317" t="inlineStr">
        <is>
          <t>SOCIETE C1270</t>
        </is>
      </c>
      <c r="B2317" t="inlineStr">
        <is>
          <t>C1270</t>
        </is>
      </c>
      <c r="C2317" t="inlineStr">
        <is>
          <t>CORPORATE BANKING</t>
        </is>
      </c>
      <c r="D2317" t="inlineStr">
        <is>
          <t>I</t>
        </is>
      </c>
      <c r="E2317" t="inlineStr">
        <is>
          <t>Stage 1</t>
        </is>
      </c>
      <c r="F2317" t="inlineStr">
        <is>
          <t>N/A</t>
        </is>
      </c>
      <c r="G2317" s="26">
        <v>834632379</v>
      </c>
      <c r="H2317" s="26">
        <v>8346324</v>
      </c>
      <c r="I2317" s="26">
        <v>13825414</v>
      </c>
      <c r="J2317" s="26">
        <v>4</v>
      </c>
      <c r="K2317" t="inlineStr">
        <is>
          <t>Non</t>
        </is>
      </c>
      <c r="L2317">
        <f>SUBTOTAL(103,A2317)</f>
        <v>1</v>
      </c>
    </row>
    <row r="2318">
      <c r="A2318" t="inlineStr">
        <is>
          <t>SOCIETE C1512</t>
        </is>
      </c>
      <c r="B2318" t="inlineStr">
        <is>
          <t>C1512</t>
        </is>
      </c>
      <c r="C2318" t="inlineStr">
        <is>
          <t>PUBLIC SECTOR</t>
        </is>
      </c>
      <c r="D2318" t="inlineStr">
        <is>
          <t>I</t>
        </is>
      </c>
      <c r="E2318" t="inlineStr">
        <is>
          <t>Stage 1</t>
        </is>
      </c>
      <c r="F2318" t="inlineStr">
        <is>
          <t>N/A</t>
        </is>
      </c>
      <c r="G2318" s="26">
        <v>2348488386</v>
      </c>
      <c r="H2318" s="26">
        <v>23484884</v>
      </c>
      <c r="I2318" s="26">
        <v>0</v>
      </c>
      <c r="J2318" s="26">
        <v>144</v>
      </c>
      <c r="K2318" t="inlineStr">
        <is>
          <t>Non</t>
        </is>
      </c>
      <c r="L2318">
        <f>SUBTOTAL(103,A2318)</f>
        <v>1</v>
      </c>
    </row>
    <row r="2319">
      <c r="A2319" t="inlineStr">
        <is>
          <t>SOCIETE C1512</t>
        </is>
      </c>
      <c r="B2319" t="inlineStr">
        <is>
          <t>C1512</t>
        </is>
      </c>
      <c r="C2319" t="inlineStr">
        <is>
          <t>CORPORATE BANKING</t>
        </is>
      </c>
      <c r="D2319" t="inlineStr">
        <is>
          <t>III</t>
        </is>
      </c>
      <c r="E2319" t="inlineStr">
        <is>
          <t>Stage 3</t>
        </is>
      </c>
      <c r="F2319" t="inlineStr">
        <is>
          <t>N/A</t>
        </is>
      </c>
      <c r="G2319" s="26">
        <v>9720206</v>
      </c>
      <c r="H2319" s="26">
        <v>5346113</v>
      </c>
      <c r="I2319" s="26">
        <v>0</v>
      </c>
      <c r="J2319" s="26">
        <v>154</v>
      </c>
      <c r="K2319" t="inlineStr">
        <is>
          <t>Oui</t>
        </is>
      </c>
      <c r="L2319">
        <f>SUBTOTAL(103,A2319)</f>
        <v>1</v>
      </c>
    </row>
    <row r="2320">
      <c r="A2320" t="inlineStr">
        <is>
          <t>SOCIETE C434</t>
        </is>
      </c>
      <c r="B2320" t="inlineStr">
        <is>
          <t>C434</t>
        </is>
      </c>
      <c r="C2320" t="inlineStr">
        <is>
          <t>CONSUMER BANKING</t>
        </is>
      </c>
      <c r="D2320" t="inlineStr">
        <is>
          <t>III</t>
        </is>
      </c>
      <c r="E2320" t="inlineStr">
        <is>
          <t>Stage 3</t>
        </is>
      </c>
      <c r="F2320" t="inlineStr">
        <is>
          <t>N/A</t>
        </is>
      </c>
      <c r="G2320" s="26">
        <v>72608456</v>
      </c>
      <c r="H2320" s="26">
        <v>39934651</v>
      </c>
      <c r="I2320" s="26">
        <v>3583466</v>
      </c>
      <c r="J2320" s="26">
        <v>95</v>
      </c>
      <c r="K2320" t="inlineStr">
        <is>
          <t>Oui</t>
        </is>
      </c>
      <c r="L2320">
        <f>SUBTOTAL(103,A2320)</f>
        <v>1</v>
      </c>
    </row>
    <row r="2321">
      <c r="A2321" t="inlineStr">
        <is>
          <t>SOCIETE C1543</t>
        </is>
      </c>
      <c r="B2321" t="inlineStr">
        <is>
          <t>C1543</t>
        </is>
      </c>
      <c r="C2321" t="inlineStr">
        <is>
          <t>CORPORATE BANKING</t>
        </is>
      </c>
      <c r="D2321" t="inlineStr">
        <is>
          <t>I</t>
        </is>
      </c>
      <c r="E2321" t="inlineStr">
        <is>
          <t>Stage 1</t>
        </is>
      </c>
      <c r="F2321" t="inlineStr">
        <is>
          <t>N/A</t>
        </is>
      </c>
      <c r="G2321" s="26">
        <v>759504900</v>
      </c>
      <c r="H2321" s="26">
        <v>7595049</v>
      </c>
      <c r="I2321" s="26">
        <v>105614400</v>
      </c>
      <c r="J2321" s="26">
        <v>21</v>
      </c>
      <c r="K2321" t="inlineStr">
        <is>
          <t>Non</t>
        </is>
      </c>
      <c r="L2321">
        <f>SUBTOTAL(103,A2321)</f>
        <v>1</v>
      </c>
    </row>
    <row r="2322">
      <c r="A2322" t="inlineStr">
        <is>
          <t>SOCIETE C2272</t>
        </is>
      </c>
      <c r="B2322" t="inlineStr">
        <is>
          <t>C2272</t>
        </is>
      </c>
      <c r="C2322" t="inlineStr">
        <is>
          <t>CONSUMER BANKING</t>
        </is>
      </c>
      <c r="D2322" t="inlineStr">
        <is>
          <t>I</t>
        </is>
      </c>
      <c r="E2322" t="inlineStr">
        <is>
          <t>Stage 1</t>
        </is>
      </c>
      <c r="F2322" t="inlineStr">
        <is>
          <t>N/A</t>
        </is>
      </c>
      <c r="G2322" s="26">
        <v>2037997</v>
      </c>
      <c r="H2322" s="26">
        <v>20380</v>
      </c>
      <c r="I2322" s="26">
        <v>0</v>
      </c>
      <c r="J2322" s="26">
        <v>79</v>
      </c>
      <c r="K2322" t="inlineStr">
        <is>
          <t>Non</t>
        </is>
      </c>
      <c r="L2322">
        <f>SUBTOTAL(103,A2322)</f>
        <v>1</v>
      </c>
    </row>
    <row r="2323">
      <c r="A2323" t="inlineStr">
        <is>
          <t>SOCIETE C1344</t>
        </is>
      </c>
      <c r="B2323" t="inlineStr">
        <is>
          <t>C1344</t>
        </is>
      </c>
      <c r="C2323" t="inlineStr">
        <is>
          <t>COMMERCIAL BANKING</t>
        </is>
      </c>
      <c r="D2323" t="inlineStr">
        <is>
          <t>IV</t>
        </is>
      </c>
      <c r="E2323" t="inlineStr">
        <is>
          <t>Stage 3</t>
        </is>
      </c>
      <c r="F2323" t="inlineStr">
        <is>
          <t>N/A</t>
        </is>
      </c>
      <c r="G2323" s="26">
        <v>1598792405</v>
      </c>
      <c r="H2323" s="26">
        <v>879335823</v>
      </c>
      <c r="I2323" s="26">
        <v>248437756</v>
      </c>
      <c r="J2323" s="26">
        <v>4</v>
      </c>
      <c r="K2323" t="inlineStr">
        <is>
          <t>Oui</t>
        </is>
      </c>
      <c r="L2323">
        <f>SUBTOTAL(103,A2323)</f>
        <v>1</v>
      </c>
    </row>
    <row r="2324">
      <c r="A2324" t="inlineStr">
        <is>
          <t>SOCIETE C1541</t>
        </is>
      </c>
      <c r="B2324" t="inlineStr">
        <is>
          <t>C1541</t>
        </is>
      </c>
      <c r="C2324" t="inlineStr">
        <is>
          <t>COMMERCIAL BANKING</t>
        </is>
      </c>
      <c r="D2324" t="inlineStr">
        <is>
          <t>IV</t>
        </is>
      </c>
      <c r="E2324" t="inlineStr">
        <is>
          <t>Stage 3</t>
        </is>
      </c>
      <c r="F2324" t="inlineStr">
        <is>
          <t>N/A</t>
        </is>
      </c>
      <c r="G2324" s="26">
        <v>5490852</v>
      </c>
      <c r="H2324" s="26">
        <v>3019969</v>
      </c>
      <c r="I2324" s="26">
        <v>0</v>
      </c>
      <c r="J2324" s="26">
        <v>94</v>
      </c>
      <c r="K2324" t="inlineStr">
        <is>
          <t>Oui</t>
        </is>
      </c>
      <c r="L2324">
        <f>SUBTOTAL(103,A2324)</f>
        <v>1</v>
      </c>
    </row>
    <row r="2325">
      <c r="A2325" t="inlineStr">
        <is>
          <t>SOCIETE C2211</t>
        </is>
      </c>
      <c r="B2325" t="inlineStr">
        <is>
          <t>C2211</t>
        </is>
      </c>
      <c r="C2325" t="inlineStr">
        <is>
          <t>CONSUMER BANKING</t>
        </is>
      </c>
      <c r="D2325" t="inlineStr">
        <is>
          <t>I</t>
        </is>
      </c>
      <c r="E2325" t="inlineStr">
        <is>
          <t>Stage 1</t>
        </is>
      </c>
      <c r="F2325" t="inlineStr">
        <is>
          <t>N/A</t>
        </is>
      </c>
      <c r="G2325" s="26">
        <v>943584185</v>
      </c>
      <c r="H2325" s="26">
        <v>9435842</v>
      </c>
      <c r="I2325" s="26">
        <v>0</v>
      </c>
      <c r="J2325" s="26">
        <v>10</v>
      </c>
      <c r="K2325" t="inlineStr">
        <is>
          <t>Non</t>
        </is>
      </c>
      <c r="L2325">
        <f>SUBTOTAL(103,A2325)</f>
        <v>1</v>
      </c>
    </row>
    <row r="2326">
      <c r="A2326" t="inlineStr">
        <is>
          <t>SOCIETE C229</t>
        </is>
      </c>
      <c r="B2326" t="inlineStr">
        <is>
          <t>C229</t>
        </is>
      </c>
      <c r="C2326" t="inlineStr">
        <is>
          <t>CORPORATE BANKING</t>
        </is>
      </c>
      <c r="D2326" t="inlineStr">
        <is>
          <t>IA</t>
        </is>
      </c>
      <c r="E2326" t="inlineStr">
        <is>
          <t>Stage 2</t>
        </is>
      </c>
      <c r="F2326" t="inlineStr">
        <is>
          <t>N/A</t>
        </is>
      </c>
      <c r="G2326" s="26">
        <v>3737076</v>
      </c>
      <c r="H2326" s="26">
        <v>224225</v>
      </c>
      <c r="I2326" s="26">
        <v>0</v>
      </c>
      <c r="J2326" s="26">
        <v>210</v>
      </c>
      <c r="K2326" t="inlineStr">
        <is>
          <t>Non</t>
        </is>
      </c>
      <c r="L2326">
        <f>SUBTOTAL(103,A2326)</f>
        <v>1</v>
      </c>
    </row>
    <row r="2327">
      <c r="A2327" t="inlineStr">
        <is>
          <t>SOCIETE C190</t>
        </is>
      </c>
      <c r="B2327" t="inlineStr">
        <is>
          <t>C190</t>
        </is>
      </c>
      <c r="C2327" t="inlineStr">
        <is>
          <t>CORPORATE BANKING</t>
        </is>
      </c>
      <c r="D2327" t="inlineStr">
        <is>
          <t>I</t>
        </is>
      </c>
      <c r="E2327" t="inlineStr">
        <is>
          <t>Stage 1</t>
        </is>
      </c>
      <c r="F2327" t="inlineStr">
        <is>
          <t>N/A</t>
        </is>
      </c>
      <c r="G2327" s="26">
        <v>1097895</v>
      </c>
      <c r="H2327" s="26">
        <v>10979</v>
      </c>
      <c r="I2327" s="26">
        <v>0</v>
      </c>
      <c r="J2327" s="26">
        <v>43</v>
      </c>
      <c r="K2327" t="inlineStr">
        <is>
          <t>Non</t>
        </is>
      </c>
      <c r="L2327">
        <f>SUBTOTAL(103,A2327)</f>
        <v>1</v>
      </c>
    </row>
    <row r="2328">
      <c r="A2328" t="inlineStr">
        <is>
          <t>SOCIETE C103</t>
        </is>
      </c>
      <c r="B2328" t="inlineStr">
        <is>
          <t>C103</t>
        </is>
      </c>
      <c r="C2328" t="inlineStr">
        <is>
          <t>PUBLIC SECTOR</t>
        </is>
      </c>
      <c r="D2328" t="inlineStr">
        <is>
          <t>IA</t>
        </is>
      </c>
      <c r="E2328" t="inlineStr">
        <is>
          <t>Stage 2</t>
        </is>
      </c>
      <c r="F2328" t="inlineStr">
        <is>
          <t>N/A</t>
        </is>
      </c>
      <c r="G2328" s="26">
        <v>1820293834</v>
      </c>
      <c r="H2328" s="26">
        <v>109217630</v>
      </c>
      <c r="I2328" s="26">
        <v>0</v>
      </c>
      <c r="J2328" s="26">
        <v>18</v>
      </c>
      <c r="K2328" t="inlineStr">
        <is>
          <t>Non</t>
        </is>
      </c>
      <c r="L2328">
        <f>SUBTOTAL(103,A2328)</f>
        <v>1</v>
      </c>
    </row>
    <row r="2329">
      <c r="A2329" t="inlineStr">
        <is>
          <t>SOCIETE C914</t>
        </is>
      </c>
      <c r="B2329" t="inlineStr">
        <is>
          <t>C914</t>
        </is>
      </c>
      <c r="C2329" t="inlineStr">
        <is>
          <t>SME</t>
        </is>
      </c>
      <c r="D2329" t="inlineStr">
        <is>
          <t>II</t>
        </is>
      </c>
      <c r="E2329" t="inlineStr">
        <is>
          <t>Stage 2</t>
        </is>
      </c>
      <c r="F2329" t="inlineStr">
        <is>
          <t>N/A</t>
        </is>
      </c>
      <c r="G2329" s="26">
        <v>578857337</v>
      </c>
      <c r="H2329" s="26">
        <v>34731440</v>
      </c>
      <c r="I2329" s="26">
        <v>62474018</v>
      </c>
      <c r="J2329" s="26">
        <v>162</v>
      </c>
      <c r="K2329" t="inlineStr">
        <is>
          <t>Non</t>
        </is>
      </c>
      <c r="L2329">
        <f>SUBTOTAL(103,A2329)</f>
        <v>1</v>
      </c>
    </row>
    <row r="2330">
      <c r="A2330" t="inlineStr">
        <is>
          <t>SOCIETE C322</t>
        </is>
      </c>
      <c r="B2330" t="inlineStr">
        <is>
          <t>C322</t>
        </is>
      </c>
      <c r="C2330" t="inlineStr">
        <is>
          <t>CORPORATE BANKING</t>
        </is>
      </c>
      <c r="D2330" t="inlineStr">
        <is>
          <t>II</t>
        </is>
      </c>
      <c r="E2330" t="inlineStr">
        <is>
          <t>Stage 2</t>
        </is>
      </c>
      <c r="F2330" t="inlineStr">
        <is>
          <t>N/A</t>
        </is>
      </c>
      <c r="G2330" s="26">
        <v>1000004</v>
      </c>
      <c r="H2330" s="26">
        <v>60000</v>
      </c>
      <c r="I2330" s="26">
        <v>0</v>
      </c>
      <c r="J2330" s="26">
        <v>101</v>
      </c>
      <c r="K2330" t="inlineStr">
        <is>
          <t>Non</t>
        </is>
      </c>
      <c r="L2330">
        <f>SUBTOTAL(103,A2330)</f>
        <v>1</v>
      </c>
    </row>
    <row r="2331">
      <c r="A2331" t="inlineStr">
        <is>
          <t>SOCIETE C1521</t>
        </is>
      </c>
      <c r="B2331" t="inlineStr">
        <is>
          <t>C1521</t>
        </is>
      </c>
      <c r="C2331" t="inlineStr">
        <is>
          <t>PUBLIC SECTOR</t>
        </is>
      </c>
      <c r="D2331" t="inlineStr">
        <is>
          <t>I</t>
        </is>
      </c>
      <c r="E2331" t="inlineStr">
        <is>
          <t>Stage 1</t>
        </is>
      </c>
      <c r="F2331" t="inlineStr">
        <is>
          <t>N/A</t>
        </is>
      </c>
      <c r="G2331" s="26">
        <v>835795910</v>
      </c>
      <c r="H2331" s="26">
        <v>8357959</v>
      </c>
      <c r="I2331" s="26">
        <v>0</v>
      </c>
      <c r="J2331" s="26">
        <v>29</v>
      </c>
      <c r="K2331" t="inlineStr">
        <is>
          <t>Non</t>
        </is>
      </c>
      <c r="L2331">
        <f>SUBTOTAL(103,A2331)</f>
        <v>1</v>
      </c>
    </row>
    <row r="2332">
      <c r="A2332" t="inlineStr">
        <is>
          <t>SOCIETE C25</t>
        </is>
      </c>
      <c r="B2332" t="inlineStr">
        <is>
          <t>C25</t>
        </is>
      </c>
      <c r="C2332" t="inlineStr">
        <is>
          <t>COMMERCIAL BANKING</t>
        </is>
      </c>
      <c r="D2332" t="inlineStr">
        <is>
          <t>IA</t>
        </is>
      </c>
      <c r="E2332" t="inlineStr">
        <is>
          <t>Stage 2</t>
        </is>
      </c>
      <c r="F2332" t="inlineStr">
        <is>
          <t>N/A</t>
        </is>
      </c>
      <c r="G2332" s="26">
        <v>2444067513</v>
      </c>
      <c r="H2332" s="26">
        <v>146644051</v>
      </c>
      <c r="I2332" s="26">
        <v>78950505</v>
      </c>
      <c r="J2332" s="26">
        <v>164</v>
      </c>
      <c r="K2332" t="inlineStr">
        <is>
          <t>Non</t>
        </is>
      </c>
      <c r="L2332">
        <f>SUBTOTAL(103,A2332)</f>
        <v>1</v>
      </c>
    </row>
    <row r="2333">
      <c r="A2333" t="inlineStr">
        <is>
          <t>SOCIETE C2125</t>
        </is>
      </c>
      <c r="B2333" t="inlineStr">
        <is>
          <t>C2125</t>
        </is>
      </c>
      <c r="C2333" t="inlineStr">
        <is>
          <t>CORPORATE BANKING</t>
        </is>
      </c>
      <c r="D2333" t="inlineStr">
        <is>
          <t>I</t>
        </is>
      </c>
      <c r="E2333" t="inlineStr">
        <is>
          <t>Stage 1</t>
        </is>
      </c>
      <c r="F2333" t="inlineStr">
        <is>
          <t>N/A</t>
        </is>
      </c>
      <c r="G2333" s="26">
        <v>1945768861</v>
      </c>
      <c r="H2333" s="26">
        <v>19457689</v>
      </c>
      <c r="I2333" s="26">
        <v>0</v>
      </c>
      <c r="J2333" s="26">
        <v>8</v>
      </c>
      <c r="K2333" t="inlineStr">
        <is>
          <t>Non</t>
        </is>
      </c>
      <c r="L2333">
        <f>SUBTOTAL(103,A2333)</f>
        <v>1</v>
      </c>
    </row>
    <row r="2334">
      <c r="A2334" t="inlineStr">
        <is>
          <t>SOCIETE C2079</t>
        </is>
      </c>
      <c r="B2334" t="inlineStr">
        <is>
          <t>C2079</t>
        </is>
      </c>
      <c r="C2334" t="inlineStr">
        <is>
          <t>CORPORATE BANKING</t>
        </is>
      </c>
      <c r="D2334" t="inlineStr">
        <is>
          <t>I</t>
        </is>
      </c>
      <c r="E2334" t="inlineStr">
        <is>
          <t>Stage 1</t>
        </is>
      </c>
      <c r="F2334" t="inlineStr">
        <is>
          <t>N/A</t>
        </is>
      </c>
      <c r="G2334" s="26">
        <v>2443984249</v>
      </c>
      <c r="H2334" s="26">
        <v>24439842</v>
      </c>
      <c r="I2334" s="26">
        <v>0</v>
      </c>
      <c r="J2334" s="26">
        <v>1</v>
      </c>
      <c r="K2334" t="inlineStr">
        <is>
          <t>Non</t>
        </is>
      </c>
      <c r="L2334">
        <f>SUBTOTAL(103,A2334)</f>
        <v>1</v>
      </c>
    </row>
    <row r="2335">
      <c r="A2335" t="inlineStr">
        <is>
          <t>SOCIETE C1629</t>
        </is>
      </c>
      <c r="B2335" t="inlineStr">
        <is>
          <t>C1629</t>
        </is>
      </c>
      <c r="C2335" t="inlineStr">
        <is>
          <t>CORPORATE BANKING</t>
        </is>
      </c>
      <c r="D2335" t="inlineStr">
        <is>
          <t>IV</t>
        </is>
      </c>
      <c r="E2335" t="inlineStr">
        <is>
          <t>Stage 3</t>
        </is>
      </c>
      <c r="F2335" t="inlineStr">
        <is>
          <t>N/A</t>
        </is>
      </c>
      <c r="G2335" s="26">
        <v>2282744546</v>
      </c>
      <c r="H2335" s="26">
        <v>1255509501</v>
      </c>
      <c r="I2335" s="26">
        <v>0</v>
      </c>
      <c r="J2335" s="26">
        <v>60</v>
      </c>
      <c r="K2335" t="inlineStr">
        <is>
          <t>Oui</t>
        </is>
      </c>
      <c r="L2335">
        <f>SUBTOTAL(103,A2335)</f>
        <v>1</v>
      </c>
    </row>
    <row r="2336">
      <c r="A2336" t="inlineStr">
        <is>
          <t>SOCIETE C172</t>
        </is>
      </c>
      <c r="B2336" t="inlineStr">
        <is>
          <t>C172</t>
        </is>
      </c>
      <c r="C2336" t="inlineStr">
        <is>
          <t>CONSUMER BANKING</t>
        </is>
      </c>
      <c r="D2336" t="inlineStr">
        <is>
          <t>V</t>
        </is>
      </c>
      <c r="E2336" t="inlineStr">
        <is>
          <t>Stage 3</t>
        </is>
      </c>
      <c r="F2336" t="inlineStr">
        <is>
          <t>N/A</t>
        </is>
      </c>
      <c r="G2336" s="26">
        <v>8490221</v>
      </c>
      <c r="H2336" s="26">
        <v>4669622</v>
      </c>
      <c r="I2336" s="26">
        <v>0</v>
      </c>
      <c r="J2336" s="26">
        <v>112</v>
      </c>
      <c r="K2336" t="inlineStr">
        <is>
          <t>Oui</t>
        </is>
      </c>
      <c r="L2336">
        <f>SUBTOTAL(103,A2336)</f>
        <v>1</v>
      </c>
    </row>
    <row r="2337">
      <c r="A2337" t="inlineStr">
        <is>
          <t>SOCIETE C1783</t>
        </is>
      </c>
      <c r="B2337" t="inlineStr">
        <is>
          <t>C1783</t>
        </is>
      </c>
      <c r="C2337" t="inlineStr">
        <is>
          <t>SME</t>
        </is>
      </c>
      <c r="D2337" t="inlineStr">
        <is>
          <t>IA</t>
        </is>
      </c>
      <c r="E2337" t="inlineStr">
        <is>
          <t>Stage 2</t>
        </is>
      </c>
      <c r="F2337" t="inlineStr">
        <is>
          <t>N/A</t>
        </is>
      </c>
      <c r="G2337" s="26">
        <v>1511091</v>
      </c>
      <c r="H2337" s="26">
        <v>90665</v>
      </c>
      <c r="I2337" s="26">
        <v>266810</v>
      </c>
      <c r="J2337" s="26">
        <v>67</v>
      </c>
      <c r="K2337" t="inlineStr">
        <is>
          <t>Non</t>
        </is>
      </c>
      <c r="L2337">
        <f>SUBTOTAL(103,A2337)</f>
        <v>1</v>
      </c>
    </row>
    <row r="2338">
      <c r="A2338" t="inlineStr">
        <is>
          <t>SOCIETE C669</t>
        </is>
      </c>
      <c r="B2338" t="inlineStr">
        <is>
          <t>C669</t>
        </is>
      </c>
      <c r="C2338" t="inlineStr">
        <is>
          <t>CORPORATE BANKING</t>
        </is>
      </c>
      <c r="D2338" t="inlineStr">
        <is>
          <t>III</t>
        </is>
      </c>
      <c r="E2338" t="inlineStr">
        <is>
          <t>Stage 3</t>
        </is>
      </c>
      <c r="F2338" t="inlineStr">
        <is>
          <t>N/A</t>
        </is>
      </c>
      <c r="G2338" s="26">
        <v>267612782</v>
      </c>
      <c r="H2338" s="26">
        <v>147187030</v>
      </c>
      <c r="I2338" s="26">
        <v>0</v>
      </c>
      <c r="J2338" s="26">
        <v>66</v>
      </c>
      <c r="K2338" t="inlineStr">
        <is>
          <t>Oui</t>
        </is>
      </c>
      <c r="L2338">
        <f>SUBTOTAL(103,A2338)</f>
        <v>1</v>
      </c>
    </row>
    <row r="2339">
      <c r="A2339" t="inlineStr">
        <is>
          <t>SOCIETE C1564</t>
        </is>
      </c>
      <c r="B2339" t="inlineStr">
        <is>
          <t>C1564</t>
        </is>
      </c>
      <c r="C2339" t="inlineStr">
        <is>
          <t>CORPORATE BANKING</t>
        </is>
      </c>
      <c r="D2339" t="inlineStr">
        <is>
          <t>IA</t>
        </is>
      </c>
      <c r="E2339" t="inlineStr">
        <is>
          <t>Stage 2</t>
        </is>
      </c>
      <c r="F2339" t="inlineStr">
        <is>
          <t>N/A</t>
        </is>
      </c>
      <c r="G2339" s="26">
        <v>1835137168</v>
      </c>
      <c r="H2339" s="26">
        <v>110108230</v>
      </c>
      <c r="I2339" s="26">
        <v>0</v>
      </c>
      <c r="J2339" s="26">
        <v>250</v>
      </c>
      <c r="K2339" t="inlineStr">
        <is>
          <t>Non</t>
        </is>
      </c>
      <c r="L2339">
        <f>SUBTOTAL(103,A2339)</f>
        <v>1</v>
      </c>
    </row>
    <row r="2340">
      <c r="A2340" t="inlineStr">
        <is>
          <t>SOCIETE C2381</t>
        </is>
      </c>
      <c r="B2340" t="inlineStr">
        <is>
          <t>C2381</t>
        </is>
      </c>
      <c r="C2340" t="inlineStr">
        <is>
          <t>PUBLIC SECTOR</t>
        </is>
      </c>
      <c r="D2340" t="inlineStr">
        <is>
          <t>I</t>
        </is>
      </c>
      <c r="E2340" t="inlineStr">
        <is>
          <t>Stage 1</t>
        </is>
      </c>
      <c r="F2340" t="inlineStr">
        <is>
          <t>N/A</t>
        </is>
      </c>
      <c r="G2340" s="26">
        <v>2219226572</v>
      </c>
      <c r="H2340" s="26">
        <v>22192266</v>
      </c>
      <c r="I2340" s="26">
        <v>0</v>
      </c>
      <c r="J2340" s="26">
        <v>208</v>
      </c>
      <c r="K2340" t="inlineStr">
        <is>
          <t>Non</t>
        </is>
      </c>
      <c r="L2340">
        <f>SUBTOTAL(103,A2340)</f>
        <v>1</v>
      </c>
    </row>
    <row r="2341">
      <c r="A2341" t="inlineStr">
        <is>
          <t>SOCIETE C357</t>
        </is>
      </c>
      <c r="B2341" t="inlineStr">
        <is>
          <t>C357</t>
        </is>
      </c>
      <c r="C2341" t="inlineStr">
        <is>
          <t>CORPORATE BANKING</t>
        </is>
      </c>
      <c r="D2341" t="inlineStr">
        <is>
          <t>II</t>
        </is>
      </c>
      <c r="E2341" t="inlineStr">
        <is>
          <t>Stage 2</t>
        </is>
      </c>
      <c r="F2341" t="inlineStr">
        <is>
          <t>N/A</t>
        </is>
      </c>
      <c r="G2341" s="26">
        <v>215442083</v>
      </c>
      <c r="H2341" s="26">
        <v>12926525</v>
      </c>
      <c r="I2341" s="26">
        <v>0</v>
      </c>
      <c r="J2341" s="26">
        <v>288</v>
      </c>
      <c r="K2341" t="inlineStr">
        <is>
          <t>Non</t>
        </is>
      </c>
      <c r="L2341">
        <f>SUBTOTAL(103,A2341)</f>
        <v>1</v>
      </c>
    </row>
    <row r="2342">
      <c r="A2342" t="inlineStr">
        <is>
          <t>SOCIETE C1003</t>
        </is>
      </c>
      <c r="B2342" t="inlineStr">
        <is>
          <t>C1003</t>
        </is>
      </c>
      <c r="C2342" t="inlineStr">
        <is>
          <t>COMMERCIAL BANKING</t>
        </is>
      </c>
      <c r="D2342" t="inlineStr">
        <is>
          <t>V</t>
        </is>
      </c>
      <c r="E2342" t="inlineStr">
        <is>
          <t>Stage 3</t>
        </is>
      </c>
      <c r="F2342" t="inlineStr">
        <is>
          <t>N/A</t>
        </is>
      </c>
      <c r="G2342" s="26">
        <v>347680787</v>
      </c>
      <c r="H2342" s="26">
        <v>191224433</v>
      </c>
      <c r="I2342" s="26">
        <v>0</v>
      </c>
      <c r="J2342" s="26">
        <v>35</v>
      </c>
      <c r="K2342" t="inlineStr">
        <is>
          <t>Oui</t>
        </is>
      </c>
      <c r="L2342">
        <f>SUBTOTAL(103,A2342)</f>
        <v>1</v>
      </c>
    </row>
    <row r="2343">
      <c r="A2343" t="inlineStr">
        <is>
          <t>SOCIETE C539</t>
        </is>
      </c>
      <c r="B2343" t="inlineStr">
        <is>
          <t>C539</t>
        </is>
      </c>
      <c r="C2343" t="inlineStr">
        <is>
          <t>CONSUMER BANKING</t>
        </is>
      </c>
      <c r="D2343" t="inlineStr">
        <is>
          <t>I</t>
        </is>
      </c>
      <c r="E2343" t="inlineStr">
        <is>
          <t>Stage 1</t>
        </is>
      </c>
      <c r="F2343" t="inlineStr">
        <is>
          <t>N/A</t>
        </is>
      </c>
      <c r="G2343" s="26">
        <v>362081142</v>
      </c>
      <c r="H2343" s="26">
        <v>3620811</v>
      </c>
      <c r="I2343" s="26">
        <v>0</v>
      </c>
      <c r="J2343" s="26">
        <v>128</v>
      </c>
      <c r="K2343" t="inlineStr">
        <is>
          <t>Non</t>
        </is>
      </c>
      <c r="L2343">
        <f>SUBTOTAL(103,A2343)</f>
        <v>1</v>
      </c>
    </row>
    <row r="2344">
      <c r="A2344" t="inlineStr">
        <is>
          <t>SOCIETE C1074</t>
        </is>
      </c>
      <c r="B2344" t="inlineStr">
        <is>
          <t>C1074</t>
        </is>
      </c>
      <c r="C2344" t="inlineStr">
        <is>
          <t>CORPORATE BANKING</t>
        </is>
      </c>
      <c r="D2344" t="inlineStr">
        <is>
          <t>II</t>
        </is>
      </c>
      <c r="E2344" t="inlineStr">
        <is>
          <t>Stage 2</t>
        </is>
      </c>
      <c r="F2344" t="inlineStr">
        <is>
          <t>N/A</t>
        </is>
      </c>
      <c r="G2344" s="26">
        <v>38294755</v>
      </c>
      <c r="H2344" s="26">
        <v>2297685</v>
      </c>
      <c r="I2344" s="26">
        <v>0</v>
      </c>
      <c r="J2344" s="26">
        <v>40</v>
      </c>
      <c r="K2344" t="inlineStr">
        <is>
          <t>Non</t>
        </is>
      </c>
      <c r="L2344">
        <f>SUBTOTAL(103,A2344)</f>
        <v>1</v>
      </c>
    </row>
    <row r="2345">
      <c r="A2345" t="inlineStr">
        <is>
          <t>SOCIETE C875</t>
        </is>
      </c>
      <c r="B2345" t="inlineStr">
        <is>
          <t>C875</t>
        </is>
      </c>
      <c r="C2345" t="inlineStr">
        <is>
          <t>CONSUMER BANKING</t>
        </is>
      </c>
      <c r="D2345" t="inlineStr">
        <is>
          <t>I</t>
        </is>
      </c>
      <c r="E2345" t="inlineStr">
        <is>
          <t>Stage 1</t>
        </is>
      </c>
      <c r="F2345" t="inlineStr">
        <is>
          <t>N/A</t>
        </is>
      </c>
      <c r="G2345" s="26">
        <v>371978224</v>
      </c>
      <c r="H2345" s="26">
        <v>3719782</v>
      </c>
      <c r="I2345" s="26">
        <v>0</v>
      </c>
      <c r="J2345" s="26">
        <v>100</v>
      </c>
      <c r="K2345" t="inlineStr">
        <is>
          <t>Non</t>
        </is>
      </c>
      <c r="L2345">
        <f>SUBTOTAL(103,A2345)</f>
        <v>1</v>
      </c>
    </row>
    <row r="2346">
      <c r="A2346" t="inlineStr">
        <is>
          <t>SOCIETE C1205</t>
        </is>
      </c>
      <c r="B2346" t="inlineStr">
        <is>
          <t>C1205</t>
        </is>
      </c>
      <c r="C2346" t="inlineStr">
        <is>
          <t>CORPORATE BANKING</t>
        </is>
      </c>
      <c r="D2346" t="inlineStr">
        <is>
          <t>I</t>
        </is>
      </c>
      <c r="E2346" t="inlineStr">
        <is>
          <t>Stage 1</t>
        </is>
      </c>
      <c r="F2346" t="inlineStr">
        <is>
          <t>N/A</t>
        </is>
      </c>
      <c r="G2346" s="26">
        <v>2945378961</v>
      </c>
      <c r="H2346" s="26">
        <v>29453790</v>
      </c>
      <c r="I2346" s="26">
        <v>0</v>
      </c>
      <c r="J2346" s="26">
        <v>8</v>
      </c>
      <c r="K2346" t="inlineStr">
        <is>
          <t>Non</t>
        </is>
      </c>
      <c r="L2346">
        <f>SUBTOTAL(103,A2346)</f>
        <v>1</v>
      </c>
    </row>
    <row r="2347">
      <c r="A2347" t="inlineStr">
        <is>
          <t>SOCIETE C1399</t>
        </is>
      </c>
      <c r="B2347" t="inlineStr">
        <is>
          <t>C1399</t>
        </is>
      </c>
      <c r="C2347" t="inlineStr">
        <is>
          <t>COMMERCIAL BANKING</t>
        </is>
      </c>
      <c r="D2347" t="inlineStr">
        <is>
          <t>I</t>
        </is>
      </c>
      <c r="E2347" t="inlineStr">
        <is>
          <t>Stage 1</t>
        </is>
      </c>
      <c r="F2347" t="inlineStr">
        <is>
          <t>N/A</t>
        </is>
      </c>
      <c r="G2347" s="26">
        <v>590760443</v>
      </c>
      <c r="H2347" s="26">
        <v>5907604</v>
      </c>
      <c r="I2347" s="26">
        <v>73829949</v>
      </c>
      <c r="J2347" s="26">
        <v>62</v>
      </c>
      <c r="K2347" t="inlineStr">
        <is>
          <t>Non</t>
        </is>
      </c>
      <c r="L2347">
        <f>SUBTOTAL(103,A2347)</f>
        <v>1</v>
      </c>
    </row>
    <row r="2348">
      <c r="A2348" t="inlineStr">
        <is>
          <t>SOCIETE C25</t>
        </is>
      </c>
      <c r="B2348" t="inlineStr">
        <is>
          <t>C25</t>
        </is>
      </c>
      <c r="C2348" t="inlineStr">
        <is>
          <t>COMMERCIAL BANKING</t>
        </is>
      </c>
      <c r="D2348" t="inlineStr">
        <is>
          <t>I</t>
        </is>
      </c>
      <c r="E2348" t="inlineStr">
        <is>
          <t>Stage 1</t>
        </is>
      </c>
      <c r="F2348" t="inlineStr">
        <is>
          <t>N/A</t>
        </is>
      </c>
      <c r="G2348" s="26">
        <v>517851261</v>
      </c>
      <c r="H2348" s="26">
        <v>5178513</v>
      </c>
      <c r="I2348" s="26">
        <v>70259341</v>
      </c>
      <c r="J2348" s="26">
        <v>155</v>
      </c>
      <c r="K2348" t="inlineStr">
        <is>
          <t>Non</t>
        </is>
      </c>
      <c r="L2348">
        <f>SUBTOTAL(103,A2348)</f>
        <v>1</v>
      </c>
    </row>
    <row r="2349">
      <c r="A2349" t="inlineStr">
        <is>
          <t>SOCIETE C382</t>
        </is>
      </c>
      <c r="B2349" t="inlineStr">
        <is>
          <t>C382</t>
        </is>
      </c>
      <c r="C2349" t="inlineStr">
        <is>
          <t>CORPORATE BANKING</t>
        </is>
      </c>
      <c r="D2349" t="inlineStr">
        <is>
          <t>IA</t>
        </is>
      </c>
      <c r="E2349" t="inlineStr">
        <is>
          <t>Stage 2</t>
        </is>
      </c>
      <c r="F2349" t="inlineStr">
        <is>
          <t>N/A</t>
        </is>
      </c>
      <c r="G2349" s="26">
        <v>16783571</v>
      </c>
      <c r="H2349" s="26">
        <v>1007014</v>
      </c>
      <c r="I2349" s="26">
        <v>53054</v>
      </c>
      <c r="J2349" s="26">
        <v>86</v>
      </c>
      <c r="K2349" t="inlineStr">
        <is>
          <t>Non</t>
        </is>
      </c>
      <c r="L2349">
        <f>SUBTOTAL(103,A2349)</f>
        <v>1</v>
      </c>
    </row>
    <row r="2350">
      <c r="A2350" t="inlineStr">
        <is>
          <t>SOCIETE C165</t>
        </is>
      </c>
      <c r="B2350" t="inlineStr">
        <is>
          <t>C165</t>
        </is>
      </c>
      <c r="C2350" t="inlineStr">
        <is>
          <t>CORPORATE BANKING</t>
        </is>
      </c>
      <c r="D2350" t="inlineStr">
        <is>
          <t>II</t>
        </is>
      </c>
      <c r="E2350" t="inlineStr">
        <is>
          <t>Stage 2</t>
        </is>
      </c>
      <c r="F2350" t="inlineStr">
        <is>
          <t>N/A</t>
        </is>
      </c>
      <c r="G2350" s="26">
        <v>1208446628</v>
      </c>
      <c r="H2350" s="26">
        <v>72506798</v>
      </c>
      <c r="I2350" s="26">
        <v>0</v>
      </c>
      <c r="J2350" s="26">
        <v>3</v>
      </c>
      <c r="K2350" t="inlineStr">
        <is>
          <t>Non</t>
        </is>
      </c>
      <c r="L2350">
        <f>SUBTOTAL(103,A2350)</f>
        <v>1</v>
      </c>
    </row>
    <row r="2351">
      <c r="A2351" t="inlineStr">
        <is>
          <t>SOCIETE C2419</t>
        </is>
      </c>
      <c r="B2351" t="inlineStr">
        <is>
          <t>C2419</t>
        </is>
      </c>
      <c r="C2351" t="inlineStr">
        <is>
          <t>COMMERCIAL BANKING</t>
        </is>
      </c>
      <c r="D2351" t="inlineStr">
        <is>
          <t>IA</t>
        </is>
      </c>
      <c r="E2351" t="inlineStr">
        <is>
          <t>Stage 2</t>
        </is>
      </c>
      <c r="F2351" t="inlineStr">
        <is>
          <t>N/A</t>
        </is>
      </c>
      <c r="G2351" s="26">
        <v>59935003</v>
      </c>
      <c r="H2351" s="26">
        <v>3596100</v>
      </c>
      <c r="I2351" s="26">
        <v>0</v>
      </c>
      <c r="J2351" s="26">
        <v>21</v>
      </c>
      <c r="K2351" t="inlineStr">
        <is>
          <t>Non</t>
        </is>
      </c>
      <c r="L2351">
        <f>SUBTOTAL(103,A2351)</f>
        <v>1</v>
      </c>
    </row>
    <row r="2352">
      <c r="A2352" t="inlineStr">
        <is>
          <t>SOCIETE C596</t>
        </is>
      </c>
      <c r="B2352" t="inlineStr">
        <is>
          <t>C596</t>
        </is>
      </c>
      <c r="C2352" t="inlineStr">
        <is>
          <t>CORPORATE BANKING</t>
        </is>
      </c>
      <c r="D2352" t="inlineStr">
        <is>
          <t>I</t>
        </is>
      </c>
      <c r="E2352" t="inlineStr">
        <is>
          <t>Stage 1</t>
        </is>
      </c>
      <c r="F2352" t="inlineStr">
        <is>
          <t>N/A</t>
        </is>
      </c>
      <c r="G2352" s="26">
        <v>57826920</v>
      </c>
      <c r="H2352" s="26">
        <v>578269</v>
      </c>
      <c r="I2352" s="26">
        <v>10295304</v>
      </c>
      <c r="J2352" s="26">
        <v>89</v>
      </c>
      <c r="K2352" t="inlineStr">
        <is>
          <t>Non</t>
        </is>
      </c>
      <c r="L2352">
        <f>SUBTOTAL(103,A2352)</f>
        <v>1</v>
      </c>
    </row>
    <row r="2353">
      <c r="A2353" t="inlineStr">
        <is>
          <t>SOCIETE C1478</t>
        </is>
      </c>
      <c r="B2353" t="inlineStr">
        <is>
          <t>C1478</t>
        </is>
      </c>
      <c r="C2353" t="inlineStr">
        <is>
          <t>CONSUMER BANKING</t>
        </is>
      </c>
      <c r="D2353" t="inlineStr">
        <is>
          <t>V</t>
        </is>
      </c>
      <c r="E2353" t="inlineStr">
        <is>
          <t>Stage 3</t>
        </is>
      </c>
      <c r="F2353" t="inlineStr">
        <is>
          <t>N/A</t>
        </is>
      </c>
      <c r="G2353" s="26">
        <v>8734504</v>
      </c>
      <c r="H2353" s="26">
        <v>4803977</v>
      </c>
      <c r="I2353" s="26">
        <v>0</v>
      </c>
      <c r="J2353" s="26">
        <v>79</v>
      </c>
      <c r="K2353" t="inlineStr">
        <is>
          <t>Oui</t>
        </is>
      </c>
      <c r="L2353">
        <f>SUBTOTAL(103,A2353)</f>
        <v>1</v>
      </c>
    </row>
    <row r="2354">
      <c r="A2354" t="inlineStr">
        <is>
          <t>SOCIETE C1958</t>
        </is>
      </c>
      <c r="B2354" t="inlineStr">
        <is>
          <t>C1958</t>
        </is>
      </c>
      <c r="C2354" t="inlineStr">
        <is>
          <t>CORPORATE BANKING</t>
        </is>
      </c>
      <c r="D2354" t="inlineStr">
        <is>
          <t>I</t>
        </is>
      </c>
      <c r="E2354" t="inlineStr">
        <is>
          <t>Stage 1</t>
        </is>
      </c>
      <c r="F2354" t="inlineStr">
        <is>
          <t>N/A</t>
        </is>
      </c>
      <c r="G2354" s="26">
        <v>410940007</v>
      </c>
      <c r="H2354" s="26">
        <v>4109400</v>
      </c>
      <c r="I2354" s="26">
        <v>0</v>
      </c>
      <c r="J2354" s="26">
        <v>234</v>
      </c>
      <c r="K2354" t="inlineStr">
        <is>
          <t>Non</t>
        </is>
      </c>
      <c r="L2354">
        <f>SUBTOTAL(103,A2354)</f>
        <v>1</v>
      </c>
    </row>
    <row r="2355">
      <c r="A2355" t="inlineStr">
        <is>
          <t>SOCIETE C1172</t>
        </is>
      </c>
      <c r="B2355" t="inlineStr">
        <is>
          <t>C1172</t>
        </is>
      </c>
      <c r="C2355" t="inlineStr">
        <is>
          <t>PUBLIC SECTOR</t>
        </is>
      </c>
      <c r="D2355" t="inlineStr">
        <is>
          <t>IA</t>
        </is>
      </c>
      <c r="E2355" t="inlineStr">
        <is>
          <t>Stage 2</t>
        </is>
      </c>
      <c r="F2355" t="inlineStr">
        <is>
          <t>N/A</t>
        </is>
      </c>
      <c r="G2355" s="26">
        <v>79537083</v>
      </c>
      <c r="H2355" s="26">
        <v>4772225</v>
      </c>
      <c r="I2355" s="26">
        <v>0</v>
      </c>
      <c r="J2355" s="26">
        <v>197</v>
      </c>
      <c r="K2355" t="inlineStr">
        <is>
          <t>Non</t>
        </is>
      </c>
      <c r="L2355">
        <f>SUBTOTAL(103,A2355)</f>
        <v>1</v>
      </c>
    </row>
    <row r="2356">
      <c r="A2356" t="inlineStr">
        <is>
          <t>SOCIETE C2186</t>
        </is>
      </c>
      <c r="B2356" t="inlineStr">
        <is>
          <t>C2186</t>
        </is>
      </c>
      <c r="C2356" t="inlineStr">
        <is>
          <t>COMMERCIAL BANKING</t>
        </is>
      </c>
      <c r="D2356" t="inlineStr">
        <is>
          <t>III</t>
        </is>
      </c>
      <c r="E2356" t="inlineStr">
        <is>
          <t>Stage 3</t>
        </is>
      </c>
      <c r="F2356" t="inlineStr">
        <is>
          <t>N/A</t>
        </is>
      </c>
      <c r="G2356" s="26">
        <v>45672230</v>
      </c>
      <c r="H2356" s="26">
        <v>25119726</v>
      </c>
      <c r="I2356" s="26">
        <v>6715276</v>
      </c>
      <c r="J2356" s="26">
        <v>93</v>
      </c>
      <c r="K2356" t="inlineStr">
        <is>
          <t>Oui</t>
        </is>
      </c>
      <c r="L2356">
        <f>SUBTOTAL(103,A2356)</f>
        <v>1</v>
      </c>
    </row>
    <row r="2357">
      <c r="A2357" t="inlineStr">
        <is>
          <t>SOCIETE C1045</t>
        </is>
      </c>
      <c r="B2357" t="inlineStr">
        <is>
          <t>C1045</t>
        </is>
      </c>
      <c r="C2357" t="inlineStr">
        <is>
          <t>COMMERCIAL BANKING</t>
        </is>
      </c>
      <c r="D2357" t="inlineStr">
        <is>
          <t>IV</t>
        </is>
      </c>
      <c r="E2357" t="inlineStr">
        <is>
          <t>Stage 3</t>
        </is>
      </c>
      <c r="F2357" t="inlineStr">
        <is>
          <t>N/A</t>
        </is>
      </c>
      <c r="G2357" s="26">
        <v>123554820</v>
      </c>
      <c r="H2357" s="26">
        <v>67955151</v>
      </c>
      <c r="I2357" s="26">
        <v>3536348</v>
      </c>
      <c r="J2357" s="26">
        <v>52</v>
      </c>
      <c r="K2357" t="inlineStr">
        <is>
          <t>Oui</t>
        </is>
      </c>
      <c r="L2357">
        <f>SUBTOTAL(103,A2357)</f>
        <v>1</v>
      </c>
    </row>
    <row r="2358">
      <c r="A2358" t="inlineStr">
        <is>
          <t>SOCIETE C420</t>
        </is>
      </c>
      <c r="B2358" t="inlineStr">
        <is>
          <t>C420</t>
        </is>
      </c>
      <c r="C2358" t="inlineStr">
        <is>
          <t>CORPORATE BANKING</t>
        </is>
      </c>
      <c r="D2358" t="inlineStr">
        <is>
          <t>IV</t>
        </is>
      </c>
      <c r="E2358" t="inlineStr">
        <is>
          <t>Stage 3</t>
        </is>
      </c>
      <c r="F2358" t="inlineStr">
        <is>
          <t>N/A</t>
        </is>
      </c>
      <c r="G2358" s="26">
        <v>2909923047</v>
      </c>
      <c r="H2358" s="26">
        <v>1600457676</v>
      </c>
      <c r="I2358" s="26">
        <v>0</v>
      </c>
      <c r="J2358" s="26">
        <v>201</v>
      </c>
      <c r="K2358" t="inlineStr">
        <is>
          <t>Oui</t>
        </is>
      </c>
      <c r="L2358">
        <f>SUBTOTAL(103,A2358)</f>
        <v>1</v>
      </c>
    </row>
    <row r="2359">
      <c r="A2359" t="inlineStr">
        <is>
          <t>SOCIETE C1525</t>
        </is>
      </c>
      <c r="B2359" t="inlineStr">
        <is>
          <t>C1525</t>
        </is>
      </c>
      <c r="C2359" t="inlineStr">
        <is>
          <t>CONSUMER BANKING</t>
        </is>
      </c>
      <c r="D2359" t="inlineStr">
        <is>
          <t>I</t>
        </is>
      </c>
      <c r="E2359" t="inlineStr">
        <is>
          <t>Stage 1</t>
        </is>
      </c>
      <c r="F2359" t="inlineStr">
        <is>
          <t>N/A</t>
        </is>
      </c>
      <c r="G2359" s="26">
        <v>534710673</v>
      </c>
      <c r="H2359" s="26">
        <v>5347107</v>
      </c>
      <c r="I2359" s="26">
        <v>0</v>
      </c>
      <c r="J2359" s="26">
        <v>91</v>
      </c>
      <c r="K2359" t="inlineStr">
        <is>
          <t>Non</t>
        </is>
      </c>
      <c r="L2359">
        <f>SUBTOTAL(103,A2359)</f>
        <v>1</v>
      </c>
    </row>
    <row r="2360">
      <c r="A2360" t="inlineStr">
        <is>
          <t>SOCIETE C1703</t>
        </is>
      </c>
      <c r="B2360" t="inlineStr">
        <is>
          <t>C1703</t>
        </is>
      </c>
      <c r="C2360" t="inlineStr">
        <is>
          <t>PUBLIC SECTOR</t>
        </is>
      </c>
      <c r="D2360" t="inlineStr">
        <is>
          <t>I</t>
        </is>
      </c>
      <c r="E2360" t="inlineStr">
        <is>
          <t>Stage 1</t>
        </is>
      </c>
      <c r="F2360" t="inlineStr">
        <is>
          <t>N/A</t>
        </is>
      </c>
      <c r="G2360" s="26">
        <v>158906347</v>
      </c>
      <c r="H2360" s="26">
        <v>1589063</v>
      </c>
      <c r="I2360" s="26">
        <v>0</v>
      </c>
      <c r="J2360" s="26">
        <v>25</v>
      </c>
      <c r="K2360" t="inlineStr">
        <is>
          <t>Non</t>
        </is>
      </c>
      <c r="L2360">
        <f>SUBTOTAL(103,A2360)</f>
        <v>1</v>
      </c>
    </row>
    <row r="2361">
      <c r="A2361" t="inlineStr">
        <is>
          <t>SOCIETE C370</t>
        </is>
      </c>
      <c r="B2361" t="inlineStr">
        <is>
          <t>C370</t>
        </is>
      </c>
      <c r="C2361" t="inlineStr">
        <is>
          <t>CORPORATE BANKING</t>
        </is>
      </c>
      <c r="D2361" t="inlineStr">
        <is>
          <t>I</t>
        </is>
      </c>
      <c r="E2361" t="inlineStr">
        <is>
          <t>Stage 1</t>
        </is>
      </c>
      <c r="F2361" t="inlineStr">
        <is>
          <t>N/A</t>
        </is>
      </c>
      <c r="G2361" s="26">
        <v>1498782565</v>
      </c>
      <c r="H2361" s="26">
        <v>14987826</v>
      </c>
      <c r="I2361" s="26">
        <v>0</v>
      </c>
      <c r="J2361" s="26">
        <v>66</v>
      </c>
      <c r="K2361" t="inlineStr">
        <is>
          <t>Non</t>
        </is>
      </c>
      <c r="L2361">
        <f>SUBTOTAL(103,A2361)</f>
        <v>1</v>
      </c>
    </row>
    <row r="2362">
      <c r="A2362" t="inlineStr">
        <is>
          <t>SOCIETE C1956</t>
        </is>
      </c>
      <c r="B2362" t="inlineStr">
        <is>
          <t>C1956</t>
        </is>
      </c>
      <c r="C2362" t="inlineStr">
        <is>
          <t>CONSUMER BANKING</t>
        </is>
      </c>
      <c r="D2362" t="inlineStr">
        <is>
          <t>III</t>
        </is>
      </c>
      <c r="E2362" t="inlineStr">
        <is>
          <t>Stage 3</t>
        </is>
      </c>
      <c r="F2362" t="inlineStr">
        <is>
          <t>N/A</t>
        </is>
      </c>
      <c r="G2362" s="26">
        <v>240887271</v>
      </c>
      <c r="H2362" s="26">
        <v>132487999</v>
      </c>
      <c r="I2362" s="26">
        <v>0</v>
      </c>
      <c r="J2362" s="26">
        <v>10</v>
      </c>
      <c r="K2362" t="inlineStr">
        <is>
          <t>Oui</t>
        </is>
      </c>
      <c r="L2362">
        <f>SUBTOTAL(103,A2362)</f>
        <v>1</v>
      </c>
    </row>
    <row r="2363">
      <c r="A2363" t="inlineStr">
        <is>
          <t>SOCIETE C130</t>
        </is>
      </c>
      <c r="B2363" t="inlineStr">
        <is>
          <t>C130</t>
        </is>
      </c>
      <c r="C2363" t="inlineStr">
        <is>
          <t>CORPORATE BANKING</t>
        </is>
      </c>
      <c r="D2363" t="inlineStr">
        <is>
          <t>I</t>
        </is>
      </c>
      <c r="E2363" t="inlineStr">
        <is>
          <t>Stage 1</t>
        </is>
      </c>
      <c r="F2363" t="inlineStr">
        <is>
          <t>N/A</t>
        </is>
      </c>
      <c r="G2363" s="26">
        <v>1032282</v>
      </c>
      <c r="H2363" s="26">
        <v>10323</v>
      </c>
      <c r="I2363" s="26">
        <v>0</v>
      </c>
      <c r="J2363" s="26">
        <v>129</v>
      </c>
      <c r="K2363" t="inlineStr">
        <is>
          <t>Non</t>
        </is>
      </c>
      <c r="L2363">
        <f>SUBTOTAL(103,A2363)</f>
        <v>1</v>
      </c>
    </row>
    <row r="2364">
      <c r="A2364" t="inlineStr">
        <is>
          <t>SOCIETE C1897</t>
        </is>
      </c>
      <c r="B2364" t="inlineStr">
        <is>
          <t>C1897</t>
        </is>
      </c>
      <c r="C2364" t="inlineStr">
        <is>
          <t>CONSUMER BANKING</t>
        </is>
      </c>
      <c r="D2364" t="inlineStr">
        <is>
          <t>IA</t>
        </is>
      </c>
      <c r="E2364" t="inlineStr">
        <is>
          <t>Stage 2</t>
        </is>
      </c>
      <c r="F2364" t="inlineStr">
        <is>
          <t>N/A</t>
        </is>
      </c>
      <c r="G2364" s="26">
        <v>14038080</v>
      </c>
      <c r="H2364" s="26">
        <v>842285</v>
      </c>
      <c r="I2364" s="26">
        <v>492386</v>
      </c>
      <c r="J2364" s="26">
        <v>126</v>
      </c>
      <c r="K2364" t="inlineStr">
        <is>
          <t>Non</t>
        </is>
      </c>
      <c r="L2364">
        <f>SUBTOTAL(103,A2364)</f>
        <v>1</v>
      </c>
    </row>
    <row r="2365">
      <c r="A2365" t="inlineStr">
        <is>
          <t>SOCIETE C2412</t>
        </is>
      </c>
      <c r="B2365" t="inlineStr">
        <is>
          <t>C2412</t>
        </is>
      </c>
      <c r="C2365" t="inlineStr">
        <is>
          <t>CORPORATE BANKING</t>
        </is>
      </c>
      <c r="D2365" t="inlineStr">
        <is>
          <t>IA</t>
        </is>
      </c>
      <c r="E2365" t="inlineStr">
        <is>
          <t>Stage 2</t>
        </is>
      </c>
      <c r="F2365" t="inlineStr">
        <is>
          <t>N/A</t>
        </is>
      </c>
      <c r="G2365" s="26">
        <v>59973890</v>
      </c>
      <c r="H2365" s="26">
        <v>3598433</v>
      </c>
      <c r="I2365" s="26">
        <v>0</v>
      </c>
      <c r="J2365" s="26">
        <v>43</v>
      </c>
      <c r="K2365" t="inlineStr">
        <is>
          <t>Non</t>
        </is>
      </c>
      <c r="L2365">
        <f>SUBTOTAL(103,A2365)</f>
        <v>1</v>
      </c>
    </row>
    <row r="2366">
      <c r="A2366" t="inlineStr">
        <is>
          <t>SOCIETE C466</t>
        </is>
      </c>
      <c r="B2366" t="inlineStr">
        <is>
          <t>C466</t>
        </is>
      </c>
      <c r="C2366" t="inlineStr">
        <is>
          <t>CORPORATE BANKING</t>
        </is>
      </c>
      <c r="D2366" t="inlineStr">
        <is>
          <t>IA</t>
        </is>
      </c>
      <c r="E2366" t="inlineStr">
        <is>
          <t>Stage 2</t>
        </is>
      </c>
      <c r="F2366" t="inlineStr">
        <is>
          <t>N/A</t>
        </is>
      </c>
      <c r="G2366" s="26">
        <v>28306755</v>
      </c>
      <c r="H2366" s="26">
        <v>1698405</v>
      </c>
      <c r="I2366" s="26">
        <v>0</v>
      </c>
      <c r="J2366" s="26">
        <v>94</v>
      </c>
      <c r="K2366" t="inlineStr">
        <is>
          <t>Non</t>
        </is>
      </c>
      <c r="L2366">
        <f>SUBTOTAL(103,A2366)</f>
        <v>1</v>
      </c>
    </row>
    <row r="2367">
      <c r="A2367" t="inlineStr">
        <is>
          <t>SOCIETE C2479</t>
        </is>
      </c>
      <c r="B2367" t="inlineStr">
        <is>
          <t>C2479</t>
        </is>
      </c>
      <c r="C2367" t="inlineStr">
        <is>
          <t>COMMERCIAL BANKING</t>
        </is>
      </c>
      <c r="D2367" t="inlineStr">
        <is>
          <t>IV</t>
        </is>
      </c>
      <c r="E2367" t="inlineStr">
        <is>
          <t>Stage 3</t>
        </is>
      </c>
      <c r="F2367" t="inlineStr">
        <is>
          <t>N/A</t>
        </is>
      </c>
      <c r="G2367" s="26">
        <v>109259575</v>
      </c>
      <c r="H2367" s="26">
        <v>60092766</v>
      </c>
      <c r="I2367" s="26">
        <v>0</v>
      </c>
      <c r="J2367" s="26">
        <v>314</v>
      </c>
      <c r="K2367" t="inlineStr">
        <is>
          <t>Oui</t>
        </is>
      </c>
      <c r="L2367">
        <f>SUBTOTAL(103,A2367)</f>
        <v>1</v>
      </c>
    </row>
    <row r="2368">
      <c r="A2368" t="inlineStr">
        <is>
          <t>SOCIETE C250</t>
        </is>
      </c>
      <c r="B2368" t="inlineStr">
        <is>
          <t>C250</t>
        </is>
      </c>
      <c r="C2368" t="inlineStr">
        <is>
          <t>CORPORATE BANKING</t>
        </is>
      </c>
      <c r="D2368" t="inlineStr">
        <is>
          <t>I</t>
        </is>
      </c>
      <c r="E2368" t="inlineStr">
        <is>
          <t>Stage 1</t>
        </is>
      </c>
      <c r="F2368" t="inlineStr">
        <is>
          <t>N/A</t>
        </is>
      </c>
      <c r="G2368" s="26">
        <v>484774977</v>
      </c>
      <c r="H2368" s="26">
        <v>4847750</v>
      </c>
      <c r="I2368" s="26">
        <v>0</v>
      </c>
      <c r="J2368" s="26">
        <v>18</v>
      </c>
      <c r="K2368" t="inlineStr">
        <is>
          <t>Non</t>
        </is>
      </c>
      <c r="L2368">
        <f>SUBTOTAL(103,A2368)</f>
        <v>1</v>
      </c>
    </row>
    <row r="2369">
      <c r="A2369" t="inlineStr">
        <is>
          <t>SOCIETE C1079</t>
        </is>
      </c>
      <c r="B2369" t="inlineStr">
        <is>
          <t>C1079</t>
        </is>
      </c>
      <c r="C2369" t="inlineStr">
        <is>
          <t>CORPORATE BANKING</t>
        </is>
      </c>
      <c r="D2369" t="inlineStr">
        <is>
          <t>I</t>
        </is>
      </c>
      <c r="E2369" t="inlineStr">
        <is>
          <t>Stage 1</t>
        </is>
      </c>
      <c r="F2369" t="inlineStr">
        <is>
          <t>N/A</t>
        </is>
      </c>
      <c r="G2369" s="26">
        <v>2499311912</v>
      </c>
      <c r="H2369" s="26">
        <v>24993119</v>
      </c>
      <c r="I2369" s="26">
        <v>0</v>
      </c>
      <c r="J2369" s="26">
        <v>107</v>
      </c>
      <c r="K2369" t="inlineStr">
        <is>
          <t>Non</t>
        </is>
      </c>
      <c r="L2369">
        <f>SUBTOTAL(103,A2369)</f>
        <v>1</v>
      </c>
    </row>
    <row r="2370">
      <c r="A2370" t="inlineStr">
        <is>
          <t>SOCIETE C2214</t>
        </is>
      </c>
      <c r="B2370" t="inlineStr">
        <is>
          <t>C2214</t>
        </is>
      </c>
      <c r="C2370" t="inlineStr">
        <is>
          <t>CORPORATE BANKING</t>
        </is>
      </c>
      <c r="D2370" t="inlineStr">
        <is>
          <t>II</t>
        </is>
      </c>
      <c r="E2370" t="inlineStr">
        <is>
          <t>Stage 2</t>
        </is>
      </c>
      <c r="F2370" t="inlineStr">
        <is>
          <t>N/A</t>
        </is>
      </c>
      <c r="G2370" s="26">
        <v>470914463</v>
      </c>
      <c r="H2370" s="26">
        <v>28254868</v>
      </c>
      <c r="I2370" s="26">
        <v>0</v>
      </c>
      <c r="J2370" s="26">
        <v>199</v>
      </c>
      <c r="K2370" t="inlineStr">
        <is>
          <t>Non</t>
        </is>
      </c>
      <c r="L2370">
        <f>SUBTOTAL(103,A2370)</f>
        <v>1</v>
      </c>
    </row>
    <row r="2371">
      <c r="A2371" t="inlineStr">
        <is>
          <t>SOCIETE C563</t>
        </is>
      </c>
      <c r="B2371" t="inlineStr">
        <is>
          <t>C563</t>
        </is>
      </c>
      <c r="C2371" t="inlineStr">
        <is>
          <t>CORPORATE BANKING</t>
        </is>
      </c>
      <c r="D2371" t="inlineStr">
        <is>
          <t>IA</t>
        </is>
      </c>
      <c r="E2371" t="inlineStr">
        <is>
          <t>Stage 2</t>
        </is>
      </c>
      <c r="F2371" t="inlineStr">
        <is>
          <t>N/A</t>
        </is>
      </c>
      <c r="G2371" s="26">
        <v>738842445</v>
      </c>
      <c r="H2371" s="26">
        <v>44330547</v>
      </c>
      <c r="I2371" s="26">
        <v>0</v>
      </c>
      <c r="J2371" s="26">
        <v>105</v>
      </c>
      <c r="K2371" t="inlineStr">
        <is>
          <t>Non</t>
        </is>
      </c>
      <c r="L2371">
        <f>SUBTOTAL(103,A2371)</f>
        <v>1</v>
      </c>
    </row>
    <row r="2372">
      <c r="A2372" t="inlineStr">
        <is>
          <t>SOCIETE C2183</t>
        </is>
      </c>
      <c r="B2372" t="inlineStr">
        <is>
          <t>C2183</t>
        </is>
      </c>
      <c r="C2372" t="inlineStr">
        <is>
          <t>PUBLIC SECTOR</t>
        </is>
      </c>
      <c r="D2372" t="inlineStr">
        <is>
          <t>III</t>
        </is>
      </c>
      <c r="E2372" t="inlineStr">
        <is>
          <t>Stage 3</t>
        </is>
      </c>
      <c r="F2372" t="inlineStr">
        <is>
          <t>N/A</t>
        </is>
      </c>
      <c r="G2372" s="26">
        <v>2151584142</v>
      </c>
      <c r="H2372" s="26">
        <v>1183371278</v>
      </c>
      <c r="I2372" s="26">
        <v>276611971</v>
      </c>
      <c r="J2372" s="26">
        <v>216</v>
      </c>
      <c r="K2372" t="inlineStr">
        <is>
          <t>Oui</t>
        </is>
      </c>
      <c r="L2372">
        <f>SUBTOTAL(103,A2372)</f>
        <v>1</v>
      </c>
    </row>
    <row r="2373">
      <c r="A2373" t="inlineStr">
        <is>
          <t>SOCIETE C1154</t>
        </is>
      </c>
      <c r="B2373" t="inlineStr">
        <is>
          <t>C1154</t>
        </is>
      </c>
      <c r="C2373" t="inlineStr">
        <is>
          <t>CORPORATE BANKING</t>
        </is>
      </c>
      <c r="D2373" t="inlineStr">
        <is>
          <t>I</t>
        </is>
      </c>
      <c r="E2373" t="inlineStr">
        <is>
          <t>Stage 1</t>
        </is>
      </c>
      <c r="F2373" t="inlineStr">
        <is>
          <t>N/A</t>
        </is>
      </c>
      <c r="G2373" s="26">
        <v>1346454</v>
      </c>
      <c r="H2373" s="26">
        <v>13465</v>
      </c>
      <c r="I2373" s="26">
        <v>0</v>
      </c>
      <c r="J2373" s="26">
        <v>33</v>
      </c>
      <c r="K2373" t="inlineStr">
        <is>
          <t>Non</t>
        </is>
      </c>
      <c r="L2373">
        <f>SUBTOTAL(103,A2373)</f>
        <v>1</v>
      </c>
    </row>
    <row r="2374">
      <c r="A2374" t="inlineStr">
        <is>
          <t>SOCIETE C593</t>
        </is>
      </c>
      <c r="B2374" t="inlineStr">
        <is>
          <t>C593</t>
        </is>
      </c>
      <c r="C2374" t="inlineStr">
        <is>
          <t>PUBLIC SECTOR</t>
        </is>
      </c>
      <c r="D2374" t="inlineStr">
        <is>
          <t>V</t>
        </is>
      </c>
      <c r="E2374" t="inlineStr">
        <is>
          <t>Stage 3</t>
        </is>
      </c>
      <c r="F2374" t="inlineStr">
        <is>
          <t>N/A</t>
        </is>
      </c>
      <c r="G2374" s="26">
        <v>87123182</v>
      </c>
      <c r="H2374" s="26">
        <v>47917750</v>
      </c>
      <c r="I2374" s="26">
        <v>1809257</v>
      </c>
      <c r="J2374" s="26">
        <v>20</v>
      </c>
      <c r="K2374" t="inlineStr">
        <is>
          <t>Oui</t>
        </is>
      </c>
      <c r="L2374">
        <f>SUBTOTAL(103,A2374)</f>
        <v>1</v>
      </c>
    </row>
    <row r="2375">
      <c r="A2375" t="inlineStr">
        <is>
          <t>SOCIETE C1689</t>
        </is>
      </c>
      <c r="B2375" t="inlineStr">
        <is>
          <t>C1689</t>
        </is>
      </c>
      <c r="C2375" t="inlineStr">
        <is>
          <t>CONSUMER BANKING</t>
        </is>
      </c>
      <c r="D2375" t="inlineStr">
        <is>
          <t>V</t>
        </is>
      </c>
      <c r="E2375" t="inlineStr">
        <is>
          <t>Stage 3</t>
        </is>
      </c>
      <c r="F2375" t="inlineStr">
        <is>
          <t>N/A</t>
        </is>
      </c>
      <c r="G2375" s="26">
        <v>342658296</v>
      </c>
      <c r="H2375" s="26">
        <v>188462063</v>
      </c>
      <c r="I2375" s="26">
        <v>20660338</v>
      </c>
      <c r="J2375" s="26">
        <v>24</v>
      </c>
      <c r="K2375" t="inlineStr">
        <is>
          <t>Oui</t>
        </is>
      </c>
      <c r="L2375">
        <f>SUBTOTAL(103,A2375)</f>
        <v>1</v>
      </c>
    </row>
    <row r="2376">
      <c r="A2376" t="inlineStr">
        <is>
          <t>SOCIETE C1682</t>
        </is>
      </c>
      <c r="B2376" t="inlineStr">
        <is>
          <t>C1682</t>
        </is>
      </c>
      <c r="C2376" t="inlineStr">
        <is>
          <t>CONSUMER BANKING</t>
        </is>
      </c>
      <c r="D2376" t="inlineStr">
        <is>
          <t>IV</t>
        </is>
      </c>
      <c r="E2376" t="inlineStr">
        <is>
          <t>Stage 3</t>
        </is>
      </c>
      <c r="F2376" t="inlineStr">
        <is>
          <t>N/A</t>
        </is>
      </c>
      <c r="G2376" s="26">
        <v>146462150</v>
      </c>
      <c r="H2376" s="26">
        <v>80554182</v>
      </c>
      <c r="I2376" s="26">
        <v>0</v>
      </c>
      <c r="J2376" s="26">
        <v>55</v>
      </c>
      <c r="K2376" t="inlineStr">
        <is>
          <t>Oui</t>
        </is>
      </c>
      <c r="L2376">
        <f>SUBTOTAL(103,A2376)</f>
        <v>1</v>
      </c>
    </row>
    <row r="2377">
      <c r="A2377" t="inlineStr">
        <is>
          <t>SOCIETE C1862</t>
        </is>
      </c>
      <c r="B2377" t="inlineStr">
        <is>
          <t>C1862</t>
        </is>
      </c>
      <c r="C2377" t="inlineStr">
        <is>
          <t>CORPORATE BANKING</t>
        </is>
      </c>
      <c r="D2377" t="inlineStr">
        <is>
          <t>IA</t>
        </is>
      </c>
      <c r="E2377" t="inlineStr">
        <is>
          <t>Stage 2</t>
        </is>
      </c>
      <c r="F2377" t="inlineStr">
        <is>
          <t>N/A</t>
        </is>
      </c>
      <c r="G2377" s="26">
        <v>1326118180</v>
      </c>
      <c r="H2377" s="26">
        <v>79567091</v>
      </c>
      <c r="I2377" s="26">
        <v>170480482</v>
      </c>
      <c r="J2377" s="26">
        <v>37</v>
      </c>
      <c r="K2377" t="inlineStr">
        <is>
          <t>Non</t>
        </is>
      </c>
      <c r="L2377">
        <f>SUBTOTAL(103,A2377)</f>
        <v>1</v>
      </c>
    </row>
    <row r="2378">
      <c r="A2378" t="inlineStr">
        <is>
          <t>SOCIETE C726</t>
        </is>
      </c>
      <c r="B2378" t="inlineStr">
        <is>
          <t>C726</t>
        </is>
      </c>
      <c r="C2378" t="inlineStr">
        <is>
          <t>CORPORATE BANKING</t>
        </is>
      </c>
      <c r="D2378" t="inlineStr">
        <is>
          <t>IA</t>
        </is>
      </c>
      <c r="E2378" t="inlineStr">
        <is>
          <t>Stage 2</t>
        </is>
      </c>
      <c r="F2378" t="inlineStr">
        <is>
          <t>N/A</t>
        </is>
      </c>
      <c r="G2378" s="26">
        <v>478958654</v>
      </c>
      <c r="H2378" s="26">
        <v>28737519</v>
      </c>
      <c r="I2378" s="26">
        <v>24865894</v>
      </c>
      <c r="J2378" s="26">
        <v>170</v>
      </c>
      <c r="K2378" t="inlineStr">
        <is>
          <t>Non</t>
        </is>
      </c>
      <c r="L2378">
        <f>SUBTOTAL(103,A2378)</f>
        <v>1</v>
      </c>
    </row>
    <row r="2379">
      <c r="A2379" t="inlineStr">
        <is>
          <t>SOCIETE C1566</t>
        </is>
      </c>
      <c r="B2379" t="inlineStr">
        <is>
          <t>C1566</t>
        </is>
      </c>
      <c r="C2379" t="inlineStr">
        <is>
          <t>CORPORATE BANKING</t>
        </is>
      </c>
      <c r="D2379" t="inlineStr">
        <is>
          <t>IV</t>
        </is>
      </c>
      <c r="E2379" t="inlineStr">
        <is>
          <t>Stage 3</t>
        </is>
      </c>
      <c r="F2379" t="inlineStr">
        <is>
          <t>N/A</t>
        </is>
      </c>
      <c r="G2379" s="26">
        <v>2013021997</v>
      </c>
      <c r="H2379" s="26">
        <v>1107162098</v>
      </c>
      <c r="I2379" s="26">
        <v>60714789</v>
      </c>
      <c r="J2379" s="26">
        <v>146</v>
      </c>
      <c r="K2379" t="inlineStr">
        <is>
          <t>Oui</t>
        </is>
      </c>
      <c r="L2379">
        <f>SUBTOTAL(103,A2379)</f>
        <v>1</v>
      </c>
    </row>
    <row r="2380">
      <c r="A2380" t="inlineStr">
        <is>
          <t>SOCIETE C379</t>
        </is>
      </c>
      <c r="B2380" t="inlineStr">
        <is>
          <t>C379</t>
        </is>
      </c>
      <c r="C2380" t="inlineStr">
        <is>
          <t>PUBLIC SECTOR</t>
        </is>
      </c>
      <c r="D2380" t="inlineStr">
        <is>
          <t>II</t>
        </is>
      </c>
      <c r="E2380" t="inlineStr">
        <is>
          <t>Stage 2</t>
        </is>
      </c>
      <c r="F2380" t="inlineStr">
        <is>
          <t>N/A</t>
        </is>
      </c>
      <c r="G2380" s="26">
        <v>408864897</v>
      </c>
      <c r="H2380" s="26">
        <v>24531894</v>
      </c>
      <c r="I2380" s="26">
        <v>0</v>
      </c>
      <c r="J2380" s="26">
        <v>17</v>
      </c>
      <c r="K2380" t="inlineStr">
        <is>
          <t>Non</t>
        </is>
      </c>
      <c r="L2380">
        <f>SUBTOTAL(103,A2380)</f>
        <v>1</v>
      </c>
    </row>
    <row r="2381">
      <c r="A2381" t="inlineStr">
        <is>
          <t>SOCIETE C631</t>
        </is>
      </c>
      <c r="B2381" t="inlineStr">
        <is>
          <t>C631</t>
        </is>
      </c>
      <c r="C2381" t="inlineStr">
        <is>
          <t>PUBLIC SECTOR</t>
        </is>
      </c>
      <c r="D2381" t="inlineStr">
        <is>
          <t>IA</t>
        </is>
      </c>
      <c r="E2381" t="inlineStr">
        <is>
          <t>Stage 2</t>
        </is>
      </c>
      <c r="F2381" t="inlineStr">
        <is>
          <t>N/A</t>
        </is>
      </c>
      <c r="G2381" s="26">
        <v>7813758</v>
      </c>
      <c r="H2381" s="26">
        <v>468825</v>
      </c>
      <c r="I2381" s="26">
        <v>0</v>
      </c>
      <c r="J2381" s="26">
        <v>49</v>
      </c>
      <c r="K2381" t="inlineStr">
        <is>
          <t>Non</t>
        </is>
      </c>
      <c r="L2381">
        <f>SUBTOTAL(103,A2381)</f>
        <v>1</v>
      </c>
    </row>
    <row r="2382">
      <c r="A2382" t="inlineStr">
        <is>
          <t>SOCIETE C1694</t>
        </is>
      </c>
      <c r="B2382" t="inlineStr">
        <is>
          <t>C1694</t>
        </is>
      </c>
      <c r="C2382" t="inlineStr">
        <is>
          <t>CORPORATE BANKING</t>
        </is>
      </c>
      <c r="D2382" t="inlineStr">
        <is>
          <t>I</t>
        </is>
      </c>
      <c r="E2382" t="inlineStr">
        <is>
          <t>Stage 1</t>
        </is>
      </c>
      <c r="F2382" t="inlineStr">
        <is>
          <t>N/A</t>
        </is>
      </c>
      <c r="G2382" s="26">
        <v>9334206</v>
      </c>
      <c r="H2382" s="26">
        <v>93342</v>
      </c>
      <c r="I2382" s="26">
        <v>0</v>
      </c>
      <c r="J2382" s="26">
        <v>72</v>
      </c>
      <c r="K2382" t="inlineStr">
        <is>
          <t>Non</t>
        </is>
      </c>
      <c r="L2382">
        <f>SUBTOTAL(103,A2382)</f>
        <v>1</v>
      </c>
    </row>
    <row r="2383">
      <c r="A2383" t="inlineStr">
        <is>
          <t>SOCIETE C1048</t>
        </is>
      </c>
      <c r="B2383" t="inlineStr">
        <is>
          <t>C1048</t>
        </is>
      </c>
      <c r="C2383" t="inlineStr">
        <is>
          <t>COMMERCIAL BANKING</t>
        </is>
      </c>
      <c r="D2383" t="inlineStr">
        <is>
          <t>II</t>
        </is>
      </c>
      <c r="E2383" t="inlineStr">
        <is>
          <t>Stage 2</t>
        </is>
      </c>
      <c r="F2383" t="inlineStr">
        <is>
          <t>N/A</t>
        </is>
      </c>
      <c r="G2383" s="26">
        <v>24808149</v>
      </c>
      <c r="H2383" s="26">
        <v>1488489</v>
      </c>
      <c r="I2383" s="26">
        <v>0</v>
      </c>
      <c r="J2383" s="26">
        <v>118</v>
      </c>
      <c r="K2383" t="inlineStr">
        <is>
          <t>Non</t>
        </is>
      </c>
      <c r="L2383">
        <f>SUBTOTAL(103,A2383)</f>
        <v>1</v>
      </c>
    </row>
    <row r="2384">
      <c r="A2384" t="inlineStr">
        <is>
          <t>SOCIETE C1851</t>
        </is>
      </c>
      <c r="B2384" t="inlineStr">
        <is>
          <t>C1851</t>
        </is>
      </c>
      <c r="C2384" t="inlineStr">
        <is>
          <t>CORPORATE BANKING</t>
        </is>
      </c>
      <c r="D2384" t="inlineStr">
        <is>
          <t>I</t>
        </is>
      </c>
      <c r="E2384" t="inlineStr">
        <is>
          <t>Stage 1</t>
        </is>
      </c>
      <c r="F2384" t="inlineStr">
        <is>
          <t>N/A</t>
        </is>
      </c>
      <c r="G2384" s="26">
        <v>4225178</v>
      </c>
      <c r="H2384" s="26">
        <v>42252</v>
      </c>
      <c r="I2384" s="26">
        <v>697869</v>
      </c>
      <c r="J2384" s="26">
        <v>124</v>
      </c>
      <c r="K2384" t="inlineStr">
        <is>
          <t>Non</t>
        </is>
      </c>
      <c r="L2384">
        <f>SUBTOTAL(103,A2384)</f>
        <v>1</v>
      </c>
    </row>
    <row r="2385">
      <c r="A2385" t="inlineStr">
        <is>
          <t>SOCIETE C378</t>
        </is>
      </c>
      <c r="B2385" t="inlineStr">
        <is>
          <t>C378</t>
        </is>
      </c>
      <c r="C2385" t="inlineStr">
        <is>
          <t>CORPORATE BANKING</t>
        </is>
      </c>
      <c r="D2385" t="inlineStr">
        <is>
          <t>I</t>
        </is>
      </c>
      <c r="E2385" t="inlineStr">
        <is>
          <t>Stage 1</t>
        </is>
      </c>
      <c r="F2385" t="inlineStr">
        <is>
          <t>N/A</t>
        </is>
      </c>
      <c r="G2385" s="26">
        <v>35979954</v>
      </c>
      <c r="H2385" s="26">
        <v>359800</v>
      </c>
      <c r="I2385" s="26">
        <v>0</v>
      </c>
      <c r="J2385" s="26">
        <v>227</v>
      </c>
      <c r="K2385" t="inlineStr">
        <is>
          <t>Non</t>
        </is>
      </c>
      <c r="L2385">
        <f>SUBTOTAL(103,A2385)</f>
        <v>1</v>
      </c>
    </row>
    <row r="2386">
      <c r="A2386" t="inlineStr">
        <is>
          <t>SOCIETE C494</t>
        </is>
      </c>
      <c r="B2386" t="inlineStr">
        <is>
          <t>C494</t>
        </is>
      </c>
      <c r="C2386" t="inlineStr">
        <is>
          <t>CORPORATE BANKING</t>
        </is>
      </c>
      <c r="D2386" t="inlineStr">
        <is>
          <t>V</t>
        </is>
      </c>
      <c r="E2386" t="inlineStr">
        <is>
          <t>Stage 3</t>
        </is>
      </c>
      <c r="F2386" t="inlineStr">
        <is>
          <t>N/A</t>
        </is>
      </c>
      <c r="G2386" s="26">
        <v>1000195672</v>
      </c>
      <c r="H2386" s="26">
        <v>550107620</v>
      </c>
      <c r="I2386" s="26">
        <v>123218178</v>
      </c>
      <c r="J2386" s="26">
        <v>228</v>
      </c>
      <c r="K2386" t="inlineStr">
        <is>
          <t>Oui</t>
        </is>
      </c>
      <c r="L2386">
        <f>SUBTOTAL(103,A2386)</f>
        <v>1</v>
      </c>
    </row>
    <row r="2387">
      <c r="A2387" t="inlineStr">
        <is>
          <t>SOCIETE C1672</t>
        </is>
      </c>
      <c r="B2387" t="inlineStr">
        <is>
          <t>C1672</t>
        </is>
      </c>
      <c r="C2387" t="inlineStr">
        <is>
          <t>CORPORATE BANKING</t>
        </is>
      </c>
      <c r="D2387" t="inlineStr">
        <is>
          <t>V</t>
        </is>
      </c>
      <c r="E2387" t="inlineStr">
        <is>
          <t>Stage 3</t>
        </is>
      </c>
      <c r="F2387" t="inlineStr">
        <is>
          <t>N/A</t>
        </is>
      </c>
      <c r="G2387" s="26">
        <v>378706570</v>
      </c>
      <c r="H2387" s="26">
        <v>208288613</v>
      </c>
      <c r="I2387" s="26">
        <v>30541096</v>
      </c>
      <c r="J2387" s="26">
        <v>23</v>
      </c>
      <c r="K2387" t="inlineStr">
        <is>
          <t>Oui</t>
        </is>
      </c>
      <c r="L2387">
        <f>SUBTOTAL(103,A2387)</f>
        <v>1</v>
      </c>
    </row>
    <row r="2388">
      <c r="A2388" t="inlineStr">
        <is>
          <t>SOCIETE C1604</t>
        </is>
      </c>
      <c r="B2388" t="inlineStr">
        <is>
          <t>C1604</t>
        </is>
      </c>
      <c r="C2388" t="inlineStr">
        <is>
          <t>CORPORATE BANKING</t>
        </is>
      </c>
      <c r="D2388" t="inlineStr">
        <is>
          <t>IA</t>
        </is>
      </c>
      <c r="E2388" t="inlineStr">
        <is>
          <t>Stage 2</t>
        </is>
      </c>
      <c r="F2388" t="inlineStr">
        <is>
          <t>N/A</t>
        </is>
      </c>
      <c r="G2388" s="26">
        <v>248404700</v>
      </c>
      <c r="H2388" s="26">
        <v>14904282</v>
      </c>
      <c r="I2388" s="26">
        <v>0</v>
      </c>
      <c r="J2388" s="26">
        <v>61</v>
      </c>
      <c r="K2388" t="inlineStr">
        <is>
          <t>Non</t>
        </is>
      </c>
      <c r="L2388">
        <f>SUBTOTAL(103,A2388)</f>
        <v>1</v>
      </c>
    </row>
    <row r="2389">
      <c r="A2389" t="inlineStr">
        <is>
          <t>SOCIETE C479</t>
        </is>
      </c>
      <c r="B2389" t="inlineStr">
        <is>
          <t>C479</t>
        </is>
      </c>
      <c r="C2389" t="inlineStr">
        <is>
          <t>CORPORATE BANKING</t>
        </is>
      </c>
      <c r="D2389" t="inlineStr">
        <is>
          <t>V</t>
        </is>
      </c>
      <c r="E2389" t="inlineStr">
        <is>
          <t>Stage 3</t>
        </is>
      </c>
      <c r="F2389" t="inlineStr">
        <is>
          <t>N/A</t>
        </is>
      </c>
      <c r="G2389" s="26">
        <v>1914659</v>
      </c>
      <c r="H2389" s="26">
        <v>1053062</v>
      </c>
      <c r="I2389" s="26">
        <v>126177</v>
      </c>
      <c r="J2389" s="26">
        <v>240</v>
      </c>
      <c r="K2389" t="inlineStr">
        <is>
          <t>Oui</t>
        </is>
      </c>
      <c r="L2389">
        <f>SUBTOTAL(103,A2389)</f>
        <v>1</v>
      </c>
    </row>
    <row r="2390">
      <c r="A2390" t="inlineStr">
        <is>
          <t>SOCIETE C1468</t>
        </is>
      </c>
      <c r="B2390" t="inlineStr">
        <is>
          <t>C1468</t>
        </is>
      </c>
      <c r="C2390" t="inlineStr">
        <is>
          <t>CONSUMER BANKING</t>
        </is>
      </c>
      <c r="D2390" t="inlineStr">
        <is>
          <t>I</t>
        </is>
      </c>
      <c r="E2390" t="inlineStr">
        <is>
          <t>Stage 1</t>
        </is>
      </c>
      <c r="F2390" t="inlineStr">
        <is>
          <t>N/A</t>
        </is>
      </c>
      <c r="G2390" s="26">
        <v>1772963048</v>
      </c>
      <c r="H2390" s="26">
        <v>17729630</v>
      </c>
      <c r="I2390" s="26">
        <v>125732190</v>
      </c>
      <c r="J2390" s="26">
        <v>44</v>
      </c>
      <c r="K2390" t="inlineStr">
        <is>
          <t>Non</t>
        </is>
      </c>
      <c r="L2390">
        <f>SUBTOTAL(103,A2390)</f>
        <v>1</v>
      </c>
    </row>
    <row r="2391">
      <c r="A2391" t="inlineStr">
        <is>
          <t>SOCIETE C2397</t>
        </is>
      </c>
      <c r="B2391" t="inlineStr">
        <is>
          <t>C2397</t>
        </is>
      </c>
      <c r="C2391" t="inlineStr">
        <is>
          <t>CORPORATE BANKING</t>
        </is>
      </c>
      <c r="D2391" t="inlineStr">
        <is>
          <t>IA</t>
        </is>
      </c>
      <c r="E2391" t="inlineStr">
        <is>
          <t>Stage 2</t>
        </is>
      </c>
      <c r="F2391" t="inlineStr">
        <is>
          <t>N/A</t>
        </is>
      </c>
      <c r="G2391" s="26">
        <v>498847844</v>
      </c>
      <c r="H2391" s="26">
        <v>29930871</v>
      </c>
      <c r="I2391" s="26">
        <v>0</v>
      </c>
      <c r="J2391" s="26">
        <v>93</v>
      </c>
      <c r="K2391" t="inlineStr">
        <is>
          <t>Non</t>
        </is>
      </c>
      <c r="L2391">
        <f>SUBTOTAL(103,A2391)</f>
        <v>1</v>
      </c>
    </row>
    <row r="2392">
      <c r="A2392" t="inlineStr">
        <is>
          <t>SOCIETE C1411</t>
        </is>
      </c>
      <c r="B2392" t="inlineStr">
        <is>
          <t>C1411</t>
        </is>
      </c>
      <c r="C2392" t="inlineStr">
        <is>
          <t>CORPORATE BANKING</t>
        </is>
      </c>
      <c r="D2392" t="inlineStr">
        <is>
          <t>IA</t>
        </is>
      </c>
      <c r="E2392" t="inlineStr">
        <is>
          <t>Stage 2</t>
        </is>
      </c>
      <c r="F2392" t="inlineStr">
        <is>
          <t>N/A</t>
        </is>
      </c>
      <c r="G2392" s="26">
        <v>2203534</v>
      </c>
      <c r="H2392" s="26">
        <v>132212</v>
      </c>
      <c r="I2392" s="26">
        <v>0</v>
      </c>
      <c r="J2392" s="26">
        <v>9</v>
      </c>
      <c r="K2392" t="inlineStr">
        <is>
          <t>Non</t>
        </is>
      </c>
      <c r="L2392">
        <f>SUBTOTAL(103,A2392)</f>
        <v>1</v>
      </c>
    </row>
    <row r="2393">
      <c r="A2393" t="inlineStr">
        <is>
          <t>SOCIETE C402</t>
        </is>
      </c>
      <c r="B2393" t="inlineStr">
        <is>
          <t>C402</t>
        </is>
      </c>
      <c r="C2393" t="inlineStr">
        <is>
          <t>CORPORATE BANKING</t>
        </is>
      </c>
      <c r="D2393" t="inlineStr">
        <is>
          <t>I</t>
        </is>
      </c>
      <c r="E2393" t="inlineStr">
        <is>
          <t>Stage 1</t>
        </is>
      </c>
      <c r="F2393" t="inlineStr">
        <is>
          <t>N/A</t>
        </is>
      </c>
      <c r="G2393" s="26">
        <v>2303110493</v>
      </c>
      <c r="H2393" s="26">
        <v>23031105</v>
      </c>
      <c r="I2393" s="26">
        <v>0</v>
      </c>
      <c r="J2393" s="26">
        <v>37</v>
      </c>
      <c r="K2393" t="inlineStr">
        <is>
          <t>Non</t>
        </is>
      </c>
      <c r="L2393">
        <f>SUBTOTAL(103,A2393)</f>
        <v>1</v>
      </c>
    </row>
    <row r="2394">
      <c r="A2394" t="inlineStr">
        <is>
          <t>SOCIETE C1090</t>
        </is>
      </c>
      <c r="B2394" t="inlineStr">
        <is>
          <t>C1090</t>
        </is>
      </c>
      <c r="C2394" t="inlineStr">
        <is>
          <t>CORPORATE BANKING</t>
        </is>
      </c>
      <c r="D2394" t="inlineStr">
        <is>
          <t>IA</t>
        </is>
      </c>
      <c r="E2394" t="inlineStr">
        <is>
          <t>Stage 2</t>
        </is>
      </c>
      <c r="F2394" t="inlineStr">
        <is>
          <t>N/A</t>
        </is>
      </c>
      <c r="G2394" s="26">
        <v>70466568</v>
      </c>
      <c r="H2394" s="26">
        <v>4227994</v>
      </c>
      <c r="I2394" s="26">
        <v>2689959</v>
      </c>
      <c r="J2394" s="26">
        <v>110</v>
      </c>
      <c r="K2394" t="inlineStr">
        <is>
          <t>Non</t>
        </is>
      </c>
      <c r="L2394">
        <f>SUBTOTAL(103,A2394)</f>
        <v>1</v>
      </c>
    </row>
    <row r="2395">
      <c r="A2395" t="inlineStr">
        <is>
          <t>SOCIETE C2029</t>
        </is>
      </c>
      <c r="B2395" t="inlineStr">
        <is>
          <t>C2029</t>
        </is>
      </c>
      <c r="C2395" t="inlineStr">
        <is>
          <t>CORPORATE BANKING</t>
        </is>
      </c>
      <c r="D2395" t="inlineStr">
        <is>
          <t>V</t>
        </is>
      </c>
      <c r="E2395" t="inlineStr">
        <is>
          <t>Stage 3</t>
        </is>
      </c>
      <c r="F2395" t="inlineStr">
        <is>
          <t>N/A</t>
        </is>
      </c>
      <c r="G2395" s="26">
        <v>13160840</v>
      </c>
      <c r="H2395" s="26">
        <v>7238462</v>
      </c>
      <c r="I2395" s="26">
        <v>165277</v>
      </c>
      <c r="J2395" s="26">
        <v>77</v>
      </c>
      <c r="K2395" t="inlineStr">
        <is>
          <t>Oui</t>
        </is>
      </c>
      <c r="L2395">
        <f>SUBTOTAL(103,A2395)</f>
        <v>1</v>
      </c>
    </row>
    <row r="2396">
      <c r="A2396" t="inlineStr">
        <is>
          <t>SOCIETE C2438</t>
        </is>
      </c>
      <c r="B2396" t="inlineStr">
        <is>
          <t>C2438</t>
        </is>
      </c>
      <c r="C2396" t="inlineStr">
        <is>
          <t>CONSUMER BANKING</t>
        </is>
      </c>
      <c r="D2396" t="inlineStr">
        <is>
          <t>IA</t>
        </is>
      </c>
      <c r="E2396" t="inlineStr">
        <is>
          <t>Stage 2</t>
        </is>
      </c>
      <c r="F2396" t="inlineStr">
        <is>
          <t>N/A</t>
        </is>
      </c>
      <c r="G2396" s="26">
        <v>2098034714</v>
      </c>
      <c r="H2396" s="26">
        <v>125882083</v>
      </c>
      <c r="I2396" s="26">
        <v>0</v>
      </c>
      <c r="J2396" s="26">
        <v>43</v>
      </c>
      <c r="K2396" t="inlineStr">
        <is>
          <t>Non</t>
        </is>
      </c>
      <c r="L2396">
        <f>SUBTOTAL(103,A2396)</f>
        <v>1</v>
      </c>
    </row>
    <row r="2397">
      <c r="A2397" t="inlineStr">
        <is>
          <t>SOCIETE C959</t>
        </is>
      </c>
      <c r="B2397" t="inlineStr">
        <is>
          <t>C959</t>
        </is>
      </c>
      <c r="C2397" t="inlineStr">
        <is>
          <t>COMMERCIAL BANKING</t>
        </is>
      </c>
      <c r="D2397" t="inlineStr">
        <is>
          <t>I</t>
        </is>
      </c>
      <c r="E2397" t="inlineStr">
        <is>
          <t>Stage 1</t>
        </is>
      </c>
      <c r="F2397" t="inlineStr">
        <is>
          <t>N/A</t>
        </is>
      </c>
      <c r="G2397" s="26">
        <v>1086003</v>
      </c>
      <c r="H2397" s="26">
        <v>10860</v>
      </c>
      <c r="I2397" s="26">
        <v>71516</v>
      </c>
      <c r="J2397" s="26">
        <v>20</v>
      </c>
      <c r="K2397" t="inlineStr">
        <is>
          <t>Non</t>
        </is>
      </c>
      <c r="L2397">
        <f>SUBTOTAL(103,A2397)</f>
        <v>1</v>
      </c>
    </row>
    <row r="2398">
      <c r="A2398" t="inlineStr">
        <is>
          <t>SOCIETE C394</t>
        </is>
      </c>
      <c r="B2398" t="inlineStr">
        <is>
          <t>C394</t>
        </is>
      </c>
      <c r="C2398" t="inlineStr">
        <is>
          <t>CORPORATE BANKING</t>
        </is>
      </c>
      <c r="D2398" t="inlineStr">
        <is>
          <t>I</t>
        </is>
      </c>
      <c r="E2398" t="inlineStr">
        <is>
          <t>Stage 1</t>
        </is>
      </c>
      <c r="F2398" t="inlineStr">
        <is>
          <t>N/A</t>
        </is>
      </c>
      <c r="G2398" s="26">
        <v>1960368065</v>
      </c>
      <c r="H2398" s="26">
        <v>19603681</v>
      </c>
      <c r="I2398" s="26">
        <v>236826384</v>
      </c>
      <c r="J2398" s="26">
        <v>5</v>
      </c>
      <c r="K2398" t="inlineStr">
        <is>
          <t>Non</t>
        </is>
      </c>
      <c r="L2398">
        <f>SUBTOTAL(103,A2398)</f>
        <v>1</v>
      </c>
    </row>
    <row r="2399">
      <c r="A2399" t="inlineStr">
        <is>
          <t>SOCIETE C2332</t>
        </is>
      </c>
      <c r="B2399" t="inlineStr">
        <is>
          <t>C2332</t>
        </is>
      </c>
      <c r="C2399" t="inlineStr">
        <is>
          <t>PUBLIC SECTOR</t>
        </is>
      </c>
      <c r="D2399" t="inlineStr">
        <is>
          <t>IA</t>
        </is>
      </c>
      <c r="E2399" t="inlineStr">
        <is>
          <t>Stage 2</t>
        </is>
      </c>
      <c r="F2399" t="inlineStr">
        <is>
          <t>N/A</t>
        </is>
      </c>
      <c r="G2399" s="26">
        <v>2805115617</v>
      </c>
      <c r="H2399" s="26">
        <v>168306937</v>
      </c>
      <c r="I2399" s="26">
        <v>0</v>
      </c>
      <c r="J2399" s="26">
        <v>5</v>
      </c>
      <c r="K2399" t="inlineStr">
        <is>
          <t>Non</t>
        </is>
      </c>
      <c r="L2399">
        <f>SUBTOTAL(103,A2399)</f>
        <v>1</v>
      </c>
    </row>
    <row r="2400">
      <c r="A2400" t="inlineStr">
        <is>
          <t>SOCIETE C2361</t>
        </is>
      </c>
      <c r="B2400" t="inlineStr">
        <is>
          <t>C2361</t>
        </is>
      </c>
      <c r="C2400" t="inlineStr">
        <is>
          <t>CONSUMER BANKING</t>
        </is>
      </c>
      <c r="D2400" t="inlineStr">
        <is>
          <t>I</t>
        </is>
      </c>
      <c r="E2400" t="inlineStr">
        <is>
          <t>Stage 1</t>
        </is>
      </c>
      <c r="F2400" t="inlineStr">
        <is>
          <t>N/A</t>
        </is>
      </c>
      <c r="G2400" s="26">
        <v>1696200699</v>
      </c>
      <c r="H2400" s="26">
        <v>16962007</v>
      </c>
      <c r="I2400" s="26">
        <v>272839891</v>
      </c>
      <c r="J2400" s="26">
        <v>4</v>
      </c>
      <c r="K2400" t="inlineStr">
        <is>
          <t>Non</t>
        </is>
      </c>
      <c r="L2400">
        <f>SUBTOTAL(103,A2400)</f>
        <v>1</v>
      </c>
    </row>
    <row r="2401">
      <c r="A2401" t="inlineStr">
        <is>
          <t>SOCIETE C1753</t>
        </is>
      </c>
      <c r="B2401" t="inlineStr">
        <is>
          <t>C1753</t>
        </is>
      </c>
      <c r="C2401" t="inlineStr">
        <is>
          <t>CONSUMER BANKING</t>
        </is>
      </c>
      <c r="D2401" t="inlineStr">
        <is>
          <t>IA</t>
        </is>
      </c>
      <c r="E2401" t="inlineStr">
        <is>
          <t>Stage 2</t>
        </is>
      </c>
      <c r="F2401" t="inlineStr">
        <is>
          <t>N/A</t>
        </is>
      </c>
      <c r="G2401" s="26">
        <v>857688497</v>
      </c>
      <c r="H2401" s="26">
        <v>51461310</v>
      </c>
      <c r="I2401" s="26">
        <v>93279830</v>
      </c>
      <c r="J2401" s="26">
        <v>55</v>
      </c>
      <c r="K2401" t="inlineStr">
        <is>
          <t>Non</t>
        </is>
      </c>
      <c r="L2401">
        <f>SUBTOTAL(103,A2401)</f>
        <v>1</v>
      </c>
    </row>
    <row r="2402">
      <c r="A2402" t="inlineStr">
        <is>
          <t>SOCIETE C1188</t>
        </is>
      </c>
      <c r="B2402" t="inlineStr">
        <is>
          <t>C1188</t>
        </is>
      </c>
      <c r="C2402" t="inlineStr">
        <is>
          <t>CORPORATE BANKING</t>
        </is>
      </c>
      <c r="D2402" t="inlineStr">
        <is>
          <t>I</t>
        </is>
      </c>
      <c r="E2402" t="inlineStr">
        <is>
          <t>Stage 1</t>
        </is>
      </c>
      <c r="F2402" t="inlineStr">
        <is>
          <t>N/A</t>
        </is>
      </c>
      <c r="G2402" s="26">
        <v>159267162</v>
      </c>
      <c r="H2402" s="26">
        <v>1592672</v>
      </c>
      <c r="I2402" s="26">
        <v>0</v>
      </c>
      <c r="J2402" s="26">
        <v>83</v>
      </c>
      <c r="K2402" t="inlineStr">
        <is>
          <t>Non</t>
        </is>
      </c>
      <c r="L2402">
        <f>SUBTOTAL(103,A2402)</f>
        <v>1</v>
      </c>
    </row>
    <row r="2403">
      <c r="A2403" t="inlineStr">
        <is>
          <t>SOCIETE C1249</t>
        </is>
      </c>
      <c r="B2403" t="inlineStr">
        <is>
          <t>C1249</t>
        </is>
      </c>
      <c r="C2403" t="inlineStr">
        <is>
          <t>CORPORATE BANKING</t>
        </is>
      </c>
      <c r="D2403" t="inlineStr">
        <is>
          <t>I</t>
        </is>
      </c>
      <c r="E2403" t="inlineStr">
        <is>
          <t>Stage 1</t>
        </is>
      </c>
      <c r="F2403" t="inlineStr">
        <is>
          <t>N/A</t>
        </is>
      </c>
      <c r="G2403" s="26">
        <v>1144917030</v>
      </c>
      <c r="H2403" s="26">
        <v>11449170</v>
      </c>
      <c r="I2403" s="26">
        <v>0</v>
      </c>
      <c r="J2403" s="26">
        <v>163</v>
      </c>
      <c r="K2403" t="inlineStr">
        <is>
          <t>Non</t>
        </is>
      </c>
      <c r="L2403">
        <f>SUBTOTAL(103,A2403)</f>
        <v>1</v>
      </c>
    </row>
    <row r="2404">
      <c r="A2404" t="inlineStr">
        <is>
          <t>SOCIETE C2220</t>
        </is>
      </c>
      <c r="B2404" t="inlineStr">
        <is>
          <t>C2220</t>
        </is>
      </c>
      <c r="C2404" t="inlineStr">
        <is>
          <t>CORPORATE BANKING</t>
        </is>
      </c>
      <c r="D2404" t="inlineStr">
        <is>
          <t>I</t>
        </is>
      </c>
      <c r="E2404" t="inlineStr">
        <is>
          <t>Stage 1</t>
        </is>
      </c>
      <c r="F2404" t="inlineStr">
        <is>
          <t>N/A</t>
        </is>
      </c>
      <c r="G2404" s="26">
        <v>403752026</v>
      </c>
      <c r="H2404" s="26">
        <v>4037520</v>
      </c>
      <c r="I2404" s="26">
        <v>0</v>
      </c>
      <c r="J2404" s="26">
        <v>116</v>
      </c>
      <c r="K2404" t="inlineStr">
        <is>
          <t>Non</t>
        </is>
      </c>
      <c r="L2404">
        <f>SUBTOTAL(103,A2404)</f>
        <v>1</v>
      </c>
    </row>
    <row r="2405">
      <c r="A2405" t="inlineStr">
        <is>
          <t>SOCIETE C1291</t>
        </is>
      </c>
      <c r="B2405" t="inlineStr">
        <is>
          <t>C1291</t>
        </is>
      </c>
      <c r="C2405" t="inlineStr">
        <is>
          <t>CONSUMER BANKING</t>
        </is>
      </c>
      <c r="D2405" t="inlineStr">
        <is>
          <t>III</t>
        </is>
      </c>
      <c r="E2405" t="inlineStr">
        <is>
          <t>Stage 3</t>
        </is>
      </c>
      <c r="F2405" t="inlineStr">
        <is>
          <t>N/A</t>
        </is>
      </c>
      <c r="G2405" s="26">
        <v>1293398711</v>
      </c>
      <c r="H2405" s="26">
        <v>711369291</v>
      </c>
      <c r="I2405" s="26">
        <v>0</v>
      </c>
      <c r="J2405" s="26">
        <v>20</v>
      </c>
      <c r="K2405" t="inlineStr">
        <is>
          <t>Oui</t>
        </is>
      </c>
      <c r="L2405">
        <f>SUBTOTAL(103,A2405)</f>
        <v>1</v>
      </c>
    </row>
    <row r="2406">
      <c r="A2406" t="inlineStr">
        <is>
          <t>SOCIETE C1290</t>
        </is>
      </c>
      <c r="B2406" t="inlineStr">
        <is>
          <t>C1290</t>
        </is>
      </c>
      <c r="C2406" t="inlineStr">
        <is>
          <t>PUBLIC SECTOR</t>
        </is>
      </c>
      <c r="D2406" t="inlineStr">
        <is>
          <t>III</t>
        </is>
      </c>
      <c r="E2406" t="inlineStr">
        <is>
          <t>Stage 3</t>
        </is>
      </c>
      <c r="F2406" t="inlineStr">
        <is>
          <t>N/A</t>
        </is>
      </c>
      <c r="G2406" s="26">
        <v>8524246</v>
      </c>
      <c r="H2406" s="26">
        <v>4688335</v>
      </c>
      <c r="I2406" s="26">
        <v>0</v>
      </c>
      <c r="J2406" s="26">
        <v>22</v>
      </c>
      <c r="K2406" t="inlineStr">
        <is>
          <t>Oui</t>
        </is>
      </c>
      <c r="L2406">
        <f>SUBTOTAL(103,A2406)</f>
        <v>1</v>
      </c>
    </row>
    <row r="2407">
      <c r="A2407" t="inlineStr">
        <is>
          <t>SOCIETE C1521</t>
        </is>
      </c>
      <c r="B2407" t="inlineStr">
        <is>
          <t>C1521</t>
        </is>
      </c>
      <c r="C2407" t="inlineStr">
        <is>
          <t>CORPORATE BANKING</t>
        </is>
      </c>
      <c r="D2407" t="inlineStr">
        <is>
          <t>III</t>
        </is>
      </c>
      <c r="E2407" t="inlineStr">
        <is>
          <t>Stage 3</t>
        </is>
      </c>
      <c r="F2407" t="inlineStr">
        <is>
          <t>N/A</t>
        </is>
      </c>
      <c r="G2407" s="26">
        <v>1587234379</v>
      </c>
      <c r="H2407" s="26">
        <v>872978909</v>
      </c>
      <c r="I2407" s="26">
        <v>279095849</v>
      </c>
      <c r="J2407" s="26">
        <v>191</v>
      </c>
      <c r="K2407" t="inlineStr">
        <is>
          <t>Oui</t>
        </is>
      </c>
      <c r="L2407">
        <f>SUBTOTAL(103,A2407)</f>
        <v>1</v>
      </c>
    </row>
    <row r="2408">
      <c r="A2408" t="inlineStr">
        <is>
          <t>SOCIETE C27</t>
        </is>
      </c>
      <c r="B2408" t="inlineStr">
        <is>
          <t>C27</t>
        </is>
      </c>
      <c r="C2408" t="inlineStr">
        <is>
          <t>CORPORATE BANKING</t>
        </is>
      </c>
      <c r="D2408" t="inlineStr">
        <is>
          <t>IA</t>
        </is>
      </c>
      <c r="E2408" t="inlineStr">
        <is>
          <t>Stage 2</t>
        </is>
      </c>
      <c r="F2408" t="inlineStr">
        <is>
          <t>N/A</t>
        </is>
      </c>
      <c r="G2408" s="26">
        <v>2217063513</v>
      </c>
      <c r="H2408" s="26">
        <v>133023811</v>
      </c>
      <c r="I2408" s="26">
        <v>0</v>
      </c>
      <c r="J2408" s="26">
        <v>7</v>
      </c>
      <c r="K2408" t="inlineStr">
        <is>
          <t>Non</t>
        </is>
      </c>
      <c r="L2408">
        <f>SUBTOTAL(103,A2408)</f>
        <v>1</v>
      </c>
    </row>
    <row r="2409">
      <c r="A2409" t="inlineStr">
        <is>
          <t>SOCIETE C1688</t>
        </is>
      </c>
      <c r="B2409" t="inlineStr">
        <is>
          <t>C1688</t>
        </is>
      </c>
      <c r="C2409" t="inlineStr">
        <is>
          <t>CONSUMER BANKING</t>
        </is>
      </c>
      <c r="D2409" t="inlineStr">
        <is>
          <t>IA</t>
        </is>
      </c>
      <c r="E2409" t="inlineStr">
        <is>
          <t>Stage 2</t>
        </is>
      </c>
      <c r="F2409" t="inlineStr">
        <is>
          <t>N/A</t>
        </is>
      </c>
      <c r="G2409" s="26">
        <v>416346688</v>
      </c>
      <c r="H2409" s="26">
        <v>24980801</v>
      </c>
      <c r="I2409" s="26">
        <v>0</v>
      </c>
      <c r="J2409" s="26">
        <v>45</v>
      </c>
      <c r="K2409" t="inlineStr">
        <is>
          <t>Non</t>
        </is>
      </c>
      <c r="L2409">
        <f>SUBTOTAL(103,A2409)</f>
        <v>1</v>
      </c>
    </row>
    <row r="2410">
      <c r="A2410" t="inlineStr">
        <is>
          <t>SOCIETE C430</t>
        </is>
      </c>
      <c r="B2410" t="inlineStr">
        <is>
          <t>C430</t>
        </is>
      </c>
      <c r="C2410" t="inlineStr">
        <is>
          <t>COMMERCIAL BANKING</t>
        </is>
      </c>
      <c r="D2410" t="inlineStr">
        <is>
          <t>V</t>
        </is>
      </c>
      <c r="E2410" t="inlineStr">
        <is>
          <t>Stage 3</t>
        </is>
      </c>
      <c r="F2410" t="inlineStr">
        <is>
          <t>N/A</t>
        </is>
      </c>
      <c r="G2410" s="26">
        <v>2571927719</v>
      </c>
      <c r="H2410" s="26">
        <v>1414560246</v>
      </c>
      <c r="I2410" s="26">
        <v>0</v>
      </c>
      <c r="J2410" s="26">
        <v>9</v>
      </c>
      <c r="K2410" t="inlineStr">
        <is>
          <t>Oui</t>
        </is>
      </c>
      <c r="L2410">
        <f>SUBTOTAL(103,A2410)</f>
        <v>1</v>
      </c>
    </row>
    <row r="2411">
      <c r="A2411" t="inlineStr">
        <is>
          <t>SOCIETE C605</t>
        </is>
      </c>
      <c r="B2411" t="inlineStr">
        <is>
          <t>C605</t>
        </is>
      </c>
      <c r="C2411" t="inlineStr">
        <is>
          <t>COMMERCIAL BANKING</t>
        </is>
      </c>
      <c r="D2411" t="inlineStr">
        <is>
          <t>III</t>
        </is>
      </c>
      <c r="E2411" t="inlineStr">
        <is>
          <t>Stage 3</t>
        </is>
      </c>
      <c r="F2411" t="inlineStr">
        <is>
          <t>N/A</t>
        </is>
      </c>
      <c r="G2411" s="26">
        <v>13888673</v>
      </c>
      <c r="H2411" s="26">
        <v>7638770</v>
      </c>
      <c r="I2411" s="26">
        <v>0</v>
      </c>
      <c r="J2411" s="26">
        <v>48</v>
      </c>
      <c r="K2411" t="inlineStr">
        <is>
          <t>Oui</t>
        </is>
      </c>
      <c r="L2411">
        <f>SUBTOTAL(103,A2411)</f>
        <v>1</v>
      </c>
    </row>
    <row r="2412">
      <c r="A2412" t="inlineStr">
        <is>
          <t>SOCIETE C864</t>
        </is>
      </c>
      <c r="B2412" t="inlineStr">
        <is>
          <t>C864</t>
        </is>
      </c>
      <c r="C2412" t="inlineStr">
        <is>
          <t>COMMERCIAL BANKING</t>
        </is>
      </c>
      <c r="D2412" t="inlineStr">
        <is>
          <t>V</t>
        </is>
      </c>
      <c r="E2412" t="inlineStr">
        <is>
          <t>Stage 3</t>
        </is>
      </c>
      <c r="F2412" t="inlineStr">
        <is>
          <t>N/A</t>
        </is>
      </c>
      <c r="G2412" s="26">
        <v>657742055</v>
      </c>
      <c r="H2412" s="26">
        <v>361758130</v>
      </c>
      <c r="I2412" s="26">
        <v>0</v>
      </c>
      <c r="J2412" s="26">
        <v>9</v>
      </c>
      <c r="K2412" t="inlineStr">
        <is>
          <t>Oui</t>
        </is>
      </c>
      <c r="L2412">
        <f>SUBTOTAL(103,A2412)</f>
        <v>1</v>
      </c>
    </row>
    <row r="2413">
      <c r="A2413" t="inlineStr">
        <is>
          <t>SOCIETE C223</t>
        </is>
      </c>
      <c r="B2413" t="inlineStr">
        <is>
          <t>C223</t>
        </is>
      </c>
      <c r="C2413" t="inlineStr">
        <is>
          <t>COMMERCIAL BANKING</t>
        </is>
      </c>
      <c r="D2413" t="inlineStr">
        <is>
          <t>II</t>
        </is>
      </c>
      <c r="E2413" t="inlineStr">
        <is>
          <t>Stage 2</t>
        </is>
      </c>
      <c r="F2413" t="inlineStr">
        <is>
          <t>N/A</t>
        </is>
      </c>
      <c r="G2413" s="26">
        <v>2442237034</v>
      </c>
      <c r="H2413" s="26">
        <v>146534222</v>
      </c>
      <c r="I2413" s="26">
        <v>0</v>
      </c>
      <c r="J2413" s="26">
        <v>0</v>
      </c>
      <c r="K2413" t="inlineStr">
        <is>
          <t>Non</t>
        </is>
      </c>
      <c r="L2413">
        <f>SUBTOTAL(103,A2413)</f>
        <v>1</v>
      </c>
    </row>
    <row r="2414">
      <c r="A2414" t="inlineStr">
        <is>
          <t>SOCIETE C590</t>
        </is>
      </c>
      <c r="B2414" t="inlineStr">
        <is>
          <t>C590</t>
        </is>
      </c>
      <c r="C2414" t="inlineStr">
        <is>
          <t>SME</t>
        </is>
      </c>
      <c r="D2414" t="inlineStr">
        <is>
          <t>II</t>
        </is>
      </c>
      <c r="E2414" t="inlineStr">
        <is>
          <t>Stage 2</t>
        </is>
      </c>
      <c r="F2414" t="inlineStr">
        <is>
          <t>N/A</t>
        </is>
      </c>
      <c r="G2414" s="26">
        <v>293917238</v>
      </c>
      <c r="H2414" s="26">
        <v>17635034</v>
      </c>
      <c r="I2414" s="26">
        <v>0</v>
      </c>
      <c r="J2414" s="26">
        <v>134</v>
      </c>
      <c r="K2414" t="inlineStr">
        <is>
          <t>Non</t>
        </is>
      </c>
      <c r="L2414">
        <f>SUBTOTAL(103,A2414)</f>
        <v>1</v>
      </c>
    </row>
    <row r="2415">
      <c r="A2415" t="inlineStr">
        <is>
          <t>SOCIETE C1584</t>
        </is>
      </c>
      <c r="B2415" t="inlineStr">
        <is>
          <t>C1584</t>
        </is>
      </c>
      <c r="C2415" t="inlineStr">
        <is>
          <t>CORPORATE BANKING</t>
        </is>
      </c>
      <c r="D2415" t="inlineStr">
        <is>
          <t>V</t>
        </is>
      </c>
      <c r="E2415" t="inlineStr">
        <is>
          <t>Stage 3</t>
        </is>
      </c>
      <c r="F2415" t="inlineStr">
        <is>
          <t>N/A</t>
        </is>
      </c>
      <c r="G2415" s="26">
        <v>1444021540</v>
      </c>
      <c r="H2415" s="26">
        <v>794211847</v>
      </c>
      <c r="I2415" s="26">
        <v>0</v>
      </c>
      <c r="J2415" s="26">
        <v>70</v>
      </c>
      <c r="K2415" t="inlineStr">
        <is>
          <t>Oui</t>
        </is>
      </c>
      <c r="L2415">
        <f>SUBTOTAL(103,A2415)</f>
        <v>1</v>
      </c>
    </row>
    <row r="2416">
      <c r="A2416" t="inlineStr">
        <is>
          <t>SOCIETE C55</t>
        </is>
      </c>
      <c r="B2416" t="inlineStr">
        <is>
          <t>C55</t>
        </is>
      </c>
      <c r="C2416" t="inlineStr">
        <is>
          <t>CORPORATE BANKING</t>
        </is>
      </c>
      <c r="D2416" t="inlineStr">
        <is>
          <t>I</t>
        </is>
      </c>
      <c r="E2416" t="inlineStr">
        <is>
          <t>Stage 1</t>
        </is>
      </c>
      <c r="F2416" t="inlineStr">
        <is>
          <t>N/A</t>
        </is>
      </c>
      <c r="G2416" s="26">
        <v>2995660115</v>
      </c>
      <c r="H2416" s="26">
        <v>29956601</v>
      </c>
      <c r="I2416" s="26">
        <v>0</v>
      </c>
      <c r="J2416" s="26">
        <v>49</v>
      </c>
      <c r="K2416" t="inlineStr">
        <is>
          <t>Non</t>
        </is>
      </c>
      <c r="L2416">
        <f>SUBTOTAL(103,A2416)</f>
        <v>1</v>
      </c>
    </row>
    <row r="2417">
      <c r="A2417" t="inlineStr">
        <is>
          <t>SOCIETE C2435</t>
        </is>
      </c>
      <c r="B2417" t="inlineStr">
        <is>
          <t>C2435</t>
        </is>
      </c>
      <c r="C2417" t="inlineStr">
        <is>
          <t>CORPORATE BANKING</t>
        </is>
      </c>
      <c r="D2417" t="inlineStr">
        <is>
          <t>II</t>
        </is>
      </c>
      <c r="E2417" t="inlineStr">
        <is>
          <t>Stage 2</t>
        </is>
      </c>
      <c r="F2417" t="inlineStr">
        <is>
          <t>N/A</t>
        </is>
      </c>
      <c r="G2417" s="26">
        <v>114667567</v>
      </c>
      <c r="H2417" s="26">
        <v>6880054</v>
      </c>
      <c r="I2417" s="26">
        <v>0</v>
      </c>
      <c r="J2417" s="26">
        <v>287</v>
      </c>
      <c r="K2417" t="inlineStr">
        <is>
          <t>Non</t>
        </is>
      </c>
      <c r="L2417">
        <f>SUBTOTAL(103,A2417)</f>
        <v>1</v>
      </c>
    </row>
    <row r="2418">
      <c r="A2418" t="inlineStr">
        <is>
          <t>SOCIETE C1591</t>
        </is>
      </c>
      <c r="B2418" t="inlineStr">
        <is>
          <t>C1591</t>
        </is>
      </c>
      <c r="C2418" t="inlineStr">
        <is>
          <t>CORPORATE BANKING</t>
        </is>
      </c>
      <c r="D2418" t="inlineStr">
        <is>
          <t>II</t>
        </is>
      </c>
      <c r="E2418" t="inlineStr">
        <is>
          <t>Stage 2</t>
        </is>
      </c>
      <c r="F2418" t="inlineStr">
        <is>
          <t>N/A</t>
        </is>
      </c>
      <c r="G2418" s="26">
        <v>767027749</v>
      </c>
      <c r="H2418" s="26">
        <v>46021665</v>
      </c>
      <c r="I2418" s="26">
        <v>0</v>
      </c>
      <c r="J2418" s="26">
        <v>143</v>
      </c>
      <c r="K2418" t="inlineStr">
        <is>
          <t>Non</t>
        </is>
      </c>
      <c r="L2418">
        <f>SUBTOTAL(103,A2418)</f>
        <v>1</v>
      </c>
    </row>
    <row r="2419">
      <c r="A2419" t="inlineStr">
        <is>
          <t>SOCIETE C731</t>
        </is>
      </c>
      <c r="B2419" t="inlineStr">
        <is>
          <t>C731</t>
        </is>
      </c>
      <c r="C2419" t="inlineStr">
        <is>
          <t>PUBLIC SECTOR</t>
        </is>
      </c>
      <c r="D2419" t="inlineStr">
        <is>
          <t>V</t>
        </is>
      </c>
      <c r="E2419" t="inlineStr">
        <is>
          <t>Stage 3</t>
        </is>
      </c>
      <c r="F2419" t="inlineStr">
        <is>
          <t>N/A</t>
        </is>
      </c>
      <c r="G2419" s="26">
        <v>1128047560</v>
      </c>
      <c r="H2419" s="26">
        <v>620426158</v>
      </c>
      <c r="I2419" s="26">
        <v>0</v>
      </c>
      <c r="J2419" s="26">
        <v>0</v>
      </c>
      <c r="K2419" t="inlineStr">
        <is>
          <t>Oui</t>
        </is>
      </c>
      <c r="L2419">
        <f>SUBTOTAL(103,A2419)</f>
        <v>1</v>
      </c>
    </row>
    <row r="2420">
      <c r="A2420" t="inlineStr">
        <is>
          <t>SOCIETE C2227</t>
        </is>
      </c>
      <c r="B2420" t="inlineStr">
        <is>
          <t>C2227</t>
        </is>
      </c>
      <c r="C2420" t="inlineStr">
        <is>
          <t>CONSUMER BANKING</t>
        </is>
      </c>
      <c r="D2420" t="inlineStr">
        <is>
          <t>I</t>
        </is>
      </c>
      <c r="E2420" t="inlineStr">
        <is>
          <t>Stage 1</t>
        </is>
      </c>
      <c r="F2420" t="inlineStr">
        <is>
          <t>N/A</t>
        </is>
      </c>
      <c r="G2420" s="26">
        <v>243892195</v>
      </c>
      <c r="H2420" s="26">
        <v>2438922</v>
      </c>
      <c r="I2420" s="26">
        <v>9359825</v>
      </c>
      <c r="J2420" s="26">
        <v>0</v>
      </c>
      <c r="K2420" t="inlineStr">
        <is>
          <t>Non</t>
        </is>
      </c>
      <c r="L2420">
        <f>SUBTOTAL(103,A2420)</f>
        <v>1</v>
      </c>
    </row>
    <row r="2421">
      <c r="A2421" t="inlineStr">
        <is>
          <t>SOCIETE C1731</t>
        </is>
      </c>
      <c r="B2421" t="inlineStr">
        <is>
          <t>C1731</t>
        </is>
      </c>
      <c r="C2421" t="inlineStr">
        <is>
          <t>CORPORATE BANKING</t>
        </is>
      </c>
      <c r="D2421" t="inlineStr">
        <is>
          <t>II</t>
        </is>
      </c>
      <c r="E2421" t="inlineStr">
        <is>
          <t>Stage 2</t>
        </is>
      </c>
      <c r="F2421" t="inlineStr">
        <is>
          <t>N/A</t>
        </is>
      </c>
      <c r="G2421" s="26">
        <v>170380573</v>
      </c>
      <c r="H2421" s="26">
        <v>10222834</v>
      </c>
      <c r="I2421" s="26">
        <v>18734063</v>
      </c>
      <c r="J2421" s="26">
        <v>0</v>
      </c>
      <c r="K2421" t="inlineStr">
        <is>
          <t>Non</t>
        </is>
      </c>
      <c r="L2421">
        <f>SUBTOTAL(103,A2421)</f>
        <v>1</v>
      </c>
    </row>
    <row r="2422">
      <c r="A2422" t="inlineStr">
        <is>
          <t>SOCIETE C1270</t>
        </is>
      </c>
      <c r="B2422" t="inlineStr">
        <is>
          <t>C1270</t>
        </is>
      </c>
      <c r="C2422" t="inlineStr">
        <is>
          <t>COMMERCIAL BANKING</t>
        </is>
      </c>
      <c r="D2422" t="inlineStr">
        <is>
          <t>I</t>
        </is>
      </c>
      <c r="E2422" t="inlineStr">
        <is>
          <t>Stage 1</t>
        </is>
      </c>
      <c r="F2422" t="inlineStr">
        <is>
          <t>N/A</t>
        </is>
      </c>
      <c r="G2422" s="26">
        <v>1478439349</v>
      </c>
      <c r="H2422" s="26">
        <v>14784393</v>
      </c>
      <c r="I2422" s="26">
        <v>0</v>
      </c>
      <c r="J2422" s="26">
        <v>0</v>
      </c>
      <c r="K2422" t="inlineStr">
        <is>
          <t>Non</t>
        </is>
      </c>
      <c r="L2422">
        <f>SUBTOTAL(103,A2422)</f>
        <v>1</v>
      </c>
    </row>
    <row r="2423">
      <c r="A2423" t="inlineStr">
        <is>
          <t>SOCIETE C900</t>
        </is>
      </c>
      <c r="B2423" t="inlineStr">
        <is>
          <t>C900</t>
        </is>
      </c>
      <c r="C2423" t="inlineStr">
        <is>
          <t>CORPORATE BANKING</t>
        </is>
      </c>
      <c r="D2423" t="inlineStr">
        <is>
          <t>II</t>
        </is>
      </c>
      <c r="E2423" t="inlineStr">
        <is>
          <t>Stage 2</t>
        </is>
      </c>
      <c r="F2423" t="inlineStr">
        <is>
          <t>N/A</t>
        </is>
      </c>
      <c r="G2423" s="26">
        <v>554558076</v>
      </c>
      <c r="H2423" s="26">
        <v>33273485</v>
      </c>
      <c r="I2423" s="26">
        <v>2557702</v>
      </c>
      <c r="J2423" s="26">
        <v>93</v>
      </c>
      <c r="K2423" t="inlineStr">
        <is>
          <t>Non</t>
        </is>
      </c>
      <c r="L2423">
        <f>SUBTOTAL(103,A2423)</f>
        <v>1</v>
      </c>
    </row>
    <row r="2424">
      <c r="A2424" t="inlineStr">
        <is>
          <t>SOCIETE C2084</t>
        </is>
      </c>
      <c r="B2424" t="inlineStr">
        <is>
          <t>C2084</t>
        </is>
      </c>
      <c r="C2424" t="inlineStr">
        <is>
          <t>CORPORATE BANKING</t>
        </is>
      </c>
      <c r="D2424" t="inlineStr">
        <is>
          <t>IA</t>
        </is>
      </c>
      <c r="E2424" t="inlineStr">
        <is>
          <t>Stage 2</t>
        </is>
      </c>
      <c r="F2424" t="inlineStr">
        <is>
          <t>N/A</t>
        </is>
      </c>
      <c r="G2424" s="26">
        <v>731427921</v>
      </c>
      <c r="H2424" s="26">
        <v>43885675</v>
      </c>
      <c r="I2424" s="26">
        <v>0</v>
      </c>
      <c r="J2424" s="26">
        <v>29</v>
      </c>
      <c r="K2424" t="inlineStr">
        <is>
          <t>Non</t>
        </is>
      </c>
      <c r="L2424">
        <f>SUBTOTAL(103,A2424)</f>
        <v>1</v>
      </c>
    </row>
    <row r="2425">
      <c r="A2425" t="inlineStr">
        <is>
          <t>SOCIETE C317</t>
        </is>
      </c>
      <c r="B2425" t="inlineStr">
        <is>
          <t>C317</t>
        </is>
      </c>
      <c r="C2425" t="inlineStr">
        <is>
          <t>CORPORATE BANKING</t>
        </is>
      </c>
      <c r="D2425" t="inlineStr">
        <is>
          <t>I</t>
        </is>
      </c>
      <c r="E2425" t="inlineStr">
        <is>
          <t>Stage 1</t>
        </is>
      </c>
      <c r="F2425" t="inlineStr">
        <is>
          <t>N/A</t>
        </is>
      </c>
      <c r="G2425" s="26">
        <v>60803148</v>
      </c>
      <c r="H2425" s="26">
        <v>608031</v>
      </c>
      <c r="I2425" s="26">
        <v>1844765</v>
      </c>
      <c r="J2425" s="26">
        <v>37</v>
      </c>
      <c r="K2425" t="inlineStr">
        <is>
          <t>Non</t>
        </is>
      </c>
      <c r="L2425">
        <f>SUBTOTAL(103,A2425)</f>
        <v>1</v>
      </c>
    </row>
    <row r="2426">
      <c r="A2426" t="inlineStr">
        <is>
          <t>SOCIETE C2042</t>
        </is>
      </c>
      <c r="B2426" t="inlineStr">
        <is>
          <t>C2042</t>
        </is>
      </c>
      <c r="C2426" t="inlineStr">
        <is>
          <t>COMMERCIAL BANKING</t>
        </is>
      </c>
      <c r="D2426" t="inlineStr">
        <is>
          <t>I</t>
        </is>
      </c>
      <c r="E2426" t="inlineStr">
        <is>
          <t>Stage 1</t>
        </is>
      </c>
      <c r="F2426" t="inlineStr">
        <is>
          <t>N/A</t>
        </is>
      </c>
      <c r="G2426" s="26">
        <v>672728862</v>
      </c>
      <c r="H2426" s="26">
        <v>6727289</v>
      </c>
      <c r="I2426" s="26">
        <v>0</v>
      </c>
      <c r="J2426" s="26">
        <v>135</v>
      </c>
      <c r="K2426" t="inlineStr">
        <is>
          <t>Non</t>
        </is>
      </c>
      <c r="L2426">
        <f>SUBTOTAL(103,A2426)</f>
        <v>1</v>
      </c>
    </row>
    <row r="2427">
      <c r="A2427" t="inlineStr">
        <is>
          <t>SOCIETE C1857</t>
        </is>
      </c>
      <c r="B2427" t="inlineStr">
        <is>
          <t>C1857</t>
        </is>
      </c>
      <c r="C2427" t="inlineStr">
        <is>
          <t>CORPORATE BANKING</t>
        </is>
      </c>
      <c r="D2427" t="inlineStr">
        <is>
          <t>I</t>
        </is>
      </c>
      <c r="E2427" t="inlineStr">
        <is>
          <t>Stage 1</t>
        </is>
      </c>
      <c r="F2427" t="inlineStr">
        <is>
          <t>N/A</t>
        </is>
      </c>
      <c r="G2427" s="26">
        <v>499136428</v>
      </c>
      <c r="H2427" s="26">
        <v>4991364</v>
      </c>
      <c r="I2427" s="26">
        <v>0</v>
      </c>
      <c r="J2427" s="26">
        <v>120</v>
      </c>
      <c r="K2427" t="inlineStr">
        <is>
          <t>Non</t>
        </is>
      </c>
      <c r="L2427">
        <f>SUBTOTAL(103,A2427)</f>
        <v>1</v>
      </c>
    </row>
    <row r="2428">
      <c r="A2428" t="inlineStr">
        <is>
          <t>SOCIETE C501</t>
        </is>
      </c>
      <c r="B2428" t="inlineStr">
        <is>
          <t>C501</t>
        </is>
      </c>
      <c r="C2428" t="inlineStr">
        <is>
          <t>COMMERCIAL BANKING</t>
        </is>
      </c>
      <c r="D2428" t="inlineStr">
        <is>
          <t>II</t>
        </is>
      </c>
      <c r="E2428" t="inlineStr">
        <is>
          <t>Stage 2</t>
        </is>
      </c>
      <c r="F2428" t="inlineStr">
        <is>
          <t>N/A</t>
        </is>
      </c>
      <c r="G2428" s="26">
        <v>77372842</v>
      </c>
      <c r="H2428" s="26">
        <v>4642371</v>
      </c>
      <c r="I2428" s="26">
        <v>0</v>
      </c>
      <c r="J2428" s="26">
        <v>34</v>
      </c>
      <c r="K2428" t="inlineStr">
        <is>
          <t>Non</t>
        </is>
      </c>
      <c r="L2428">
        <f>SUBTOTAL(103,A2428)</f>
        <v>1</v>
      </c>
    </row>
    <row r="2429">
      <c r="A2429" t="inlineStr">
        <is>
          <t>SOCIETE C1138</t>
        </is>
      </c>
      <c r="B2429" t="inlineStr">
        <is>
          <t>C1138</t>
        </is>
      </c>
      <c r="C2429" t="inlineStr">
        <is>
          <t>CORPORATE BANKING</t>
        </is>
      </c>
      <c r="D2429" t="inlineStr">
        <is>
          <t>I</t>
        </is>
      </c>
      <c r="E2429" t="inlineStr">
        <is>
          <t>Stage 1</t>
        </is>
      </c>
      <c r="F2429" t="inlineStr">
        <is>
          <t>N/A</t>
        </is>
      </c>
      <c r="G2429" s="26">
        <v>2233489003</v>
      </c>
      <c r="H2429" s="26">
        <v>22334890</v>
      </c>
      <c r="I2429" s="26">
        <v>333523011</v>
      </c>
      <c r="J2429" s="26">
        <v>88</v>
      </c>
      <c r="K2429" t="inlineStr">
        <is>
          <t>Non</t>
        </is>
      </c>
      <c r="L2429">
        <f>SUBTOTAL(103,A2429)</f>
        <v>1</v>
      </c>
    </row>
    <row r="2430">
      <c r="A2430" t="inlineStr">
        <is>
          <t>SOCIETE C2298</t>
        </is>
      </c>
      <c r="B2430" t="inlineStr">
        <is>
          <t>C2298</t>
        </is>
      </c>
      <c r="C2430" t="inlineStr">
        <is>
          <t>COMMERCIAL BANKING</t>
        </is>
      </c>
      <c r="D2430" t="inlineStr">
        <is>
          <t>I</t>
        </is>
      </c>
      <c r="E2430" t="inlineStr">
        <is>
          <t>Stage 1</t>
        </is>
      </c>
      <c r="F2430" t="inlineStr">
        <is>
          <t>N/A</t>
        </is>
      </c>
      <c r="G2430" s="26">
        <v>1987403244</v>
      </c>
      <c r="H2430" s="26">
        <v>19874032</v>
      </c>
      <c r="I2430" s="26">
        <v>0</v>
      </c>
      <c r="J2430" s="26">
        <v>160</v>
      </c>
      <c r="K2430" t="inlineStr">
        <is>
          <t>Non</t>
        </is>
      </c>
      <c r="L2430">
        <f>SUBTOTAL(103,A2430)</f>
        <v>1</v>
      </c>
    </row>
    <row r="2431">
      <c r="A2431" t="inlineStr">
        <is>
          <t>SOCIETE C1691</t>
        </is>
      </c>
      <c r="B2431" t="inlineStr">
        <is>
          <t>C1691</t>
        </is>
      </c>
      <c r="C2431" t="inlineStr">
        <is>
          <t>PUBLIC SECTOR</t>
        </is>
      </c>
      <c r="D2431" t="inlineStr">
        <is>
          <t>I</t>
        </is>
      </c>
      <c r="E2431" t="inlineStr">
        <is>
          <t>Stage 1</t>
        </is>
      </c>
      <c r="F2431" t="inlineStr">
        <is>
          <t>N/A</t>
        </is>
      </c>
      <c r="G2431" s="26">
        <v>895376462</v>
      </c>
      <c r="H2431" s="26">
        <v>8953765</v>
      </c>
      <c r="I2431" s="26">
        <v>0</v>
      </c>
      <c r="J2431" s="26">
        <v>0</v>
      </c>
      <c r="K2431" t="inlineStr">
        <is>
          <t>Non</t>
        </is>
      </c>
      <c r="L2431">
        <f>SUBTOTAL(103,A2431)</f>
        <v>1</v>
      </c>
    </row>
    <row r="2432">
      <c r="A2432" t="inlineStr">
        <is>
          <t>SOCIETE C2304</t>
        </is>
      </c>
      <c r="B2432" t="inlineStr">
        <is>
          <t>C2304</t>
        </is>
      </c>
      <c r="C2432" t="inlineStr">
        <is>
          <t>INSTITUTIONAL</t>
        </is>
      </c>
      <c r="D2432" t="inlineStr">
        <is>
          <t>I</t>
        </is>
      </c>
      <c r="E2432" t="inlineStr">
        <is>
          <t>Stage 1</t>
        </is>
      </c>
      <c r="F2432" t="inlineStr">
        <is>
          <t>N/A</t>
        </is>
      </c>
      <c r="G2432" s="26">
        <v>2970296</v>
      </c>
      <c r="H2432" s="26">
        <v>29703</v>
      </c>
      <c r="I2432" s="26">
        <v>0</v>
      </c>
      <c r="J2432" s="26">
        <v>99</v>
      </c>
      <c r="K2432" t="inlineStr">
        <is>
          <t>Non</t>
        </is>
      </c>
      <c r="L2432">
        <f>SUBTOTAL(103,A2432)</f>
        <v>1</v>
      </c>
    </row>
    <row r="2433">
      <c r="A2433" t="inlineStr">
        <is>
          <t>SOCIETE C2070</t>
        </is>
      </c>
      <c r="B2433" t="inlineStr">
        <is>
          <t>C2070</t>
        </is>
      </c>
      <c r="C2433" t="inlineStr">
        <is>
          <t>PUBLIC SECTOR</t>
        </is>
      </c>
      <c r="D2433" t="inlineStr">
        <is>
          <t>II</t>
        </is>
      </c>
      <c r="E2433" t="inlineStr">
        <is>
          <t>Stage 2</t>
        </is>
      </c>
      <c r="F2433" t="inlineStr">
        <is>
          <t>N/A</t>
        </is>
      </c>
      <c r="G2433" s="26">
        <v>2302961098</v>
      </c>
      <c r="H2433" s="26">
        <v>138177666</v>
      </c>
      <c r="I2433" s="26">
        <v>248051564</v>
      </c>
      <c r="J2433" s="26">
        <v>119</v>
      </c>
      <c r="K2433" t="inlineStr">
        <is>
          <t>Non</t>
        </is>
      </c>
      <c r="L2433">
        <f>SUBTOTAL(103,A2433)</f>
        <v>1</v>
      </c>
    </row>
    <row r="2434">
      <c r="A2434" t="inlineStr">
        <is>
          <t>SOCIETE C653</t>
        </is>
      </c>
      <c r="B2434" t="inlineStr">
        <is>
          <t>C653</t>
        </is>
      </c>
      <c r="C2434" t="inlineStr">
        <is>
          <t>COMMERCIAL BANKING</t>
        </is>
      </c>
      <c r="D2434" t="inlineStr">
        <is>
          <t>I</t>
        </is>
      </c>
      <c r="E2434" t="inlineStr">
        <is>
          <t>Stage 1</t>
        </is>
      </c>
      <c r="F2434" t="inlineStr">
        <is>
          <t>N/A</t>
        </is>
      </c>
      <c r="G2434" s="26">
        <v>2655968865</v>
      </c>
      <c r="H2434" s="26">
        <v>26559689</v>
      </c>
      <c r="I2434" s="26">
        <v>298879998</v>
      </c>
      <c r="J2434" s="26">
        <v>196</v>
      </c>
      <c r="K2434" t="inlineStr">
        <is>
          <t>Non</t>
        </is>
      </c>
      <c r="L2434">
        <f>SUBTOTAL(103,A2434)</f>
        <v>1</v>
      </c>
    </row>
    <row r="2435">
      <c r="A2435" t="inlineStr">
        <is>
          <t>SOCIETE C1652</t>
        </is>
      </c>
      <c r="B2435" t="inlineStr">
        <is>
          <t>C1652</t>
        </is>
      </c>
      <c r="C2435" t="inlineStr">
        <is>
          <t>COMMERCIAL BANKING</t>
        </is>
      </c>
      <c r="D2435" t="inlineStr">
        <is>
          <t>I</t>
        </is>
      </c>
      <c r="E2435" t="inlineStr">
        <is>
          <t>Stage 1</t>
        </is>
      </c>
      <c r="F2435" t="inlineStr">
        <is>
          <t>N/A</t>
        </is>
      </c>
      <c r="G2435" s="26">
        <v>204788041</v>
      </c>
      <c r="H2435" s="26">
        <v>2047880</v>
      </c>
      <c r="I2435" s="26">
        <v>0</v>
      </c>
      <c r="J2435" s="26">
        <v>7</v>
      </c>
      <c r="K2435" t="inlineStr">
        <is>
          <t>Non</t>
        </is>
      </c>
      <c r="L2435">
        <f>SUBTOTAL(103,A2435)</f>
        <v>1</v>
      </c>
    </row>
    <row r="2436">
      <c r="A2436" t="inlineStr">
        <is>
          <t>SOCIETE C473</t>
        </is>
      </c>
      <c r="B2436" t="inlineStr">
        <is>
          <t>C473</t>
        </is>
      </c>
      <c r="C2436" t="inlineStr">
        <is>
          <t>CONSUMER BANKING</t>
        </is>
      </c>
      <c r="D2436" t="inlineStr">
        <is>
          <t>IA</t>
        </is>
      </c>
      <c r="E2436" t="inlineStr">
        <is>
          <t>Stage 2</t>
        </is>
      </c>
      <c r="F2436" t="inlineStr">
        <is>
          <t>N/A</t>
        </is>
      </c>
      <c r="G2436" s="26">
        <v>352631976</v>
      </c>
      <c r="H2436" s="26">
        <v>21157919</v>
      </c>
      <c r="I2436" s="26">
        <v>14994228</v>
      </c>
      <c r="J2436" s="26">
        <v>32</v>
      </c>
      <c r="K2436" t="inlineStr">
        <is>
          <t>Non</t>
        </is>
      </c>
      <c r="L2436">
        <f>SUBTOTAL(103,A2436)</f>
        <v>1</v>
      </c>
    </row>
    <row r="2437">
      <c r="A2437" t="inlineStr">
        <is>
          <t>SOCIETE C2033</t>
        </is>
      </c>
      <c r="B2437" t="inlineStr">
        <is>
          <t>C2033</t>
        </is>
      </c>
      <c r="C2437" t="inlineStr">
        <is>
          <t>CONSUMER BANKING</t>
        </is>
      </c>
      <c r="D2437" t="inlineStr">
        <is>
          <t>I</t>
        </is>
      </c>
      <c r="E2437" t="inlineStr">
        <is>
          <t>Stage 1</t>
        </is>
      </c>
      <c r="F2437" t="inlineStr">
        <is>
          <t>N/A</t>
        </is>
      </c>
      <c r="G2437" s="26">
        <v>211926272</v>
      </c>
      <c r="H2437" s="26">
        <v>2119263</v>
      </c>
      <c r="I2437" s="26">
        <v>0</v>
      </c>
      <c r="J2437" s="26">
        <v>151</v>
      </c>
      <c r="K2437" t="inlineStr">
        <is>
          <t>Non</t>
        </is>
      </c>
      <c r="L2437">
        <f>SUBTOTAL(103,A2437)</f>
        <v>1</v>
      </c>
    </row>
    <row r="2438">
      <c r="A2438" t="inlineStr">
        <is>
          <t>SOCIETE C602</t>
        </is>
      </c>
      <c r="B2438" t="inlineStr">
        <is>
          <t>C602</t>
        </is>
      </c>
      <c r="C2438" t="inlineStr">
        <is>
          <t>CONSUMER BANKING</t>
        </is>
      </c>
      <c r="D2438" t="inlineStr">
        <is>
          <t>I</t>
        </is>
      </c>
      <c r="E2438" t="inlineStr">
        <is>
          <t>Stage 1</t>
        </is>
      </c>
      <c r="F2438" t="inlineStr">
        <is>
          <t>N/A</t>
        </is>
      </c>
      <c r="G2438" s="26">
        <v>776029576</v>
      </c>
      <c r="H2438" s="26">
        <v>7760296</v>
      </c>
      <c r="I2438" s="26">
        <v>0</v>
      </c>
      <c r="J2438" s="26">
        <v>86</v>
      </c>
      <c r="K2438" t="inlineStr">
        <is>
          <t>Non</t>
        </is>
      </c>
      <c r="L2438">
        <f>SUBTOTAL(103,A2438)</f>
        <v>1</v>
      </c>
    </row>
    <row r="2439">
      <c r="A2439" t="inlineStr">
        <is>
          <t>SOCIETE C564</t>
        </is>
      </c>
      <c r="B2439" t="inlineStr">
        <is>
          <t>C564</t>
        </is>
      </c>
      <c r="C2439" t="inlineStr">
        <is>
          <t>COMMERCIAL BANKING</t>
        </is>
      </c>
      <c r="D2439" t="inlineStr">
        <is>
          <t>III</t>
        </is>
      </c>
      <c r="E2439" t="inlineStr">
        <is>
          <t>Stage 3</t>
        </is>
      </c>
      <c r="F2439" t="inlineStr">
        <is>
          <t>N/A</t>
        </is>
      </c>
      <c r="G2439" s="26">
        <v>1809261003</v>
      </c>
      <c r="H2439" s="26">
        <v>995093552</v>
      </c>
      <c r="I2439" s="26">
        <v>0</v>
      </c>
      <c r="J2439" s="26">
        <v>9</v>
      </c>
      <c r="K2439" t="inlineStr">
        <is>
          <t>Oui</t>
        </is>
      </c>
      <c r="L2439">
        <f>SUBTOTAL(103,A2439)</f>
        <v>1</v>
      </c>
    </row>
    <row r="2440">
      <c r="A2440" t="inlineStr">
        <is>
          <t>SOCIETE C442</t>
        </is>
      </c>
      <c r="B2440" t="inlineStr">
        <is>
          <t>C442</t>
        </is>
      </c>
      <c r="C2440" t="inlineStr">
        <is>
          <t>CORPORATE BANKING</t>
        </is>
      </c>
      <c r="D2440" t="inlineStr">
        <is>
          <t>I</t>
        </is>
      </c>
      <c r="E2440" t="inlineStr">
        <is>
          <t>Stage 1</t>
        </is>
      </c>
      <c r="F2440" t="inlineStr">
        <is>
          <t>N/A</t>
        </is>
      </c>
      <c r="G2440" s="26">
        <v>1561661246</v>
      </c>
      <c r="H2440" s="26">
        <v>15616612</v>
      </c>
      <c r="I2440" s="26">
        <v>0</v>
      </c>
      <c r="J2440" s="26">
        <v>24</v>
      </c>
      <c r="K2440" t="inlineStr">
        <is>
          <t>Non</t>
        </is>
      </c>
      <c r="L2440">
        <f>SUBTOTAL(103,A2440)</f>
        <v>1</v>
      </c>
    </row>
    <row r="2441">
      <c r="A2441" t="inlineStr">
        <is>
          <t>SOCIETE C1755</t>
        </is>
      </c>
      <c r="B2441" t="inlineStr">
        <is>
          <t>C1755</t>
        </is>
      </c>
      <c r="C2441" t="inlineStr">
        <is>
          <t>CONSUMER BANKING</t>
        </is>
      </c>
      <c r="D2441" t="inlineStr">
        <is>
          <t>II</t>
        </is>
      </c>
      <c r="E2441" t="inlineStr">
        <is>
          <t>Stage 2</t>
        </is>
      </c>
      <c r="F2441" t="inlineStr">
        <is>
          <t>N/A</t>
        </is>
      </c>
      <c r="G2441" s="26">
        <v>2033224697</v>
      </c>
      <c r="H2441" s="26">
        <v>121993482</v>
      </c>
      <c r="I2441" s="26">
        <v>0</v>
      </c>
      <c r="J2441" s="26">
        <v>36</v>
      </c>
      <c r="K2441" t="inlineStr">
        <is>
          <t>Non</t>
        </is>
      </c>
      <c r="L2441">
        <f>SUBTOTAL(103,A2441)</f>
        <v>1</v>
      </c>
    </row>
    <row r="2442">
      <c r="A2442" t="inlineStr">
        <is>
          <t>SOCIETE C823</t>
        </is>
      </c>
      <c r="B2442" t="inlineStr">
        <is>
          <t>C823</t>
        </is>
      </c>
      <c r="C2442" t="inlineStr">
        <is>
          <t>PUBLIC SECTOR</t>
        </is>
      </c>
      <c r="D2442" t="inlineStr">
        <is>
          <t>III</t>
        </is>
      </c>
      <c r="E2442" t="inlineStr">
        <is>
          <t>Stage 3</t>
        </is>
      </c>
      <c r="F2442" t="inlineStr">
        <is>
          <t>N/A</t>
        </is>
      </c>
      <c r="G2442" s="26">
        <v>530608422</v>
      </c>
      <c r="H2442" s="26">
        <v>291834632</v>
      </c>
      <c r="I2442" s="26">
        <v>0</v>
      </c>
      <c r="J2442" s="26">
        <v>13</v>
      </c>
      <c r="K2442" t="inlineStr">
        <is>
          <t>Oui</t>
        </is>
      </c>
      <c r="L2442">
        <f>SUBTOTAL(103,A2442)</f>
        <v>1</v>
      </c>
    </row>
    <row r="2443">
      <c r="A2443" t="inlineStr">
        <is>
          <t>SOCIETE C946</t>
        </is>
      </c>
      <c r="B2443" t="inlineStr">
        <is>
          <t>C946</t>
        </is>
      </c>
      <c r="C2443" t="inlineStr">
        <is>
          <t>CORPORATE BANKING</t>
        </is>
      </c>
      <c r="D2443" t="inlineStr">
        <is>
          <t>II</t>
        </is>
      </c>
      <c r="E2443" t="inlineStr">
        <is>
          <t>Stage 2</t>
        </is>
      </c>
      <c r="F2443" t="inlineStr">
        <is>
          <t>N/A</t>
        </is>
      </c>
      <c r="G2443" s="26">
        <v>2020857</v>
      </c>
      <c r="H2443" s="26">
        <v>121251</v>
      </c>
      <c r="I2443" s="26">
        <v>0</v>
      </c>
      <c r="J2443" s="26">
        <v>167</v>
      </c>
      <c r="K2443" t="inlineStr">
        <is>
          <t>Non</t>
        </is>
      </c>
      <c r="L2443">
        <f>SUBTOTAL(103,A2443)</f>
        <v>1</v>
      </c>
    </row>
    <row r="2444">
      <c r="A2444" t="inlineStr">
        <is>
          <t>SOCIETE C32</t>
        </is>
      </c>
      <c r="B2444" t="inlineStr">
        <is>
          <t>C32</t>
        </is>
      </c>
      <c r="C2444" t="inlineStr">
        <is>
          <t>SME</t>
        </is>
      </c>
      <c r="D2444" t="inlineStr">
        <is>
          <t>I</t>
        </is>
      </c>
      <c r="E2444" t="inlineStr">
        <is>
          <t>Stage 1</t>
        </is>
      </c>
      <c r="F2444" t="inlineStr">
        <is>
          <t>N/A</t>
        </is>
      </c>
      <c r="G2444" s="26">
        <v>343582271</v>
      </c>
      <c r="H2444" s="26">
        <v>3435823</v>
      </c>
      <c r="I2444" s="26">
        <v>0</v>
      </c>
      <c r="J2444" s="26">
        <v>85</v>
      </c>
      <c r="K2444" t="inlineStr">
        <is>
          <t>Non</t>
        </is>
      </c>
      <c r="L2444">
        <f>SUBTOTAL(103,A2444)</f>
        <v>1</v>
      </c>
    </row>
    <row r="2445">
      <c r="A2445" t="inlineStr">
        <is>
          <t>SOCIETE C543</t>
        </is>
      </c>
      <c r="B2445" t="inlineStr">
        <is>
          <t>C543</t>
        </is>
      </c>
      <c r="C2445" t="inlineStr">
        <is>
          <t>COMMERCIAL BANKING</t>
        </is>
      </c>
      <c r="D2445" t="inlineStr">
        <is>
          <t>V</t>
        </is>
      </c>
      <c r="E2445" t="inlineStr">
        <is>
          <t>Stage 3</t>
        </is>
      </c>
      <c r="F2445" t="inlineStr">
        <is>
          <t>N/A</t>
        </is>
      </c>
      <c r="G2445" s="26">
        <v>2800656233</v>
      </c>
      <c r="H2445" s="26">
        <v>1540360928</v>
      </c>
      <c r="I2445" s="26">
        <v>438252062</v>
      </c>
      <c r="J2445" s="26">
        <v>189</v>
      </c>
      <c r="K2445" t="inlineStr">
        <is>
          <t>Oui</t>
        </is>
      </c>
      <c r="L2445">
        <f>SUBTOTAL(103,A2445)</f>
        <v>1</v>
      </c>
    </row>
    <row r="2446">
      <c r="A2446" t="inlineStr">
        <is>
          <t>SOCIETE C2198</t>
        </is>
      </c>
      <c r="B2446" t="inlineStr">
        <is>
          <t>C2198</t>
        </is>
      </c>
      <c r="C2446" t="inlineStr">
        <is>
          <t>CONSUMER BANKING</t>
        </is>
      </c>
      <c r="D2446" t="inlineStr">
        <is>
          <t>I</t>
        </is>
      </c>
      <c r="E2446" t="inlineStr">
        <is>
          <t>Stage 1</t>
        </is>
      </c>
      <c r="F2446" t="inlineStr">
        <is>
          <t>N/A</t>
        </is>
      </c>
      <c r="G2446" s="26">
        <v>994207858</v>
      </c>
      <c r="H2446" s="26">
        <v>9942079</v>
      </c>
      <c r="I2446" s="26">
        <v>0</v>
      </c>
      <c r="J2446" s="26">
        <v>70</v>
      </c>
      <c r="K2446" t="inlineStr">
        <is>
          <t>Non</t>
        </is>
      </c>
      <c r="L2446">
        <f>SUBTOTAL(103,A2446)</f>
        <v>1</v>
      </c>
    </row>
    <row r="2447">
      <c r="A2447" t="inlineStr">
        <is>
          <t>SOCIETE C1829</t>
        </is>
      </c>
      <c r="B2447" t="inlineStr">
        <is>
          <t>C1829</t>
        </is>
      </c>
      <c r="C2447" t="inlineStr">
        <is>
          <t>CONSUMER BANKING</t>
        </is>
      </c>
      <c r="D2447" t="inlineStr">
        <is>
          <t>V</t>
        </is>
      </c>
      <c r="E2447" t="inlineStr">
        <is>
          <t>Stage 3</t>
        </is>
      </c>
      <c r="F2447" t="inlineStr">
        <is>
          <t>N/A</t>
        </is>
      </c>
      <c r="G2447" s="26">
        <v>30475490</v>
      </c>
      <c r="H2447" s="26">
        <v>16761519</v>
      </c>
      <c r="I2447" s="26">
        <v>2524935</v>
      </c>
      <c r="J2447" s="26">
        <v>112</v>
      </c>
      <c r="K2447" t="inlineStr">
        <is>
          <t>Oui</t>
        </is>
      </c>
      <c r="L2447">
        <f>SUBTOTAL(103,A2447)</f>
        <v>1</v>
      </c>
    </row>
    <row r="2448">
      <c r="A2448" t="inlineStr">
        <is>
          <t>SOCIETE C385</t>
        </is>
      </c>
      <c r="B2448" t="inlineStr">
        <is>
          <t>C385</t>
        </is>
      </c>
      <c r="C2448" t="inlineStr">
        <is>
          <t>PUBLIC SECTOR</t>
        </is>
      </c>
      <c r="D2448" t="inlineStr">
        <is>
          <t>I</t>
        </is>
      </c>
      <c r="E2448" t="inlineStr">
        <is>
          <t>Stage 1</t>
        </is>
      </c>
      <c r="F2448" t="inlineStr">
        <is>
          <t>N/A</t>
        </is>
      </c>
      <c r="G2448" s="26">
        <v>1288658</v>
      </c>
      <c r="H2448" s="26">
        <v>12887</v>
      </c>
      <c r="I2448" s="26">
        <v>182972</v>
      </c>
      <c r="J2448" s="26">
        <v>66</v>
      </c>
      <c r="K2448" t="inlineStr">
        <is>
          <t>Non</t>
        </is>
      </c>
      <c r="L2448">
        <f>SUBTOTAL(103,A2448)</f>
        <v>1</v>
      </c>
    </row>
    <row r="2449">
      <c r="A2449" t="inlineStr">
        <is>
          <t>SOCIETE C21</t>
        </is>
      </c>
      <c r="B2449" t="inlineStr">
        <is>
          <t>C21</t>
        </is>
      </c>
      <c r="C2449" t="inlineStr">
        <is>
          <t>CORPORATE BANKING</t>
        </is>
      </c>
      <c r="D2449" t="inlineStr">
        <is>
          <t>IA</t>
        </is>
      </c>
      <c r="E2449" t="inlineStr">
        <is>
          <t>Stage 2</t>
        </is>
      </c>
      <c r="F2449" t="inlineStr">
        <is>
          <t>N/A</t>
        </is>
      </c>
      <c r="G2449" s="26">
        <v>2575715623</v>
      </c>
      <c r="H2449" s="26">
        <v>154542937</v>
      </c>
      <c r="I2449" s="26">
        <v>0</v>
      </c>
      <c r="J2449" s="26">
        <v>56</v>
      </c>
      <c r="K2449" t="inlineStr">
        <is>
          <t>Non</t>
        </is>
      </c>
      <c r="L2449">
        <f>SUBTOTAL(103,A2449)</f>
        <v>1</v>
      </c>
    </row>
    <row r="2450">
      <c r="A2450" t="inlineStr">
        <is>
          <t>SOCIETE C2136</t>
        </is>
      </c>
      <c r="B2450" t="inlineStr">
        <is>
          <t>C2136</t>
        </is>
      </c>
      <c r="C2450" t="inlineStr">
        <is>
          <t>COMMERCIAL BANKING</t>
        </is>
      </c>
      <c r="D2450" t="inlineStr">
        <is>
          <t>II</t>
        </is>
      </c>
      <c r="E2450" t="inlineStr">
        <is>
          <t>Stage 2</t>
        </is>
      </c>
      <c r="F2450" t="inlineStr">
        <is>
          <t>N/A</t>
        </is>
      </c>
      <c r="G2450" s="26">
        <v>15396041</v>
      </c>
      <c r="H2450" s="26">
        <v>923762</v>
      </c>
      <c r="I2450" s="26">
        <v>1202041</v>
      </c>
      <c r="J2450" s="26">
        <v>0</v>
      </c>
      <c r="K2450" t="inlineStr">
        <is>
          <t>Non</t>
        </is>
      </c>
      <c r="L2450">
        <f>SUBTOTAL(103,A2450)</f>
        <v>1</v>
      </c>
    </row>
    <row r="2451">
      <c r="A2451" t="inlineStr">
        <is>
          <t>SOCIETE C219</t>
        </is>
      </c>
      <c r="B2451" t="inlineStr">
        <is>
          <t>C219</t>
        </is>
      </c>
      <c r="C2451" t="inlineStr">
        <is>
          <t>CORPORATE BANKING</t>
        </is>
      </c>
      <c r="D2451" t="inlineStr">
        <is>
          <t>IA</t>
        </is>
      </c>
      <c r="E2451" t="inlineStr">
        <is>
          <t>Stage 2</t>
        </is>
      </c>
      <c r="F2451" t="inlineStr">
        <is>
          <t>N/A</t>
        </is>
      </c>
      <c r="G2451" s="26">
        <v>36365095</v>
      </c>
      <c r="H2451" s="26">
        <v>2181906</v>
      </c>
      <c r="I2451" s="26">
        <v>0</v>
      </c>
      <c r="J2451" s="26">
        <v>97</v>
      </c>
      <c r="K2451" t="inlineStr">
        <is>
          <t>Non</t>
        </is>
      </c>
      <c r="L2451">
        <f>SUBTOTAL(103,A2451)</f>
        <v>1</v>
      </c>
    </row>
    <row r="2452">
      <c r="A2452" t="inlineStr">
        <is>
          <t>SOCIETE C1191</t>
        </is>
      </c>
      <c r="B2452" t="inlineStr">
        <is>
          <t>C1191</t>
        </is>
      </c>
      <c r="C2452" t="inlineStr">
        <is>
          <t>CONSUMER BANKING</t>
        </is>
      </c>
      <c r="D2452" t="inlineStr">
        <is>
          <t>II</t>
        </is>
      </c>
      <c r="E2452" t="inlineStr">
        <is>
          <t>Stage 2</t>
        </is>
      </c>
      <c r="F2452" t="inlineStr">
        <is>
          <t>N/A</t>
        </is>
      </c>
      <c r="G2452" s="26">
        <v>59565745</v>
      </c>
      <c r="H2452" s="26">
        <v>3573945</v>
      </c>
      <c r="I2452" s="26">
        <v>9592982</v>
      </c>
      <c r="J2452" s="26">
        <v>106</v>
      </c>
      <c r="K2452" t="inlineStr">
        <is>
          <t>Non</t>
        </is>
      </c>
      <c r="L2452">
        <f>SUBTOTAL(103,A2452)</f>
        <v>1</v>
      </c>
    </row>
    <row r="2453">
      <c r="A2453" t="inlineStr">
        <is>
          <t>SOCIETE C28</t>
        </is>
      </c>
      <c r="B2453" t="inlineStr">
        <is>
          <t>C28</t>
        </is>
      </c>
      <c r="C2453" t="inlineStr">
        <is>
          <t>SME</t>
        </is>
      </c>
      <c r="D2453" t="inlineStr">
        <is>
          <t>IA</t>
        </is>
      </c>
      <c r="E2453" t="inlineStr">
        <is>
          <t>Stage 2</t>
        </is>
      </c>
      <c r="F2453" t="inlineStr">
        <is>
          <t>N/A</t>
        </is>
      </c>
      <c r="G2453" s="26">
        <v>2800550879</v>
      </c>
      <c r="H2453" s="26">
        <v>168033053</v>
      </c>
      <c r="I2453" s="26">
        <v>0</v>
      </c>
      <c r="J2453" s="26">
        <v>6</v>
      </c>
      <c r="K2453" t="inlineStr">
        <is>
          <t>Non</t>
        </is>
      </c>
      <c r="L2453">
        <f>SUBTOTAL(103,A2453)</f>
        <v>1</v>
      </c>
    </row>
    <row r="2454">
      <c r="A2454" t="inlineStr">
        <is>
          <t>SOCIETE C2233</t>
        </is>
      </c>
      <c r="B2454" t="inlineStr">
        <is>
          <t>C2233</t>
        </is>
      </c>
      <c r="C2454" t="inlineStr">
        <is>
          <t>CORPORATE BANKING</t>
        </is>
      </c>
      <c r="D2454" t="inlineStr">
        <is>
          <t>I</t>
        </is>
      </c>
      <c r="E2454" t="inlineStr">
        <is>
          <t>Stage 1</t>
        </is>
      </c>
      <c r="F2454" t="inlineStr">
        <is>
          <t>N/A</t>
        </is>
      </c>
      <c r="G2454" s="26">
        <v>2066109007</v>
      </c>
      <c r="H2454" s="26">
        <v>20661090</v>
      </c>
      <c r="I2454" s="26">
        <v>0</v>
      </c>
      <c r="J2454" s="26">
        <v>81</v>
      </c>
      <c r="K2454" t="inlineStr">
        <is>
          <t>Non</t>
        </is>
      </c>
      <c r="L2454">
        <f>SUBTOTAL(103,A2454)</f>
        <v>1</v>
      </c>
    </row>
    <row r="2455">
      <c r="A2455" t="inlineStr">
        <is>
          <t>SOCIETE C2194</t>
        </is>
      </c>
      <c r="B2455" t="inlineStr">
        <is>
          <t>C2194</t>
        </is>
      </c>
      <c r="C2455" t="inlineStr">
        <is>
          <t>CORPORATE BANKING</t>
        </is>
      </c>
      <c r="D2455" t="inlineStr">
        <is>
          <t>V</t>
        </is>
      </c>
      <c r="E2455" t="inlineStr">
        <is>
          <t>Stage 3</t>
        </is>
      </c>
      <c r="F2455" t="inlineStr">
        <is>
          <t>N/A</t>
        </is>
      </c>
      <c r="G2455" s="26">
        <v>2571633</v>
      </c>
      <c r="H2455" s="26">
        <v>1414398</v>
      </c>
      <c r="I2455" s="26">
        <v>148811</v>
      </c>
      <c r="J2455" s="26">
        <v>61</v>
      </c>
      <c r="K2455" t="inlineStr">
        <is>
          <t>Oui</t>
        </is>
      </c>
      <c r="L2455">
        <f>SUBTOTAL(103,A2455)</f>
        <v>1</v>
      </c>
    </row>
    <row r="2456">
      <c r="A2456" t="inlineStr">
        <is>
          <t>SOCIETE C431</t>
        </is>
      </c>
      <c r="B2456" t="inlineStr">
        <is>
          <t>C431</t>
        </is>
      </c>
      <c r="C2456" t="inlineStr">
        <is>
          <t>CORPORATE BANKING</t>
        </is>
      </c>
      <c r="D2456" t="inlineStr">
        <is>
          <t>IV</t>
        </is>
      </c>
      <c r="E2456" t="inlineStr">
        <is>
          <t>Stage 3</t>
        </is>
      </c>
      <c r="F2456" t="inlineStr">
        <is>
          <t>N/A</t>
        </is>
      </c>
      <c r="G2456" s="26">
        <v>613424349</v>
      </c>
      <c r="H2456" s="26">
        <v>337383392</v>
      </c>
      <c r="I2456" s="26">
        <v>0</v>
      </c>
      <c r="J2456" s="26">
        <v>10</v>
      </c>
      <c r="K2456" t="inlineStr">
        <is>
          <t>Oui</t>
        </is>
      </c>
      <c r="L2456">
        <f>SUBTOTAL(103,A2456)</f>
        <v>1</v>
      </c>
    </row>
    <row r="2457">
      <c r="A2457" t="inlineStr">
        <is>
          <t>SOCIETE C313</t>
        </is>
      </c>
      <c r="B2457" t="inlineStr">
        <is>
          <t>C313</t>
        </is>
      </c>
      <c r="C2457" t="inlineStr">
        <is>
          <t>COMMERCIAL BANKING</t>
        </is>
      </c>
      <c r="D2457" t="inlineStr">
        <is>
          <t>III</t>
        </is>
      </c>
      <c r="E2457" t="inlineStr">
        <is>
          <t>Stage 3</t>
        </is>
      </c>
      <c r="F2457" t="inlineStr">
        <is>
          <t>N/A</t>
        </is>
      </c>
      <c r="G2457" s="26">
        <v>174386369</v>
      </c>
      <c r="H2457" s="26">
        <v>95912503</v>
      </c>
      <c r="I2457" s="26">
        <v>0</v>
      </c>
      <c r="J2457" s="26">
        <v>126</v>
      </c>
      <c r="K2457" t="inlineStr">
        <is>
          <t>Oui</t>
        </is>
      </c>
      <c r="L2457">
        <f>SUBTOTAL(103,A2457)</f>
        <v>1</v>
      </c>
    </row>
    <row r="2458">
      <c r="A2458" t="inlineStr">
        <is>
          <t>SOCIETE C1175</t>
        </is>
      </c>
      <c r="B2458" t="inlineStr">
        <is>
          <t>C1175</t>
        </is>
      </c>
      <c r="C2458" t="inlineStr">
        <is>
          <t>PUBLIC SECTOR</t>
        </is>
      </c>
      <c r="D2458" t="inlineStr">
        <is>
          <t>II</t>
        </is>
      </c>
      <c r="E2458" t="inlineStr">
        <is>
          <t>Stage 2</t>
        </is>
      </c>
      <c r="F2458" t="inlineStr">
        <is>
          <t>N/A</t>
        </is>
      </c>
      <c r="G2458" s="26">
        <v>6584297</v>
      </c>
      <c r="H2458" s="26">
        <v>395058</v>
      </c>
      <c r="I2458" s="26">
        <v>0</v>
      </c>
      <c r="J2458" s="26">
        <v>115</v>
      </c>
      <c r="K2458" t="inlineStr">
        <is>
          <t>Non</t>
        </is>
      </c>
      <c r="L2458">
        <f>SUBTOTAL(103,A2458)</f>
        <v>1</v>
      </c>
    </row>
    <row r="2459">
      <c r="A2459" t="inlineStr">
        <is>
          <t>SOCIETE C981</t>
        </is>
      </c>
      <c r="B2459" t="inlineStr">
        <is>
          <t>C981</t>
        </is>
      </c>
      <c r="C2459" t="inlineStr">
        <is>
          <t>PUBLIC SECTOR</t>
        </is>
      </c>
      <c r="D2459" t="inlineStr">
        <is>
          <t>I</t>
        </is>
      </c>
      <c r="E2459" t="inlineStr">
        <is>
          <t>Stage 1</t>
        </is>
      </c>
      <c r="F2459" t="inlineStr">
        <is>
          <t>N/A</t>
        </is>
      </c>
      <c r="G2459" s="26">
        <v>2357041694</v>
      </c>
      <c r="H2459" s="26">
        <v>23570417</v>
      </c>
      <c r="I2459" s="26">
        <v>0</v>
      </c>
      <c r="J2459" s="26">
        <v>34</v>
      </c>
      <c r="K2459" t="inlineStr">
        <is>
          <t>Non</t>
        </is>
      </c>
      <c r="L2459">
        <f>SUBTOTAL(103,A2459)</f>
        <v>1</v>
      </c>
    </row>
    <row r="2460">
      <c r="A2460" t="inlineStr">
        <is>
          <t>SOCIETE C2420</t>
        </is>
      </c>
      <c r="B2460" t="inlineStr">
        <is>
          <t>C2420</t>
        </is>
      </c>
      <c r="C2460" t="inlineStr">
        <is>
          <t>PUBLIC SECTOR</t>
        </is>
      </c>
      <c r="D2460" t="inlineStr">
        <is>
          <t>II</t>
        </is>
      </c>
      <c r="E2460" t="inlineStr">
        <is>
          <t>Stage 2</t>
        </is>
      </c>
      <c r="F2460" t="inlineStr">
        <is>
          <t>N/A</t>
        </is>
      </c>
      <c r="G2460" s="26">
        <v>35128330</v>
      </c>
      <c r="H2460" s="26">
        <v>2107700</v>
      </c>
      <c r="I2460" s="26">
        <v>0</v>
      </c>
      <c r="J2460" s="26">
        <v>149</v>
      </c>
      <c r="K2460" t="inlineStr">
        <is>
          <t>Non</t>
        </is>
      </c>
      <c r="L2460">
        <f>SUBTOTAL(103,A2460)</f>
        <v>1</v>
      </c>
    </row>
    <row r="2461">
      <c r="A2461" t="inlineStr">
        <is>
          <t>SOCIETE C978</t>
        </is>
      </c>
      <c r="B2461" t="inlineStr">
        <is>
          <t>C978</t>
        </is>
      </c>
      <c r="C2461" t="inlineStr">
        <is>
          <t>CORPORATE BANKING</t>
        </is>
      </c>
      <c r="D2461" t="inlineStr">
        <is>
          <t>IV</t>
        </is>
      </c>
      <c r="E2461" t="inlineStr">
        <is>
          <t>Stage 3</t>
        </is>
      </c>
      <c r="F2461" t="inlineStr">
        <is>
          <t>N/A</t>
        </is>
      </c>
      <c r="G2461" s="26">
        <v>2216792388</v>
      </c>
      <c r="H2461" s="26">
        <v>1219235814</v>
      </c>
      <c r="I2461" s="26">
        <v>0</v>
      </c>
      <c r="J2461" s="26">
        <v>202</v>
      </c>
      <c r="K2461" t="inlineStr">
        <is>
          <t>Oui</t>
        </is>
      </c>
      <c r="L2461">
        <f>SUBTOTAL(103,A2461)</f>
        <v>1</v>
      </c>
    </row>
    <row r="2462">
      <c r="A2462" t="inlineStr">
        <is>
          <t>SOCIETE C248</t>
        </is>
      </c>
      <c r="B2462" t="inlineStr">
        <is>
          <t>C248</t>
        </is>
      </c>
      <c r="C2462" t="inlineStr">
        <is>
          <t>CORPORATE BANKING</t>
        </is>
      </c>
      <c r="D2462" t="inlineStr">
        <is>
          <t>V</t>
        </is>
      </c>
      <c r="E2462" t="inlineStr">
        <is>
          <t>Stage 3</t>
        </is>
      </c>
      <c r="F2462" t="inlineStr">
        <is>
          <t>N/A</t>
        </is>
      </c>
      <c r="G2462" s="26">
        <v>6033265</v>
      </c>
      <c r="H2462" s="26">
        <v>3318296</v>
      </c>
      <c r="I2462" s="26">
        <v>955993</v>
      </c>
      <c r="J2462" s="26">
        <v>98</v>
      </c>
      <c r="K2462" t="inlineStr">
        <is>
          <t>Oui</t>
        </is>
      </c>
      <c r="L2462">
        <f>SUBTOTAL(103,A2462)</f>
        <v>1</v>
      </c>
    </row>
    <row r="2463">
      <c r="A2463" t="inlineStr">
        <is>
          <t>SOCIETE C2292</t>
        </is>
      </c>
      <c r="B2463" t="inlineStr">
        <is>
          <t>C2292</t>
        </is>
      </c>
      <c r="C2463" t="inlineStr">
        <is>
          <t>COMMERCIAL BANKING</t>
        </is>
      </c>
      <c r="D2463" t="inlineStr">
        <is>
          <t>I</t>
        </is>
      </c>
      <c r="E2463" t="inlineStr">
        <is>
          <t>Stage 1</t>
        </is>
      </c>
      <c r="F2463" t="inlineStr">
        <is>
          <t>N/A</t>
        </is>
      </c>
      <c r="G2463" s="26">
        <v>663119460</v>
      </c>
      <c r="H2463" s="26">
        <v>6631195</v>
      </c>
      <c r="I2463" s="26">
        <v>0</v>
      </c>
      <c r="J2463" s="26">
        <v>209</v>
      </c>
      <c r="K2463" t="inlineStr">
        <is>
          <t>Non</t>
        </is>
      </c>
      <c r="L2463">
        <f>SUBTOTAL(103,A2463)</f>
        <v>1</v>
      </c>
    </row>
    <row r="2464">
      <c r="A2464" t="inlineStr">
        <is>
          <t>SOCIETE C753</t>
        </is>
      </c>
      <c r="B2464" t="inlineStr">
        <is>
          <t>C753</t>
        </is>
      </c>
      <c r="C2464" t="inlineStr">
        <is>
          <t>COMMERCIAL BANKING</t>
        </is>
      </c>
      <c r="D2464" t="inlineStr">
        <is>
          <t>IA</t>
        </is>
      </c>
      <c r="E2464" t="inlineStr">
        <is>
          <t>Stage 2</t>
        </is>
      </c>
      <c r="F2464" t="inlineStr">
        <is>
          <t>N/A</t>
        </is>
      </c>
      <c r="G2464" s="26">
        <v>144804343</v>
      </c>
      <c r="H2464" s="26">
        <v>8688261</v>
      </c>
      <c r="I2464" s="26">
        <v>17208983</v>
      </c>
      <c r="J2464" s="26">
        <v>241</v>
      </c>
      <c r="K2464" t="inlineStr">
        <is>
          <t>Non</t>
        </is>
      </c>
      <c r="L2464">
        <f>SUBTOTAL(103,A2464)</f>
        <v>1</v>
      </c>
    </row>
    <row r="2465">
      <c r="A2465" t="inlineStr">
        <is>
          <t>SOCIETE C793</t>
        </is>
      </c>
      <c r="B2465" t="inlineStr">
        <is>
          <t>C793</t>
        </is>
      </c>
      <c r="C2465" t="inlineStr">
        <is>
          <t>CONSUMER BANKING</t>
        </is>
      </c>
      <c r="D2465" t="inlineStr">
        <is>
          <t>II</t>
        </is>
      </c>
      <c r="E2465" t="inlineStr">
        <is>
          <t>Stage 2</t>
        </is>
      </c>
      <c r="F2465" t="inlineStr">
        <is>
          <t>N/A</t>
        </is>
      </c>
      <c r="G2465" s="26">
        <v>453767025</v>
      </c>
      <c r="H2465" s="26">
        <v>27226021</v>
      </c>
      <c r="I2465" s="26">
        <v>24961402</v>
      </c>
      <c r="J2465" s="26">
        <v>218</v>
      </c>
      <c r="K2465" t="inlineStr">
        <is>
          <t>Non</t>
        </is>
      </c>
      <c r="L2465">
        <f>SUBTOTAL(103,A2465)</f>
        <v>1</v>
      </c>
    </row>
    <row r="2466">
      <c r="A2466" t="inlineStr">
        <is>
          <t>SOCIETE C2300</t>
        </is>
      </c>
      <c r="B2466" t="inlineStr">
        <is>
          <t>C2300</t>
        </is>
      </c>
      <c r="C2466" t="inlineStr">
        <is>
          <t>COMMERCIAL BANKING</t>
        </is>
      </c>
      <c r="D2466" t="inlineStr">
        <is>
          <t>I</t>
        </is>
      </c>
      <c r="E2466" t="inlineStr">
        <is>
          <t>Stage 1</t>
        </is>
      </c>
      <c r="F2466" t="inlineStr">
        <is>
          <t>N/A</t>
        </is>
      </c>
      <c r="G2466" s="26">
        <v>1079315056</v>
      </c>
      <c r="H2466" s="26">
        <v>10793151</v>
      </c>
      <c r="I2466" s="26">
        <v>157648783</v>
      </c>
      <c r="J2466" s="26">
        <v>95</v>
      </c>
      <c r="K2466" t="inlineStr">
        <is>
          <t>Non</t>
        </is>
      </c>
      <c r="L2466">
        <f>SUBTOTAL(103,A2466)</f>
        <v>1</v>
      </c>
    </row>
    <row r="2467">
      <c r="A2467" t="inlineStr">
        <is>
          <t>SOCIETE C560</t>
        </is>
      </c>
      <c r="B2467" t="inlineStr">
        <is>
          <t>C560</t>
        </is>
      </c>
      <c r="C2467" t="inlineStr">
        <is>
          <t>COMMERCIAL BANKING</t>
        </is>
      </c>
      <c r="D2467" t="inlineStr">
        <is>
          <t>III</t>
        </is>
      </c>
      <c r="E2467" t="inlineStr">
        <is>
          <t>Stage 3</t>
        </is>
      </c>
      <c r="F2467" t="inlineStr">
        <is>
          <t>N/A</t>
        </is>
      </c>
      <c r="G2467" s="26">
        <v>819158467</v>
      </c>
      <c r="H2467" s="26">
        <v>450537157</v>
      </c>
      <c r="I2467" s="26">
        <v>64344322</v>
      </c>
      <c r="J2467" s="26">
        <v>6</v>
      </c>
      <c r="K2467" t="inlineStr">
        <is>
          <t>Oui</t>
        </is>
      </c>
      <c r="L2467">
        <f>SUBTOTAL(103,A2467)</f>
        <v>1</v>
      </c>
    </row>
    <row r="2468">
      <c r="A2468" t="inlineStr">
        <is>
          <t>SOCIETE C2442</t>
        </is>
      </c>
      <c r="B2468" t="inlineStr">
        <is>
          <t>C2442</t>
        </is>
      </c>
      <c r="C2468" t="inlineStr">
        <is>
          <t>COMMERCIAL BANKING</t>
        </is>
      </c>
      <c r="D2468" t="inlineStr">
        <is>
          <t>II</t>
        </is>
      </c>
      <c r="E2468" t="inlineStr">
        <is>
          <t>Stage 2</t>
        </is>
      </c>
      <c r="F2468" t="inlineStr">
        <is>
          <t>N/A</t>
        </is>
      </c>
      <c r="G2468" s="26">
        <v>1237805</v>
      </c>
      <c r="H2468" s="26">
        <v>74268</v>
      </c>
      <c r="I2468" s="26">
        <v>44917</v>
      </c>
      <c r="J2468" s="26">
        <v>155</v>
      </c>
      <c r="K2468" t="inlineStr">
        <is>
          <t>Non</t>
        </is>
      </c>
      <c r="L2468">
        <f>SUBTOTAL(103,A2468)</f>
        <v>1</v>
      </c>
    </row>
    <row r="2469">
      <c r="A2469" t="inlineStr">
        <is>
          <t>SOCIETE C1077</t>
        </is>
      </c>
      <c r="B2469" t="inlineStr">
        <is>
          <t>C1077</t>
        </is>
      </c>
      <c r="C2469" t="inlineStr">
        <is>
          <t>COMMERCIAL BANKING</t>
        </is>
      </c>
      <c r="D2469" t="inlineStr">
        <is>
          <t>I</t>
        </is>
      </c>
      <c r="E2469" t="inlineStr">
        <is>
          <t>Stage 1</t>
        </is>
      </c>
      <c r="F2469" t="inlineStr">
        <is>
          <t>N/A</t>
        </is>
      </c>
      <c r="G2469" s="26">
        <v>48807544</v>
      </c>
      <c r="H2469" s="26">
        <v>488075</v>
      </c>
      <c r="I2469" s="26">
        <v>0</v>
      </c>
      <c r="J2469" s="26">
        <v>136</v>
      </c>
      <c r="K2469" t="inlineStr">
        <is>
          <t>Non</t>
        </is>
      </c>
      <c r="L2469">
        <f>SUBTOTAL(103,A2469)</f>
        <v>1</v>
      </c>
    </row>
    <row r="2470">
      <c r="A2470" t="inlineStr">
        <is>
          <t>SOCIETE C703</t>
        </is>
      </c>
      <c r="B2470" t="inlineStr">
        <is>
          <t>C703</t>
        </is>
      </c>
      <c r="C2470" t="inlineStr">
        <is>
          <t>CORPORATE BANKING</t>
        </is>
      </c>
      <c r="D2470" t="inlineStr">
        <is>
          <t>IA</t>
        </is>
      </c>
      <c r="E2470" t="inlineStr">
        <is>
          <t>Stage 2</t>
        </is>
      </c>
      <c r="F2470" t="inlineStr">
        <is>
          <t>N/A</t>
        </is>
      </c>
      <c r="G2470" s="26">
        <v>26999756</v>
      </c>
      <c r="H2470" s="26">
        <v>1619985</v>
      </c>
      <c r="I2470" s="26">
        <v>0</v>
      </c>
      <c r="J2470" s="26">
        <v>49</v>
      </c>
      <c r="K2470" t="inlineStr">
        <is>
          <t>Non</t>
        </is>
      </c>
      <c r="L2470">
        <f>SUBTOTAL(103,A2470)</f>
        <v>1</v>
      </c>
    </row>
    <row r="2471">
      <c r="A2471" t="inlineStr">
        <is>
          <t>SOCIETE C888</t>
        </is>
      </c>
      <c r="B2471" t="inlineStr">
        <is>
          <t>C888</t>
        </is>
      </c>
      <c r="C2471" t="inlineStr">
        <is>
          <t>PUBLIC SECTOR</t>
        </is>
      </c>
      <c r="D2471" t="inlineStr">
        <is>
          <t>IA</t>
        </is>
      </c>
      <c r="E2471" t="inlineStr">
        <is>
          <t>Stage 2</t>
        </is>
      </c>
      <c r="F2471" t="inlineStr">
        <is>
          <t>N/A</t>
        </is>
      </c>
      <c r="G2471" s="26">
        <v>346279310</v>
      </c>
      <c r="H2471" s="26">
        <v>20776759</v>
      </c>
      <c r="I2471" s="26">
        <v>55606098</v>
      </c>
      <c r="J2471" s="26">
        <v>164</v>
      </c>
      <c r="K2471" t="inlineStr">
        <is>
          <t>Non</t>
        </is>
      </c>
      <c r="L2471">
        <f>SUBTOTAL(103,A2471)</f>
        <v>1</v>
      </c>
    </row>
    <row r="2472">
      <c r="A2472" t="inlineStr">
        <is>
          <t>SOCIETE C2148</t>
        </is>
      </c>
      <c r="B2472" t="inlineStr">
        <is>
          <t>C2148</t>
        </is>
      </c>
      <c r="C2472" t="inlineStr">
        <is>
          <t>CORPORATE BANKING</t>
        </is>
      </c>
      <c r="D2472" t="inlineStr">
        <is>
          <t>II</t>
        </is>
      </c>
      <c r="E2472" t="inlineStr">
        <is>
          <t>Stage 2</t>
        </is>
      </c>
      <c r="F2472" t="inlineStr">
        <is>
          <t>N/A</t>
        </is>
      </c>
      <c r="G2472" s="26">
        <v>5793417</v>
      </c>
      <c r="H2472" s="26">
        <v>347605</v>
      </c>
      <c r="I2472" s="26">
        <v>113909</v>
      </c>
      <c r="J2472" s="26">
        <v>2</v>
      </c>
      <c r="K2472" t="inlineStr">
        <is>
          <t>Non</t>
        </is>
      </c>
      <c r="L2472">
        <f>SUBTOTAL(103,A2472)</f>
        <v>1</v>
      </c>
    </row>
    <row r="2473">
      <c r="A2473" t="inlineStr">
        <is>
          <t>SOCIETE C1687</t>
        </is>
      </c>
      <c r="B2473" t="inlineStr">
        <is>
          <t>C1687</t>
        </is>
      </c>
      <c r="C2473" t="inlineStr">
        <is>
          <t>PUBLIC SECTOR</t>
        </is>
      </c>
      <c r="D2473" t="inlineStr">
        <is>
          <t>I</t>
        </is>
      </c>
      <c r="E2473" t="inlineStr">
        <is>
          <t>Stage 1</t>
        </is>
      </c>
      <c r="F2473" t="inlineStr">
        <is>
          <t>N/A</t>
        </is>
      </c>
      <c r="G2473" s="26">
        <v>174350291</v>
      </c>
      <c r="H2473" s="26">
        <v>1743503</v>
      </c>
      <c r="I2473" s="26">
        <v>0</v>
      </c>
      <c r="J2473" s="26">
        <v>45</v>
      </c>
      <c r="K2473" t="inlineStr">
        <is>
          <t>Non</t>
        </is>
      </c>
      <c r="L2473">
        <f>SUBTOTAL(103,A2473)</f>
        <v>1</v>
      </c>
    </row>
    <row r="2474">
      <c r="A2474" t="inlineStr">
        <is>
          <t>SOCIETE C1079</t>
        </is>
      </c>
      <c r="B2474" t="inlineStr">
        <is>
          <t>C1079</t>
        </is>
      </c>
      <c r="C2474" t="inlineStr">
        <is>
          <t>COMMERCIAL BANKING</t>
        </is>
      </c>
      <c r="D2474" t="inlineStr">
        <is>
          <t>I</t>
        </is>
      </c>
      <c r="E2474" t="inlineStr">
        <is>
          <t>Stage 1</t>
        </is>
      </c>
      <c r="F2474" t="inlineStr">
        <is>
          <t>N/A</t>
        </is>
      </c>
      <c r="G2474" s="26">
        <v>2542693626</v>
      </c>
      <c r="H2474" s="26">
        <v>25426936</v>
      </c>
      <c r="I2474" s="26">
        <v>0</v>
      </c>
      <c r="J2474" s="26">
        <v>110</v>
      </c>
      <c r="K2474" t="inlineStr">
        <is>
          <t>Non</t>
        </is>
      </c>
      <c r="L2474">
        <f>SUBTOTAL(103,A2474)</f>
        <v>1</v>
      </c>
    </row>
    <row r="2475">
      <c r="A2475" t="inlineStr">
        <is>
          <t>SOCIETE C1901</t>
        </is>
      </c>
      <c r="B2475" t="inlineStr">
        <is>
          <t>C1901</t>
        </is>
      </c>
      <c r="C2475" t="inlineStr">
        <is>
          <t>COMMERCIAL BANKING</t>
        </is>
      </c>
      <c r="D2475" t="inlineStr">
        <is>
          <t>I</t>
        </is>
      </c>
      <c r="E2475" t="inlineStr">
        <is>
          <t>Stage 1</t>
        </is>
      </c>
      <c r="F2475" t="inlineStr">
        <is>
          <t>N/A</t>
        </is>
      </c>
      <c r="G2475" s="26">
        <v>1030920</v>
      </c>
      <c r="H2475" s="26">
        <v>10309</v>
      </c>
      <c r="I2475" s="26">
        <v>0</v>
      </c>
      <c r="J2475" s="26">
        <v>14</v>
      </c>
      <c r="K2475" t="inlineStr">
        <is>
          <t>Non</t>
        </is>
      </c>
      <c r="L2475">
        <f>SUBTOTAL(103,A2475)</f>
        <v>1</v>
      </c>
    </row>
    <row r="2476">
      <c r="A2476" t="inlineStr">
        <is>
          <t>SOCIETE C2372</t>
        </is>
      </c>
      <c r="B2476" t="inlineStr">
        <is>
          <t>C2372</t>
        </is>
      </c>
      <c r="C2476" t="inlineStr">
        <is>
          <t>COMMERCIAL BANKING</t>
        </is>
      </c>
      <c r="D2476" t="inlineStr">
        <is>
          <t>V</t>
        </is>
      </c>
      <c r="E2476" t="inlineStr">
        <is>
          <t>Stage 3</t>
        </is>
      </c>
      <c r="F2476" t="inlineStr">
        <is>
          <t>N/A</t>
        </is>
      </c>
      <c r="G2476" s="26">
        <v>34723134</v>
      </c>
      <c r="H2476" s="26">
        <v>19097723</v>
      </c>
      <c r="I2476" s="26">
        <v>0</v>
      </c>
      <c r="J2476" s="26">
        <v>293</v>
      </c>
      <c r="K2476" t="inlineStr">
        <is>
          <t>Oui</t>
        </is>
      </c>
      <c r="L2476">
        <f>SUBTOTAL(103,A2476)</f>
        <v>1</v>
      </c>
    </row>
    <row r="2477">
      <c r="A2477" t="inlineStr">
        <is>
          <t>SOCIETE C2319</t>
        </is>
      </c>
      <c r="B2477" t="inlineStr">
        <is>
          <t>C2319</t>
        </is>
      </c>
      <c r="C2477" t="inlineStr">
        <is>
          <t>COMMERCIAL BANKING</t>
        </is>
      </c>
      <c r="D2477" t="inlineStr">
        <is>
          <t>I</t>
        </is>
      </c>
      <c r="E2477" t="inlineStr">
        <is>
          <t>Stage 1</t>
        </is>
      </c>
      <c r="F2477" t="inlineStr">
        <is>
          <t>N/A</t>
        </is>
      </c>
      <c r="G2477" s="26">
        <v>98575839</v>
      </c>
      <c r="H2477" s="26">
        <v>985758</v>
      </c>
      <c r="I2477" s="26">
        <v>0</v>
      </c>
      <c r="J2477" s="26">
        <v>98</v>
      </c>
      <c r="K2477" t="inlineStr">
        <is>
          <t>Non</t>
        </is>
      </c>
      <c r="L2477">
        <f>SUBTOTAL(103,A2477)</f>
        <v>1</v>
      </c>
    </row>
    <row r="2478">
      <c r="A2478" t="inlineStr">
        <is>
          <t>SOCIETE C467</t>
        </is>
      </c>
      <c r="B2478" t="inlineStr">
        <is>
          <t>C467</t>
        </is>
      </c>
      <c r="C2478" t="inlineStr">
        <is>
          <t>CORPORATE BANKING</t>
        </is>
      </c>
      <c r="D2478" t="inlineStr">
        <is>
          <t>IV</t>
        </is>
      </c>
      <c r="E2478" t="inlineStr">
        <is>
          <t>Stage 3</t>
        </is>
      </c>
      <c r="F2478" t="inlineStr">
        <is>
          <t>N/A</t>
        </is>
      </c>
      <c r="G2478" s="26">
        <v>1857657</v>
      </c>
      <c r="H2478" s="26">
        <v>1021711</v>
      </c>
      <c r="I2478" s="26">
        <v>0</v>
      </c>
      <c r="J2478" s="26">
        <v>76</v>
      </c>
      <c r="K2478" t="inlineStr">
        <is>
          <t>Oui</t>
        </is>
      </c>
      <c r="L2478">
        <f>SUBTOTAL(103,A2478)</f>
        <v>1</v>
      </c>
    </row>
    <row r="2479">
      <c r="A2479" t="inlineStr">
        <is>
          <t>SOCIETE C238</t>
        </is>
      </c>
      <c r="B2479" t="inlineStr">
        <is>
          <t>C238</t>
        </is>
      </c>
      <c r="C2479" t="inlineStr">
        <is>
          <t>CORPORATE BANKING</t>
        </is>
      </c>
      <c r="D2479" t="inlineStr">
        <is>
          <t>IA</t>
        </is>
      </c>
      <c r="E2479" t="inlineStr">
        <is>
          <t>Stage 2</t>
        </is>
      </c>
      <c r="F2479" t="inlineStr">
        <is>
          <t>N/A</t>
        </is>
      </c>
      <c r="G2479" s="26">
        <v>565869612</v>
      </c>
      <c r="H2479" s="26">
        <v>33952177</v>
      </c>
      <c r="I2479" s="26">
        <v>0</v>
      </c>
      <c r="J2479" s="26">
        <v>34</v>
      </c>
      <c r="K2479" t="inlineStr">
        <is>
          <t>Non</t>
        </is>
      </c>
      <c r="L2479">
        <f>SUBTOTAL(103,A2479)</f>
        <v>1</v>
      </c>
    </row>
    <row r="2480">
      <c r="A2480" t="inlineStr">
        <is>
          <t>SOCIETE C1676</t>
        </is>
      </c>
      <c r="B2480" t="inlineStr">
        <is>
          <t>C1676</t>
        </is>
      </c>
      <c r="C2480" t="inlineStr">
        <is>
          <t>CORPORATE BANKING</t>
        </is>
      </c>
      <c r="D2480" t="inlineStr">
        <is>
          <t>IA</t>
        </is>
      </c>
      <c r="E2480" t="inlineStr">
        <is>
          <t>Stage 2</t>
        </is>
      </c>
      <c r="F2480" t="inlineStr">
        <is>
          <t>N/A</t>
        </is>
      </c>
      <c r="G2480" s="26">
        <v>1714465828</v>
      </c>
      <c r="H2480" s="26">
        <v>102867950</v>
      </c>
      <c r="I2480" s="26">
        <v>0</v>
      </c>
      <c r="J2480" s="26">
        <v>46</v>
      </c>
      <c r="K2480" t="inlineStr">
        <is>
          <t>Non</t>
        </is>
      </c>
      <c r="L2480">
        <f>SUBTOTAL(103,A2480)</f>
        <v>1</v>
      </c>
    </row>
    <row r="2481">
      <c r="A2481" t="inlineStr">
        <is>
          <t>SOCIETE C2461</t>
        </is>
      </c>
      <c r="B2481" t="inlineStr">
        <is>
          <t>C2461</t>
        </is>
      </c>
      <c r="C2481" t="inlineStr">
        <is>
          <t>CORPORATE BANKING</t>
        </is>
      </c>
      <c r="D2481" t="inlineStr">
        <is>
          <t>I</t>
        </is>
      </c>
      <c r="E2481" t="inlineStr">
        <is>
          <t>Stage 1</t>
        </is>
      </c>
      <c r="F2481" t="inlineStr">
        <is>
          <t>N/A</t>
        </is>
      </c>
      <c r="G2481" s="26">
        <v>4685166</v>
      </c>
      <c r="H2481" s="26">
        <v>46852</v>
      </c>
      <c r="I2481" s="26">
        <v>0</v>
      </c>
      <c r="J2481" s="26">
        <v>147</v>
      </c>
      <c r="K2481" t="inlineStr">
        <is>
          <t>Non</t>
        </is>
      </c>
      <c r="L2481">
        <f>SUBTOTAL(103,A2481)</f>
        <v>1</v>
      </c>
    </row>
    <row r="2482">
      <c r="A2482" t="inlineStr">
        <is>
          <t>SOCIETE C299</t>
        </is>
      </c>
      <c r="B2482" t="inlineStr">
        <is>
          <t>C299</t>
        </is>
      </c>
      <c r="C2482" t="inlineStr">
        <is>
          <t>INSTITUTIONAL</t>
        </is>
      </c>
      <c r="D2482" t="inlineStr">
        <is>
          <t>I</t>
        </is>
      </c>
      <c r="E2482" t="inlineStr">
        <is>
          <t>Stage 1</t>
        </is>
      </c>
      <c r="F2482" t="inlineStr">
        <is>
          <t>N/A</t>
        </is>
      </c>
      <c r="G2482" s="26">
        <v>2871642</v>
      </c>
      <c r="H2482" s="26">
        <v>28716</v>
      </c>
      <c r="I2482" s="26">
        <v>0</v>
      </c>
      <c r="J2482" s="26">
        <v>175</v>
      </c>
      <c r="K2482" t="inlineStr">
        <is>
          <t>Non</t>
        </is>
      </c>
      <c r="L2482">
        <f>SUBTOTAL(103,A2482)</f>
        <v>1</v>
      </c>
    </row>
    <row r="2483">
      <c r="A2483" t="inlineStr">
        <is>
          <t>SOCIETE C1718</t>
        </is>
      </c>
      <c r="B2483" t="inlineStr">
        <is>
          <t>C1718</t>
        </is>
      </c>
      <c r="C2483" t="inlineStr">
        <is>
          <t>PUBLIC SECTOR</t>
        </is>
      </c>
      <c r="D2483" t="inlineStr">
        <is>
          <t>II</t>
        </is>
      </c>
      <c r="E2483" t="inlineStr">
        <is>
          <t>Stage 2</t>
        </is>
      </c>
      <c r="F2483" t="inlineStr">
        <is>
          <t>N/A</t>
        </is>
      </c>
      <c r="G2483" s="26">
        <v>1551469147</v>
      </c>
      <c r="H2483" s="26">
        <v>93088149</v>
      </c>
      <c r="I2483" s="26">
        <v>0</v>
      </c>
      <c r="J2483" s="26">
        <v>205</v>
      </c>
      <c r="K2483" t="inlineStr">
        <is>
          <t>Non</t>
        </is>
      </c>
      <c r="L2483">
        <f>SUBTOTAL(103,A2483)</f>
        <v>1</v>
      </c>
    </row>
    <row r="2484">
      <c r="A2484" t="inlineStr">
        <is>
          <t>SOCIETE C2092</t>
        </is>
      </c>
      <c r="B2484" t="inlineStr">
        <is>
          <t>C2092</t>
        </is>
      </c>
      <c r="C2484" t="inlineStr">
        <is>
          <t>COMMERCIAL BANKING</t>
        </is>
      </c>
      <c r="D2484" t="inlineStr">
        <is>
          <t>I</t>
        </is>
      </c>
      <c r="E2484" t="inlineStr">
        <is>
          <t>Stage 1</t>
        </is>
      </c>
      <c r="F2484" t="inlineStr">
        <is>
          <t>N/A</t>
        </is>
      </c>
      <c r="G2484" s="26">
        <v>152757271</v>
      </c>
      <c r="H2484" s="26">
        <v>1527573</v>
      </c>
      <c r="I2484" s="26">
        <v>0</v>
      </c>
      <c r="J2484" s="26">
        <v>274</v>
      </c>
      <c r="K2484" t="inlineStr">
        <is>
          <t>Non</t>
        </is>
      </c>
      <c r="L2484">
        <f>SUBTOTAL(103,A2484)</f>
        <v>1</v>
      </c>
    </row>
    <row r="2485">
      <c r="A2485" t="inlineStr">
        <is>
          <t>SOCIETE C749</t>
        </is>
      </c>
      <c r="B2485" t="inlineStr">
        <is>
          <t>C749</t>
        </is>
      </c>
      <c r="C2485" t="inlineStr">
        <is>
          <t>COMMERCIAL BANKING</t>
        </is>
      </c>
      <c r="D2485" t="inlineStr">
        <is>
          <t>V</t>
        </is>
      </c>
      <c r="E2485" t="inlineStr">
        <is>
          <t>Stage 3</t>
        </is>
      </c>
      <c r="F2485" t="inlineStr">
        <is>
          <t>N/A</t>
        </is>
      </c>
      <c r="G2485" s="26">
        <v>376374962</v>
      </c>
      <c r="H2485" s="26">
        <v>207006229</v>
      </c>
      <c r="I2485" s="26">
        <v>0</v>
      </c>
      <c r="J2485" s="26">
        <v>1</v>
      </c>
      <c r="K2485" t="inlineStr">
        <is>
          <t>Oui</t>
        </is>
      </c>
      <c r="L2485">
        <f>SUBTOTAL(103,A2485)</f>
        <v>1</v>
      </c>
    </row>
    <row r="2486">
      <c r="A2486" t="inlineStr">
        <is>
          <t>SOCIETE C1478</t>
        </is>
      </c>
      <c r="B2486" t="inlineStr">
        <is>
          <t>C1478</t>
        </is>
      </c>
      <c r="C2486" t="inlineStr">
        <is>
          <t>CORPORATE BANKING</t>
        </is>
      </c>
      <c r="D2486" t="inlineStr">
        <is>
          <t>I</t>
        </is>
      </c>
      <c r="E2486" t="inlineStr">
        <is>
          <t>Stage 1</t>
        </is>
      </c>
      <c r="F2486" t="inlineStr">
        <is>
          <t>N/A</t>
        </is>
      </c>
      <c r="G2486" s="26">
        <v>2165648155</v>
      </c>
      <c r="H2486" s="26">
        <v>21656482</v>
      </c>
      <c r="I2486" s="26">
        <v>0</v>
      </c>
      <c r="J2486" s="26">
        <v>99</v>
      </c>
      <c r="K2486" t="inlineStr">
        <is>
          <t>Non</t>
        </is>
      </c>
      <c r="L2486">
        <f>SUBTOTAL(103,A2486)</f>
        <v>1</v>
      </c>
    </row>
    <row r="2487">
      <c r="A2487" t="inlineStr">
        <is>
          <t>SOCIETE C1872</t>
        </is>
      </c>
      <c r="B2487" t="inlineStr">
        <is>
          <t>C1872</t>
        </is>
      </c>
      <c r="C2487" t="inlineStr">
        <is>
          <t>CORPORATE BANKING</t>
        </is>
      </c>
      <c r="D2487" t="inlineStr">
        <is>
          <t>I</t>
        </is>
      </c>
      <c r="E2487" t="inlineStr">
        <is>
          <t>Stage 1</t>
        </is>
      </c>
      <c r="F2487" t="inlineStr">
        <is>
          <t>N/A</t>
        </is>
      </c>
      <c r="G2487" s="26">
        <v>189419625</v>
      </c>
      <c r="H2487" s="26">
        <v>1894196</v>
      </c>
      <c r="I2487" s="26">
        <v>0</v>
      </c>
      <c r="J2487" s="26">
        <v>81</v>
      </c>
      <c r="K2487" t="inlineStr">
        <is>
          <t>Non</t>
        </is>
      </c>
      <c r="L2487">
        <f>SUBTOTAL(103,A2487)</f>
        <v>1</v>
      </c>
    </row>
    <row r="2488">
      <c r="A2488" t="inlineStr">
        <is>
          <t>SOCIETE C833</t>
        </is>
      </c>
      <c r="B2488" t="inlineStr">
        <is>
          <t>C833</t>
        </is>
      </c>
      <c r="C2488" t="inlineStr">
        <is>
          <t>CORPORATE BANKING</t>
        </is>
      </c>
      <c r="D2488" t="inlineStr">
        <is>
          <t>IV</t>
        </is>
      </c>
      <c r="E2488" t="inlineStr">
        <is>
          <t>Stage 3</t>
        </is>
      </c>
      <c r="F2488" t="inlineStr">
        <is>
          <t>N/A</t>
        </is>
      </c>
      <c r="G2488" s="26">
        <v>1476378193</v>
      </c>
      <c r="H2488" s="26">
        <v>812008006</v>
      </c>
      <c r="I2488" s="26">
        <v>0</v>
      </c>
      <c r="J2488" s="26">
        <v>171</v>
      </c>
      <c r="K2488" t="inlineStr">
        <is>
          <t>Oui</t>
        </is>
      </c>
      <c r="L2488">
        <f>SUBTOTAL(103,A2488)</f>
        <v>1</v>
      </c>
    </row>
    <row r="2489">
      <c r="A2489" t="inlineStr">
        <is>
          <t>SOCIETE C1791</t>
        </is>
      </c>
      <c r="B2489" t="inlineStr">
        <is>
          <t>C1791</t>
        </is>
      </c>
      <c r="C2489" t="inlineStr">
        <is>
          <t>COMMERCIAL BANKING</t>
        </is>
      </c>
      <c r="D2489" t="inlineStr">
        <is>
          <t>IA</t>
        </is>
      </c>
      <c r="E2489" t="inlineStr">
        <is>
          <t>Stage 2</t>
        </is>
      </c>
      <c r="F2489" t="inlineStr">
        <is>
          <t>N/A</t>
        </is>
      </c>
      <c r="G2489" s="26">
        <v>1323936468</v>
      </c>
      <c r="H2489" s="26">
        <v>79436188</v>
      </c>
      <c r="I2489" s="26">
        <v>0</v>
      </c>
      <c r="J2489" s="26">
        <v>135</v>
      </c>
      <c r="K2489" t="inlineStr">
        <is>
          <t>Non</t>
        </is>
      </c>
      <c r="L2489">
        <f>SUBTOTAL(103,A2489)</f>
        <v>1</v>
      </c>
    </row>
    <row r="2490">
      <c r="A2490" t="inlineStr">
        <is>
          <t>SOCIETE C974</t>
        </is>
      </c>
      <c r="B2490" t="inlineStr">
        <is>
          <t>C974</t>
        </is>
      </c>
      <c r="C2490" t="inlineStr">
        <is>
          <t>CORPORATE BANKING</t>
        </is>
      </c>
      <c r="D2490" t="inlineStr">
        <is>
          <t>V</t>
        </is>
      </c>
      <c r="E2490" t="inlineStr">
        <is>
          <t>Stage 3</t>
        </is>
      </c>
      <c r="F2490" t="inlineStr">
        <is>
          <t>N/A</t>
        </is>
      </c>
      <c r="G2490" s="26">
        <v>89205837</v>
      </c>
      <c r="H2490" s="26">
        <v>49063210</v>
      </c>
      <c r="I2490" s="26">
        <v>0</v>
      </c>
      <c r="J2490" s="26">
        <v>10</v>
      </c>
      <c r="K2490" t="inlineStr">
        <is>
          <t>Oui</t>
        </is>
      </c>
      <c r="L2490">
        <f>SUBTOTAL(103,A2490)</f>
        <v>1</v>
      </c>
    </row>
    <row r="2491">
      <c r="A2491" t="inlineStr">
        <is>
          <t>SOCIETE C416</t>
        </is>
      </c>
      <c r="B2491" t="inlineStr">
        <is>
          <t>C416</t>
        </is>
      </c>
      <c r="C2491" t="inlineStr">
        <is>
          <t>INSTITUTIONAL</t>
        </is>
      </c>
      <c r="D2491" t="inlineStr">
        <is>
          <t>I</t>
        </is>
      </c>
      <c r="E2491" t="inlineStr">
        <is>
          <t>Stage 1</t>
        </is>
      </c>
      <c r="F2491" t="inlineStr">
        <is>
          <t>N/A</t>
        </is>
      </c>
      <c r="G2491" s="26">
        <v>1164076584</v>
      </c>
      <c r="H2491" s="26">
        <v>11640766</v>
      </c>
      <c r="I2491" s="26">
        <v>0</v>
      </c>
      <c r="J2491" s="26">
        <v>47</v>
      </c>
      <c r="K2491" t="inlineStr">
        <is>
          <t>Non</t>
        </is>
      </c>
      <c r="L2491">
        <f>SUBTOTAL(103,A2491)</f>
        <v>1</v>
      </c>
    </row>
    <row r="2492">
      <c r="A2492" t="inlineStr">
        <is>
          <t>SOCIETE C2144</t>
        </is>
      </c>
      <c r="B2492" t="inlineStr">
        <is>
          <t>C2144</t>
        </is>
      </c>
      <c r="C2492" t="inlineStr">
        <is>
          <t>CONSUMER BANKING</t>
        </is>
      </c>
      <c r="D2492" t="inlineStr">
        <is>
          <t>III</t>
        </is>
      </c>
      <c r="E2492" t="inlineStr">
        <is>
          <t>Stage 3</t>
        </is>
      </c>
      <c r="F2492" t="inlineStr">
        <is>
          <t>N/A</t>
        </is>
      </c>
      <c r="G2492" s="26">
        <v>4186655</v>
      </c>
      <c r="H2492" s="26">
        <v>2302660</v>
      </c>
      <c r="I2492" s="26">
        <v>0</v>
      </c>
      <c r="J2492" s="26">
        <v>75</v>
      </c>
      <c r="K2492" t="inlineStr">
        <is>
          <t>Oui</t>
        </is>
      </c>
      <c r="L2492">
        <f>SUBTOTAL(103,A2492)</f>
        <v>1</v>
      </c>
    </row>
    <row r="2493">
      <c r="A2493" t="inlineStr">
        <is>
          <t>SOCIETE C1143</t>
        </is>
      </c>
      <c r="B2493" t="inlineStr">
        <is>
          <t>C1143</t>
        </is>
      </c>
      <c r="C2493" t="inlineStr">
        <is>
          <t>CORPORATE BANKING</t>
        </is>
      </c>
      <c r="D2493" t="inlineStr">
        <is>
          <t>II</t>
        </is>
      </c>
      <c r="E2493" t="inlineStr">
        <is>
          <t>Stage 2</t>
        </is>
      </c>
      <c r="F2493" t="inlineStr">
        <is>
          <t>N/A</t>
        </is>
      </c>
      <c r="G2493" s="26">
        <v>1971393228</v>
      </c>
      <c r="H2493" s="26">
        <v>118283594</v>
      </c>
      <c r="I2493" s="26">
        <v>382800067</v>
      </c>
      <c r="J2493" s="26">
        <v>202</v>
      </c>
      <c r="K2493" t="inlineStr">
        <is>
          <t>Non</t>
        </is>
      </c>
      <c r="L2493">
        <f>SUBTOTAL(103,A2493)</f>
        <v>1</v>
      </c>
    </row>
    <row r="2494">
      <c r="A2494" t="inlineStr">
        <is>
          <t>SOCIETE C762</t>
        </is>
      </c>
      <c r="B2494" t="inlineStr">
        <is>
          <t>C762</t>
        </is>
      </c>
      <c r="C2494" t="inlineStr">
        <is>
          <t>CORPORATE BANKING</t>
        </is>
      </c>
      <c r="D2494" t="inlineStr">
        <is>
          <t>I</t>
        </is>
      </c>
      <c r="E2494" t="inlineStr">
        <is>
          <t>Stage 1</t>
        </is>
      </c>
      <c r="F2494" t="inlineStr">
        <is>
          <t>N/A</t>
        </is>
      </c>
      <c r="G2494" s="26">
        <v>444419003</v>
      </c>
      <c r="H2494" s="26">
        <v>4444190</v>
      </c>
      <c r="I2494" s="26">
        <v>6924276</v>
      </c>
      <c r="J2494" s="26">
        <v>6</v>
      </c>
      <c r="K2494" t="inlineStr">
        <is>
          <t>Non</t>
        </is>
      </c>
      <c r="L2494">
        <f>SUBTOTAL(103,A2494)</f>
        <v>1</v>
      </c>
    </row>
    <row r="2495">
      <c r="A2495" t="inlineStr">
        <is>
          <t>SOCIETE C2386</t>
        </is>
      </c>
      <c r="B2495" t="inlineStr">
        <is>
          <t>C2386</t>
        </is>
      </c>
      <c r="C2495" t="inlineStr">
        <is>
          <t>PUBLIC SECTOR</t>
        </is>
      </c>
      <c r="D2495" t="inlineStr">
        <is>
          <t>I</t>
        </is>
      </c>
      <c r="E2495" t="inlineStr">
        <is>
          <t>Stage 1</t>
        </is>
      </c>
      <c r="F2495" t="inlineStr">
        <is>
          <t>N/A</t>
        </is>
      </c>
      <c r="G2495" s="26">
        <v>482218020</v>
      </c>
      <c r="H2495" s="26">
        <v>4822180</v>
      </c>
      <c r="I2495" s="26">
        <v>24290960</v>
      </c>
      <c r="J2495" s="26">
        <v>18</v>
      </c>
      <c r="K2495" t="inlineStr">
        <is>
          <t>Non</t>
        </is>
      </c>
      <c r="L2495">
        <f>SUBTOTAL(103,A2495)</f>
        <v>1</v>
      </c>
    </row>
    <row r="2496">
      <c r="A2496" t="inlineStr">
        <is>
          <t>SOCIETE C2433</t>
        </is>
      </c>
      <c r="B2496" t="inlineStr">
        <is>
          <t>C2433</t>
        </is>
      </c>
      <c r="C2496" t="inlineStr">
        <is>
          <t>CONSUMER BANKING</t>
        </is>
      </c>
      <c r="D2496" t="inlineStr">
        <is>
          <t>V</t>
        </is>
      </c>
      <c r="E2496" t="inlineStr">
        <is>
          <t>Stage 3</t>
        </is>
      </c>
      <c r="F2496" t="inlineStr">
        <is>
          <t>N/A</t>
        </is>
      </c>
      <c r="G2496" s="26">
        <v>1326189132</v>
      </c>
      <c r="H2496" s="26">
        <v>729404022</v>
      </c>
      <c r="I2496" s="26">
        <v>0</v>
      </c>
      <c r="J2496" s="26">
        <v>94</v>
      </c>
      <c r="K2496" t="inlineStr">
        <is>
          <t>Oui</t>
        </is>
      </c>
      <c r="L2496">
        <f>SUBTOTAL(103,A2496)</f>
        <v>1</v>
      </c>
    </row>
    <row r="2497">
      <c r="A2497" t="inlineStr">
        <is>
          <t>SOCIETE C473</t>
        </is>
      </c>
      <c r="B2497" t="inlineStr">
        <is>
          <t>C473</t>
        </is>
      </c>
      <c r="C2497" t="inlineStr">
        <is>
          <t>CORPORATE BANKING</t>
        </is>
      </c>
      <c r="D2497" t="inlineStr">
        <is>
          <t>II</t>
        </is>
      </c>
      <c r="E2497" t="inlineStr">
        <is>
          <t>Stage 2</t>
        </is>
      </c>
      <c r="F2497" t="inlineStr">
        <is>
          <t>N/A</t>
        </is>
      </c>
      <c r="G2497" s="26">
        <v>1708397451</v>
      </c>
      <c r="H2497" s="26">
        <v>102503847</v>
      </c>
      <c r="I2497" s="26">
        <v>0</v>
      </c>
      <c r="J2497" s="26">
        <v>168</v>
      </c>
      <c r="K2497" t="inlineStr">
        <is>
          <t>Non</t>
        </is>
      </c>
      <c r="L2497">
        <f>SUBTOTAL(103,A2497)</f>
        <v>1</v>
      </c>
    </row>
    <row r="2498">
      <c r="A2498" t="inlineStr">
        <is>
          <t>SOCIETE C1803</t>
        </is>
      </c>
      <c r="B2498" t="inlineStr">
        <is>
          <t>C1803</t>
        </is>
      </c>
      <c r="C2498" t="inlineStr">
        <is>
          <t>COMMERCIAL BANKING</t>
        </is>
      </c>
      <c r="D2498" t="inlineStr">
        <is>
          <t>I</t>
        </is>
      </c>
      <c r="E2498" t="inlineStr">
        <is>
          <t>Stage 1</t>
        </is>
      </c>
      <c r="F2498" t="inlineStr">
        <is>
          <t>N/A</t>
        </is>
      </c>
      <c r="G2498" s="26">
        <v>2464536520</v>
      </c>
      <c r="H2498" s="26">
        <v>24645365</v>
      </c>
      <c r="I2498" s="26">
        <v>24150267</v>
      </c>
      <c r="J2498" s="26">
        <v>84</v>
      </c>
      <c r="K2498" t="inlineStr">
        <is>
          <t>Non</t>
        </is>
      </c>
      <c r="L2498">
        <f>SUBTOTAL(103,A2498)</f>
        <v>1</v>
      </c>
    </row>
    <row r="2499">
      <c r="A2499" t="inlineStr">
        <is>
          <t>SOCIETE C998</t>
        </is>
      </c>
      <c r="B2499" t="inlineStr">
        <is>
          <t>C998</t>
        </is>
      </c>
      <c r="C2499" t="inlineStr">
        <is>
          <t>PUBLIC SECTOR</t>
        </is>
      </c>
      <c r="D2499" t="inlineStr">
        <is>
          <t>I</t>
        </is>
      </c>
      <c r="E2499" t="inlineStr">
        <is>
          <t>Stage 1</t>
        </is>
      </c>
      <c r="F2499" t="inlineStr">
        <is>
          <t>N/A</t>
        </is>
      </c>
      <c r="G2499" s="26">
        <v>807543044</v>
      </c>
      <c r="H2499" s="26">
        <v>8075430</v>
      </c>
      <c r="I2499" s="26">
        <v>30034869</v>
      </c>
      <c r="J2499" s="26">
        <v>76</v>
      </c>
      <c r="K2499" t="inlineStr">
        <is>
          <t>Non</t>
        </is>
      </c>
      <c r="L2499">
        <f>SUBTOTAL(103,A2499)</f>
        <v>1</v>
      </c>
    </row>
    <row r="2500">
      <c r="A2500" t="inlineStr">
        <is>
          <t>SOCIETE C20</t>
        </is>
      </c>
      <c r="B2500" t="inlineStr">
        <is>
          <t>C20</t>
        </is>
      </c>
      <c r="C2500" t="inlineStr">
        <is>
          <t>SME</t>
        </is>
      </c>
      <c r="D2500" t="inlineStr">
        <is>
          <t>I</t>
        </is>
      </c>
      <c r="E2500" t="inlineStr">
        <is>
          <t>Stage 1</t>
        </is>
      </c>
      <c r="F2500" t="inlineStr">
        <is>
          <t>N/A</t>
        </is>
      </c>
      <c r="G2500" s="26">
        <v>7385909</v>
      </c>
      <c r="H2500" s="26">
        <v>73859</v>
      </c>
      <c r="I2500" s="26">
        <v>0</v>
      </c>
      <c r="J2500" s="26">
        <v>73</v>
      </c>
      <c r="K2500" t="inlineStr">
        <is>
          <t>Non</t>
        </is>
      </c>
      <c r="L2500">
        <f>SUBTOTAL(103,A2500)</f>
        <v>1</v>
      </c>
    </row>
    <row r="2501">
      <c r="A2501" t="inlineStr">
        <is>
          <t>SOCIETE C2164</t>
        </is>
      </c>
      <c r="B2501" t="inlineStr">
        <is>
          <t>C2164</t>
        </is>
      </c>
      <c r="C2501" t="inlineStr">
        <is>
          <t>CORPORATE BANKING</t>
        </is>
      </c>
      <c r="D2501" t="inlineStr">
        <is>
          <t>IV</t>
        </is>
      </c>
      <c r="E2501" t="inlineStr">
        <is>
          <t>Stage 3</t>
        </is>
      </c>
      <c r="F2501" t="inlineStr">
        <is>
          <t>N/A</t>
        </is>
      </c>
      <c r="G2501" s="26">
        <v>38653265</v>
      </c>
      <c r="H2501" s="26">
        <v>21259296</v>
      </c>
      <c r="I2501" s="26">
        <v>0</v>
      </c>
      <c r="J2501" s="26">
        <v>101</v>
      </c>
      <c r="K2501" t="inlineStr">
        <is>
          <t>Oui</t>
        </is>
      </c>
      <c r="L2501">
        <f>SUBTOTAL(103,A2501)</f>
        <v>1</v>
      </c>
    </row>
    <row r="2502">
      <c r="A2502" t="inlineStr">
        <is>
          <t>SOCIETE C891</t>
        </is>
      </c>
      <c r="B2502" t="inlineStr">
        <is>
          <t>C891</t>
        </is>
      </c>
      <c r="C2502" t="inlineStr">
        <is>
          <t>COMMERCIAL BANKING</t>
        </is>
      </c>
      <c r="D2502" t="inlineStr">
        <is>
          <t>IV</t>
        </is>
      </c>
      <c r="E2502" t="inlineStr">
        <is>
          <t>Stage 3</t>
        </is>
      </c>
      <c r="F2502" t="inlineStr">
        <is>
          <t>N/A</t>
        </is>
      </c>
      <c r="G2502" s="26">
        <v>532637810</v>
      </c>
      <c r="H2502" s="26">
        <v>292950795</v>
      </c>
      <c r="I2502" s="26">
        <v>0</v>
      </c>
      <c r="J2502" s="26">
        <v>203</v>
      </c>
      <c r="K2502" t="inlineStr">
        <is>
          <t>Oui</t>
        </is>
      </c>
      <c r="L2502">
        <f>SUBTOTAL(103,A2502)</f>
        <v>1</v>
      </c>
    </row>
    <row r="2503">
      <c r="A2503" t="inlineStr">
        <is>
          <t>SOCIETE C186</t>
        </is>
      </c>
      <c r="B2503" t="inlineStr">
        <is>
          <t>C186</t>
        </is>
      </c>
      <c r="C2503" t="inlineStr">
        <is>
          <t>CORPORATE BANKING</t>
        </is>
      </c>
      <c r="D2503" t="inlineStr">
        <is>
          <t>IA</t>
        </is>
      </c>
      <c r="E2503" t="inlineStr">
        <is>
          <t>Stage 2</t>
        </is>
      </c>
      <c r="F2503" t="inlineStr">
        <is>
          <t>N/A</t>
        </is>
      </c>
      <c r="G2503" s="26">
        <v>139209524</v>
      </c>
      <c r="H2503" s="26">
        <v>8352571</v>
      </c>
      <c r="I2503" s="26">
        <v>0</v>
      </c>
      <c r="J2503" s="26">
        <v>75</v>
      </c>
      <c r="K2503" t="inlineStr">
        <is>
          <t>Non</t>
        </is>
      </c>
      <c r="L2503">
        <f>SUBTOTAL(103,A2503)</f>
        <v>1</v>
      </c>
    </row>
    <row r="2504">
      <c r="A2504" t="inlineStr">
        <is>
          <t>SOCIETE C2339</t>
        </is>
      </c>
      <c r="B2504" t="inlineStr">
        <is>
          <t>C2339</t>
        </is>
      </c>
      <c r="C2504" t="inlineStr">
        <is>
          <t>COMMERCIAL BANKING</t>
        </is>
      </c>
      <c r="D2504" t="inlineStr">
        <is>
          <t>III</t>
        </is>
      </c>
      <c r="E2504" t="inlineStr">
        <is>
          <t>Stage 3</t>
        </is>
      </c>
      <c r="F2504" t="inlineStr">
        <is>
          <t>N/A</t>
        </is>
      </c>
      <c r="G2504" s="26">
        <v>1548797497</v>
      </c>
      <c r="H2504" s="26">
        <v>851838623</v>
      </c>
      <c r="I2504" s="26">
        <v>0</v>
      </c>
      <c r="J2504" s="26">
        <v>0</v>
      </c>
      <c r="K2504" t="inlineStr">
        <is>
          <t>Oui</t>
        </is>
      </c>
      <c r="L2504">
        <f>SUBTOTAL(103,A2504)</f>
        <v>1</v>
      </c>
    </row>
    <row r="2505">
      <c r="A2505" t="inlineStr">
        <is>
          <t>SOCIETE C37</t>
        </is>
      </c>
      <c r="B2505" t="inlineStr">
        <is>
          <t>C37</t>
        </is>
      </c>
      <c r="C2505" t="inlineStr">
        <is>
          <t>CORPORATE BANKING</t>
        </is>
      </c>
      <c r="D2505" t="inlineStr">
        <is>
          <t>V</t>
        </is>
      </c>
      <c r="E2505" t="inlineStr">
        <is>
          <t>Stage 3</t>
        </is>
      </c>
      <c r="F2505" t="inlineStr">
        <is>
          <t>N/A</t>
        </is>
      </c>
      <c r="G2505" s="26">
        <v>4351979</v>
      </c>
      <c r="H2505" s="26">
        <v>2393588</v>
      </c>
      <c r="I2505" s="26">
        <v>0</v>
      </c>
      <c r="J2505" s="26">
        <v>22</v>
      </c>
      <c r="K2505" t="inlineStr">
        <is>
          <t>Oui</t>
        </is>
      </c>
      <c r="L2505">
        <f>SUBTOTAL(103,A2505)</f>
        <v>1</v>
      </c>
    </row>
    <row r="2506">
      <c r="A2506" t="inlineStr">
        <is>
          <t>SOCIETE C1250</t>
        </is>
      </c>
      <c r="B2506" t="inlineStr">
        <is>
          <t>C1250</t>
        </is>
      </c>
      <c r="C2506" t="inlineStr">
        <is>
          <t>SME</t>
        </is>
      </c>
      <c r="D2506" t="inlineStr">
        <is>
          <t>I</t>
        </is>
      </c>
      <c r="E2506" t="inlineStr">
        <is>
          <t>Stage 1</t>
        </is>
      </c>
      <c r="F2506" t="inlineStr">
        <is>
          <t>N/A</t>
        </is>
      </c>
      <c r="G2506" s="26">
        <v>849771057</v>
      </c>
      <c r="H2506" s="26">
        <v>8497711</v>
      </c>
      <c r="I2506" s="26">
        <v>0</v>
      </c>
      <c r="J2506" s="26">
        <v>16</v>
      </c>
      <c r="K2506" t="inlineStr">
        <is>
          <t>Non</t>
        </is>
      </c>
      <c r="L2506">
        <f>SUBTOTAL(103,A2506)</f>
        <v>1</v>
      </c>
    </row>
    <row r="2507">
      <c r="A2507" t="inlineStr">
        <is>
          <t>SOCIETE C2186</t>
        </is>
      </c>
      <c r="B2507" t="inlineStr">
        <is>
          <t>C2186</t>
        </is>
      </c>
      <c r="C2507" t="inlineStr">
        <is>
          <t>PUBLIC SECTOR</t>
        </is>
      </c>
      <c r="D2507" t="inlineStr">
        <is>
          <t>IV</t>
        </is>
      </c>
      <c r="E2507" t="inlineStr">
        <is>
          <t>Stage 3</t>
        </is>
      </c>
      <c r="F2507" t="inlineStr">
        <is>
          <t>N/A</t>
        </is>
      </c>
      <c r="G2507" s="26">
        <v>7157123</v>
      </c>
      <c r="H2507" s="26">
        <v>3936418</v>
      </c>
      <c r="I2507" s="26">
        <v>0</v>
      </c>
      <c r="J2507" s="26">
        <v>9</v>
      </c>
      <c r="K2507" t="inlineStr">
        <is>
          <t>Oui</t>
        </is>
      </c>
      <c r="L2507">
        <f>SUBTOTAL(103,A2507)</f>
        <v>1</v>
      </c>
    </row>
    <row r="2508">
      <c r="A2508" t="inlineStr">
        <is>
          <t>SOCIETE C1570</t>
        </is>
      </c>
      <c r="B2508" t="inlineStr">
        <is>
          <t>C1570</t>
        </is>
      </c>
      <c r="C2508" t="inlineStr">
        <is>
          <t>COMMERCIAL BANKING</t>
        </is>
      </c>
      <c r="D2508" t="inlineStr">
        <is>
          <t>IA</t>
        </is>
      </c>
      <c r="E2508" t="inlineStr">
        <is>
          <t>Stage 2</t>
        </is>
      </c>
      <c r="F2508" t="inlineStr">
        <is>
          <t>N/A</t>
        </is>
      </c>
      <c r="G2508" s="26">
        <v>356033727</v>
      </c>
      <c r="H2508" s="26">
        <v>21362024</v>
      </c>
      <c r="I2508" s="26">
        <v>0</v>
      </c>
      <c r="J2508" s="26">
        <v>257</v>
      </c>
      <c r="K2508" t="inlineStr">
        <is>
          <t>Non</t>
        </is>
      </c>
      <c r="L2508">
        <f>SUBTOTAL(103,A2508)</f>
        <v>1</v>
      </c>
    </row>
    <row r="2509">
      <c r="A2509" t="inlineStr">
        <is>
          <t>SOCIETE C1655</t>
        </is>
      </c>
      <c r="B2509" t="inlineStr">
        <is>
          <t>C1655</t>
        </is>
      </c>
      <c r="C2509" t="inlineStr">
        <is>
          <t>CORPORATE BANKING</t>
        </is>
      </c>
      <c r="D2509" t="inlineStr">
        <is>
          <t>III</t>
        </is>
      </c>
      <c r="E2509" t="inlineStr">
        <is>
          <t>Stage 3</t>
        </is>
      </c>
      <c r="F2509" t="inlineStr">
        <is>
          <t>N/A</t>
        </is>
      </c>
      <c r="G2509" s="26">
        <v>10414703</v>
      </c>
      <c r="H2509" s="26">
        <v>5728087</v>
      </c>
      <c r="I2509" s="26">
        <v>0</v>
      </c>
      <c r="J2509" s="26">
        <v>60</v>
      </c>
      <c r="K2509" t="inlineStr">
        <is>
          <t>Oui</t>
        </is>
      </c>
      <c r="L2509">
        <f>SUBTOTAL(103,A2509)</f>
        <v>1</v>
      </c>
    </row>
    <row r="2510">
      <c r="A2510" t="inlineStr">
        <is>
          <t>SOCIETE C1869</t>
        </is>
      </c>
      <c r="B2510" t="inlineStr">
        <is>
          <t>C1869</t>
        </is>
      </c>
      <c r="C2510" t="inlineStr">
        <is>
          <t>CORPORATE BANKING</t>
        </is>
      </c>
      <c r="D2510" t="inlineStr">
        <is>
          <t>I</t>
        </is>
      </c>
      <c r="E2510" t="inlineStr">
        <is>
          <t>Stage 1</t>
        </is>
      </c>
      <c r="F2510" t="inlineStr">
        <is>
          <t>N/A</t>
        </is>
      </c>
      <c r="G2510" s="26">
        <v>2079436160</v>
      </c>
      <c r="H2510" s="26">
        <v>20794362</v>
      </c>
      <c r="I2510" s="26">
        <v>142998165</v>
      </c>
      <c r="J2510" s="26">
        <v>61</v>
      </c>
      <c r="K2510" t="inlineStr">
        <is>
          <t>Non</t>
        </is>
      </c>
      <c r="L2510">
        <f>SUBTOTAL(103,A2510)</f>
        <v>1</v>
      </c>
    </row>
    <row r="2511">
      <c r="A2511" t="inlineStr">
        <is>
          <t>SOCIETE C1478</t>
        </is>
      </c>
      <c r="B2511" t="inlineStr">
        <is>
          <t>C1478</t>
        </is>
      </c>
      <c r="C2511" t="inlineStr">
        <is>
          <t>CORPORATE BANKING</t>
        </is>
      </c>
      <c r="D2511" t="inlineStr">
        <is>
          <t>IA</t>
        </is>
      </c>
      <c r="E2511" t="inlineStr">
        <is>
          <t>Stage 2</t>
        </is>
      </c>
      <c r="F2511" t="inlineStr">
        <is>
          <t>N/A</t>
        </is>
      </c>
      <c r="G2511" s="26">
        <v>78461915</v>
      </c>
      <c r="H2511" s="26">
        <v>4707715</v>
      </c>
      <c r="I2511" s="26">
        <v>0</v>
      </c>
      <c r="J2511" s="26">
        <v>253</v>
      </c>
      <c r="K2511" t="inlineStr">
        <is>
          <t>Non</t>
        </is>
      </c>
      <c r="L2511">
        <f>SUBTOTAL(103,A2511)</f>
        <v>1</v>
      </c>
    </row>
    <row r="2512">
      <c r="A2512" t="inlineStr">
        <is>
          <t>SOCIETE C94</t>
        </is>
      </c>
      <c r="B2512" t="inlineStr">
        <is>
          <t>C94</t>
        </is>
      </c>
      <c r="C2512" t="inlineStr">
        <is>
          <t>CORPORATE BANKING</t>
        </is>
      </c>
      <c r="D2512" t="inlineStr">
        <is>
          <t>IA</t>
        </is>
      </c>
      <c r="E2512" t="inlineStr">
        <is>
          <t>Stage 2</t>
        </is>
      </c>
      <c r="F2512" t="inlineStr">
        <is>
          <t>N/A</t>
        </is>
      </c>
      <c r="G2512" s="26">
        <v>88831320</v>
      </c>
      <c r="H2512" s="26">
        <v>5329879</v>
      </c>
      <c r="I2512" s="26">
        <v>0</v>
      </c>
      <c r="J2512" s="26">
        <v>79</v>
      </c>
      <c r="K2512" t="inlineStr">
        <is>
          <t>Non</t>
        </is>
      </c>
      <c r="L2512">
        <f>SUBTOTAL(103,A2512)</f>
        <v>1</v>
      </c>
    </row>
    <row r="2513">
      <c r="A2513" t="inlineStr">
        <is>
          <t>SOCIETE C1825</t>
        </is>
      </c>
      <c r="B2513" t="inlineStr">
        <is>
          <t>C1825</t>
        </is>
      </c>
      <c r="C2513" t="inlineStr">
        <is>
          <t>CORPORATE BANKING</t>
        </is>
      </c>
      <c r="D2513" t="inlineStr">
        <is>
          <t>I</t>
        </is>
      </c>
      <c r="E2513" t="inlineStr">
        <is>
          <t>Stage 1</t>
        </is>
      </c>
      <c r="F2513" t="inlineStr">
        <is>
          <t>N/A</t>
        </is>
      </c>
      <c r="G2513" s="26">
        <v>103614645</v>
      </c>
      <c r="H2513" s="26">
        <v>1036146</v>
      </c>
      <c r="I2513" s="26">
        <v>14284627</v>
      </c>
      <c r="J2513" s="26">
        <v>91</v>
      </c>
      <c r="K2513" t="inlineStr">
        <is>
          <t>Non</t>
        </is>
      </c>
      <c r="L2513">
        <f>SUBTOTAL(103,A2513)</f>
        <v>1</v>
      </c>
    </row>
    <row r="2514">
      <c r="A2514" t="inlineStr">
        <is>
          <t>SOCIETE C2155</t>
        </is>
      </c>
      <c r="B2514" t="inlineStr">
        <is>
          <t>C2155</t>
        </is>
      </c>
      <c r="C2514" t="inlineStr">
        <is>
          <t>CORPORATE BANKING</t>
        </is>
      </c>
      <c r="D2514" t="inlineStr">
        <is>
          <t>III</t>
        </is>
      </c>
      <c r="E2514" t="inlineStr">
        <is>
          <t>Stage 3</t>
        </is>
      </c>
      <c r="F2514" t="inlineStr">
        <is>
          <t>N/A</t>
        </is>
      </c>
      <c r="G2514" s="26">
        <v>246302484</v>
      </c>
      <c r="H2514" s="26">
        <v>135466366</v>
      </c>
      <c r="I2514" s="26">
        <v>0</v>
      </c>
      <c r="J2514" s="26">
        <v>103</v>
      </c>
      <c r="K2514" t="inlineStr">
        <is>
          <t>Oui</t>
        </is>
      </c>
      <c r="L2514">
        <f>SUBTOTAL(103,A2514)</f>
        <v>1</v>
      </c>
    </row>
    <row r="2515">
      <c r="A2515" t="inlineStr">
        <is>
          <t>SOCIETE C1190</t>
        </is>
      </c>
      <c r="B2515" t="inlineStr">
        <is>
          <t>C1190</t>
        </is>
      </c>
      <c r="C2515" t="inlineStr">
        <is>
          <t>COMMERCIAL BANKING</t>
        </is>
      </c>
      <c r="D2515" t="inlineStr">
        <is>
          <t>II</t>
        </is>
      </c>
      <c r="E2515" t="inlineStr">
        <is>
          <t>Stage 2</t>
        </is>
      </c>
      <c r="F2515" t="inlineStr">
        <is>
          <t>N/A</t>
        </is>
      </c>
      <c r="G2515" s="26">
        <v>403975057</v>
      </c>
      <c r="H2515" s="26">
        <v>24238503</v>
      </c>
      <c r="I2515" s="26">
        <v>0</v>
      </c>
      <c r="J2515" s="26">
        <v>174</v>
      </c>
      <c r="K2515" t="inlineStr">
        <is>
          <t>Non</t>
        </is>
      </c>
      <c r="L2515">
        <f>SUBTOTAL(103,A2515)</f>
        <v>1</v>
      </c>
    </row>
    <row r="2516">
      <c r="A2516" t="inlineStr">
        <is>
          <t>SOCIETE C2388</t>
        </is>
      </c>
      <c r="B2516" t="inlineStr">
        <is>
          <t>C2388</t>
        </is>
      </c>
      <c r="C2516" t="inlineStr">
        <is>
          <t>CORPORATE BANKING</t>
        </is>
      </c>
      <c r="D2516" t="inlineStr">
        <is>
          <t>III</t>
        </is>
      </c>
      <c r="E2516" t="inlineStr">
        <is>
          <t>Stage 3</t>
        </is>
      </c>
      <c r="F2516" t="inlineStr">
        <is>
          <t>N/A</t>
        </is>
      </c>
      <c r="G2516" s="26">
        <v>321746656</v>
      </c>
      <c r="H2516" s="26">
        <v>176960661</v>
      </c>
      <c r="I2516" s="26">
        <v>0</v>
      </c>
      <c r="J2516" s="26">
        <v>184</v>
      </c>
      <c r="K2516" t="inlineStr">
        <is>
          <t>Oui</t>
        </is>
      </c>
      <c r="L2516">
        <f>SUBTOTAL(103,A2516)</f>
        <v>1</v>
      </c>
    </row>
    <row r="2517">
      <c r="A2517" t="inlineStr">
        <is>
          <t>SOCIETE C1397</t>
        </is>
      </c>
      <c r="B2517" t="inlineStr">
        <is>
          <t>C1397</t>
        </is>
      </c>
      <c r="C2517" t="inlineStr">
        <is>
          <t>CORPORATE BANKING</t>
        </is>
      </c>
      <c r="D2517" t="inlineStr">
        <is>
          <t>I</t>
        </is>
      </c>
      <c r="E2517" t="inlineStr">
        <is>
          <t>Stage 1</t>
        </is>
      </c>
      <c r="F2517" t="inlineStr">
        <is>
          <t>N/A</t>
        </is>
      </c>
      <c r="G2517" s="26">
        <v>431119499</v>
      </c>
      <c r="H2517" s="26">
        <v>4311195</v>
      </c>
      <c r="I2517" s="26">
        <v>71801266</v>
      </c>
      <c r="J2517" s="26">
        <v>261</v>
      </c>
      <c r="K2517" t="inlineStr">
        <is>
          <t>Non</t>
        </is>
      </c>
      <c r="L2517">
        <f>SUBTOTAL(103,A2517)</f>
        <v>1</v>
      </c>
    </row>
    <row r="2518">
      <c r="A2518" t="inlineStr">
        <is>
          <t>SOCIETE C2354</t>
        </is>
      </c>
      <c r="B2518" t="inlineStr">
        <is>
          <t>C2354</t>
        </is>
      </c>
      <c r="C2518" t="inlineStr">
        <is>
          <t>SME</t>
        </is>
      </c>
      <c r="D2518" t="inlineStr">
        <is>
          <t>I</t>
        </is>
      </c>
      <c r="E2518" t="inlineStr">
        <is>
          <t>Stage 1</t>
        </is>
      </c>
      <c r="F2518" t="inlineStr">
        <is>
          <t>N/A</t>
        </is>
      </c>
      <c r="G2518" s="26">
        <v>2942191</v>
      </c>
      <c r="H2518" s="26">
        <v>29422</v>
      </c>
      <c r="I2518" s="26">
        <v>386967</v>
      </c>
      <c r="J2518" s="26">
        <v>227</v>
      </c>
      <c r="K2518" t="inlineStr">
        <is>
          <t>Non</t>
        </is>
      </c>
      <c r="L2518">
        <f>SUBTOTAL(103,A2518)</f>
        <v>1</v>
      </c>
    </row>
    <row r="2519">
      <c r="A2519" t="inlineStr">
        <is>
          <t>SOCIETE C1093</t>
        </is>
      </c>
      <c r="B2519" t="inlineStr">
        <is>
          <t>C1093</t>
        </is>
      </c>
      <c r="C2519" t="inlineStr">
        <is>
          <t>CORPORATE BANKING</t>
        </is>
      </c>
      <c r="D2519" t="inlineStr">
        <is>
          <t>I</t>
        </is>
      </c>
      <c r="E2519" t="inlineStr">
        <is>
          <t>Stage 1</t>
        </is>
      </c>
      <c r="F2519" t="inlineStr">
        <is>
          <t>N/A</t>
        </is>
      </c>
      <c r="G2519" s="26">
        <v>2594344747</v>
      </c>
      <c r="H2519" s="26">
        <v>25943447</v>
      </c>
      <c r="I2519" s="26">
        <v>28285768</v>
      </c>
      <c r="J2519" s="26">
        <v>20</v>
      </c>
      <c r="K2519" t="inlineStr">
        <is>
          <t>Non</t>
        </is>
      </c>
      <c r="L2519">
        <f>SUBTOTAL(103,A2519)</f>
        <v>1</v>
      </c>
    </row>
    <row r="2520">
      <c r="A2520" t="inlineStr">
        <is>
          <t>SOCIETE C626</t>
        </is>
      </c>
      <c r="B2520" t="inlineStr">
        <is>
          <t>C626</t>
        </is>
      </c>
      <c r="C2520" t="inlineStr">
        <is>
          <t>PUBLIC SECTOR</t>
        </is>
      </c>
      <c r="D2520" t="inlineStr">
        <is>
          <t>IV</t>
        </is>
      </c>
      <c r="E2520" t="inlineStr">
        <is>
          <t>Stage 3</t>
        </is>
      </c>
      <c r="F2520" t="inlineStr">
        <is>
          <t>N/A</t>
        </is>
      </c>
      <c r="G2520" s="26">
        <v>1602917016</v>
      </c>
      <c r="H2520" s="26">
        <v>881604359</v>
      </c>
      <c r="I2520" s="26">
        <v>98413589</v>
      </c>
      <c r="J2520" s="26">
        <v>128</v>
      </c>
      <c r="K2520" t="inlineStr">
        <is>
          <t>Oui</t>
        </is>
      </c>
      <c r="L2520">
        <f>SUBTOTAL(103,A2520)</f>
        <v>1</v>
      </c>
    </row>
    <row r="2521">
      <c r="A2521" t="inlineStr">
        <is>
          <t>SOCIETE C223</t>
        </is>
      </c>
      <c r="B2521" t="inlineStr">
        <is>
          <t>C223</t>
        </is>
      </c>
      <c r="C2521" t="inlineStr">
        <is>
          <t>INSTITUTIONAL</t>
        </is>
      </c>
      <c r="D2521" t="inlineStr">
        <is>
          <t>I</t>
        </is>
      </c>
      <c r="E2521" t="inlineStr">
        <is>
          <t>Stage 1</t>
        </is>
      </c>
      <c r="F2521" t="inlineStr">
        <is>
          <t>N/A</t>
        </is>
      </c>
      <c r="G2521" s="26">
        <v>2104415808</v>
      </c>
      <c r="H2521" s="26">
        <v>21044158</v>
      </c>
      <c r="I2521" s="26">
        <v>0</v>
      </c>
      <c r="J2521" s="26">
        <v>111</v>
      </c>
      <c r="K2521" t="inlineStr">
        <is>
          <t>Non</t>
        </is>
      </c>
      <c r="L2521">
        <f>SUBTOTAL(103,A2521)</f>
        <v>1</v>
      </c>
    </row>
    <row r="2522">
      <c r="A2522" t="inlineStr">
        <is>
          <t>SOCIETE C1847</t>
        </is>
      </c>
      <c r="B2522" t="inlineStr">
        <is>
          <t>C1847</t>
        </is>
      </c>
      <c r="C2522" t="inlineStr">
        <is>
          <t>CONSUMER BANKING</t>
        </is>
      </c>
      <c r="D2522" t="inlineStr">
        <is>
          <t>I</t>
        </is>
      </c>
      <c r="E2522" t="inlineStr">
        <is>
          <t>Stage 1</t>
        </is>
      </c>
      <c r="F2522" t="inlineStr">
        <is>
          <t>N/A</t>
        </is>
      </c>
      <c r="G2522" s="26">
        <v>135774424</v>
      </c>
      <c r="H2522" s="26">
        <v>1357744</v>
      </c>
      <c r="I2522" s="26">
        <v>0</v>
      </c>
      <c r="J2522" s="26">
        <v>215</v>
      </c>
      <c r="K2522" t="inlineStr">
        <is>
          <t>Non</t>
        </is>
      </c>
      <c r="L2522">
        <f>SUBTOTAL(103,A2522)</f>
        <v>1</v>
      </c>
    </row>
    <row r="2523">
      <c r="A2523" t="inlineStr">
        <is>
          <t>SOCIETE C385</t>
        </is>
      </c>
      <c r="B2523" t="inlineStr">
        <is>
          <t>C385</t>
        </is>
      </c>
      <c r="C2523" t="inlineStr">
        <is>
          <t>CONSUMER BANKING</t>
        </is>
      </c>
      <c r="D2523" t="inlineStr">
        <is>
          <t>II</t>
        </is>
      </c>
      <c r="E2523" t="inlineStr">
        <is>
          <t>Stage 2</t>
        </is>
      </c>
      <c r="F2523" t="inlineStr">
        <is>
          <t>N/A</t>
        </is>
      </c>
      <c r="G2523" s="26">
        <v>2177975869</v>
      </c>
      <c r="H2523" s="26">
        <v>130678552</v>
      </c>
      <c r="I2523" s="26">
        <v>0</v>
      </c>
      <c r="J2523" s="26">
        <v>100</v>
      </c>
      <c r="K2523" t="inlineStr">
        <is>
          <t>Non</t>
        </is>
      </c>
      <c r="L2523">
        <f>SUBTOTAL(103,A2523)</f>
        <v>1</v>
      </c>
    </row>
    <row r="2524">
      <c r="A2524" t="inlineStr">
        <is>
          <t>SOCIETE C807</t>
        </is>
      </c>
      <c r="B2524" t="inlineStr">
        <is>
          <t>C807</t>
        </is>
      </c>
      <c r="C2524" t="inlineStr">
        <is>
          <t>COMMERCIAL BANKING</t>
        </is>
      </c>
      <c r="D2524" t="inlineStr">
        <is>
          <t>II</t>
        </is>
      </c>
      <c r="E2524" t="inlineStr">
        <is>
          <t>Stage 2</t>
        </is>
      </c>
      <c r="F2524" t="inlineStr">
        <is>
          <t>N/A</t>
        </is>
      </c>
      <c r="G2524" s="26">
        <v>401430810</v>
      </c>
      <c r="H2524" s="26">
        <v>24085849</v>
      </c>
      <c r="I2524" s="26">
        <v>0</v>
      </c>
      <c r="J2524" s="26">
        <v>126</v>
      </c>
      <c r="K2524" t="inlineStr">
        <is>
          <t>Non</t>
        </is>
      </c>
      <c r="L2524">
        <f>SUBTOTAL(103,A2524)</f>
        <v>1</v>
      </c>
    </row>
    <row r="2525">
      <c r="A2525" t="inlineStr">
        <is>
          <t>SOCIETE C328</t>
        </is>
      </c>
      <c r="B2525" t="inlineStr">
        <is>
          <t>C328</t>
        </is>
      </c>
      <c r="C2525" t="inlineStr">
        <is>
          <t>COMMERCIAL BANKING</t>
        </is>
      </c>
      <c r="D2525" t="inlineStr">
        <is>
          <t>IA</t>
        </is>
      </c>
      <c r="E2525" t="inlineStr">
        <is>
          <t>Stage 2</t>
        </is>
      </c>
      <c r="F2525" t="inlineStr">
        <is>
          <t>N/A</t>
        </is>
      </c>
      <c r="G2525" s="26">
        <v>2547347112</v>
      </c>
      <c r="H2525" s="26">
        <v>152840827</v>
      </c>
      <c r="I2525" s="26">
        <v>0</v>
      </c>
      <c r="J2525" s="26">
        <v>4</v>
      </c>
      <c r="K2525" t="inlineStr">
        <is>
          <t>Non</t>
        </is>
      </c>
      <c r="L2525">
        <f>SUBTOTAL(103,A2525)</f>
        <v>1</v>
      </c>
    </row>
    <row r="2526">
      <c r="A2526" t="inlineStr">
        <is>
          <t>SOCIETE C1574</t>
        </is>
      </c>
      <c r="B2526" t="inlineStr">
        <is>
          <t>C1574</t>
        </is>
      </c>
      <c r="C2526" t="inlineStr">
        <is>
          <t>CORPORATE BANKING</t>
        </is>
      </c>
      <c r="D2526" t="inlineStr">
        <is>
          <t>II</t>
        </is>
      </c>
      <c r="E2526" t="inlineStr">
        <is>
          <t>Stage 2</t>
        </is>
      </c>
      <c r="F2526" t="inlineStr">
        <is>
          <t>N/A</t>
        </is>
      </c>
      <c r="G2526" s="26">
        <v>1979566633</v>
      </c>
      <c r="H2526" s="26">
        <v>118773998</v>
      </c>
      <c r="I2526" s="26">
        <v>0</v>
      </c>
      <c r="J2526" s="26">
        <v>105</v>
      </c>
      <c r="K2526" t="inlineStr">
        <is>
          <t>Non</t>
        </is>
      </c>
      <c r="L2526">
        <f>SUBTOTAL(103,A2526)</f>
        <v>1</v>
      </c>
    </row>
    <row r="2527">
      <c r="A2527" t="inlineStr">
        <is>
          <t>SOCIETE C1691</t>
        </is>
      </c>
      <c r="B2527" t="inlineStr">
        <is>
          <t>C1691</t>
        </is>
      </c>
      <c r="C2527" t="inlineStr">
        <is>
          <t>CONSUMER BANKING</t>
        </is>
      </c>
      <c r="D2527" t="inlineStr">
        <is>
          <t>IA</t>
        </is>
      </c>
      <c r="E2527" t="inlineStr">
        <is>
          <t>Stage 2</t>
        </is>
      </c>
      <c r="F2527" t="inlineStr">
        <is>
          <t>N/A</t>
        </is>
      </c>
      <c r="G2527" s="26">
        <v>764883039</v>
      </c>
      <c r="H2527" s="26">
        <v>45892982</v>
      </c>
      <c r="I2527" s="26">
        <v>0</v>
      </c>
      <c r="J2527" s="26">
        <v>187</v>
      </c>
      <c r="K2527" t="inlineStr">
        <is>
          <t>Non</t>
        </is>
      </c>
      <c r="L2527">
        <f>SUBTOTAL(103,A2527)</f>
        <v>1</v>
      </c>
    </row>
    <row r="2528">
      <c r="A2528" t="inlineStr">
        <is>
          <t>SOCIETE C624</t>
        </is>
      </c>
      <c r="B2528" t="inlineStr">
        <is>
          <t>C624</t>
        </is>
      </c>
      <c r="C2528" t="inlineStr">
        <is>
          <t>CONSUMER BANKING</t>
        </is>
      </c>
      <c r="D2528" t="inlineStr">
        <is>
          <t>I</t>
        </is>
      </c>
      <c r="E2528" t="inlineStr">
        <is>
          <t>Stage 1</t>
        </is>
      </c>
      <c r="F2528" t="inlineStr">
        <is>
          <t>N/A</t>
        </is>
      </c>
      <c r="G2528" s="26">
        <v>2125711</v>
      </c>
      <c r="H2528" s="26">
        <v>21257</v>
      </c>
      <c r="I2528" s="26">
        <v>0</v>
      </c>
      <c r="J2528" s="26">
        <v>169</v>
      </c>
      <c r="K2528" t="inlineStr">
        <is>
          <t>Non</t>
        </is>
      </c>
      <c r="L2528">
        <f>SUBTOTAL(103,A2528)</f>
        <v>1</v>
      </c>
    </row>
    <row r="2529">
      <c r="A2529" t="inlineStr">
        <is>
          <t>SOCIETE C611</t>
        </is>
      </c>
      <c r="B2529" t="inlineStr">
        <is>
          <t>C611</t>
        </is>
      </c>
      <c r="C2529" t="inlineStr">
        <is>
          <t>CORPORATE BANKING</t>
        </is>
      </c>
      <c r="D2529" t="inlineStr">
        <is>
          <t>III</t>
        </is>
      </c>
      <c r="E2529" t="inlineStr">
        <is>
          <t>Stage 3</t>
        </is>
      </c>
      <c r="F2529" t="inlineStr">
        <is>
          <t>N/A</t>
        </is>
      </c>
      <c r="G2529" s="26">
        <v>843496588</v>
      </c>
      <c r="H2529" s="26">
        <v>463923123</v>
      </c>
      <c r="I2529" s="26">
        <v>0</v>
      </c>
      <c r="J2529" s="26">
        <v>4</v>
      </c>
      <c r="K2529" t="inlineStr">
        <is>
          <t>Oui</t>
        </is>
      </c>
      <c r="L2529">
        <f>SUBTOTAL(103,A2529)</f>
        <v>1</v>
      </c>
    </row>
    <row r="2530">
      <c r="A2530" t="inlineStr">
        <is>
          <t>SOCIETE C1956</t>
        </is>
      </c>
      <c r="B2530" t="inlineStr">
        <is>
          <t>C1956</t>
        </is>
      </c>
      <c r="C2530" t="inlineStr">
        <is>
          <t>INSTITUTIONAL</t>
        </is>
      </c>
      <c r="D2530" t="inlineStr">
        <is>
          <t>IV</t>
        </is>
      </c>
      <c r="E2530" t="inlineStr">
        <is>
          <t>Stage 3</t>
        </is>
      </c>
      <c r="F2530" t="inlineStr">
        <is>
          <t>N/A</t>
        </is>
      </c>
      <c r="G2530" s="26">
        <v>182899559</v>
      </c>
      <c r="H2530" s="26">
        <v>100594758</v>
      </c>
      <c r="I2530" s="26">
        <v>31349045</v>
      </c>
      <c r="J2530" s="26">
        <v>46</v>
      </c>
      <c r="K2530" t="inlineStr">
        <is>
          <t>Oui</t>
        </is>
      </c>
      <c r="L2530">
        <f>SUBTOTAL(103,A2530)</f>
        <v>1</v>
      </c>
    </row>
    <row r="2531">
      <c r="A2531" t="inlineStr">
        <is>
          <t>SOCIETE C388</t>
        </is>
      </c>
      <c r="B2531" t="inlineStr">
        <is>
          <t>C388</t>
        </is>
      </c>
      <c r="C2531" t="inlineStr">
        <is>
          <t>PUBLIC SECTOR</t>
        </is>
      </c>
      <c r="D2531" t="inlineStr">
        <is>
          <t>III</t>
        </is>
      </c>
      <c r="E2531" t="inlineStr">
        <is>
          <t>Stage 3</t>
        </is>
      </c>
      <c r="F2531" t="inlineStr">
        <is>
          <t>N/A</t>
        </is>
      </c>
      <c r="G2531" s="26">
        <v>2028046722</v>
      </c>
      <c r="H2531" s="26">
        <v>1115425697</v>
      </c>
      <c r="I2531" s="26">
        <v>0</v>
      </c>
      <c r="J2531" s="26">
        <v>262</v>
      </c>
      <c r="K2531" t="inlineStr">
        <is>
          <t>Oui</t>
        </is>
      </c>
      <c r="L2531">
        <f>SUBTOTAL(103,A2531)</f>
        <v>1</v>
      </c>
    </row>
    <row r="2532">
      <c r="A2532" t="inlineStr">
        <is>
          <t>SOCIETE C1397</t>
        </is>
      </c>
      <c r="B2532" t="inlineStr">
        <is>
          <t>C1397</t>
        </is>
      </c>
      <c r="C2532" t="inlineStr">
        <is>
          <t>COMMERCIAL BANKING</t>
        </is>
      </c>
      <c r="D2532" t="inlineStr">
        <is>
          <t>II</t>
        </is>
      </c>
      <c r="E2532" t="inlineStr">
        <is>
          <t>Stage 2</t>
        </is>
      </c>
      <c r="F2532" t="inlineStr">
        <is>
          <t>N/A</t>
        </is>
      </c>
      <c r="G2532" s="26">
        <v>1952478318</v>
      </c>
      <c r="H2532" s="26">
        <v>117148699</v>
      </c>
      <c r="I2532" s="26">
        <v>0</v>
      </c>
      <c r="J2532" s="26">
        <v>158</v>
      </c>
      <c r="K2532" t="inlineStr">
        <is>
          <t>Non</t>
        </is>
      </c>
      <c r="L2532">
        <f>SUBTOTAL(103,A2532)</f>
        <v>1</v>
      </c>
    </row>
    <row r="2533">
      <c r="A2533" t="inlineStr">
        <is>
          <t>SOCIETE C1916</t>
        </is>
      </c>
      <c r="B2533" t="inlineStr">
        <is>
          <t>C1916</t>
        </is>
      </c>
      <c r="C2533" t="inlineStr">
        <is>
          <t>CORPORATE BANKING</t>
        </is>
      </c>
      <c r="D2533" t="inlineStr">
        <is>
          <t>IV</t>
        </is>
      </c>
      <c r="E2533" t="inlineStr">
        <is>
          <t>Stage 3</t>
        </is>
      </c>
      <c r="F2533" t="inlineStr">
        <is>
          <t>N/A</t>
        </is>
      </c>
      <c r="G2533" s="26">
        <v>50430765</v>
      </c>
      <c r="H2533" s="26">
        <v>27736921</v>
      </c>
      <c r="I2533" s="26">
        <v>5404725</v>
      </c>
      <c r="J2533" s="26">
        <v>15</v>
      </c>
      <c r="K2533" t="inlineStr">
        <is>
          <t>Oui</t>
        </is>
      </c>
      <c r="L2533">
        <f>SUBTOTAL(103,A2533)</f>
        <v>1</v>
      </c>
    </row>
    <row r="2534">
      <c r="A2534" t="inlineStr">
        <is>
          <t>SOCIETE C136</t>
        </is>
      </c>
      <c r="B2534" t="inlineStr">
        <is>
          <t>C136</t>
        </is>
      </c>
      <c r="C2534" t="inlineStr">
        <is>
          <t>CONSUMER BANKING</t>
        </is>
      </c>
      <c r="D2534" t="inlineStr">
        <is>
          <t>IA</t>
        </is>
      </c>
      <c r="E2534" t="inlineStr">
        <is>
          <t>Stage 2</t>
        </is>
      </c>
      <c r="F2534" t="inlineStr">
        <is>
          <t>N/A</t>
        </is>
      </c>
      <c r="G2534" s="26">
        <v>343965735</v>
      </c>
      <c r="H2534" s="26">
        <v>20637944</v>
      </c>
      <c r="I2534" s="26">
        <v>0</v>
      </c>
      <c r="J2534" s="26">
        <v>128</v>
      </c>
      <c r="K2534" t="inlineStr">
        <is>
          <t>Non</t>
        </is>
      </c>
      <c r="L2534">
        <f>SUBTOTAL(103,A2534)</f>
        <v>1</v>
      </c>
    </row>
    <row r="2535">
      <c r="A2535" t="inlineStr">
        <is>
          <t>SOCIETE C726</t>
        </is>
      </c>
      <c r="B2535" t="inlineStr">
        <is>
          <t>C726</t>
        </is>
      </c>
      <c r="C2535" t="inlineStr">
        <is>
          <t>CORPORATE BANKING</t>
        </is>
      </c>
      <c r="D2535" t="inlineStr">
        <is>
          <t>III</t>
        </is>
      </c>
      <c r="E2535" t="inlineStr">
        <is>
          <t>Stage 3</t>
        </is>
      </c>
      <c r="F2535" t="inlineStr">
        <is>
          <t>N/A</t>
        </is>
      </c>
      <c r="G2535" s="26">
        <v>83707844</v>
      </c>
      <c r="H2535" s="26">
        <v>46039314</v>
      </c>
      <c r="I2535" s="26">
        <v>4727719</v>
      </c>
      <c r="J2535" s="26">
        <v>73</v>
      </c>
      <c r="K2535" t="inlineStr">
        <is>
          <t>Oui</t>
        </is>
      </c>
      <c r="L2535">
        <f>SUBTOTAL(103,A2535)</f>
        <v>1</v>
      </c>
    </row>
    <row r="2536">
      <c r="A2536" t="inlineStr">
        <is>
          <t>SOCIETE C716</t>
        </is>
      </c>
      <c r="B2536" t="inlineStr">
        <is>
          <t>C716</t>
        </is>
      </c>
      <c r="C2536" t="inlineStr">
        <is>
          <t>COMMERCIAL BANKING</t>
        </is>
      </c>
      <c r="D2536" t="inlineStr">
        <is>
          <t>I</t>
        </is>
      </c>
      <c r="E2536" t="inlineStr">
        <is>
          <t>Stage 1</t>
        </is>
      </c>
      <c r="F2536" t="inlineStr">
        <is>
          <t>N/A</t>
        </is>
      </c>
      <c r="G2536" s="26">
        <v>2543583119</v>
      </c>
      <c r="H2536" s="26">
        <v>25435831</v>
      </c>
      <c r="I2536" s="26">
        <v>0</v>
      </c>
      <c r="J2536" s="26">
        <v>127</v>
      </c>
      <c r="K2536" t="inlineStr">
        <is>
          <t>Non</t>
        </is>
      </c>
      <c r="L2536">
        <f>SUBTOTAL(103,A2536)</f>
        <v>1</v>
      </c>
    </row>
    <row r="2537">
      <c r="A2537" t="inlineStr">
        <is>
          <t>SOCIETE C2193</t>
        </is>
      </c>
      <c r="B2537" t="inlineStr">
        <is>
          <t>C2193</t>
        </is>
      </c>
      <c r="C2537" t="inlineStr">
        <is>
          <t>CONSUMER BANKING</t>
        </is>
      </c>
      <c r="D2537" t="inlineStr">
        <is>
          <t>IA</t>
        </is>
      </c>
      <c r="E2537" t="inlineStr">
        <is>
          <t>Stage 2</t>
        </is>
      </c>
      <c r="F2537" t="inlineStr">
        <is>
          <t>N/A</t>
        </is>
      </c>
      <c r="G2537" s="26">
        <v>1664171669</v>
      </c>
      <c r="H2537" s="26">
        <v>99850300</v>
      </c>
      <c r="I2537" s="26">
        <v>0</v>
      </c>
      <c r="J2537" s="26">
        <v>35</v>
      </c>
      <c r="K2537" t="inlineStr">
        <is>
          <t>Non</t>
        </is>
      </c>
      <c r="L2537">
        <f>SUBTOTAL(103,A2537)</f>
        <v>1</v>
      </c>
    </row>
    <row r="2538">
      <c r="A2538" t="inlineStr">
        <is>
          <t>SOCIETE C228</t>
        </is>
      </c>
      <c r="B2538" t="inlineStr">
        <is>
          <t>C228</t>
        </is>
      </c>
      <c r="C2538" t="inlineStr">
        <is>
          <t>CORPORATE BANKING</t>
        </is>
      </c>
      <c r="D2538" t="inlineStr">
        <is>
          <t>I</t>
        </is>
      </c>
      <c r="E2538" t="inlineStr">
        <is>
          <t>Stage 1</t>
        </is>
      </c>
      <c r="F2538" t="inlineStr">
        <is>
          <t>N/A</t>
        </is>
      </c>
      <c r="G2538" s="26">
        <v>806136779</v>
      </c>
      <c r="H2538" s="26">
        <v>8061368</v>
      </c>
      <c r="I2538" s="26">
        <v>117224513</v>
      </c>
      <c r="J2538" s="26">
        <v>125</v>
      </c>
      <c r="K2538" t="inlineStr">
        <is>
          <t>Non</t>
        </is>
      </c>
      <c r="L2538">
        <f>SUBTOTAL(103,A2538)</f>
        <v>1</v>
      </c>
    </row>
    <row r="2539">
      <c r="A2539" t="inlineStr">
        <is>
          <t>SOCIETE C1662</t>
        </is>
      </c>
      <c r="B2539" t="inlineStr">
        <is>
          <t>C1662</t>
        </is>
      </c>
      <c r="C2539" t="inlineStr">
        <is>
          <t>CORPORATE BANKING</t>
        </is>
      </c>
      <c r="D2539" t="inlineStr">
        <is>
          <t>I</t>
        </is>
      </c>
      <c r="E2539" t="inlineStr">
        <is>
          <t>Stage 1</t>
        </is>
      </c>
      <c r="F2539" t="inlineStr">
        <is>
          <t>N/A</t>
        </is>
      </c>
      <c r="G2539" s="26">
        <v>1955738909</v>
      </c>
      <c r="H2539" s="26">
        <v>19557389</v>
      </c>
      <c r="I2539" s="26">
        <v>15048726</v>
      </c>
      <c r="J2539" s="26">
        <v>111</v>
      </c>
      <c r="K2539" t="inlineStr">
        <is>
          <t>Non</t>
        </is>
      </c>
      <c r="L2539">
        <f>SUBTOTAL(103,A2539)</f>
        <v>1</v>
      </c>
    </row>
    <row r="2540">
      <c r="A2540" t="inlineStr">
        <is>
          <t>SOCIETE C10</t>
        </is>
      </c>
      <c r="B2540" t="inlineStr">
        <is>
          <t>C10</t>
        </is>
      </c>
      <c r="C2540" t="inlineStr">
        <is>
          <t>COMMERCIAL BANKING</t>
        </is>
      </c>
      <c r="D2540" t="inlineStr">
        <is>
          <t>III</t>
        </is>
      </c>
      <c r="E2540" t="inlineStr">
        <is>
          <t>Stage 3</t>
        </is>
      </c>
      <c r="F2540" t="inlineStr">
        <is>
          <t>N/A</t>
        </is>
      </c>
      <c r="G2540" s="26">
        <v>85713491</v>
      </c>
      <c r="H2540" s="26">
        <v>47142420</v>
      </c>
      <c r="I2540" s="26">
        <v>5450455</v>
      </c>
      <c r="J2540" s="26">
        <v>167</v>
      </c>
      <c r="K2540" t="inlineStr">
        <is>
          <t>Oui</t>
        </is>
      </c>
      <c r="L2540">
        <f>SUBTOTAL(103,A2540)</f>
        <v>1</v>
      </c>
    </row>
    <row r="2541">
      <c r="A2541" t="inlineStr">
        <is>
          <t>SOCIETE C62</t>
        </is>
      </c>
      <c r="B2541" t="inlineStr">
        <is>
          <t>C62</t>
        </is>
      </c>
      <c r="C2541" t="inlineStr">
        <is>
          <t>CORPORATE BANKING</t>
        </is>
      </c>
      <c r="D2541" t="inlineStr">
        <is>
          <t>III</t>
        </is>
      </c>
      <c r="E2541" t="inlineStr">
        <is>
          <t>Stage 3</t>
        </is>
      </c>
      <c r="F2541" t="inlineStr">
        <is>
          <t>N/A</t>
        </is>
      </c>
      <c r="G2541" s="26">
        <v>1000819</v>
      </c>
      <c r="H2541" s="26">
        <v>550450</v>
      </c>
      <c r="I2541" s="26">
        <v>0</v>
      </c>
      <c r="J2541" s="26">
        <v>2</v>
      </c>
      <c r="K2541" t="inlineStr">
        <is>
          <t>Oui</t>
        </is>
      </c>
      <c r="L2541">
        <f>SUBTOTAL(103,A2541)</f>
        <v>1</v>
      </c>
    </row>
    <row r="2542">
      <c r="A2542" t="inlineStr">
        <is>
          <t>SOCIETE C1876</t>
        </is>
      </c>
      <c r="B2542" t="inlineStr">
        <is>
          <t>C1876</t>
        </is>
      </c>
      <c r="C2542" t="inlineStr">
        <is>
          <t>CORPORATE BANKING</t>
        </is>
      </c>
      <c r="D2542" t="inlineStr">
        <is>
          <t>IA</t>
        </is>
      </c>
      <c r="E2542" t="inlineStr">
        <is>
          <t>Stage 2</t>
        </is>
      </c>
      <c r="F2542" t="inlineStr">
        <is>
          <t>N/A</t>
        </is>
      </c>
      <c r="G2542" s="26">
        <v>5339364</v>
      </c>
      <c r="H2542" s="26">
        <v>320362</v>
      </c>
      <c r="I2542" s="26">
        <v>1016048</v>
      </c>
      <c r="J2542" s="26">
        <v>82</v>
      </c>
      <c r="K2542" t="inlineStr">
        <is>
          <t>Non</t>
        </is>
      </c>
      <c r="L2542">
        <f>SUBTOTAL(103,A2542)</f>
        <v>1</v>
      </c>
    </row>
    <row r="2543">
      <c r="A2543" t="inlineStr">
        <is>
          <t>SOCIETE C1207</t>
        </is>
      </c>
      <c r="B2543" t="inlineStr">
        <is>
          <t>C1207</t>
        </is>
      </c>
      <c r="C2543" t="inlineStr">
        <is>
          <t>SME</t>
        </is>
      </c>
      <c r="D2543" t="inlineStr">
        <is>
          <t>II</t>
        </is>
      </c>
      <c r="E2543" t="inlineStr">
        <is>
          <t>Stage 2</t>
        </is>
      </c>
      <c r="F2543" t="inlineStr">
        <is>
          <t>N/A</t>
        </is>
      </c>
      <c r="G2543" s="26">
        <v>1370311035</v>
      </c>
      <c r="H2543" s="26">
        <v>82218662</v>
      </c>
      <c r="I2543" s="26">
        <v>0</v>
      </c>
      <c r="J2543" s="26">
        <v>63</v>
      </c>
      <c r="K2543" t="inlineStr">
        <is>
          <t>Non</t>
        </is>
      </c>
      <c r="L2543">
        <f>SUBTOTAL(103,A2543)</f>
        <v>1</v>
      </c>
    </row>
    <row r="2544">
      <c r="A2544" t="inlineStr">
        <is>
          <t>SOCIETE C1215</t>
        </is>
      </c>
      <c r="B2544" t="inlineStr">
        <is>
          <t>C1215</t>
        </is>
      </c>
      <c r="C2544" t="inlineStr">
        <is>
          <t>CONSUMER BANKING</t>
        </is>
      </c>
      <c r="D2544" t="inlineStr">
        <is>
          <t>IA</t>
        </is>
      </c>
      <c r="E2544" t="inlineStr">
        <is>
          <t>Stage 2</t>
        </is>
      </c>
      <c r="F2544" t="inlineStr">
        <is>
          <t>N/A</t>
        </is>
      </c>
      <c r="G2544" s="26">
        <v>1963323647</v>
      </c>
      <c r="H2544" s="26">
        <v>117799419</v>
      </c>
      <c r="I2544" s="26">
        <v>0</v>
      </c>
      <c r="J2544" s="26">
        <v>91</v>
      </c>
      <c r="K2544" t="inlineStr">
        <is>
          <t>Non</t>
        </is>
      </c>
      <c r="L2544">
        <f>SUBTOTAL(103,A2544)</f>
        <v>1</v>
      </c>
    </row>
    <row r="2545">
      <c r="A2545" t="inlineStr">
        <is>
          <t>SOCIETE C1977</t>
        </is>
      </c>
      <c r="B2545" t="inlineStr">
        <is>
          <t>C1977</t>
        </is>
      </c>
      <c r="C2545" t="inlineStr">
        <is>
          <t>CORPORATE BANKING</t>
        </is>
      </c>
      <c r="D2545" t="inlineStr">
        <is>
          <t>IV</t>
        </is>
      </c>
      <c r="E2545" t="inlineStr">
        <is>
          <t>Stage 3</t>
        </is>
      </c>
      <c r="F2545" t="inlineStr">
        <is>
          <t>N/A</t>
        </is>
      </c>
      <c r="G2545" s="26">
        <v>1013112</v>
      </c>
      <c r="H2545" s="26">
        <v>557211</v>
      </c>
      <c r="I2545" s="26">
        <v>0</v>
      </c>
      <c r="J2545" s="26">
        <v>73</v>
      </c>
      <c r="K2545" t="inlineStr">
        <is>
          <t>Oui</t>
        </is>
      </c>
      <c r="L2545">
        <f>SUBTOTAL(103,A2545)</f>
        <v>1</v>
      </c>
    </row>
    <row r="2546">
      <c r="A2546" t="inlineStr">
        <is>
          <t>SOCIETE C2472</t>
        </is>
      </c>
      <c r="B2546" t="inlineStr">
        <is>
          <t>C2472</t>
        </is>
      </c>
      <c r="C2546" t="inlineStr">
        <is>
          <t>COMMERCIAL BANKING</t>
        </is>
      </c>
      <c r="D2546" t="inlineStr">
        <is>
          <t>II</t>
        </is>
      </c>
      <c r="E2546" t="inlineStr">
        <is>
          <t>Stage 2</t>
        </is>
      </c>
      <c r="F2546" t="inlineStr">
        <is>
          <t>N/A</t>
        </is>
      </c>
      <c r="G2546" s="26">
        <v>2862352403</v>
      </c>
      <c r="H2546" s="26">
        <v>171741144</v>
      </c>
      <c r="I2546" s="26">
        <v>427921574</v>
      </c>
      <c r="J2546" s="26">
        <v>14</v>
      </c>
      <c r="K2546" t="inlineStr">
        <is>
          <t>Non</t>
        </is>
      </c>
      <c r="L2546">
        <f>SUBTOTAL(103,A2546)</f>
        <v>1</v>
      </c>
    </row>
    <row r="2547">
      <c r="A2547" t="inlineStr">
        <is>
          <t>SOCIETE C1346</t>
        </is>
      </c>
      <c r="B2547" t="inlineStr">
        <is>
          <t>C1346</t>
        </is>
      </c>
      <c r="C2547" t="inlineStr">
        <is>
          <t>CORPORATE BANKING</t>
        </is>
      </c>
      <c r="D2547" t="inlineStr">
        <is>
          <t>II</t>
        </is>
      </c>
      <c r="E2547" t="inlineStr">
        <is>
          <t>Stage 2</t>
        </is>
      </c>
      <c r="F2547" t="inlineStr">
        <is>
          <t>N/A</t>
        </is>
      </c>
      <c r="G2547" s="26">
        <v>212448981</v>
      </c>
      <c r="H2547" s="26">
        <v>12746939</v>
      </c>
      <c r="I2547" s="26">
        <v>5259438</v>
      </c>
      <c r="J2547" s="26">
        <v>12</v>
      </c>
      <c r="K2547" t="inlineStr">
        <is>
          <t>Non</t>
        </is>
      </c>
      <c r="L2547">
        <f>SUBTOTAL(103,A2547)</f>
        <v>1</v>
      </c>
    </row>
    <row r="2548">
      <c r="A2548" t="inlineStr">
        <is>
          <t>SOCIETE C1443</t>
        </is>
      </c>
      <c r="B2548" t="inlineStr">
        <is>
          <t>C1443</t>
        </is>
      </c>
      <c r="C2548" t="inlineStr">
        <is>
          <t>CORPORATE BANKING</t>
        </is>
      </c>
      <c r="D2548" t="inlineStr">
        <is>
          <t>I</t>
        </is>
      </c>
      <c r="E2548" t="inlineStr">
        <is>
          <t>Stage 1</t>
        </is>
      </c>
      <c r="F2548" t="inlineStr">
        <is>
          <t>N/A</t>
        </is>
      </c>
      <c r="G2548" s="26">
        <v>788331091</v>
      </c>
      <c r="H2548" s="26">
        <v>7883311</v>
      </c>
      <c r="I2548" s="26">
        <v>0</v>
      </c>
      <c r="J2548" s="26">
        <v>11</v>
      </c>
      <c r="K2548" t="inlineStr">
        <is>
          <t>Non</t>
        </is>
      </c>
      <c r="L2548">
        <f>SUBTOTAL(103,A2548)</f>
        <v>1</v>
      </c>
    </row>
    <row r="2549">
      <c r="A2549" t="inlineStr">
        <is>
          <t>SOCIETE C1316</t>
        </is>
      </c>
      <c r="B2549" t="inlineStr">
        <is>
          <t>C1316</t>
        </is>
      </c>
      <c r="C2549" t="inlineStr">
        <is>
          <t>CORPORATE BANKING</t>
        </is>
      </c>
      <c r="D2549" t="inlineStr">
        <is>
          <t>V</t>
        </is>
      </c>
      <c r="E2549" t="inlineStr">
        <is>
          <t>Stage 3</t>
        </is>
      </c>
      <c r="F2549" t="inlineStr">
        <is>
          <t>N/A</t>
        </is>
      </c>
      <c r="G2549" s="26">
        <v>18832409</v>
      </c>
      <c r="H2549" s="26">
        <v>10357825</v>
      </c>
      <c r="I2549" s="26">
        <v>0</v>
      </c>
      <c r="J2549" s="26">
        <v>23</v>
      </c>
      <c r="K2549" t="inlineStr">
        <is>
          <t>Oui</t>
        </is>
      </c>
      <c r="L2549">
        <f>SUBTOTAL(103,A2549)</f>
        <v>1</v>
      </c>
    </row>
    <row r="2550">
      <c r="A2550" t="inlineStr">
        <is>
          <t>SOCIETE C1558</t>
        </is>
      </c>
      <c r="B2550" t="inlineStr">
        <is>
          <t>C1558</t>
        </is>
      </c>
      <c r="C2550" t="inlineStr">
        <is>
          <t>CORPORATE BANKING</t>
        </is>
      </c>
      <c r="D2550" t="inlineStr">
        <is>
          <t>III</t>
        </is>
      </c>
      <c r="E2550" t="inlineStr">
        <is>
          <t>Stage 3</t>
        </is>
      </c>
      <c r="F2550" t="inlineStr">
        <is>
          <t>N/A</t>
        </is>
      </c>
      <c r="G2550" s="26">
        <v>1573622991</v>
      </c>
      <c r="H2550" s="26">
        <v>865492645</v>
      </c>
      <c r="I2550" s="26">
        <v>130293968</v>
      </c>
      <c r="J2550" s="26">
        <v>265</v>
      </c>
      <c r="K2550" t="inlineStr">
        <is>
          <t>Oui</t>
        </is>
      </c>
      <c r="L2550">
        <f>SUBTOTAL(103,A2550)</f>
        <v>1</v>
      </c>
    </row>
    <row r="2551">
      <c r="A2551" t="inlineStr">
        <is>
          <t>SOCIETE C873</t>
        </is>
      </c>
      <c r="B2551" t="inlineStr">
        <is>
          <t>C873</t>
        </is>
      </c>
      <c r="C2551" t="inlineStr">
        <is>
          <t>CORPORATE BANKING</t>
        </is>
      </c>
      <c r="D2551" t="inlineStr">
        <is>
          <t>I</t>
        </is>
      </c>
      <c r="E2551" t="inlineStr">
        <is>
          <t>Stage 1</t>
        </is>
      </c>
      <c r="F2551" t="inlineStr">
        <is>
          <t>N/A</t>
        </is>
      </c>
      <c r="G2551" s="26">
        <v>71117368</v>
      </c>
      <c r="H2551" s="26">
        <v>711174</v>
      </c>
      <c r="I2551" s="26">
        <v>11622020</v>
      </c>
      <c r="J2551" s="26">
        <v>7</v>
      </c>
      <c r="K2551" t="inlineStr">
        <is>
          <t>Non</t>
        </is>
      </c>
      <c r="L2551">
        <f>SUBTOTAL(103,A2551)</f>
        <v>1</v>
      </c>
    </row>
    <row r="2552">
      <c r="A2552" t="inlineStr">
        <is>
          <t>SOCIETE C2047</t>
        </is>
      </c>
      <c r="B2552" t="inlineStr">
        <is>
          <t>C2047</t>
        </is>
      </c>
      <c r="C2552" t="inlineStr">
        <is>
          <t>CORPORATE BANKING</t>
        </is>
      </c>
      <c r="D2552" t="inlineStr">
        <is>
          <t>I</t>
        </is>
      </c>
      <c r="E2552" t="inlineStr">
        <is>
          <t>Stage 1</t>
        </is>
      </c>
      <c r="F2552" t="inlineStr">
        <is>
          <t>N/A</t>
        </is>
      </c>
      <c r="G2552" s="26">
        <v>1305463</v>
      </c>
      <c r="H2552" s="26">
        <v>13055</v>
      </c>
      <c r="I2552" s="26">
        <v>237815</v>
      </c>
      <c r="J2552" s="26">
        <v>196</v>
      </c>
      <c r="K2552" t="inlineStr">
        <is>
          <t>Non</t>
        </is>
      </c>
      <c r="L2552">
        <f>SUBTOTAL(103,A2552)</f>
        <v>1</v>
      </c>
    </row>
    <row r="2553">
      <c r="A2553" t="inlineStr">
        <is>
          <t>SOCIETE C1617</t>
        </is>
      </c>
      <c r="B2553" t="inlineStr">
        <is>
          <t>C1617</t>
        </is>
      </c>
      <c r="C2553" t="inlineStr">
        <is>
          <t>CORPORATE BANKING</t>
        </is>
      </c>
      <c r="D2553" t="inlineStr">
        <is>
          <t>IA</t>
        </is>
      </c>
      <c r="E2553" t="inlineStr">
        <is>
          <t>Stage 2</t>
        </is>
      </c>
      <c r="F2553" t="inlineStr">
        <is>
          <t>N/A</t>
        </is>
      </c>
      <c r="G2553" s="26">
        <v>1643575323</v>
      </c>
      <c r="H2553" s="26">
        <v>98614519</v>
      </c>
      <c r="I2553" s="26">
        <v>0</v>
      </c>
      <c r="J2553" s="26">
        <v>325</v>
      </c>
      <c r="K2553" t="inlineStr">
        <is>
          <t>Non</t>
        </is>
      </c>
      <c r="L2553">
        <f>SUBTOTAL(103,A2553)</f>
        <v>1</v>
      </c>
    </row>
    <row r="2554">
      <c r="A2554" t="inlineStr">
        <is>
          <t>SOCIETE C2284</t>
        </is>
      </c>
      <c r="B2554" t="inlineStr">
        <is>
          <t>C2284</t>
        </is>
      </c>
      <c r="C2554" t="inlineStr">
        <is>
          <t>COMMERCIAL BANKING</t>
        </is>
      </c>
      <c r="D2554" t="inlineStr">
        <is>
          <t>I</t>
        </is>
      </c>
      <c r="E2554" t="inlineStr">
        <is>
          <t>Stage 1</t>
        </is>
      </c>
      <c r="F2554" t="inlineStr">
        <is>
          <t>N/A</t>
        </is>
      </c>
      <c r="G2554" s="26">
        <v>29484140</v>
      </c>
      <c r="H2554" s="26">
        <v>294841</v>
      </c>
      <c r="I2554" s="26">
        <v>0</v>
      </c>
      <c r="J2554" s="26">
        <v>331</v>
      </c>
      <c r="K2554" t="inlineStr">
        <is>
          <t>Non</t>
        </is>
      </c>
      <c r="L2554">
        <f>SUBTOTAL(103,A2554)</f>
        <v>1</v>
      </c>
    </row>
    <row r="2555">
      <c r="A2555" t="inlineStr">
        <is>
          <t>SOCIETE C341</t>
        </is>
      </c>
      <c r="B2555" t="inlineStr">
        <is>
          <t>C341</t>
        </is>
      </c>
      <c r="C2555" t="inlineStr">
        <is>
          <t>CORPORATE BANKING</t>
        </is>
      </c>
      <c r="D2555" t="inlineStr">
        <is>
          <t>IV</t>
        </is>
      </c>
      <c r="E2555" t="inlineStr">
        <is>
          <t>Stage 3</t>
        </is>
      </c>
      <c r="F2555" t="inlineStr">
        <is>
          <t>N/A</t>
        </is>
      </c>
      <c r="G2555" s="26">
        <v>684509940</v>
      </c>
      <c r="H2555" s="26">
        <v>376480467</v>
      </c>
      <c r="I2555" s="26">
        <v>0</v>
      </c>
      <c r="J2555" s="26">
        <v>17</v>
      </c>
      <c r="K2555" t="inlineStr">
        <is>
          <t>Oui</t>
        </is>
      </c>
      <c r="L2555">
        <f>SUBTOTAL(103,A2555)</f>
        <v>1</v>
      </c>
    </row>
    <row r="2556">
      <c r="A2556" t="inlineStr">
        <is>
          <t>SOCIETE C1786</t>
        </is>
      </c>
      <c r="B2556" t="inlineStr">
        <is>
          <t>C1786</t>
        </is>
      </c>
      <c r="C2556" t="inlineStr">
        <is>
          <t>SME</t>
        </is>
      </c>
      <c r="D2556" t="inlineStr">
        <is>
          <t>IA</t>
        </is>
      </c>
      <c r="E2556" t="inlineStr">
        <is>
          <t>Stage 2</t>
        </is>
      </c>
      <c r="F2556" t="inlineStr">
        <is>
          <t>N/A</t>
        </is>
      </c>
      <c r="G2556" s="26">
        <v>566330513</v>
      </c>
      <c r="H2556" s="26">
        <v>33979831</v>
      </c>
      <c r="I2556" s="26">
        <v>0</v>
      </c>
      <c r="J2556" s="26">
        <v>181</v>
      </c>
      <c r="K2556" t="inlineStr">
        <is>
          <t>Non</t>
        </is>
      </c>
      <c r="L2556">
        <f>SUBTOTAL(103,A2556)</f>
        <v>1</v>
      </c>
    </row>
    <row r="2557">
      <c r="A2557" t="inlineStr">
        <is>
          <t>SOCIETE C1384</t>
        </is>
      </c>
      <c r="B2557" t="inlineStr">
        <is>
          <t>C1384</t>
        </is>
      </c>
      <c r="C2557" t="inlineStr">
        <is>
          <t>CONSUMER BANKING</t>
        </is>
      </c>
      <c r="D2557" t="inlineStr">
        <is>
          <t>I</t>
        </is>
      </c>
      <c r="E2557" t="inlineStr">
        <is>
          <t>Stage 1</t>
        </is>
      </c>
      <c r="F2557" t="inlineStr">
        <is>
          <t>N/A</t>
        </is>
      </c>
      <c r="G2557" s="26">
        <v>40704855</v>
      </c>
      <c r="H2557" s="26">
        <v>407049</v>
      </c>
      <c r="I2557" s="26">
        <v>3927704</v>
      </c>
      <c r="J2557" s="26">
        <v>182</v>
      </c>
      <c r="K2557" t="inlineStr">
        <is>
          <t>Non</t>
        </is>
      </c>
      <c r="L2557">
        <f>SUBTOTAL(103,A2557)</f>
        <v>1</v>
      </c>
    </row>
    <row r="2558">
      <c r="A2558" t="inlineStr">
        <is>
          <t>SOCIETE C2322</t>
        </is>
      </c>
      <c r="B2558" t="inlineStr">
        <is>
          <t>C2322</t>
        </is>
      </c>
      <c r="C2558" t="inlineStr">
        <is>
          <t>CORPORATE BANKING</t>
        </is>
      </c>
      <c r="D2558" t="inlineStr">
        <is>
          <t>III</t>
        </is>
      </c>
      <c r="E2558" t="inlineStr">
        <is>
          <t>Stage 3</t>
        </is>
      </c>
      <c r="F2558" t="inlineStr">
        <is>
          <t>N/A</t>
        </is>
      </c>
      <c r="G2558" s="26">
        <v>1103590462</v>
      </c>
      <c r="H2558" s="26">
        <v>606974754</v>
      </c>
      <c r="I2558" s="26">
        <v>0</v>
      </c>
      <c r="J2558" s="26">
        <v>5</v>
      </c>
      <c r="K2558" t="inlineStr">
        <is>
          <t>Oui</t>
        </is>
      </c>
      <c r="L2558">
        <f>SUBTOTAL(103,A2558)</f>
        <v>1</v>
      </c>
    </row>
    <row r="2559">
      <c r="A2559" t="inlineStr">
        <is>
          <t>SOCIETE C354</t>
        </is>
      </c>
      <c r="B2559" t="inlineStr">
        <is>
          <t>C354</t>
        </is>
      </c>
      <c r="C2559" t="inlineStr">
        <is>
          <t>CORPORATE BANKING</t>
        </is>
      </c>
      <c r="D2559" t="inlineStr">
        <is>
          <t>V</t>
        </is>
      </c>
      <c r="E2559" t="inlineStr">
        <is>
          <t>Stage 3</t>
        </is>
      </c>
      <c r="F2559" t="inlineStr">
        <is>
          <t>N/A</t>
        </is>
      </c>
      <c r="G2559" s="26">
        <v>895009646</v>
      </c>
      <c r="H2559" s="26">
        <v>492255305</v>
      </c>
      <c r="I2559" s="26">
        <v>21594338</v>
      </c>
      <c r="J2559" s="26">
        <v>181</v>
      </c>
      <c r="K2559" t="inlineStr">
        <is>
          <t>Oui</t>
        </is>
      </c>
      <c r="L2559">
        <f>SUBTOTAL(103,A2559)</f>
        <v>1</v>
      </c>
    </row>
    <row r="2560">
      <c r="A2560" t="inlineStr">
        <is>
          <t>SOCIETE C783</t>
        </is>
      </c>
      <c r="B2560" t="inlineStr">
        <is>
          <t>C783</t>
        </is>
      </c>
      <c r="C2560" t="inlineStr">
        <is>
          <t>CORPORATE BANKING</t>
        </is>
      </c>
      <c r="D2560" t="inlineStr">
        <is>
          <t>I</t>
        </is>
      </c>
      <c r="E2560" t="inlineStr">
        <is>
          <t>Stage 1</t>
        </is>
      </c>
      <c r="F2560" t="inlineStr">
        <is>
          <t>N/A</t>
        </is>
      </c>
      <c r="G2560" s="26">
        <v>622030590</v>
      </c>
      <c r="H2560" s="26">
        <v>6220306</v>
      </c>
      <c r="I2560" s="26">
        <v>68932461</v>
      </c>
      <c r="J2560" s="26">
        <v>13</v>
      </c>
      <c r="K2560" t="inlineStr">
        <is>
          <t>Non</t>
        </is>
      </c>
      <c r="L2560">
        <f>SUBTOTAL(103,A2560)</f>
        <v>1</v>
      </c>
    </row>
    <row r="2561">
      <c r="A2561" t="inlineStr">
        <is>
          <t>SOCIETE C2042</t>
        </is>
      </c>
      <c r="B2561" t="inlineStr">
        <is>
          <t>C2042</t>
        </is>
      </c>
      <c r="C2561" t="inlineStr">
        <is>
          <t>COMMERCIAL BANKING</t>
        </is>
      </c>
      <c r="D2561" t="inlineStr">
        <is>
          <t>I</t>
        </is>
      </c>
      <c r="E2561" t="inlineStr">
        <is>
          <t>Stage 1</t>
        </is>
      </c>
      <c r="F2561" t="inlineStr">
        <is>
          <t>N/A</t>
        </is>
      </c>
      <c r="G2561" s="26">
        <v>2183889407</v>
      </c>
      <c r="H2561" s="26">
        <v>21838894</v>
      </c>
      <c r="I2561" s="26">
        <v>0</v>
      </c>
      <c r="J2561" s="26">
        <v>223</v>
      </c>
      <c r="K2561" t="inlineStr">
        <is>
          <t>Non</t>
        </is>
      </c>
      <c r="L2561">
        <f>SUBTOTAL(103,A2561)</f>
        <v>1</v>
      </c>
    </row>
    <row r="2562">
      <c r="A2562" t="inlineStr">
        <is>
          <t>SOCIETE C1523</t>
        </is>
      </c>
      <c r="B2562" t="inlineStr">
        <is>
          <t>C1523</t>
        </is>
      </c>
      <c r="C2562" t="inlineStr">
        <is>
          <t>CONSUMER BANKING</t>
        </is>
      </c>
      <c r="D2562" t="inlineStr">
        <is>
          <t>III</t>
        </is>
      </c>
      <c r="E2562" t="inlineStr">
        <is>
          <t>Stage 3</t>
        </is>
      </c>
      <c r="F2562" t="inlineStr">
        <is>
          <t>N/A</t>
        </is>
      </c>
      <c r="G2562" s="26">
        <v>15180110</v>
      </c>
      <c r="H2562" s="26">
        <v>8349060</v>
      </c>
      <c r="I2562" s="26">
        <v>0</v>
      </c>
      <c r="J2562" s="26">
        <v>29</v>
      </c>
      <c r="K2562" t="inlineStr">
        <is>
          <t>Oui</t>
        </is>
      </c>
      <c r="L2562">
        <f>SUBTOTAL(103,A2562)</f>
        <v>1</v>
      </c>
    </row>
    <row r="2563">
      <c r="A2563" t="inlineStr">
        <is>
          <t>SOCIETE C1479</t>
        </is>
      </c>
      <c r="B2563" t="inlineStr">
        <is>
          <t>C1479</t>
        </is>
      </c>
      <c r="C2563" t="inlineStr">
        <is>
          <t>COMMERCIAL BANKING</t>
        </is>
      </c>
      <c r="D2563" t="inlineStr">
        <is>
          <t>I</t>
        </is>
      </c>
      <c r="E2563" t="inlineStr">
        <is>
          <t>Stage 1</t>
        </is>
      </c>
      <c r="F2563" t="inlineStr">
        <is>
          <t>N/A</t>
        </is>
      </c>
      <c r="G2563" s="26">
        <v>837619307</v>
      </c>
      <c r="H2563" s="26">
        <v>8376193</v>
      </c>
      <c r="I2563" s="26">
        <v>101581868</v>
      </c>
      <c r="J2563" s="26">
        <v>52</v>
      </c>
      <c r="K2563" t="inlineStr">
        <is>
          <t>Non</t>
        </is>
      </c>
      <c r="L2563">
        <f>SUBTOTAL(103,A2563)</f>
        <v>1</v>
      </c>
    </row>
    <row r="2564">
      <c r="A2564" t="inlineStr">
        <is>
          <t>SOCIETE C1634</t>
        </is>
      </c>
      <c r="B2564" t="inlineStr">
        <is>
          <t>C1634</t>
        </is>
      </c>
      <c r="C2564" t="inlineStr">
        <is>
          <t>COMMERCIAL BANKING</t>
        </is>
      </c>
      <c r="D2564" t="inlineStr">
        <is>
          <t>V</t>
        </is>
      </c>
      <c r="E2564" t="inlineStr">
        <is>
          <t>Stage 3</t>
        </is>
      </c>
      <c r="F2564" t="inlineStr">
        <is>
          <t>N/A</t>
        </is>
      </c>
      <c r="G2564" s="26">
        <v>196521620</v>
      </c>
      <c r="H2564" s="26">
        <v>108086891</v>
      </c>
      <c r="I2564" s="26">
        <v>0</v>
      </c>
      <c r="J2564" s="26">
        <v>19</v>
      </c>
      <c r="K2564" t="inlineStr">
        <is>
          <t>Oui</t>
        </is>
      </c>
      <c r="L2564">
        <f>SUBTOTAL(103,A2564)</f>
        <v>1</v>
      </c>
    </row>
    <row r="2565">
      <c r="A2565" t="inlineStr">
        <is>
          <t>SOCIETE C1676</t>
        </is>
      </c>
      <c r="B2565" t="inlineStr">
        <is>
          <t>C1676</t>
        </is>
      </c>
      <c r="C2565" t="inlineStr">
        <is>
          <t>CONSUMER BANKING</t>
        </is>
      </c>
      <c r="D2565" t="inlineStr">
        <is>
          <t>I</t>
        </is>
      </c>
      <c r="E2565" t="inlineStr">
        <is>
          <t>Stage 1</t>
        </is>
      </c>
      <c r="F2565" t="inlineStr">
        <is>
          <t>N/A</t>
        </is>
      </c>
      <c r="G2565" s="26">
        <v>42072021</v>
      </c>
      <c r="H2565" s="26">
        <v>420720</v>
      </c>
      <c r="I2565" s="26">
        <v>2740751</v>
      </c>
      <c r="J2565" s="26">
        <v>58</v>
      </c>
      <c r="K2565" t="inlineStr">
        <is>
          <t>Non</t>
        </is>
      </c>
      <c r="L2565">
        <f>SUBTOTAL(103,A2565)</f>
        <v>1</v>
      </c>
    </row>
    <row r="2566">
      <c r="A2566" t="inlineStr">
        <is>
          <t>SOCIETE C988</t>
        </is>
      </c>
      <c r="B2566" t="inlineStr">
        <is>
          <t>C988</t>
        </is>
      </c>
      <c r="C2566" t="inlineStr">
        <is>
          <t>CONSUMER BANKING</t>
        </is>
      </c>
      <c r="D2566" t="inlineStr">
        <is>
          <t>I</t>
        </is>
      </c>
      <c r="E2566" t="inlineStr">
        <is>
          <t>Stage 1</t>
        </is>
      </c>
      <c r="F2566" t="inlineStr">
        <is>
          <t>N/A</t>
        </is>
      </c>
      <c r="G2566" s="26">
        <v>468663319</v>
      </c>
      <c r="H2566" s="26">
        <v>4686633</v>
      </c>
      <c r="I2566" s="26">
        <v>60565225</v>
      </c>
      <c r="J2566" s="26">
        <v>40</v>
      </c>
      <c r="K2566" t="inlineStr">
        <is>
          <t>Non</t>
        </is>
      </c>
      <c r="L2566">
        <f>SUBTOTAL(103,A2566)</f>
        <v>1</v>
      </c>
    </row>
    <row r="2567">
      <c r="A2567" t="inlineStr">
        <is>
          <t>SOCIETE C1528</t>
        </is>
      </c>
      <c r="B2567" t="inlineStr">
        <is>
          <t>C1528</t>
        </is>
      </c>
      <c r="C2567" t="inlineStr">
        <is>
          <t>CORPORATE BANKING</t>
        </is>
      </c>
      <c r="D2567" t="inlineStr">
        <is>
          <t>IA</t>
        </is>
      </c>
      <c r="E2567" t="inlineStr">
        <is>
          <t>Stage 2</t>
        </is>
      </c>
      <c r="F2567" t="inlineStr">
        <is>
          <t>N/A</t>
        </is>
      </c>
      <c r="G2567" s="26">
        <v>19945737</v>
      </c>
      <c r="H2567" s="26">
        <v>1196744</v>
      </c>
      <c r="I2567" s="26">
        <v>2576855</v>
      </c>
      <c r="J2567" s="26">
        <v>70</v>
      </c>
      <c r="K2567" t="inlineStr">
        <is>
          <t>Non</t>
        </is>
      </c>
      <c r="L2567">
        <f>SUBTOTAL(103,A2567)</f>
        <v>1</v>
      </c>
    </row>
    <row r="2568">
      <c r="A2568" t="inlineStr">
        <is>
          <t>SOCIETE C1558</t>
        </is>
      </c>
      <c r="B2568" t="inlineStr">
        <is>
          <t>C1558</t>
        </is>
      </c>
      <c r="C2568" t="inlineStr">
        <is>
          <t>COMMERCIAL BANKING</t>
        </is>
      </c>
      <c r="D2568" t="inlineStr">
        <is>
          <t>IV</t>
        </is>
      </c>
      <c r="E2568" t="inlineStr">
        <is>
          <t>Stage 3</t>
        </is>
      </c>
      <c r="F2568" t="inlineStr">
        <is>
          <t>N/A</t>
        </is>
      </c>
      <c r="G2568" s="26">
        <v>27622411</v>
      </c>
      <c r="H2568" s="26">
        <v>15192326</v>
      </c>
      <c r="I2568" s="26">
        <v>4796065</v>
      </c>
      <c r="J2568" s="26">
        <v>100</v>
      </c>
      <c r="K2568" t="inlineStr">
        <is>
          <t>Oui</t>
        </is>
      </c>
      <c r="L2568">
        <f>SUBTOTAL(103,A2568)</f>
        <v>1</v>
      </c>
    </row>
    <row r="2569">
      <c r="A2569" t="inlineStr">
        <is>
          <t>SOCIETE C2189</t>
        </is>
      </c>
      <c r="B2569" t="inlineStr">
        <is>
          <t>C2189</t>
        </is>
      </c>
      <c r="C2569" t="inlineStr">
        <is>
          <t>CONSUMER BANKING</t>
        </is>
      </c>
      <c r="D2569" t="inlineStr">
        <is>
          <t>I</t>
        </is>
      </c>
      <c r="E2569" t="inlineStr">
        <is>
          <t>Stage 1</t>
        </is>
      </c>
      <c r="F2569" t="inlineStr">
        <is>
          <t>N/A</t>
        </is>
      </c>
      <c r="G2569" s="26">
        <v>131564928</v>
      </c>
      <c r="H2569" s="26">
        <v>1315649</v>
      </c>
      <c r="I2569" s="26">
        <v>25739845</v>
      </c>
      <c r="J2569" s="26">
        <v>141</v>
      </c>
      <c r="K2569" t="inlineStr">
        <is>
          <t>Non</t>
        </is>
      </c>
      <c r="L2569">
        <f>SUBTOTAL(103,A2569)</f>
        <v>1</v>
      </c>
    </row>
    <row r="2570">
      <c r="A2570" t="inlineStr">
        <is>
          <t>SOCIETE C413</t>
        </is>
      </c>
      <c r="B2570" t="inlineStr">
        <is>
          <t>C413</t>
        </is>
      </c>
      <c r="C2570" t="inlineStr">
        <is>
          <t>CORPORATE BANKING</t>
        </is>
      </c>
      <c r="D2570" t="inlineStr">
        <is>
          <t>I</t>
        </is>
      </c>
      <c r="E2570" t="inlineStr">
        <is>
          <t>Stage 1</t>
        </is>
      </c>
      <c r="F2570" t="inlineStr">
        <is>
          <t>N/A</t>
        </is>
      </c>
      <c r="G2570" s="26">
        <v>2053307310</v>
      </c>
      <c r="H2570" s="26">
        <v>20533073</v>
      </c>
      <c r="I2570" s="26">
        <v>0</v>
      </c>
      <c r="J2570" s="26">
        <v>35</v>
      </c>
      <c r="K2570" t="inlineStr">
        <is>
          <t>Non</t>
        </is>
      </c>
      <c r="L2570">
        <f>SUBTOTAL(103,A2570)</f>
        <v>1</v>
      </c>
    </row>
    <row r="2571">
      <c r="A2571" t="inlineStr">
        <is>
          <t>SOCIETE C2237</t>
        </is>
      </c>
      <c r="B2571" t="inlineStr">
        <is>
          <t>C2237</t>
        </is>
      </c>
      <c r="C2571" t="inlineStr">
        <is>
          <t>COMMERCIAL BANKING</t>
        </is>
      </c>
      <c r="D2571" t="inlineStr">
        <is>
          <t>I</t>
        </is>
      </c>
      <c r="E2571" t="inlineStr">
        <is>
          <t>Stage 1</t>
        </is>
      </c>
      <c r="F2571" t="inlineStr">
        <is>
          <t>N/A</t>
        </is>
      </c>
      <c r="G2571" s="26">
        <v>2985975081</v>
      </c>
      <c r="H2571" s="26">
        <v>29859751</v>
      </c>
      <c r="I2571" s="26">
        <v>0</v>
      </c>
      <c r="J2571" s="26">
        <v>102</v>
      </c>
      <c r="K2571" t="inlineStr">
        <is>
          <t>Non</t>
        </is>
      </c>
      <c r="L2571">
        <f>SUBTOTAL(103,A2571)</f>
        <v>1</v>
      </c>
    </row>
    <row r="2572">
      <c r="A2572" t="inlineStr">
        <is>
          <t>SOCIETE C1269</t>
        </is>
      </c>
      <c r="B2572" t="inlineStr">
        <is>
          <t>C1269</t>
        </is>
      </c>
      <c r="C2572" t="inlineStr">
        <is>
          <t>COMMERCIAL BANKING</t>
        </is>
      </c>
      <c r="D2572" t="inlineStr">
        <is>
          <t>II</t>
        </is>
      </c>
      <c r="E2572" t="inlineStr">
        <is>
          <t>Stage 2</t>
        </is>
      </c>
      <c r="F2572" t="inlineStr">
        <is>
          <t>N/A</t>
        </is>
      </c>
      <c r="G2572" s="26">
        <v>1219115653</v>
      </c>
      <c r="H2572" s="26">
        <v>73146939</v>
      </c>
      <c r="I2572" s="26">
        <v>0</v>
      </c>
      <c r="J2572" s="26">
        <v>32</v>
      </c>
      <c r="K2572" t="inlineStr">
        <is>
          <t>Non</t>
        </is>
      </c>
      <c r="L2572">
        <f>SUBTOTAL(103,A2572)</f>
        <v>1</v>
      </c>
    </row>
    <row r="2573">
      <c r="A2573" t="inlineStr">
        <is>
          <t>SOCIETE C429</t>
        </is>
      </c>
      <c r="B2573" t="inlineStr">
        <is>
          <t>C429</t>
        </is>
      </c>
      <c r="C2573" t="inlineStr">
        <is>
          <t>CORPORATE BANKING</t>
        </is>
      </c>
      <c r="D2573" t="inlineStr">
        <is>
          <t>II</t>
        </is>
      </c>
      <c r="E2573" t="inlineStr">
        <is>
          <t>Stage 2</t>
        </is>
      </c>
      <c r="F2573" t="inlineStr">
        <is>
          <t>N/A</t>
        </is>
      </c>
      <c r="G2573" s="26">
        <v>427260367</v>
      </c>
      <c r="H2573" s="26">
        <v>25635622</v>
      </c>
      <c r="I2573" s="26">
        <v>0</v>
      </c>
      <c r="J2573" s="26">
        <v>95</v>
      </c>
      <c r="K2573" t="inlineStr">
        <is>
          <t>Non</t>
        </is>
      </c>
      <c r="L2573">
        <f>SUBTOTAL(103,A2573)</f>
        <v>1</v>
      </c>
    </row>
    <row r="2574">
      <c r="A2574" t="inlineStr">
        <is>
          <t>SOCIETE C199</t>
        </is>
      </c>
      <c r="B2574" t="inlineStr">
        <is>
          <t>C199</t>
        </is>
      </c>
      <c r="C2574" t="inlineStr">
        <is>
          <t>CORPORATE BANKING</t>
        </is>
      </c>
      <c r="D2574" t="inlineStr">
        <is>
          <t>II</t>
        </is>
      </c>
      <c r="E2574" t="inlineStr">
        <is>
          <t>Stage 2</t>
        </is>
      </c>
      <c r="F2574" t="inlineStr">
        <is>
          <t>N/A</t>
        </is>
      </c>
      <c r="G2574" s="26">
        <v>647243400</v>
      </c>
      <c r="H2574" s="26">
        <v>38834604</v>
      </c>
      <c r="I2574" s="26">
        <v>15223693</v>
      </c>
      <c r="J2574" s="26">
        <v>160</v>
      </c>
      <c r="K2574" t="inlineStr">
        <is>
          <t>Non</t>
        </is>
      </c>
      <c r="L2574">
        <f>SUBTOTAL(103,A2574)</f>
        <v>1</v>
      </c>
    </row>
    <row r="2575">
      <c r="A2575" t="inlineStr">
        <is>
          <t>SOCIETE C2004</t>
        </is>
      </c>
      <c r="B2575" t="inlineStr">
        <is>
          <t>C2004</t>
        </is>
      </c>
      <c r="C2575" t="inlineStr">
        <is>
          <t>COMMERCIAL BANKING</t>
        </is>
      </c>
      <c r="D2575" t="inlineStr">
        <is>
          <t>IA</t>
        </is>
      </c>
      <c r="E2575" t="inlineStr">
        <is>
          <t>Stage 2</t>
        </is>
      </c>
      <c r="F2575" t="inlineStr">
        <is>
          <t>N/A</t>
        </is>
      </c>
      <c r="G2575" s="26">
        <v>305252038</v>
      </c>
      <c r="H2575" s="26">
        <v>18315122</v>
      </c>
      <c r="I2575" s="26">
        <v>0</v>
      </c>
      <c r="J2575" s="26">
        <v>29</v>
      </c>
      <c r="K2575" t="inlineStr">
        <is>
          <t>Non</t>
        </is>
      </c>
      <c r="L2575">
        <f>SUBTOTAL(103,A2575)</f>
        <v>1</v>
      </c>
    </row>
    <row r="2576">
      <c r="A2576" t="inlineStr">
        <is>
          <t>SOCIETE C1419</t>
        </is>
      </c>
      <c r="B2576" t="inlineStr">
        <is>
          <t>C1419</t>
        </is>
      </c>
      <c r="C2576" t="inlineStr">
        <is>
          <t>COMMERCIAL BANKING</t>
        </is>
      </c>
      <c r="D2576" t="inlineStr">
        <is>
          <t>III</t>
        </is>
      </c>
      <c r="E2576" t="inlineStr">
        <is>
          <t>Stage 3</t>
        </is>
      </c>
      <c r="F2576" t="inlineStr">
        <is>
          <t>N/A</t>
        </is>
      </c>
      <c r="G2576" s="26">
        <v>921651788</v>
      </c>
      <c r="H2576" s="26">
        <v>506908483</v>
      </c>
      <c r="I2576" s="26">
        <v>0</v>
      </c>
      <c r="J2576" s="26">
        <v>12</v>
      </c>
      <c r="K2576" t="inlineStr">
        <is>
          <t>Oui</t>
        </is>
      </c>
      <c r="L2576">
        <f>SUBTOTAL(103,A2576)</f>
        <v>1</v>
      </c>
    </row>
    <row r="2577">
      <c r="A2577" t="inlineStr">
        <is>
          <t>SOCIETE C1514</t>
        </is>
      </c>
      <c r="B2577" t="inlineStr">
        <is>
          <t>C1514</t>
        </is>
      </c>
      <c r="C2577" t="inlineStr">
        <is>
          <t>CORPORATE BANKING</t>
        </is>
      </c>
      <c r="D2577" t="inlineStr">
        <is>
          <t>III</t>
        </is>
      </c>
      <c r="E2577" t="inlineStr">
        <is>
          <t>Stage 3</t>
        </is>
      </c>
      <c r="F2577" t="inlineStr">
        <is>
          <t>N/A</t>
        </is>
      </c>
      <c r="G2577" s="26">
        <v>18174344</v>
      </c>
      <c r="H2577" s="26">
        <v>9995889</v>
      </c>
      <c r="I2577" s="26">
        <v>0</v>
      </c>
      <c r="J2577" s="26">
        <v>244</v>
      </c>
      <c r="K2577" t="inlineStr">
        <is>
          <t>Oui</t>
        </is>
      </c>
      <c r="L2577">
        <f>SUBTOTAL(103,A2577)</f>
        <v>1</v>
      </c>
    </row>
    <row r="2578">
      <c r="A2578" t="inlineStr">
        <is>
          <t>SOCIETE C2299</t>
        </is>
      </c>
      <c r="B2578" t="inlineStr">
        <is>
          <t>C2299</t>
        </is>
      </c>
      <c r="C2578" t="inlineStr">
        <is>
          <t>CORPORATE BANKING</t>
        </is>
      </c>
      <c r="D2578" t="inlineStr">
        <is>
          <t>I</t>
        </is>
      </c>
      <c r="E2578" t="inlineStr">
        <is>
          <t>Stage 1</t>
        </is>
      </c>
      <c r="F2578" t="inlineStr">
        <is>
          <t>N/A</t>
        </is>
      </c>
      <c r="G2578" s="26">
        <v>1257810937</v>
      </c>
      <c r="H2578" s="26">
        <v>12578109</v>
      </c>
      <c r="I2578" s="26">
        <v>0</v>
      </c>
      <c r="J2578" s="26">
        <v>13</v>
      </c>
      <c r="K2578" t="inlineStr">
        <is>
          <t>Non</t>
        </is>
      </c>
      <c r="L2578">
        <f>SUBTOTAL(103,A2578)</f>
        <v>1</v>
      </c>
    </row>
    <row r="2579">
      <c r="A2579" t="inlineStr">
        <is>
          <t>SOCIETE C53</t>
        </is>
      </c>
      <c r="B2579" t="inlineStr">
        <is>
          <t>C53</t>
        </is>
      </c>
      <c r="C2579" t="inlineStr">
        <is>
          <t>CORPORATE BANKING</t>
        </is>
      </c>
      <c r="D2579" t="inlineStr">
        <is>
          <t>I</t>
        </is>
      </c>
      <c r="E2579" t="inlineStr">
        <is>
          <t>Stage 1</t>
        </is>
      </c>
      <c r="F2579" t="inlineStr">
        <is>
          <t>N/A</t>
        </is>
      </c>
      <c r="G2579" s="26">
        <v>1776327</v>
      </c>
      <c r="H2579" s="26">
        <v>17763</v>
      </c>
      <c r="I2579" s="26">
        <v>11636</v>
      </c>
      <c r="J2579" s="26">
        <v>10</v>
      </c>
      <c r="K2579" t="inlineStr">
        <is>
          <t>Non</t>
        </is>
      </c>
      <c r="L2579">
        <f>SUBTOTAL(103,A2579)</f>
        <v>1</v>
      </c>
    </row>
    <row r="2580">
      <c r="A2580" t="inlineStr">
        <is>
          <t>SOCIETE C294</t>
        </is>
      </c>
      <c r="B2580" t="inlineStr">
        <is>
          <t>C294</t>
        </is>
      </c>
      <c r="C2580" t="inlineStr">
        <is>
          <t>CORPORATE BANKING</t>
        </is>
      </c>
      <c r="D2580" t="inlineStr">
        <is>
          <t>I</t>
        </is>
      </c>
      <c r="E2580" t="inlineStr">
        <is>
          <t>Stage 1</t>
        </is>
      </c>
      <c r="F2580" t="inlineStr">
        <is>
          <t>N/A</t>
        </is>
      </c>
      <c r="G2580" s="26">
        <v>1048800236</v>
      </c>
      <c r="H2580" s="26">
        <v>10488002</v>
      </c>
      <c r="I2580" s="26">
        <v>0</v>
      </c>
      <c r="J2580" s="26">
        <v>129</v>
      </c>
      <c r="K2580" t="inlineStr">
        <is>
          <t>Non</t>
        </is>
      </c>
      <c r="L2580">
        <f>SUBTOTAL(103,A2580)</f>
        <v>1</v>
      </c>
    </row>
    <row r="2581">
      <c r="A2581" t="inlineStr">
        <is>
          <t>SOCIETE C1636</t>
        </is>
      </c>
      <c r="B2581" t="inlineStr">
        <is>
          <t>C1636</t>
        </is>
      </c>
      <c r="C2581" t="inlineStr">
        <is>
          <t>CONSUMER BANKING</t>
        </is>
      </c>
      <c r="D2581" t="inlineStr">
        <is>
          <t>IV</t>
        </is>
      </c>
      <c r="E2581" t="inlineStr">
        <is>
          <t>Stage 3</t>
        </is>
      </c>
      <c r="F2581" t="inlineStr">
        <is>
          <t>N/A</t>
        </is>
      </c>
      <c r="G2581" s="26">
        <v>2214283240</v>
      </c>
      <c r="H2581" s="26">
        <v>1217855782</v>
      </c>
      <c r="I2581" s="26">
        <v>0</v>
      </c>
      <c r="J2581" s="26">
        <v>25</v>
      </c>
      <c r="K2581" t="inlineStr">
        <is>
          <t>Oui</t>
        </is>
      </c>
      <c r="L2581">
        <f>SUBTOTAL(103,A2581)</f>
        <v>1</v>
      </c>
    </row>
    <row r="2582">
      <c r="A2582" t="inlineStr">
        <is>
          <t>SOCIETE C1990</t>
        </is>
      </c>
      <c r="B2582" t="inlineStr">
        <is>
          <t>C1990</t>
        </is>
      </c>
      <c r="C2582" t="inlineStr">
        <is>
          <t>CORPORATE BANKING</t>
        </is>
      </c>
      <c r="D2582" t="inlineStr">
        <is>
          <t>I</t>
        </is>
      </c>
      <c r="E2582" t="inlineStr">
        <is>
          <t>Stage 1</t>
        </is>
      </c>
      <c r="F2582" t="inlineStr">
        <is>
          <t>N/A</t>
        </is>
      </c>
      <c r="G2582" s="26">
        <v>44992531</v>
      </c>
      <c r="H2582" s="26">
        <v>449925</v>
      </c>
      <c r="I2582" s="26">
        <v>0</v>
      </c>
      <c r="J2582" s="26">
        <v>52</v>
      </c>
      <c r="K2582" t="inlineStr">
        <is>
          <t>Non</t>
        </is>
      </c>
      <c r="L2582">
        <f>SUBTOTAL(103,A2582)</f>
        <v>1</v>
      </c>
    </row>
    <row r="2583">
      <c r="A2583" t="inlineStr">
        <is>
          <t>SOCIETE C230</t>
        </is>
      </c>
      <c r="B2583" t="inlineStr">
        <is>
          <t>C230</t>
        </is>
      </c>
      <c r="C2583" t="inlineStr">
        <is>
          <t>CORPORATE BANKING</t>
        </is>
      </c>
      <c r="D2583" t="inlineStr">
        <is>
          <t>IV</t>
        </is>
      </c>
      <c r="E2583" t="inlineStr">
        <is>
          <t>Stage 3</t>
        </is>
      </c>
      <c r="F2583" t="inlineStr">
        <is>
          <t>N/A</t>
        </is>
      </c>
      <c r="G2583" s="26">
        <v>35185902</v>
      </c>
      <c r="H2583" s="26">
        <v>19352246</v>
      </c>
      <c r="I2583" s="26">
        <v>0</v>
      </c>
      <c r="J2583" s="26">
        <v>60</v>
      </c>
      <c r="K2583" t="inlineStr">
        <is>
          <t>Oui</t>
        </is>
      </c>
      <c r="L2583">
        <f>SUBTOTAL(103,A2583)</f>
        <v>1</v>
      </c>
    </row>
    <row r="2584">
      <c r="A2584" t="inlineStr">
        <is>
          <t>SOCIETE C1235</t>
        </is>
      </c>
      <c r="B2584" t="inlineStr">
        <is>
          <t>C1235</t>
        </is>
      </c>
      <c r="C2584" t="inlineStr">
        <is>
          <t>SME</t>
        </is>
      </c>
      <c r="D2584" t="inlineStr">
        <is>
          <t>I</t>
        </is>
      </c>
      <c r="E2584" t="inlineStr">
        <is>
          <t>Stage 1</t>
        </is>
      </c>
      <c r="F2584" t="inlineStr">
        <is>
          <t>N/A</t>
        </is>
      </c>
      <c r="G2584" s="26">
        <v>1734383277</v>
      </c>
      <c r="H2584" s="26">
        <v>17343833</v>
      </c>
      <c r="I2584" s="26">
        <v>0</v>
      </c>
      <c r="J2584" s="26">
        <v>111</v>
      </c>
      <c r="K2584" t="inlineStr">
        <is>
          <t>Non</t>
        </is>
      </c>
      <c r="L2584">
        <f>SUBTOTAL(103,A2584)</f>
        <v>1</v>
      </c>
    </row>
    <row r="2585">
      <c r="A2585" t="inlineStr">
        <is>
          <t>SOCIETE C1804</t>
        </is>
      </c>
      <c r="B2585" t="inlineStr">
        <is>
          <t>C1804</t>
        </is>
      </c>
      <c r="C2585" t="inlineStr">
        <is>
          <t>CONSUMER BANKING</t>
        </is>
      </c>
      <c r="D2585" t="inlineStr">
        <is>
          <t>I</t>
        </is>
      </c>
      <c r="E2585" t="inlineStr">
        <is>
          <t>Stage 1</t>
        </is>
      </c>
      <c r="F2585" t="inlineStr">
        <is>
          <t>N/A</t>
        </is>
      </c>
      <c r="G2585" s="26">
        <v>446580683</v>
      </c>
      <c r="H2585" s="26">
        <v>4465807</v>
      </c>
      <c r="I2585" s="26">
        <v>0</v>
      </c>
      <c r="J2585" s="26">
        <v>28</v>
      </c>
      <c r="K2585" t="inlineStr">
        <is>
          <t>Non</t>
        </is>
      </c>
      <c r="L2585">
        <f>SUBTOTAL(103,A2585)</f>
        <v>1</v>
      </c>
    </row>
    <row r="2586">
      <c r="A2586" t="inlineStr">
        <is>
          <t>SOCIETE C1604</t>
        </is>
      </c>
      <c r="B2586" t="inlineStr">
        <is>
          <t>C1604</t>
        </is>
      </c>
      <c r="C2586" t="inlineStr">
        <is>
          <t>PUBLIC SECTOR</t>
        </is>
      </c>
      <c r="D2586" t="inlineStr">
        <is>
          <t>III</t>
        </is>
      </c>
      <c r="E2586" t="inlineStr">
        <is>
          <t>Stage 3</t>
        </is>
      </c>
      <c r="F2586" t="inlineStr">
        <is>
          <t>N/A</t>
        </is>
      </c>
      <c r="G2586" s="26">
        <v>43403036</v>
      </c>
      <c r="H2586" s="26">
        <v>23871670</v>
      </c>
      <c r="I2586" s="26">
        <v>0</v>
      </c>
      <c r="J2586" s="26">
        <v>81</v>
      </c>
      <c r="K2586" t="inlineStr">
        <is>
          <t>Oui</t>
        </is>
      </c>
      <c r="L2586">
        <f>SUBTOTAL(103,A2586)</f>
        <v>1</v>
      </c>
    </row>
    <row r="2587">
      <c r="A2587" t="inlineStr">
        <is>
          <t>SOCIETE C347</t>
        </is>
      </c>
      <c r="B2587" t="inlineStr">
        <is>
          <t>C347</t>
        </is>
      </c>
      <c r="C2587" t="inlineStr">
        <is>
          <t>CORPORATE BANKING</t>
        </is>
      </c>
      <c r="D2587" t="inlineStr">
        <is>
          <t>IV</t>
        </is>
      </c>
      <c r="E2587" t="inlineStr">
        <is>
          <t>Stage 3</t>
        </is>
      </c>
      <c r="F2587" t="inlineStr">
        <is>
          <t>N/A</t>
        </is>
      </c>
      <c r="G2587" s="26">
        <v>992737554</v>
      </c>
      <c r="H2587" s="26">
        <v>546005655</v>
      </c>
      <c r="I2587" s="26">
        <v>0</v>
      </c>
      <c r="J2587" s="26">
        <v>85</v>
      </c>
      <c r="K2587" t="inlineStr">
        <is>
          <t>Oui</t>
        </is>
      </c>
      <c r="L2587">
        <f>SUBTOTAL(103,A2587)</f>
        <v>1</v>
      </c>
    </row>
    <row r="2588">
      <c r="A2588" t="inlineStr">
        <is>
          <t>SOCIETE C1534</t>
        </is>
      </c>
      <c r="B2588" t="inlineStr">
        <is>
          <t>C1534</t>
        </is>
      </c>
      <c r="C2588" t="inlineStr">
        <is>
          <t>CORPORATE BANKING</t>
        </is>
      </c>
      <c r="D2588" t="inlineStr">
        <is>
          <t>II</t>
        </is>
      </c>
      <c r="E2588" t="inlineStr">
        <is>
          <t>Stage 2</t>
        </is>
      </c>
      <c r="F2588" t="inlineStr">
        <is>
          <t>N/A</t>
        </is>
      </c>
      <c r="G2588" s="26">
        <v>1087645389</v>
      </c>
      <c r="H2588" s="26">
        <v>65258723</v>
      </c>
      <c r="I2588" s="26">
        <v>148724627</v>
      </c>
      <c r="J2588" s="26">
        <v>357</v>
      </c>
      <c r="K2588" t="inlineStr">
        <is>
          <t>Non</t>
        </is>
      </c>
      <c r="L2588">
        <f>SUBTOTAL(103,A2588)</f>
        <v>1</v>
      </c>
    </row>
    <row r="2589">
      <c r="A2589" t="inlineStr">
        <is>
          <t>SOCIETE C48</t>
        </is>
      </c>
      <c r="B2589" t="inlineStr">
        <is>
          <t>C48</t>
        </is>
      </c>
      <c r="C2589" t="inlineStr">
        <is>
          <t>CORPORATE BANKING</t>
        </is>
      </c>
      <c r="D2589" t="inlineStr">
        <is>
          <t>I</t>
        </is>
      </c>
      <c r="E2589" t="inlineStr">
        <is>
          <t>Stage 1</t>
        </is>
      </c>
      <c r="F2589" t="inlineStr">
        <is>
          <t>N/A</t>
        </is>
      </c>
      <c r="G2589" s="26">
        <v>50752293</v>
      </c>
      <c r="H2589" s="26">
        <v>507523</v>
      </c>
      <c r="I2589" s="26">
        <v>0</v>
      </c>
      <c r="J2589" s="26">
        <v>43</v>
      </c>
      <c r="K2589" t="inlineStr">
        <is>
          <t>Non</t>
        </is>
      </c>
      <c r="L2589">
        <f>SUBTOTAL(103,A2589)</f>
        <v>1</v>
      </c>
    </row>
    <row r="2590">
      <c r="A2590" t="inlineStr">
        <is>
          <t>SOCIETE C2221</t>
        </is>
      </c>
      <c r="B2590" t="inlineStr">
        <is>
          <t>C2221</t>
        </is>
      </c>
      <c r="C2590" t="inlineStr">
        <is>
          <t>CONSUMER BANKING</t>
        </is>
      </c>
      <c r="D2590" t="inlineStr">
        <is>
          <t>II</t>
        </is>
      </c>
      <c r="E2590" t="inlineStr">
        <is>
          <t>Stage 2</t>
        </is>
      </c>
      <c r="F2590" t="inlineStr">
        <is>
          <t>N/A</t>
        </is>
      </c>
      <c r="G2590" s="26">
        <v>324035936</v>
      </c>
      <c r="H2590" s="26">
        <v>19442156</v>
      </c>
      <c r="I2590" s="26">
        <v>0</v>
      </c>
      <c r="J2590" s="26">
        <v>168</v>
      </c>
      <c r="K2590" t="inlineStr">
        <is>
          <t>Non</t>
        </is>
      </c>
      <c r="L2590">
        <f>SUBTOTAL(103,A2590)</f>
        <v>1</v>
      </c>
    </row>
    <row r="2591">
      <c r="A2591" t="inlineStr">
        <is>
          <t>SOCIETE C1855</t>
        </is>
      </c>
      <c r="B2591" t="inlineStr">
        <is>
          <t>C1855</t>
        </is>
      </c>
      <c r="C2591" t="inlineStr">
        <is>
          <t>CORPORATE BANKING</t>
        </is>
      </c>
      <c r="D2591" t="inlineStr">
        <is>
          <t>V</t>
        </is>
      </c>
      <c r="E2591" t="inlineStr">
        <is>
          <t>Stage 3</t>
        </is>
      </c>
      <c r="F2591" t="inlineStr">
        <is>
          <t>N/A</t>
        </is>
      </c>
      <c r="G2591" s="26">
        <v>175880851</v>
      </c>
      <c r="H2591" s="26">
        <v>96734468</v>
      </c>
      <c r="I2591" s="26">
        <v>0</v>
      </c>
      <c r="J2591" s="26">
        <v>89</v>
      </c>
      <c r="K2591" t="inlineStr">
        <is>
          <t>Oui</t>
        </is>
      </c>
      <c r="L2591">
        <f>SUBTOTAL(103,A2591)</f>
        <v>1</v>
      </c>
    </row>
    <row r="2592">
      <c r="A2592" t="inlineStr">
        <is>
          <t>SOCIETE C1086</t>
        </is>
      </c>
      <c r="B2592" t="inlineStr">
        <is>
          <t>C1086</t>
        </is>
      </c>
      <c r="C2592" t="inlineStr">
        <is>
          <t>CONSUMER BANKING</t>
        </is>
      </c>
      <c r="D2592" t="inlineStr">
        <is>
          <t>IA</t>
        </is>
      </c>
      <c r="E2592" t="inlineStr">
        <is>
          <t>Stage 2</t>
        </is>
      </c>
      <c r="F2592" t="inlineStr">
        <is>
          <t>N/A</t>
        </is>
      </c>
      <c r="G2592" s="26">
        <v>37836981</v>
      </c>
      <c r="H2592" s="26">
        <v>2270219</v>
      </c>
      <c r="I2592" s="26">
        <v>0</v>
      </c>
      <c r="J2592" s="26">
        <v>27</v>
      </c>
      <c r="K2592" t="inlineStr">
        <is>
          <t>Non</t>
        </is>
      </c>
      <c r="L2592">
        <f>SUBTOTAL(103,A2592)</f>
        <v>1</v>
      </c>
    </row>
    <row r="2593">
      <c r="A2593" t="inlineStr">
        <is>
          <t>SOCIETE C700</t>
        </is>
      </c>
      <c r="B2593" t="inlineStr">
        <is>
          <t>C700</t>
        </is>
      </c>
      <c r="C2593" t="inlineStr">
        <is>
          <t>PUBLIC SECTOR</t>
        </is>
      </c>
      <c r="D2593" t="inlineStr">
        <is>
          <t>I</t>
        </is>
      </c>
      <c r="E2593" t="inlineStr">
        <is>
          <t>Stage 1</t>
        </is>
      </c>
      <c r="F2593" t="inlineStr">
        <is>
          <t>N/A</t>
        </is>
      </c>
      <c r="G2593" s="26">
        <v>1105336359</v>
      </c>
      <c r="H2593" s="26">
        <v>11053364</v>
      </c>
      <c r="I2593" s="26">
        <v>0</v>
      </c>
      <c r="J2593" s="26">
        <v>209</v>
      </c>
      <c r="K2593" t="inlineStr">
        <is>
          <t>Non</t>
        </is>
      </c>
      <c r="L2593">
        <f>SUBTOTAL(103,A2593)</f>
        <v>1</v>
      </c>
    </row>
    <row r="2594">
      <c r="A2594" t="inlineStr">
        <is>
          <t>SOCIETE C1479</t>
        </is>
      </c>
      <c r="B2594" t="inlineStr">
        <is>
          <t>C1479</t>
        </is>
      </c>
      <c r="C2594" t="inlineStr">
        <is>
          <t>CORPORATE BANKING</t>
        </is>
      </c>
      <c r="D2594" t="inlineStr">
        <is>
          <t>I</t>
        </is>
      </c>
      <c r="E2594" t="inlineStr">
        <is>
          <t>Stage 1</t>
        </is>
      </c>
      <c r="F2594" t="inlineStr">
        <is>
          <t>N/A</t>
        </is>
      </c>
      <c r="G2594" s="26">
        <v>2122429592</v>
      </c>
      <c r="H2594" s="26">
        <v>21224296</v>
      </c>
      <c r="I2594" s="26">
        <v>0</v>
      </c>
      <c r="J2594" s="26">
        <v>175</v>
      </c>
      <c r="K2594" t="inlineStr">
        <is>
          <t>Non</t>
        </is>
      </c>
      <c r="L2594">
        <f>SUBTOTAL(103,A2594)</f>
        <v>1</v>
      </c>
    </row>
    <row r="2595">
      <c r="A2595" t="inlineStr">
        <is>
          <t>SOCIETE C1383</t>
        </is>
      </c>
      <c r="B2595" t="inlineStr">
        <is>
          <t>C1383</t>
        </is>
      </c>
      <c r="C2595" t="inlineStr">
        <is>
          <t>CORPORATE BANKING</t>
        </is>
      </c>
      <c r="D2595" t="inlineStr">
        <is>
          <t>IA</t>
        </is>
      </c>
      <c r="E2595" t="inlineStr">
        <is>
          <t>Stage 2</t>
        </is>
      </c>
      <c r="F2595" t="inlineStr">
        <is>
          <t>N/A</t>
        </is>
      </c>
      <c r="G2595" s="26">
        <v>16612494</v>
      </c>
      <c r="H2595" s="26">
        <v>996750</v>
      </c>
      <c r="I2595" s="26">
        <v>0</v>
      </c>
      <c r="J2595" s="26">
        <v>89</v>
      </c>
      <c r="K2595" t="inlineStr">
        <is>
          <t>Non</t>
        </is>
      </c>
      <c r="L2595">
        <f>SUBTOTAL(103,A2595)</f>
        <v>1</v>
      </c>
    </row>
    <row r="2596">
      <c r="A2596" t="inlineStr">
        <is>
          <t>SOCIETE C2334</t>
        </is>
      </c>
      <c r="B2596" t="inlineStr">
        <is>
          <t>C2334</t>
        </is>
      </c>
      <c r="C2596" t="inlineStr">
        <is>
          <t>CORPORATE BANKING</t>
        </is>
      </c>
      <c r="D2596" t="inlineStr">
        <is>
          <t>I</t>
        </is>
      </c>
      <c r="E2596" t="inlineStr">
        <is>
          <t>Stage 1</t>
        </is>
      </c>
      <c r="F2596" t="inlineStr">
        <is>
          <t>N/A</t>
        </is>
      </c>
      <c r="G2596" s="26">
        <v>478745199</v>
      </c>
      <c r="H2596" s="26">
        <v>4787452</v>
      </c>
      <c r="I2596" s="26">
        <v>0</v>
      </c>
      <c r="J2596" s="26">
        <v>45</v>
      </c>
      <c r="K2596" t="inlineStr">
        <is>
          <t>Non</t>
        </is>
      </c>
      <c r="L2596">
        <f>SUBTOTAL(103,A2596)</f>
        <v>1</v>
      </c>
    </row>
    <row r="2597">
      <c r="A2597" t="inlineStr">
        <is>
          <t>SOCIETE C176</t>
        </is>
      </c>
      <c r="B2597" t="inlineStr">
        <is>
          <t>C176</t>
        </is>
      </c>
      <c r="C2597" t="inlineStr">
        <is>
          <t>CORPORATE BANKING</t>
        </is>
      </c>
      <c r="D2597" t="inlineStr">
        <is>
          <t>I</t>
        </is>
      </c>
      <c r="E2597" t="inlineStr">
        <is>
          <t>Stage 1</t>
        </is>
      </c>
      <c r="F2597" t="inlineStr">
        <is>
          <t>N/A</t>
        </is>
      </c>
      <c r="G2597" s="26">
        <v>2194847646</v>
      </c>
      <c r="H2597" s="26">
        <v>21948476</v>
      </c>
      <c r="I2597" s="26">
        <v>109009706</v>
      </c>
      <c r="J2597" s="26">
        <v>270</v>
      </c>
      <c r="K2597" t="inlineStr">
        <is>
          <t>Non</t>
        </is>
      </c>
      <c r="L2597">
        <f>SUBTOTAL(103,A2597)</f>
        <v>1</v>
      </c>
    </row>
    <row r="2598">
      <c r="A2598" t="inlineStr">
        <is>
          <t>SOCIETE C430</t>
        </is>
      </c>
      <c r="B2598" t="inlineStr">
        <is>
          <t>C430</t>
        </is>
      </c>
      <c r="C2598" t="inlineStr">
        <is>
          <t>SME</t>
        </is>
      </c>
      <c r="D2598" t="inlineStr">
        <is>
          <t>II</t>
        </is>
      </c>
      <c r="E2598" t="inlineStr">
        <is>
          <t>Stage 2</t>
        </is>
      </c>
      <c r="F2598" t="inlineStr">
        <is>
          <t>N/A</t>
        </is>
      </c>
      <c r="G2598" s="26">
        <v>1031536</v>
      </c>
      <c r="H2598" s="26">
        <v>61892</v>
      </c>
      <c r="I2598" s="26">
        <v>31086</v>
      </c>
      <c r="J2598" s="26">
        <v>109</v>
      </c>
      <c r="K2598" t="inlineStr">
        <is>
          <t>Non</t>
        </is>
      </c>
      <c r="L2598">
        <f>SUBTOTAL(103,A2598)</f>
        <v>1</v>
      </c>
    </row>
    <row r="2599">
      <c r="A2599" t="inlineStr">
        <is>
          <t>SOCIETE C1985</t>
        </is>
      </c>
      <c r="B2599" t="inlineStr">
        <is>
          <t>C1985</t>
        </is>
      </c>
      <c r="C2599" t="inlineStr">
        <is>
          <t>PUBLIC SECTOR</t>
        </is>
      </c>
      <c r="D2599" t="inlineStr">
        <is>
          <t>III</t>
        </is>
      </c>
      <c r="E2599" t="inlineStr">
        <is>
          <t>Stage 3</t>
        </is>
      </c>
      <c r="F2599" t="inlineStr">
        <is>
          <t>N/A</t>
        </is>
      </c>
      <c r="G2599" s="26">
        <v>405003703</v>
      </c>
      <c r="H2599" s="26">
        <v>222752037</v>
      </c>
      <c r="I2599" s="26">
        <v>0</v>
      </c>
      <c r="J2599" s="26">
        <v>72</v>
      </c>
      <c r="K2599" t="inlineStr">
        <is>
          <t>Oui</t>
        </is>
      </c>
      <c r="L2599">
        <f>SUBTOTAL(103,A2599)</f>
        <v>1</v>
      </c>
    </row>
    <row r="2600">
      <c r="A2600" t="inlineStr">
        <is>
          <t>SOCIETE C331</t>
        </is>
      </c>
      <c r="B2600" t="inlineStr">
        <is>
          <t>C331</t>
        </is>
      </c>
      <c r="C2600" t="inlineStr">
        <is>
          <t>CORPORATE BANKING</t>
        </is>
      </c>
      <c r="D2600" t="inlineStr">
        <is>
          <t>II</t>
        </is>
      </c>
      <c r="E2600" t="inlineStr">
        <is>
          <t>Stage 2</t>
        </is>
      </c>
      <c r="F2600" t="inlineStr">
        <is>
          <t>N/A</t>
        </is>
      </c>
      <c r="G2600" s="26">
        <v>1029761</v>
      </c>
      <c r="H2600" s="26">
        <v>61786</v>
      </c>
      <c r="I2600" s="26">
        <v>177960</v>
      </c>
      <c r="J2600" s="26">
        <v>230</v>
      </c>
      <c r="K2600" t="inlineStr">
        <is>
          <t>Non</t>
        </is>
      </c>
      <c r="L2600">
        <f>SUBTOTAL(103,A2600)</f>
        <v>1</v>
      </c>
    </row>
    <row r="2601">
      <c r="A2601" t="inlineStr">
        <is>
          <t>SOCIETE C2141</t>
        </is>
      </c>
      <c r="B2601" t="inlineStr">
        <is>
          <t>C2141</t>
        </is>
      </c>
      <c r="C2601" t="inlineStr">
        <is>
          <t>CONSUMER BANKING</t>
        </is>
      </c>
      <c r="D2601" t="inlineStr">
        <is>
          <t>III</t>
        </is>
      </c>
      <c r="E2601" t="inlineStr">
        <is>
          <t>Stage 3</t>
        </is>
      </c>
      <c r="F2601" t="inlineStr">
        <is>
          <t>N/A</t>
        </is>
      </c>
      <c r="G2601" s="26">
        <v>46029120</v>
      </c>
      <c r="H2601" s="26">
        <v>25316016</v>
      </c>
      <c r="I2601" s="26">
        <v>0</v>
      </c>
      <c r="J2601" s="26">
        <v>85</v>
      </c>
      <c r="K2601" t="inlineStr">
        <is>
          <t>Oui</t>
        </is>
      </c>
      <c r="L2601">
        <f>SUBTOTAL(103,A2601)</f>
        <v>1</v>
      </c>
    </row>
    <row r="2602">
      <c r="A2602" t="inlineStr">
        <is>
          <t>SOCIETE C2324</t>
        </is>
      </c>
      <c r="B2602" t="inlineStr">
        <is>
          <t>C2324</t>
        </is>
      </c>
      <c r="C2602" t="inlineStr">
        <is>
          <t>CONSUMER BANKING</t>
        </is>
      </c>
      <c r="D2602" t="inlineStr">
        <is>
          <t>I</t>
        </is>
      </c>
      <c r="E2602" t="inlineStr">
        <is>
          <t>Stage 1</t>
        </is>
      </c>
      <c r="F2602" t="inlineStr">
        <is>
          <t>N/A</t>
        </is>
      </c>
      <c r="G2602" s="26">
        <v>893765076</v>
      </c>
      <c r="H2602" s="26">
        <v>8937651</v>
      </c>
      <c r="I2602" s="26">
        <v>0</v>
      </c>
      <c r="J2602" s="26">
        <v>108</v>
      </c>
      <c r="K2602" t="inlineStr">
        <is>
          <t>Non</t>
        </is>
      </c>
      <c r="L2602">
        <f>SUBTOTAL(103,A2602)</f>
        <v>1</v>
      </c>
    </row>
    <row r="2603">
      <c r="A2603" t="inlineStr">
        <is>
          <t>SOCIETE C708</t>
        </is>
      </c>
      <c r="B2603" t="inlineStr">
        <is>
          <t>C708</t>
        </is>
      </c>
      <c r="C2603" t="inlineStr">
        <is>
          <t>CORPORATE BANKING</t>
        </is>
      </c>
      <c r="D2603" t="inlineStr">
        <is>
          <t>V</t>
        </is>
      </c>
      <c r="E2603" t="inlineStr">
        <is>
          <t>Stage 3</t>
        </is>
      </c>
      <c r="F2603" t="inlineStr">
        <is>
          <t>N/A</t>
        </is>
      </c>
      <c r="G2603" s="26">
        <v>112227190</v>
      </c>
      <c r="H2603" s="26">
        <v>61724955</v>
      </c>
      <c r="I2603" s="26">
        <v>0</v>
      </c>
      <c r="J2603" s="26">
        <v>92</v>
      </c>
      <c r="K2603" t="inlineStr">
        <is>
          <t>Oui</t>
        </is>
      </c>
      <c r="L2603">
        <f>SUBTOTAL(103,A2603)</f>
        <v>1</v>
      </c>
    </row>
    <row r="2604">
      <c r="A2604" t="inlineStr">
        <is>
          <t>SOCIETE C1675</t>
        </is>
      </c>
      <c r="B2604" t="inlineStr">
        <is>
          <t>C1675</t>
        </is>
      </c>
      <c r="C2604" t="inlineStr">
        <is>
          <t>CORPORATE BANKING</t>
        </is>
      </c>
      <c r="D2604" t="inlineStr">
        <is>
          <t>I</t>
        </is>
      </c>
      <c r="E2604" t="inlineStr">
        <is>
          <t>Stage 1</t>
        </is>
      </c>
      <c r="F2604" t="inlineStr">
        <is>
          <t>N/A</t>
        </is>
      </c>
      <c r="G2604" s="26">
        <v>3729921</v>
      </c>
      <c r="H2604" s="26">
        <v>37299</v>
      </c>
      <c r="I2604" s="26">
        <v>0</v>
      </c>
      <c r="J2604" s="26">
        <v>191</v>
      </c>
      <c r="K2604" t="inlineStr">
        <is>
          <t>Non</t>
        </is>
      </c>
      <c r="L2604">
        <f>SUBTOTAL(103,A2604)</f>
        <v>1</v>
      </c>
    </row>
    <row r="2605">
      <c r="A2605" t="inlineStr">
        <is>
          <t>SOCIETE C417</t>
        </is>
      </c>
      <c r="B2605" t="inlineStr">
        <is>
          <t>C417</t>
        </is>
      </c>
      <c r="C2605" t="inlineStr">
        <is>
          <t>COMMERCIAL BANKING</t>
        </is>
      </c>
      <c r="D2605" t="inlineStr">
        <is>
          <t>I</t>
        </is>
      </c>
      <c r="E2605" t="inlineStr">
        <is>
          <t>Stage 1</t>
        </is>
      </c>
      <c r="F2605" t="inlineStr">
        <is>
          <t>N/A</t>
        </is>
      </c>
      <c r="G2605" s="26">
        <v>475172293</v>
      </c>
      <c r="H2605" s="26">
        <v>4751723</v>
      </c>
      <c r="I2605" s="26">
        <v>0</v>
      </c>
      <c r="J2605" s="26">
        <v>3</v>
      </c>
      <c r="K2605" t="inlineStr">
        <is>
          <t>Non</t>
        </is>
      </c>
      <c r="L2605">
        <f>SUBTOTAL(103,A2605)</f>
        <v>1</v>
      </c>
    </row>
    <row r="2606">
      <c r="A2606" t="inlineStr">
        <is>
          <t>SOCIETE C177</t>
        </is>
      </c>
      <c r="B2606" t="inlineStr">
        <is>
          <t>C177</t>
        </is>
      </c>
      <c r="C2606" t="inlineStr">
        <is>
          <t>COMMERCIAL BANKING</t>
        </is>
      </c>
      <c r="D2606" t="inlineStr">
        <is>
          <t>I</t>
        </is>
      </c>
      <c r="E2606" t="inlineStr">
        <is>
          <t>Stage 1</t>
        </is>
      </c>
      <c r="F2606" t="inlineStr">
        <is>
          <t>N/A</t>
        </is>
      </c>
      <c r="G2606" s="26">
        <v>975918959</v>
      </c>
      <c r="H2606" s="26">
        <v>9759190</v>
      </c>
      <c r="I2606" s="26">
        <v>46791923</v>
      </c>
      <c r="J2606" s="26">
        <v>52</v>
      </c>
      <c r="K2606" t="inlineStr">
        <is>
          <t>Non</t>
        </is>
      </c>
      <c r="L2606">
        <f>SUBTOTAL(103,A2606)</f>
        <v>1</v>
      </c>
    </row>
    <row r="2607">
      <c r="A2607" t="inlineStr">
        <is>
          <t>SOCIETE C236</t>
        </is>
      </c>
      <c r="B2607" t="inlineStr">
        <is>
          <t>C236</t>
        </is>
      </c>
      <c r="C2607" t="inlineStr">
        <is>
          <t>CORPORATE BANKING</t>
        </is>
      </c>
      <c r="D2607" t="inlineStr">
        <is>
          <t>I</t>
        </is>
      </c>
      <c r="E2607" t="inlineStr">
        <is>
          <t>Stage 1</t>
        </is>
      </c>
      <c r="F2607" t="inlineStr">
        <is>
          <t>N/A</t>
        </is>
      </c>
      <c r="G2607" s="26">
        <v>1347145915</v>
      </c>
      <c r="H2607" s="26">
        <v>13471459</v>
      </c>
      <c r="I2607" s="26">
        <v>0</v>
      </c>
      <c r="J2607" s="26">
        <v>53</v>
      </c>
      <c r="K2607" t="inlineStr">
        <is>
          <t>Non</t>
        </is>
      </c>
      <c r="L2607">
        <f>SUBTOTAL(103,A2607)</f>
        <v>1</v>
      </c>
    </row>
    <row r="2608">
      <c r="A2608" t="inlineStr">
        <is>
          <t>SOCIETE C25</t>
        </is>
      </c>
      <c r="B2608" t="inlineStr">
        <is>
          <t>C25</t>
        </is>
      </c>
      <c r="C2608" t="inlineStr">
        <is>
          <t>COMMERCIAL BANKING</t>
        </is>
      </c>
      <c r="D2608" t="inlineStr">
        <is>
          <t>I</t>
        </is>
      </c>
      <c r="E2608" t="inlineStr">
        <is>
          <t>Stage 1</t>
        </is>
      </c>
      <c r="F2608" t="inlineStr">
        <is>
          <t>N/A</t>
        </is>
      </c>
      <c r="G2608" s="26">
        <v>146842503</v>
      </c>
      <c r="H2608" s="26">
        <v>1468425</v>
      </c>
      <c r="I2608" s="26">
        <v>0</v>
      </c>
      <c r="J2608" s="26">
        <v>118</v>
      </c>
      <c r="K2608" t="inlineStr">
        <is>
          <t>Non</t>
        </is>
      </c>
      <c r="L2608">
        <f>SUBTOTAL(103,A2608)</f>
        <v>1</v>
      </c>
    </row>
    <row r="2609">
      <c r="A2609" t="inlineStr">
        <is>
          <t>SOCIETE C1047</t>
        </is>
      </c>
      <c r="B2609" t="inlineStr">
        <is>
          <t>C1047</t>
        </is>
      </c>
      <c r="C2609" t="inlineStr">
        <is>
          <t>CONSUMER BANKING</t>
        </is>
      </c>
      <c r="D2609" t="inlineStr">
        <is>
          <t>V</t>
        </is>
      </c>
      <c r="E2609" t="inlineStr">
        <is>
          <t>Stage 3</t>
        </is>
      </c>
      <c r="F2609" t="inlineStr">
        <is>
          <t>N/A</t>
        </is>
      </c>
      <c r="G2609" s="26">
        <v>1401112</v>
      </c>
      <c r="H2609" s="26">
        <v>770611</v>
      </c>
      <c r="I2609" s="26">
        <v>0</v>
      </c>
      <c r="J2609" s="26">
        <v>57</v>
      </c>
      <c r="K2609" t="inlineStr">
        <is>
          <t>Oui</t>
        </is>
      </c>
      <c r="L2609">
        <f>SUBTOTAL(103,A2609)</f>
        <v>1</v>
      </c>
    </row>
    <row r="2610">
      <c r="A2610" t="inlineStr">
        <is>
          <t>SOCIETE C332</t>
        </is>
      </c>
      <c r="B2610" t="inlineStr">
        <is>
          <t>C332</t>
        </is>
      </c>
      <c r="C2610" t="inlineStr">
        <is>
          <t>CORPORATE BANKING</t>
        </is>
      </c>
      <c r="D2610" t="inlineStr">
        <is>
          <t>IV</t>
        </is>
      </c>
      <c r="E2610" t="inlineStr">
        <is>
          <t>Stage 3</t>
        </is>
      </c>
      <c r="F2610" t="inlineStr">
        <is>
          <t>N/A</t>
        </is>
      </c>
      <c r="G2610" s="26">
        <v>2398353</v>
      </c>
      <c r="H2610" s="26">
        <v>1319094</v>
      </c>
      <c r="I2610" s="26">
        <v>0</v>
      </c>
      <c r="J2610" s="26">
        <v>61</v>
      </c>
      <c r="K2610" t="inlineStr">
        <is>
          <t>Oui</t>
        </is>
      </c>
      <c r="L2610">
        <f>SUBTOTAL(103,A2610)</f>
        <v>1</v>
      </c>
    </row>
    <row r="2611">
      <c r="A2611" t="inlineStr">
        <is>
          <t>SOCIETE C516</t>
        </is>
      </c>
      <c r="B2611" t="inlineStr">
        <is>
          <t>C516</t>
        </is>
      </c>
      <c r="C2611" t="inlineStr">
        <is>
          <t>INSTITUTIONAL</t>
        </is>
      </c>
      <c r="D2611" t="inlineStr">
        <is>
          <t>I</t>
        </is>
      </c>
      <c r="E2611" t="inlineStr">
        <is>
          <t>Stage 1</t>
        </is>
      </c>
      <c r="F2611" t="inlineStr">
        <is>
          <t>N/A</t>
        </is>
      </c>
      <c r="G2611" s="26">
        <v>859432561</v>
      </c>
      <c r="H2611" s="26">
        <v>8594326</v>
      </c>
      <c r="I2611" s="26">
        <v>0</v>
      </c>
      <c r="J2611" s="26">
        <v>145</v>
      </c>
      <c r="K2611" t="inlineStr">
        <is>
          <t>Non</t>
        </is>
      </c>
      <c r="L2611">
        <f>SUBTOTAL(103,A2611)</f>
        <v>1</v>
      </c>
    </row>
    <row r="2612">
      <c r="A2612" t="inlineStr">
        <is>
          <t>SOCIETE C247</t>
        </is>
      </c>
      <c r="B2612" t="inlineStr">
        <is>
          <t>C247</t>
        </is>
      </c>
      <c r="C2612" t="inlineStr">
        <is>
          <t>CONSUMER BANKING</t>
        </is>
      </c>
      <c r="D2612" t="inlineStr">
        <is>
          <t>I</t>
        </is>
      </c>
      <c r="E2612" t="inlineStr">
        <is>
          <t>Stage 1</t>
        </is>
      </c>
      <c r="F2612" t="inlineStr">
        <is>
          <t>N/A</t>
        </is>
      </c>
      <c r="G2612" s="26">
        <v>119142362</v>
      </c>
      <c r="H2612" s="26">
        <v>1191424</v>
      </c>
      <c r="I2612" s="26">
        <v>0</v>
      </c>
      <c r="J2612" s="26">
        <v>1</v>
      </c>
      <c r="K2612" t="inlineStr">
        <is>
          <t>Non</t>
        </is>
      </c>
      <c r="L2612">
        <f>SUBTOTAL(103,A2612)</f>
        <v>1</v>
      </c>
    </row>
    <row r="2613">
      <c r="A2613" t="inlineStr">
        <is>
          <t>SOCIETE C551</t>
        </is>
      </c>
      <c r="B2613" t="inlineStr">
        <is>
          <t>C551</t>
        </is>
      </c>
      <c r="C2613" t="inlineStr">
        <is>
          <t>CONSUMER BANKING</t>
        </is>
      </c>
      <c r="D2613" t="inlineStr">
        <is>
          <t>IA</t>
        </is>
      </c>
      <c r="E2613" t="inlineStr">
        <is>
          <t>Stage 2</t>
        </is>
      </c>
      <c r="F2613" t="inlineStr">
        <is>
          <t>N/A</t>
        </is>
      </c>
      <c r="G2613" s="26">
        <v>1485031971</v>
      </c>
      <c r="H2613" s="26">
        <v>89101918</v>
      </c>
      <c r="I2613" s="26">
        <v>0</v>
      </c>
      <c r="J2613" s="26">
        <v>51</v>
      </c>
      <c r="K2613" t="inlineStr">
        <is>
          <t>Non</t>
        </is>
      </c>
      <c r="L2613">
        <f>SUBTOTAL(103,A2613)</f>
        <v>1</v>
      </c>
    </row>
    <row r="2614">
      <c r="A2614" t="inlineStr">
        <is>
          <t>SOCIETE C716</t>
        </is>
      </c>
      <c r="B2614" t="inlineStr">
        <is>
          <t>C716</t>
        </is>
      </c>
      <c r="C2614" t="inlineStr">
        <is>
          <t>PUBLIC SECTOR</t>
        </is>
      </c>
      <c r="D2614" t="inlineStr">
        <is>
          <t>IA</t>
        </is>
      </c>
      <c r="E2614" t="inlineStr">
        <is>
          <t>Stage 2</t>
        </is>
      </c>
      <c r="F2614" t="inlineStr">
        <is>
          <t>N/A</t>
        </is>
      </c>
      <c r="G2614" s="26">
        <v>254402381</v>
      </c>
      <c r="H2614" s="26">
        <v>15264143</v>
      </c>
      <c r="I2614" s="26">
        <v>30335276</v>
      </c>
      <c r="J2614" s="26">
        <v>71</v>
      </c>
      <c r="K2614" t="inlineStr">
        <is>
          <t>Non</t>
        </is>
      </c>
      <c r="L2614">
        <f>SUBTOTAL(103,A2614)</f>
        <v>1</v>
      </c>
    </row>
    <row r="2615">
      <c r="A2615" t="inlineStr">
        <is>
          <t>SOCIETE C1800</t>
        </is>
      </c>
      <c r="B2615" t="inlineStr">
        <is>
          <t>C1800</t>
        </is>
      </c>
      <c r="C2615" t="inlineStr">
        <is>
          <t>CORPORATE BANKING</t>
        </is>
      </c>
      <c r="D2615" t="inlineStr">
        <is>
          <t>I</t>
        </is>
      </c>
      <c r="E2615" t="inlineStr">
        <is>
          <t>Stage 1</t>
        </is>
      </c>
      <c r="F2615" t="inlineStr">
        <is>
          <t>N/A</t>
        </is>
      </c>
      <c r="G2615" s="26">
        <v>11911670</v>
      </c>
      <c r="H2615" s="26">
        <v>119117</v>
      </c>
      <c r="I2615" s="26">
        <v>0</v>
      </c>
      <c r="J2615" s="26">
        <v>130</v>
      </c>
      <c r="K2615" t="inlineStr">
        <is>
          <t>Non</t>
        </is>
      </c>
      <c r="L2615">
        <f>SUBTOTAL(103,A2615)</f>
        <v>1</v>
      </c>
    </row>
    <row r="2616">
      <c r="A2616" t="inlineStr">
        <is>
          <t>SOCIETE C2302</t>
        </is>
      </c>
      <c r="B2616" t="inlineStr">
        <is>
          <t>C2302</t>
        </is>
      </c>
      <c r="C2616" t="inlineStr">
        <is>
          <t>CORPORATE BANKING</t>
        </is>
      </c>
      <c r="D2616" t="inlineStr">
        <is>
          <t>I</t>
        </is>
      </c>
      <c r="E2616" t="inlineStr">
        <is>
          <t>Stage 1</t>
        </is>
      </c>
      <c r="F2616" t="inlineStr">
        <is>
          <t>N/A</t>
        </is>
      </c>
      <c r="G2616" s="26">
        <v>40596108</v>
      </c>
      <c r="H2616" s="26">
        <v>405961</v>
      </c>
      <c r="I2616" s="26">
        <v>0</v>
      </c>
      <c r="J2616" s="26">
        <v>0</v>
      </c>
      <c r="K2616" t="inlineStr">
        <is>
          <t>Non</t>
        </is>
      </c>
      <c r="L2616">
        <f>SUBTOTAL(103,A2616)</f>
        <v>1</v>
      </c>
    </row>
    <row r="2617">
      <c r="A2617" t="inlineStr">
        <is>
          <t>SOCIETE C1905</t>
        </is>
      </c>
      <c r="B2617" t="inlineStr">
        <is>
          <t>C1905</t>
        </is>
      </c>
      <c r="C2617" t="inlineStr">
        <is>
          <t>CORPORATE BANKING</t>
        </is>
      </c>
      <c r="D2617" t="inlineStr">
        <is>
          <t>IA</t>
        </is>
      </c>
      <c r="E2617" t="inlineStr">
        <is>
          <t>Stage 2</t>
        </is>
      </c>
      <c r="F2617" t="inlineStr">
        <is>
          <t>N/A</t>
        </is>
      </c>
      <c r="G2617" s="26">
        <v>323657166</v>
      </c>
      <c r="H2617" s="26">
        <v>19419430</v>
      </c>
      <c r="I2617" s="26">
        <v>0</v>
      </c>
      <c r="J2617" s="26">
        <v>3</v>
      </c>
      <c r="K2617" t="inlineStr">
        <is>
          <t>Non</t>
        </is>
      </c>
      <c r="L2617">
        <f>SUBTOTAL(103,A2617)</f>
        <v>1</v>
      </c>
    </row>
    <row r="2618">
      <c r="A2618" t="inlineStr">
        <is>
          <t>SOCIETE C2310</t>
        </is>
      </c>
      <c r="B2618" t="inlineStr">
        <is>
          <t>C2310</t>
        </is>
      </c>
      <c r="C2618" t="inlineStr">
        <is>
          <t>CORPORATE BANKING</t>
        </is>
      </c>
      <c r="D2618" t="inlineStr">
        <is>
          <t>I</t>
        </is>
      </c>
      <c r="E2618" t="inlineStr">
        <is>
          <t>Stage 1</t>
        </is>
      </c>
      <c r="F2618" t="inlineStr">
        <is>
          <t>N/A</t>
        </is>
      </c>
      <c r="G2618" s="26">
        <v>1009630</v>
      </c>
      <c r="H2618" s="26">
        <v>10096</v>
      </c>
      <c r="I2618" s="26">
        <v>186371</v>
      </c>
      <c r="J2618" s="26">
        <v>39</v>
      </c>
      <c r="K2618" t="inlineStr">
        <is>
          <t>Non</t>
        </is>
      </c>
      <c r="L2618">
        <f>SUBTOTAL(103,A2618)</f>
        <v>1</v>
      </c>
    </row>
    <row r="2619">
      <c r="A2619" t="inlineStr">
        <is>
          <t>SOCIETE C2036</t>
        </is>
      </c>
      <c r="B2619" t="inlineStr">
        <is>
          <t>C2036</t>
        </is>
      </c>
      <c r="C2619" t="inlineStr">
        <is>
          <t>PUBLIC SECTOR</t>
        </is>
      </c>
      <c r="D2619" t="inlineStr">
        <is>
          <t>I</t>
        </is>
      </c>
      <c r="E2619" t="inlineStr">
        <is>
          <t>Stage 1</t>
        </is>
      </c>
      <c r="F2619" t="inlineStr">
        <is>
          <t>N/A</t>
        </is>
      </c>
      <c r="G2619" s="26">
        <v>2242542</v>
      </c>
      <c r="H2619" s="26">
        <v>22425</v>
      </c>
      <c r="I2619" s="26">
        <v>345045</v>
      </c>
      <c r="J2619" s="26">
        <v>357</v>
      </c>
      <c r="K2619" t="inlineStr">
        <is>
          <t>Non</t>
        </is>
      </c>
      <c r="L2619">
        <f>SUBTOTAL(103,A2619)</f>
        <v>1</v>
      </c>
    </row>
    <row r="2620">
      <c r="A2620" t="inlineStr">
        <is>
          <t>SOCIETE C220</t>
        </is>
      </c>
      <c r="B2620" t="inlineStr">
        <is>
          <t>C220</t>
        </is>
      </c>
      <c r="C2620" t="inlineStr">
        <is>
          <t>CORPORATE BANKING</t>
        </is>
      </c>
      <c r="D2620" t="inlineStr">
        <is>
          <t>I</t>
        </is>
      </c>
      <c r="E2620" t="inlineStr">
        <is>
          <t>Stage 1</t>
        </is>
      </c>
      <c r="F2620" t="inlineStr">
        <is>
          <t>N/A</t>
        </is>
      </c>
      <c r="G2620" s="26">
        <v>304819751</v>
      </c>
      <c r="H2620" s="26">
        <v>3048198</v>
      </c>
      <c r="I2620" s="26">
        <v>0</v>
      </c>
      <c r="J2620" s="26">
        <v>118</v>
      </c>
      <c r="K2620" t="inlineStr">
        <is>
          <t>Non</t>
        </is>
      </c>
      <c r="L2620">
        <f>SUBTOTAL(103,A2620)</f>
        <v>1</v>
      </c>
    </row>
    <row r="2621">
      <c r="A2621" t="inlineStr">
        <is>
          <t>SOCIETE C1502</t>
        </is>
      </c>
      <c r="B2621" t="inlineStr">
        <is>
          <t>C1502</t>
        </is>
      </c>
      <c r="C2621" t="inlineStr">
        <is>
          <t>CORPORATE BANKING</t>
        </is>
      </c>
      <c r="D2621" t="inlineStr">
        <is>
          <t>IV</t>
        </is>
      </c>
      <c r="E2621" t="inlineStr">
        <is>
          <t>Stage 3</t>
        </is>
      </c>
      <c r="F2621" t="inlineStr">
        <is>
          <t>N/A</t>
        </is>
      </c>
      <c r="G2621" s="26">
        <v>1878278482</v>
      </c>
      <c r="H2621" s="26">
        <v>1033053165</v>
      </c>
      <c r="I2621" s="26">
        <v>0</v>
      </c>
      <c r="J2621" s="26">
        <v>58</v>
      </c>
      <c r="K2621" t="inlineStr">
        <is>
          <t>Oui</t>
        </is>
      </c>
      <c r="L2621">
        <f>SUBTOTAL(103,A2621)</f>
        <v>1</v>
      </c>
    </row>
    <row r="2622">
      <c r="A2622" t="inlineStr">
        <is>
          <t>SOCIETE C1953</t>
        </is>
      </c>
      <c r="B2622" t="inlineStr">
        <is>
          <t>C1953</t>
        </is>
      </c>
      <c r="C2622" t="inlineStr">
        <is>
          <t>CONSUMER BANKING</t>
        </is>
      </c>
      <c r="D2622" t="inlineStr">
        <is>
          <t>I</t>
        </is>
      </c>
      <c r="E2622" t="inlineStr">
        <is>
          <t>Stage 1</t>
        </is>
      </c>
      <c r="F2622" t="inlineStr">
        <is>
          <t>N/A</t>
        </is>
      </c>
      <c r="G2622" s="26">
        <v>441353787</v>
      </c>
      <c r="H2622" s="26">
        <v>4413538</v>
      </c>
      <c r="I2622" s="26">
        <v>50906713</v>
      </c>
      <c r="J2622" s="26">
        <v>261</v>
      </c>
      <c r="K2622" t="inlineStr">
        <is>
          <t>Non</t>
        </is>
      </c>
      <c r="L2622">
        <f>SUBTOTAL(103,A2622)</f>
        <v>1</v>
      </c>
    </row>
    <row r="2623">
      <c r="A2623" t="inlineStr">
        <is>
          <t>SOCIETE C1241</t>
        </is>
      </c>
      <c r="B2623" t="inlineStr">
        <is>
          <t>C1241</t>
        </is>
      </c>
      <c r="C2623" t="inlineStr">
        <is>
          <t>CORPORATE BANKING</t>
        </is>
      </c>
      <c r="D2623" t="inlineStr">
        <is>
          <t>III</t>
        </is>
      </c>
      <c r="E2623" t="inlineStr">
        <is>
          <t>Stage 3</t>
        </is>
      </c>
      <c r="F2623" t="inlineStr">
        <is>
          <t>N/A</t>
        </is>
      </c>
      <c r="G2623" s="26">
        <v>2310900043</v>
      </c>
      <c r="H2623" s="26">
        <v>1270995024</v>
      </c>
      <c r="I2623" s="26">
        <v>42886383</v>
      </c>
      <c r="J2623" s="26">
        <v>94</v>
      </c>
      <c r="K2623" t="inlineStr">
        <is>
          <t>Oui</t>
        </is>
      </c>
      <c r="L2623">
        <f>SUBTOTAL(103,A2623)</f>
        <v>1</v>
      </c>
    </row>
    <row r="2624">
      <c r="A2624" t="inlineStr">
        <is>
          <t>SOCIETE C1124</t>
        </is>
      </c>
      <c r="B2624" t="inlineStr">
        <is>
          <t>C1124</t>
        </is>
      </c>
      <c r="C2624" t="inlineStr">
        <is>
          <t>CONSUMER BANKING</t>
        </is>
      </c>
      <c r="D2624" t="inlineStr">
        <is>
          <t>I</t>
        </is>
      </c>
      <c r="E2624" t="inlineStr">
        <is>
          <t>Stage 1</t>
        </is>
      </c>
      <c r="F2624" t="inlineStr">
        <is>
          <t>N/A</t>
        </is>
      </c>
      <c r="G2624" s="26">
        <v>841937122</v>
      </c>
      <c r="H2624" s="26">
        <v>8419371</v>
      </c>
      <c r="I2624" s="26">
        <v>29283982</v>
      </c>
      <c r="J2624" s="26">
        <v>159</v>
      </c>
      <c r="K2624" t="inlineStr">
        <is>
          <t>Non</t>
        </is>
      </c>
      <c r="L2624">
        <f>SUBTOTAL(103,A2624)</f>
        <v>1</v>
      </c>
    </row>
    <row r="2625">
      <c r="A2625" t="inlineStr">
        <is>
          <t>SOCIETE C946</t>
        </is>
      </c>
      <c r="B2625" t="inlineStr">
        <is>
          <t>C946</t>
        </is>
      </c>
      <c r="C2625" t="inlineStr">
        <is>
          <t>CORPORATE BANKING</t>
        </is>
      </c>
      <c r="D2625" t="inlineStr">
        <is>
          <t>III</t>
        </is>
      </c>
      <c r="E2625" t="inlineStr">
        <is>
          <t>Stage 3</t>
        </is>
      </c>
      <c r="F2625" t="inlineStr">
        <is>
          <t>N/A</t>
        </is>
      </c>
      <c r="G2625" s="26">
        <v>83663281</v>
      </c>
      <c r="H2625" s="26">
        <v>46014804</v>
      </c>
      <c r="I2625" s="26">
        <v>0</v>
      </c>
      <c r="J2625" s="26">
        <v>26</v>
      </c>
      <c r="K2625" t="inlineStr">
        <is>
          <t>Oui</t>
        </is>
      </c>
      <c r="L2625">
        <f>SUBTOTAL(103,A2625)</f>
        <v>1</v>
      </c>
    </row>
    <row r="2626">
      <c r="A2626" t="inlineStr">
        <is>
          <t>SOCIETE C1952</t>
        </is>
      </c>
      <c r="B2626" t="inlineStr">
        <is>
          <t>C1952</t>
        </is>
      </c>
      <c r="C2626" t="inlineStr">
        <is>
          <t>COMMERCIAL BANKING</t>
        </is>
      </c>
      <c r="D2626" t="inlineStr">
        <is>
          <t>IA</t>
        </is>
      </c>
      <c r="E2626" t="inlineStr">
        <is>
          <t>Stage 2</t>
        </is>
      </c>
      <c r="F2626" t="inlineStr">
        <is>
          <t>N/A</t>
        </is>
      </c>
      <c r="G2626" s="26">
        <v>472299970</v>
      </c>
      <c r="H2626" s="26">
        <v>28337998</v>
      </c>
      <c r="I2626" s="26">
        <v>0</v>
      </c>
      <c r="J2626" s="26">
        <v>267</v>
      </c>
      <c r="K2626" t="inlineStr">
        <is>
          <t>Non</t>
        </is>
      </c>
      <c r="L2626">
        <f>SUBTOTAL(103,A2626)</f>
        <v>1</v>
      </c>
    </row>
    <row r="2627">
      <c r="A2627" t="inlineStr">
        <is>
          <t>SOCIETE C214</t>
        </is>
      </c>
      <c r="B2627" t="inlineStr">
        <is>
          <t>C214</t>
        </is>
      </c>
      <c r="C2627" t="inlineStr">
        <is>
          <t>PUBLIC SECTOR</t>
        </is>
      </c>
      <c r="D2627" t="inlineStr">
        <is>
          <t>I</t>
        </is>
      </c>
      <c r="E2627" t="inlineStr">
        <is>
          <t>Stage 1</t>
        </is>
      </c>
      <c r="F2627" t="inlineStr">
        <is>
          <t>N/A</t>
        </is>
      </c>
      <c r="G2627" s="26">
        <v>1733860179</v>
      </c>
      <c r="H2627" s="26">
        <v>17338602</v>
      </c>
      <c r="I2627" s="26">
        <v>0</v>
      </c>
      <c r="J2627" s="26">
        <v>50</v>
      </c>
      <c r="K2627" t="inlineStr">
        <is>
          <t>Non</t>
        </is>
      </c>
      <c r="L2627">
        <f>SUBTOTAL(103,A2627)</f>
        <v>1</v>
      </c>
    </row>
    <row r="2628">
      <c r="A2628" t="inlineStr">
        <is>
          <t>SOCIETE C2235</t>
        </is>
      </c>
      <c r="B2628" t="inlineStr">
        <is>
          <t>C2235</t>
        </is>
      </c>
      <c r="C2628" t="inlineStr">
        <is>
          <t>CONSUMER BANKING</t>
        </is>
      </c>
      <c r="D2628" t="inlineStr">
        <is>
          <t>III</t>
        </is>
      </c>
      <c r="E2628" t="inlineStr">
        <is>
          <t>Stage 3</t>
        </is>
      </c>
      <c r="F2628" t="inlineStr">
        <is>
          <t>N/A</t>
        </is>
      </c>
      <c r="G2628" s="26">
        <v>2167071170</v>
      </c>
      <c r="H2628" s="26">
        <v>1191889143</v>
      </c>
      <c r="I2628" s="26">
        <v>0</v>
      </c>
      <c r="J2628" s="26">
        <v>27</v>
      </c>
      <c r="K2628" t="inlineStr">
        <is>
          <t>Oui</t>
        </is>
      </c>
      <c r="L2628">
        <f>SUBTOTAL(103,A2628)</f>
        <v>1</v>
      </c>
    </row>
    <row r="2629">
      <c r="A2629" t="inlineStr">
        <is>
          <t>SOCIETE C1417</t>
        </is>
      </c>
      <c r="B2629" t="inlineStr">
        <is>
          <t>C1417</t>
        </is>
      </c>
      <c r="C2629" t="inlineStr">
        <is>
          <t>CONSUMER BANKING</t>
        </is>
      </c>
      <c r="D2629" t="inlineStr">
        <is>
          <t>V</t>
        </is>
      </c>
      <c r="E2629" t="inlineStr">
        <is>
          <t>Stage 3</t>
        </is>
      </c>
      <c r="F2629" t="inlineStr">
        <is>
          <t>N/A</t>
        </is>
      </c>
      <c r="G2629" s="26">
        <v>1418363</v>
      </c>
      <c r="H2629" s="26">
        <v>780100</v>
      </c>
      <c r="I2629" s="26">
        <v>91079</v>
      </c>
      <c r="J2629" s="26">
        <v>45</v>
      </c>
      <c r="K2629" t="inlineStr">
        <is>
          <t>Oui</t>
        </is>
      </c>
      <c r="L2629">
        <f>SUBTOTAL(103,A2629)</f>
        <v>1</v>
      </c>
    </row>
    <row r="2630">
      <c r="A2630" t="inlineStr">
        <is>
          <t>SOCIETE C1765</t>
        </is>
      </c>
      <c r="B2630" t="inlineStr">
        <is>
          <t>C1765</t>
        </is>
      </c>
      <c r="C2630" t="inlineStr">
        <is>
          <t>CONSUMER BANKING</t>
        </is>
      </c>
      <c r="D2630" t="inlineStr">
        <is>
          <t>I</t>
        </is>
      </c>
      <c r="E2630" t="inlineStr">
        <is>
          <t>Stage 1</t>
        </is>
      </c>
      <c r="F2630" t="inlineStr">
        <is>
          <t>N/A</t>
        </is>
      </c>
      <c r="G2630" s="26">
        <v>66593795</v>
      </c>
      <c r="H2630" s="26">
        <v>665938</v>
      </c>
      <c r="I2630" s="26">
        <v>0</v>
      </c>
      <c r="J2630" s="26">
        <v>94</v>
      </c>
      <c r="K2630" t="inlineStr">
        <is>
          <t>Non</t>
        </is>
      </c>
      <c r="L2630">
        <f>SUBTOTAL(103,A2630)</f>
        <v>1</v>
      </c>
    </row>
    <row r="2631">
      <c r="A2631" t="inlineStr">
        <is>
          <t>SOCIETE C493</t>
        </is>
      </c>
      <c r="B2631" t="inlineStr">
        <is>
          <t>C493</t>
        </is>
      </c>
      <c r="C2631" t="inlineStr">
        <is>
          <t>CONSUMER BANKING</t>
        </is>
      </c>
      <c r="D2631" t="inlineStr">
        <is>
          <t>I</t>
        </is>
      </c>
      <c r="E2631" t="inlineStr">
        <is>
          <t>Stage 1</t>
        </is>
      </c>
      <c r="F2631" t="inlineStr">
        <is>
          <t>N/A</t>
        </is>
      </c>
      <c r="G2631" s="26">
        <v>500181248</v>
      </c>
      <c r="H2631" s="26">
        <v>5001812</v>
      </c>
      <c r="I2631" s="26">
        <v>0</v>
      </c>
      <c r="J2631" s="26">
        <v>129</v>
      </c>
      <c r="K2631" t="inlineStr">
        <is>
          <t>Non</t>
        </is>
      </c>
      <c r="L2631">
        <f>SUBTOTAL(103,A2631)</f>
        <v>1</v>
      </c>
    </row>
    <row r="2632">
      <c r="A2632" t="inlineStr">
        <is>
          <t>SOCIETE C1040</t>
        </is>
      </c>
      <c r="B2632" t="inlineStr">
        <is>
          <t>C1040</t>
        </is>
      </c>
      <c r="C2632" t="inlineStr">
        <is>
          <t>CONSUMER BANKING</t>
        </is>
      </c>
      <c r="D2632" t="inlineStr">
        <is>
          <t>I</t>
        </is>
      </c>
      <c r="E2632" t="inlineStr">
        <is>
          <t>Stage 1</t>
        </is>
      </c>
      <c r="F2632" t="inlineStr">
        <is>
          <t>N/A</t>
        </is>
      </c>
      <c r="G2632" s="26">
        <v>408053366</v>
      </c>
      <c r="H2632" s="26">
        <v>4080534</v>
      </c>
      <c r="I2632" s="26">
        <v>27191895</v>
      </c>
      <c r="J2632" s="26">
        <v>274</v>
      </c>
      <c r="K2632" t="inlineStr">
        <is>
          <t>Non</t>
        </is>
      </c>
      <c r="L2632">
        <f>SUBTOTAL(103,A2632)</f>
        <v>1</v>
      </c>
    </row>
    <row r="2633">
      <c r="A2633" t="inlineStr">
        <is>
          <t>SOCIETE C1222</t>
        </is>
      </c>
      <c r="B2633" t="inlineStr">
        <is>
          <t>C1222</t>
        </is>
      </c>
      <c r="C2633" t="inlineStr">
        <is>
          <t>CORPORATE BANKING</t>
        </is>
      </c>
      <c r="D2633" t="inlineStr">
        <is>
          <t>IA</t>
        </is>
      </c>
      <c r="E2633" t="inlineStr">
        <is>
          <t>Stage 2</t>
        </is>
      </c>
      <c r="F2633" t="inlineStr">
        <is>
          <t>N/A</t>
        </is>
      </c>
      <c r="G2633" s="26">
        <v>14292561</v>
      </c>
      <c r="H2633" s="26">
        <v>857554</v>
      </c>
      <c r="I2633" s="26">
        <v>0</v>
      </c>
      <c r="J2633" s="26">
        <v>94</v>
      </c>
      <c r="K2633" t="inlineStr">
        <is>
          <t>Non</t>
        </is>
      </c>
      <c r="L2633">
        <f>SUBTOTAL(103,A2633)</f>
        <v>1</v>
      </c>
    </row>
    <row r="2634">
      <c r="A2634" t="inlineStr">
        <is>
          <t>SOCIETE C2377</t>
        </is>
      </c>
      <c r="B2634" t="inlineStr">
        <is>
          <t>C2377</t>
        </is>
      </c>
      <c r="C2634" t="inlineStr">
        <is>
          <t>CONSUMER BANKING</t>
        </is>
      </c>
      <c r="D2634" t="inlineStr">
        <is>
          <t>I</t>
        </is>
      </c>
      <c r="E2634" t="inlineStr">
        <is>
          <t>Stage 1</t>
        </is>
      </c>
      <c r="F2634" t="inlineStr">
        <is>
          <t>N/A</t>
        </is>
      </c>
      <c r="G2634" s="26">
        <v>15019967</v>
      </c>
      <c r="H2634" s="26">
        <v>150200</v>
      </c>
      <c r="I2634" s="26">
        <v>1132781</v>
      </c>
      <c r="J2634" s="26">
        <v>28</v>
      </c>
      <c r="K2634" t="inlineStr">
        <is>
          <t>Non</t>
        </is>
      </c>
      <c r="L2634">
        <f>SUBTOTAL(103,A2634)</f>
        <v>1</v>
      </c>
    </row>
    <row r="2635">
      <c r="A2635" t="inlineStr">
        <is>
          <t>SOCIETE C1548</t>
        </is>
      </c>
      <c r="B2635" t="inlineStr">
        <is>
          <t>C1548</t>
        </is>
      </c>
      <c r="C2635" t="inlineStr">
        <is>
          <t>CORPORATE BANKING</t>
        </is>
      </c>
      <c r="D2635" t="inlineStr">
        <is>
          <t>II</t>
        </is>
      </c>
      <c r="E2635" t="inlineStr">
        <is>
          <t>Stage 2</t>
        </is>
      </c>
      <c r="F2635" t="inlineStr">
        <is>
          <t>N/A</t>
        </is>
      </c>
      <c r="G2635" s="26">
        <v>894168396</v>
      </c>
      <c r="H2635" s="26">
        <v>53650104</v>
      </c>
      <c r="I2635" s="26">
        <v>0</v>
      </c>
      <c r="J2635" s="26">
        <v>84</v>
      </c>
      <c r="K2635" t="inlineStr">
        <is>
          <t>Non</t>
        </is>
      </c>
      <c r="L2635">
        <f>SUBTOTAL(103,A2635)</f>
        <v>1</v>
      </c>
    </row>
    <row r="2636">
      <c r="A2636" t="inlineStr">
        <is>
          <t>SOCIETE C2024</t>
        </is>
      </c>
      <c r="B2636" t="inlineStr">
        <is>
          <t>C2024</t>
        </is>
      </c>
      <c r="C2636" t="inlineStr">
        <is>
          <t>CORPORATE BANKING</t>
        </is>
      </c>
      <c r="D2636" t="inlineStr">
        <is>
          <t>I</t>
        </is>
      </c>
      <c r="E2636" t="inlineStr">
        <is>
          <t>Stage 1</t>
        </is>
      </c>
      <c r="F2636" t="inlineStr">
        <is>
          <t>N/A</t>
        </is>
      </c>
      <c r="G2636" s="26">
        <v>566523308</v>
      </c>
      <c r="H2636" s="26">
        <v>5665233</v>
      </c>
      <c r="I2636" s="26">
        <v>0</v>
      </c>
      <c r="J2636" s="26">
        <v>23</v>
      </c>
      <c r="K2636" t="inlineStr">
        <is>
          <t>Non</t>
        </is>
      </c>
      <c r="L2636">
        <f>SUBTOTAL(103,A2636)</f>
        <v>1</v>
      </c>
    </row>
    <row r="2637">
      <c r="A2637" t="inlineStr">
        <is>
          <t>SOCIETE C2430</t>
        </is>
      </c>
      <c r="B2637" t="inlineStr">
        <is>
          <t>C2430</t>
        </is>
      </c>
      <c r="C2637" t="inlineStr">
        <is>
          <t>CORPORATE BANKING</t>
        </is>
      </c>
      <c r="D2637" t="inlineStr">
        <is>
          <t>III</t>
        </is>
      </c>
      <c r="E2637" t="inlineStr">
        <is>
          <t>Stage 3</t>
        </is>
      </c>
      <c r="F2637" t="inlineStr">
        <is>
          <t>N/A</t>
        </is>
      </c>
      <c r="G2637" s="26">
        <v>44518669</v>
      </c>
      <c r="H2637" s="26">
        <v>24485268</v>
      </c>
      <c r="I2637" s="26">
        <v>0</v>
      </c>
      <c r="J2637" s="26">
        <v>189</v>
      </c>
      <c r="K2637" t="inlineStr">
        <is>
          <t>Oui</t>
        </is>
      </c>
      <c r="L2637">
        <f>SUBTOTAL(103,A2637)</f>
        <v>1</v>
      </c>
    </row>
    <row r="2638">
      <c r="A2638" t="inlineStr">
        <is>
          <t>SOCIETE C1407</t>
        </is>
      </c>
      <c r="B2638" t="inlineStr">
        <is>
          <t>C1407</t>
        </is>
      </c>
      <c r="C2638" t="inlineStr">
        <is>
          <t>CORPORATE BANKING</t>
        </is>
      </c>
      <c r="D2638" t="inlineStr">
        <is>
          <t>I</t>
        </is>
      </c>
      <c r="E2638" t="inlineStr">
        <is>
          <t>Stage 1</t>
        </is>
      </c>
      <c r="F2638" t="inlineStr">
        <is>
          <t>N/A</t>
        </is>
      </c>
      <c r="G2638" s="26">
        <v>133474862</v>
      </c>
      <c r="H2638" s="26">
        <v>1334749</v>
      </c>
      <c r="I2638" s="26">
        <v>22335757</v>
      </c>
      <c r="J2638" s="26">
        <v>11</v>
      </c>
      <c r="K2638" t="inlineStr">
        <is>
          <t>Non</t>
        </is>
      </c>
      <c r="L2638">
        <f>SUBTOTAL(103,A2638)</f>
        <v>1</v>
      </c>
    </row>
    <row r="2639">
      <c r="A2639" t="inlineStr">
        <is>
          <t>SOCIETE C932</t>
        </is>
      </c>
      <c r="B2639" t="inlineStr">
        <is>
          <t>C932</t>
        </is>
      </c>
      <c r="C2639" t="inlineStr">
        <is>
          <t>COMMERCIAL BANKING</t>
        </is>
      </c>
      <c r="D2639" t="inlineStr">
        <is>
          <t>III</t>
        </is>
      </c>
      <c r="E2639" t="inlineStr">
        <is>
          <t>Stage 3</t>
        </is>
      </c>
      <c r="F2639" t="inlineStr">
        <is>
          <t>N/A</t>
        </is>
      </c>
      <c r="G2639" s="26">
        <v>656581046</v>
      </c>
      <c r="H2639" s="26">
        <v>361119575</v>
      </c>
      <c r="I2639" s="26">
        <v>126122914</v>
      </c>
      <c r="J2639" s="26">
        <v>85</v>
      </c>
      <c r="K2639" t="inlineStr">
        <is>
          <t>Oui</t>
        </is>
      </c>
      <c r="L2639">
        <f>SUBTOTAL(103,A2639)</f>
        <v>1</v>
      </c>
    </row>
    <row r="2640">
      <c r="A2640" t="inlineStr">
        <is>
          <t>SOCIETE C331</t>
        </is>
      </c>
      <c r="B2640" t="inlineStr">
        <is>
          <t>C331</t>
        </is>
      </c>
      <c r="C2640" t="inlineStr">
        <is>
          <t>CORPORATE BANKING</t>
        </is>
      </c>
      <c r="D2640" t="inlineStr">
        <is>
          <t>V</t>
        </is>
      </c>
      <c r="E2640" t="inlineStr">
        <is>
          <t>Stage 3</t>
        </is>
      </c>
      <c r="F2640" t="inlineStr">
        <is>
          <t>N/A</t>
        </is>
      </c>
      <c r="G2640" s="26">
        <v>868047492</v>
      </c>
      <c r="H2640" s="26">
        <v>477426121</v>
      </c>
      <c r="I2640" s="26">
        <v>0</v>
      </c>
      <c r="J2640" s="26">
        <v>25</v>
      </c>
      <c r="K2640" t="inlineStr">
        <is>
          <t>Oui</t>
        </is>
      </c>
      <c r="L2640">
        <f>SUBTOTAL(103,A2640)</f>
        <v>1</v>
      </c>
    </row>
    <row r="2641">
      <c r="A2641" t="inlineStr">
        <is>
          <t>SOCIETE C2362</t>
        </is>
      </c>
      <c r="B2641" t="inlineStr">
        <is>
          <t>C2362</t>
        </is>
      </c>
      <c r="C2641" t="inlineStr">
        <is>
          <t>CORPORATE BANKING</t>
        </is>
      </c>
      <c r="D2641" t="inlineStr">
        <is>
          <t>I</t>
        </is>
      </c>
      <c r="E2641" t="inlineStr">
        <is>
          <t>Stage 1</t>
        </is>
      </c>
      <c r="F2641" t="inlineStr">
        <is>
          <t>N/A</t>
        </is>
      </c>
      <c r="G2641" s="26">
        <v>2741617209</v>
      </c>
      <c r="H2641" s="26">
        <v>27416172</v>
      </c>
      <c r="I2641" s="26">
        <v>130105282</v>
      </c>
      <c r="J2641" s="26">
        <v>176</v>
      </c>
      <c r="K2641" t="inlineStr">
        <is>
          <t>Non</t>
        </is>
      </c>
      <c r="L2641">
        <f>SUBTOTAL(103,A2641)</f>
        <v>1</v>
      </c>
    </row>
    <row r="2642">
      <c r="A2642" t="inlineStr">
        <is>
          <t>SOCIETE C105</t>
        </is>
      </c>
      <c r="B2642" t="inlineStr">
        <is>
          <t>C105</t>
        </is>
      </c>
      <c r="C2642" t="inlineStr">
        <is>
          <t>CORPORATE BANKING</t>
        </is>
      </c>
      <c r="D2642" t="inlineStr">
        <is>
          <t>II</t>
        </is>
      </c>
      <c r="E2642" t="inlineStr">
        <is>
          <t>Stage 2</t>
        </is>
      </c>
      <c r="F2642" t="inlineStr">
        <is>
          <t>N/A</t>
        </is>
      </c>
      <c r="G2642" s="26">
        <v>858696913</v>
      </c>
      <c r="H2642" s="26">
        <v>51521815</v>
      </c>
      <c r="I2642" s="26">
        <v>0</v>
      </c>
      <c r="J2642" s="26">
        <v>0</v>
      </c>
      <c r="K2642" t="inlineStr">
        <is>
          <t>Non</t>
        </is>
      </c>
      <c r="L2642">
        <f>SUBTOTAL(103,A2642)</f>
        <v>1</v>
      </c>
    </row>
    <row r="2643">
      <c r="A2643" t="inlineStr">
        <is>
          <t>SOCIETE C2109</t>
        </is>
      </c>
      <c r="B2643" t="inlineStr">
        <is>
          <t>C2109</t>
        </is>
      </c>
      <c r="C2643" t="inlineStr">
        <is>
          <t>PUBLIC SECTOR</t>
        </is>
      </c>
      <c r="D2643" t="inlineStr">
        <is>
          <t>IV</t>
        </is>
      </c>
      <c r="E2643" t="inlineStr">
        <is>
          <t>Stage 3</t>
        </is>
      </c>
      <c r="F2643" t="inlineStr">
        <is>
          <t>N/A</t>
        </is>
      </c>
      <c r="G2643" s="26">
        <v>19032008</v>
      </c>
      <c r="H2643" s="26">
        <v>10467604</v>
      </c>
      <c r="I2643" s="26">
        <v>0</v>
      </c>
      <c r="J2643" s="26">
        <v>137</v>
      </c>
      <c r="K2643" t="inlineStr">
        <is>
          <t>Oui</t>
        </is>
      </c>
      <c r="L2643">
        <f>SUBTOTAL(103,A2643)</f>
        <v>1</v>
      </c>
    </row>
    <row r="2644">
      <c r="A2644" t="inlineStr">
        <is>
          <t>SOCIETE C1039</t>
        </is>
      </c>
      <c r="B2644" t="inlineStr">
        <is>
          <t>C1039</t>
        </is>
      </c>
      <c r="C2644" t="inlineStr">
        <is>
          <t>CORPORATE BANKING</t>
        </is>
      </c>
      <c r="D2644" t="inlineStr">
        <is>
          <t>V</t>
        </is>
      </c>
      <c r="E2644" t="inlineStr">
        <is>
          <t>Stage 3</t>
        </is>
      </c>
      <c r="F2644" t="inlineStr">
        <is>
          <t>N/A</t>
        </is>
      </c>
      <c r="G2644" s="26">
        <v>152799655</v>
      </c>
      <c r="H2644" s="26">
        <v>84039810</v>
      </c>
      <c r="I2644" s="26">
        <v>0</v>
      </c>
      <c r="J2644" s="26">
        <v>240</v>
      </c>
      <c r="K2644" t="inlineStr">
        <is>
          <t>Oui</t>
        </is>
      </c>
      <c r="L2644">
        <f>SUBTOTAL(103,A2644)</f>
        <v>1</v>
      </c>
    </row>
    <row r="2645">
      <c r="A2645" t="inlineStr">
        <is>
          <t>SOCIETE C906</t>
        </is>
      </c>
      <c r="B2645" t="inlineStr">
        <is>
          <t>C906</t>
        </is>
      </c>
      <c r="C2645" t="inlineStr">
        <is>
          <t>CORPORATE BANKING</t>
        </is>
      </c>
      <c r="D2645" t="inlineStr">
        <is>
          <t>V</t>
        </is>
      </c>
      <c r="E2645" t="inlineStr">
        <is>
          <t>Stage 3</t>
        </is>
      </c>
      <c r="F2645" t="inlineStr">
        <is>
          <t>N/A</t>
        </is>
      </c>
      <c r="G2645" s="26">
        <v>815591628</v>
      </c>
      <c r="H2645" s="26">
        <v>448575396</v>
      </c>
      <c r="I2645" s="26">
        <v>0</v>
      </c>
      <c r="J2645" s="26">
        <v>19</v>
      </c>
      <c r="K2645" t="inlineStr">
        <is>
          <t>Oui</t>
        </is>
      </c>
      <c r="L2645">
        <f>SUBTOTAL(103,A2645)</f>
        <v>1</v>
      </c>
    </row>
    <row r="2646">
      <c r="A2646" t="inlineStr">
        <is>
          <t>SOCIETE C770</t>
        </is>
      </c>
      <c r="B2646" t="inlineStr">
        <is>
          <t>C770</t>
        </is>
      </c>
      <c r="C2646" t="inlineStr">
        <is>
          <t>CONSUMER BANKING</t>
        </is>
      </c>
      <c r="D2646" t="inlineStr">
        <is>
          <t>I</t>
        </is>
      </c>
      <c r="E2646" t="inlineStr">
        <is>
          <t>Stage 1</t>
        </is>
      </c>
      <c r="F2646" t="inlineStr">
        <is>
          <t>N/A</t>
        </is>
      </c>
      <c r="G2646" s="26">
        <v>2100284831</v>
      </c>
      <c r="H2646" s="26">
        <v>21002848</v>
      </c>
      <c r="I2646" s="26">
        <v>0</v>
      </c>
      <c r="J2646" s="26">
        <v>7</v>
      </c>
      <c r="K2646" t="inlineStr">
        <is>
          <t>Non</t>
        </is>
      </c>
      <c r="L2646">
        <f>SUBTOTAL(103,A2646)</f>
        <v>1</v>
      </c>
    </row>
    <row r="2647">
      <c r="A2647" t="inlineStr">
        <is>
          <t>SOCIETE C2153</t>
        </is>
      </c>
      <c r="B2647" t="inlineStr">
        <is>
          <t>C2153</t>
        </is>
      </c>
      <c r="C2647" t="inlineStr">
        <is>
          <t>COMMERCIAL BANKING</t>
        </is>
      </c>
      <c r="D2647" t="inlineStr">
        <is>
          <t>IA</t>
        </is>
      </c>
      <c r="E2647" t="inlineStr">
        <is>
          <t>Stage 2</t>
        </is>
      </c>
      <c r="F2647" t="inlineStr">
        <is>
          <t>N/A</t>
        </is>
      </c>
      <c r="G2647" s="26">
        <v>126463949</v>
      </c>
      <c r="H2647" s="26">
        <v>7587837</v>
      </c>
      <c r="I2647" s="26">
        <v>22875923</v>
      </c>
      <c r="J2647" s="26">
        <v>330</v>
      </c>
      <c r="K2647" t="inlineStr">
        <is>
          <t>Non</t>
        </is>
      </c>
      <c r="L2647">
        <f>SUBTOTAL(103,A2647)</f>
        <v>1</v>
      </c>
    </row>
    <row r="2648">
      <c r="A2648" t="inlineStr">
        <is>
          <t>SOCIETE C646</t>
        </is>
      </c>
      <c r="B2648" t="inlineStr">
        <is>
          <t>C646</t>
        </is>
      </c>
      <c r="C2648" t="inlineStr">
        <is>
          <t>COMMERCIAL BANKING</t>
        </is>
      </c>
      <c r="D2648" t="inlineStr">
        <is>
          <t>II</t>
        </is>
      </c>
      <c r="E2648" t="inlineStr">
        <is>
          <t>Stage 2</t>
        </is>
      </c>
      <c r="F2648" t="inlineStr">
        <is>
          <t>N/A</t>
        </is>
      </c>
      <c r="G2648" s="26">
        <v>720091909</v>
      </c>
      <c r="H2648" s="26">
        <v>43205515</v>
      </c>
      <c r="I2648" s="26">
        <v>0</v>
      </c>
      <c r="J2648" s="26">
        <v>194</v>
      </c>
      <c r="K2648" t="inlineStr">
        <is>
          <t>Non</t>
        </is>
      </c>
      <c r="L2648">
        <f>SUBTOTAL(103,A2648)</f>
        <v>1</v>
      </c>
    </row>
    <row r="2649">
      <c r="A2649" t="inlineStr">
        <is>
          <t>SOCIETE C120</t>
        </is>
      </c>
      <c r="B2649" t="inlineStr">
        <is>
          <t>C120</t>
        </is>
      </c>
      <c r="C2649" t="inlineStr">
        <is>
          <t>CORPORATE BANKING</t>
        </is>
      </c>
      <c r="D2649" t="inlineStr">
        <is>
          <t>III</t>
        </is>
      </c>
      <c r="E2649" t="inlineStr">
        <is>
          <t>Stage 3</t>
        </is>
      </c>
      <c r="F2649" t="inlineStr">
        <is>
          <t>N/A</t>
        </is>
      </c>
      <c r="G2649" s="26">
        <v>336328071</v>
      </c>
      <c r="H2649" s="26">
        <v>184980439</v>
      </c>
      <c r="I2649" s="26">
        <v>0</v>
      </c>
      <c r="J2649" s="26">
        <v>128</v>
      </c>
      <c r="K2649" t="inlineStr">
        <is>
          <t>Oui</t>
        </is>
      </c>
      <c r="L2649">
        <f>SUBTOTAL(103,A2649)</f>
        <v>1</v>
      </c>
    </row>
    <row r="2650">
      <c r="A2650" t="inlineStr">
        <is>
          <t>SOCIETE C41</t>
        </is>
      </c>
      <c r="B2650" t="inlineStr">
        <is>
          <t>C41</t>
        </is>
      </c>
      <c r="C2650" t="inlineStr">
        <is>
          <t>CORPORATE BANKING</t>
        </is>
      </c>
      <c r="D2650" t="inlineStr">
        <is>
          <t>I</t>
        </is>
      </c>
      <c r="E2650" t="inlineStr">
        <is>
          <t>Stage 1</t>
        </is>
      </c>
      <c r="F2650" t="inlineStr">
        <is>
          <t>N/A</t>
        </is>
      </c>
      <c r="G2650" s="26">
        <v>1048514</v>
      </c>
      <c r="H2650" s="26">
        <v>10485</v>
      </c>
      <c r="I2650" s="26">
        <v>0</v>
      </c>
      <c r="J2650" s="26">
        <v>4</v>
      </c>
      <c r="K2650" t="inlineStr">
        <is>
          <t>Non</t>
        </is>
      </c>
      <c r="L2650">
        <f>SUBTOTAL(103,A2650)</f>
        <v>1</v>
      </c>
    </row>
    <row r="2651">
      <c r="A2651" t="inlineStr">
        <is>
          <t>SOCIETE C892</t>
        </is>
      </c>
      <c r="B2651" t="inlineStr">
        <is>
          <t>C892</t>
        </is>
      </c>
      <c r="C2651" t="inlineStr">
        <is>
          <t>COMMERCIAL BANKING</t>
        </is>
      </c>
      <c r="D2651" t="inlineStr">
        <is>
          <t>III</t>
        </is>
      </c>
      <c r="E2651" t="inlineStr">
        <is>
          <t>Stage 3</t>
        </is>
      </c>
      <c r="F2651" t="inlineStr">
        <is>
          <t>N/A</t>
        </is>
      </c>
      <c r="G2651" s="26">
        <v>15011073</v>
      </c>
      <c r="H2651" s="26">
        <v>8256090</v>
      </c>
      <c r="I2651" s="26">
        <v>0</v>
      </c>
      <c r="J2651" s="26">
        <v>31</v>
      </c>
      <c r="K2651" t="inlineStr">
        <is>
          <t>Oui</t>
        </is>
      </c>
      <c r="L2651">
        <f>SUBTOTAL(103,A2651)</f>
        <v>1</v>
      </c>
    </row>
    <row r="2652">
      <c r="A2652" t="inlineStr">
        <is>
          <t>SOCIETE C737</t>
        </is>
      </c>
      <c r="B2652" t="inlineStr">
        <is>
          <t>C737</t>
        </is>
      </c>
      <c r="C2652" t="inlineStr">
        <is>
          <t>COMMERCIAL BANKING</t>
        </is>
      </c>
      <c r="D2652" t="inlineStr">
        <is>
          <t>III</t>
        </is>
      </c>
      <c r="E2652" t="inlineStr">
        <is>
          <t>Stage 3</t>
        </is>
      </c>
      <c r="F2652" t="inlineStr">
        <is>
          <t>N/A</t>
        </is>
      </c>
      <c r="G2652" s="26">
        <v>1147198</v>
      </c>
      <c r="H2652" s="26">
        <v>630959</v>
      </c>
      <c r="I2652" s="26">
        <v>0</v>
      </c>
      <c r="J2652" s="26">
        <v>180</v>
      </c>
      <c r="K2652" t="inlineStr">
        <is>
          <t>Oui</t>
        </is>
      </c>
      <c r="L2652">
        <f>SUBTOTAL(103,A2652)</f>
        <v>1</v>
      </c>
    </row>
    <row r="2653">
      <c r="A2653" t="inlineStr">
        <is>
          <t>SOCIETE C2112</t>
        </is>
      </c>
      <c r="B2653" t="inlineStr">
        <is>
          <t>C2112</t>
        </is>
      </c>
      <c r="C2653" t="inlineStr">
        <is>
          <t>CORPORATE BANKING</t>
        </is>
      </c>
      <c r="D2653" t="inlineStr">
        <is>
          <t>II</t>
        </is>
      </c>
      <c r="E2653" t="inlineStr">
        <is>
          <t>Stage 2</t>
        </is>
      </c>
      <c r="F2653" t="inlineStr">
        <is>
          <t>N/A</t>
        </is>
      </c>
      <c r="G2653" s="26">
        <v>37535993</v>
      </c>
      <c r="H2653" s="26">
        <v>2252160</v>
      </c>
      <c r="I2653" s="26">
        <v>0</v>
      </c>
      <c r="J2653" s="26">
        <v>153</v>
      </c>
      <c r="K2653" t="inlineStr">
        <is>
          <t>Non</t>
        </is>
      </c>
      <c r="L2653">
        <f>SUBTOTAL(103,A2653)</f>
        <v>1</v>
      </c>
    </row>
    <row r="2654">
      <c r="A2654" t="inlineStr">
        <is>
          <t>SOCIETE C1402</t>
        </is>
      </c>
      <c r="B2654" t="inlineStr">
        <is>
          <t>C1402</t>
        </is>
      </c>
      <c r="C2654" t="inlineStr">
        <is>
          <t>PUBLIC SECTOR</t>
        </is>
      </c>
      <c r="D2654" t="inlineStr">
        <is>
          <t>I</t>
        </is>
      </c>
      <c r="E2654" t="inlineStr">
        <is>
          <t>Stage 1</t>
        </is>
      </c>
      <c r="F2654" t="inlineStr">
        <is>
          <t>N/A</t>
        </is>
      </c>
      <c r="G2654" s="26">
        <v>3659586</v>
      </c>
      <c r="H2654" s="26">
        <v>36596</v>
      </c>
      <c r="I2654" s="26">
        <v>619898</v>
      </c>
      <c r="J2654" s="26">
        <v>159</v>
      </c>
      <c r="K2654" t="inlineStr">
        <is>
          <t>Non</t>
        </is>
      </c>
      <c r="L2654">
        <f>SUBTOTAL(103,A2654)</f>
        <v>1</v>
      </c>
    </row>
    <row r="2655">
      <c r="A2655" t="inlineStr">
        <is>
          <t>SOCIETE C862</t>
        </is>
      </c>
      <c r="B2655" t="inlineStr">
        <is>
          <t>C862</t>
        </is>
      </c>
      <c r="C2655" t="inlineStr">
        <is>
          <t>COMMERCIAL BANKING</t>
        </is>
      </c>
      <c r="D2655" t="inlineStr">
        <is>
          <t>IA</t>
        </is>
      </c>
      <c r="E2655" t="inlineStr">
        <is>
          <t>Stage 2</t>
        </is>
      </c>
      <c r="F2655" t="inlineStr">
        <is>
          <t>N/A</t>
        </is>
      </c>
      <c r="G2655" s="26">
        <v>2871367347</v>
      </c>
      <c r="H2655" s="26">
        <v>172282041</v>
      </c>
      <c r="I2655" s="26">
        <v>0</v>
      </c>
      <c r="J2655" s="26">
        <v>12</v>
      </c>
      <c r="K2655" t="inlineStr">
        <is>
          <t>Non</t>
        </is>
      </c>
      <c r="L2655">
        <f>SUBTOTAL(103,A2655)</f>
        <v>1</v>
      </c>
    </row>
    <row r="2656">
      <c r="A2656" t="inlineStr">
        <is>
          <t>SOCIETE C502</t>
        </is>
      </c>
      <c r="B2656" t="inlineStr">
        <is>
          <t>C502</t>
        </is>
      </c>
      <c r="C2656" t="inlineStr">
        <is>
          <t>PUBLIC SECTOR</t>
        </is>
      </c>
      <c r="D2656" t="inlineStr">
        <is>
          <t>I</t>
        </is>
      </c>
      <c r="E2656" t="inlineStr">
        <is>
          <t>Stage 1</t>
        </is>
      </c>
      <c r="F2656" t="inlineStr">
        <is>
          <t>N/A</t>
        </is>
      </c>
      <c r="G2656" s="26">
        <v>3647941</v>
      </c>
      <c r="H2656" s="26">
        <v>36479</v>
      </c>
      <c r="I2656" s="26">
        <v>688404</v>
      </c>
      <c r="J2656" s="26">
        <v>7</v>
      </c>
      <c r="K2656" t="inlineStr">
        <is>
          <t>Non</t>
        </is>
      </c>
      <c r="L2656">
        <f>SUBTOTAL(103,A2656)</f>
        <v>1</v>
      </c>
    </row>
    <row r="2657">
      <c r="A2657" t="inlineStr">
        <is>
          <t>SOCIETE C450</t>
        </is>
      </c>
      <c r="B2657" t="inlineStr">
        <is>
          <t>C450</t>
        </is>
      </c>
      <c r="C2657" t="inlineStr">
        <is>
          <t>COMMERCIAL BANKING</t>
        </is>
      </c>
      <c r="D2657" t="inlineStr">
        <is>
          <t>IA</t>
        </is>
      </c>
      <c r="E2657" t="inlineStr">
        <is>
          <t>Stage 2</t>
        </is>
      </c>
      <c r="F2657" t="inlineStr">
        <is>
          <t>N/A</t>
        </is>
      </c>
      <c r="G2657" s="26">
        <v>2524397615</v>
      </c>
      <c r="H2657" s="26">
        <v>151463857</v>
      </c>
      <c r="I2657" s="26">
        <v>0</v>
      </c>
      <c r="J2657" s="26">
        <v>115</v>
      </c>
      <c r="K2657" t="inlineStr">
        <is>
          <t>Non</t>
        </is>
      </c>
      <c r="L2657">
        <f>SUBTOTAL(103,A2657)</f>
        <v>1</v>
      </c>
    </row>
    <row r="2658">
      <c r="A2658" t="inlineStr">
        <is>
          <t>SOCIETE C356</t>
        </is>
      </c>
      <c r="B2658" t="inlineStr">
        <is>
          <t>C356</t>
        </is>
      </c>
      <c r="C2658" t="inlineStr">
        <is>
          <t>PUBLIC SECTOR</t>
        </is>
      </c>
      <c r="D2658" t="inlineStr">
        <is>
          <t>I</t>
        </is>
      </c>
      <c r="E2658" t="inlineStr">
        <is>
          <t>Stage 1</t>
        </is>
      </c>
      <c r="F2658" t="inlineStr">
        <is>
          <t>N/A</t>
        </is>
      </c>
      <c r="G2658" s="26">
        <v>72031527</v>
      </c>
      <c r="H2658" s="26">
        <v>720315</v>
      </c>
      <c r="I2658" s="26">
        <v>5809607</v>
      </c>
      <c r="J2658" s="26">
        <v>217</v>
      </c>
      <c r="K2658" t="inlineStr">
        <is>
          <t>Non</t>
        </is>
      </c>
      <c r="L2658">
        <f>SUBTOTAL(103,A2658)</f>
        <v>1</v>
      </c>
    </row>
    <row r="2659">
      <c r="A2659" t="inlineStr">
        <is>
          <t>SOCIETE C1823</t>
        </is>
      </c>
      <c r="B2659" t="inlineStr">
        <is>
          <t>C1823</t>
        </is>
      </c>
      <c r="C2659" t="inlineStr">
        <is>
          <t>COMMERCIAL BANKING</t>
        </is>
      </c>
      <c r="D2659" t="inlineStr">
        <is>
          <t>I</t>
        </is>
      </c>
      <c r="E2659" t="inlineStr">
        <is>
          <t>Stage 1</t>
        </is>
      </c>
      <c r="F2659" t="inlineStr">
        <is>
          <t>N/A</t>
        </is>
      </c>
      <c r="G2659" s="26">
        <v>2697382284</v>
      </c>
      <c r="H2659" s="26">
        <v>26973823</v>
      </c>
      <c r="I2659" s="26">
        <v>0</v>
      </c>
      <c r="J2659" s="26">
        <v>109</v>
      </c>
      <c r="K2659" t="inlineStr">
        <is>
          <t>Non</t>
        </is>
      </c>
      <c r="L2659">
        <f>SUBTOTAL(103,A2659)</f>
        <v>1</v>
      </c>
    </row>
    <row r="2660">
      <c r="A2660" t="inlineStr">
        <is>
          <t>SOCIETE C1244</t>
        </is>
      </c>
      <c r="B2660" t="inlineStr">
        <is>
          <t>C1244</t>
        </is>
      </c>
      <c r="C2660" t="inlineStr">
        <is>
          <t>COMMERCIAL BANKING</t>
        </is>
      </c>
      <c r="D2660" t="inlineStr">
        <is>
          <t>V</t>
        </is>
      </c>
      <c r="E2660" t="inlineStr">
        <is>
          <t>Stage 3</t>
        </is>
      </c>
      <c r="F2660" t="inlineStr">
        <is>
          <t>N/A</t>
        </is>
      </c>
      <c r="G2660" s="26">
        <v>107370539</v>
      </c>
      <c r="H2660" s="26">
        <v>59053797</v>
      </c>
      <c r="I2660" s="26">
        <v>0</v>
      </c>
      <c r="J2660" s="26">
        <v>2</v>
      </c>
      <c r="K2660" t="inlineStr">
        <is>
          <t>Oui</t>
        </is>
      </c>
      <c r="L2660">
        <f>SUBTOTAL(103,A2660)</f>
        <v>1</v>
      </c>
    </row>
    <row r="2661">
      <c r="A2661" t="inlineStr">
        <is>
          <t>SOCIETE C181</t>
        </is>
      </c>
      <c r="B2661" t="inlineStr">
        <is>
          <t>C181</t>
        </is>
      </c>
      <c r="C2661" t="inlineStr">
        <is>
          <t>INSTITUTIONAL</t>
        </is>
      </c>
      <c r="D2661" t="inlineStr">
        <is>
          <t>I</t>
        </is>
      </c>
      <c r="E2661" t="inlineStr">
        <is>
          <t>Stage 1</t>
        </is>
      </c>
      <c r="F2661" t="inlineStr">
        <is>
          <t>N/A</t>
        </is>
      </c>
      <c r="G2661" s="26">
        <v>1664965082</v>
      </c>
      <c r="H2661" s="26">
        <v>16649651</v>
      </c>
      <c r="I2661" s="26">
        <v>138405393</v>
      </c>
      <c r="J2661" s="26">
        <v>104</v>
      </c>
      <c r="K2661" t="inlineStr">
        <is>
          <t>Non</t>
        </is>
      </c>
      <c r="L2661">
        <f>SUBTOTAL(103,A2661)</f>
        <v>1</v>
      </c>
    </row>
    <row r="2662">
      <c r="A2662" t="inlineStr">
        <is>
          <t>SOCIETE C1842</t>
        </is>
      </c>
      <c r="B2662" t="inlineStr">
        <is>
          <t>C1842</t>
        </is>
      </c>
      <c r="C2662" t="inlineStr">
        <is>
          <t>PUBLIC SECTOR</t>
        </is>
      </c>
      <c r="D2662" t="inlineStr">
        <is>
          <t>II</t>
        </is>
      </c>
      <c r="E2662" t="inlineStr">
        <is>
          <t>Stage 2</t>
        </is>
      </c>
      <c r="F2662" t="inlineStr">
        <is>
          <t>N/A</t>
        </is>
      </c>
      <c r="G2662" s="26">
        <v>20039663</v>
      </c>
      <c r="H2662" s="26">
        <v>1202380</v>
      </c>
      <c r="I2662" s="26">
        <v>0</v>
      </c>
      <c r="J2662" s="26">
        <v>137</v>
      </c>
      <c r="K2662" t="inlineStr">
        <is>
          <t>Non</t>
        </is>
      </c>
      <c r="L2662">
        <f>SUBTOTAL(103,A2662)</f>
        <v>1</v>
      </c>
    </row>
    <row r="2663">
      <c r="A2663" t="inlineStr">
        <is>
          <t>SOCIETE C2187</t>
        </is>
      </c>
      <c r="B2663" t="inlineStr">
        <is>
          <t>C2187</t>
        </is>
      </c>
      <c r="C2663" t="inlineStr">
        <is>
          <t>CORPORATE BANKING</t>
        </is>
      </c>
      <c r="D2663" t="inlineStr">
        <is>
          <t>V</t>
        </is>
      </c>
      <c r="E2663" t="inlineStr">
        <is>
          <t>Stage 3</t>
        </is>
      </c>
      <c r="F2663" t="inlineStr">
        <is>
          <t>N/A</t>
        </is>
      </c>
      <c r="G2663" s="26">
        <v>1906735382</v>
      </c>
      <c r="H2663" s="26">
        <v>1048704460</v>
      </c>
      <c r="I2663" s="26">
        <v>0</v>
      </c>
      <c r="J2663" s="26">
        <v>24</v>
      </c>
      <c r="K2663" t="inlineStr">
        <is>
          <t>Oui</t>
        </is>
      </c>
      <c r="L2663">
        <f>SUBTOTAL(103,A2663)</f>
        <v>1</v>
      </c>
    </row>
    <row r="2664">
      <c r="A2664" t="inlineStr">
        <is>
          <t>SOCIETE C1691</t>
        </is>
      </c>
      <c r="B2664" t="inlineStr">
        <is>
          <t>C1691</t>
        </is>
      </c>
      <c r="C2664" t="inlineStr">
        <is>
          <t>COMMERCIAL BANKING</t>
        </is>
      </c>
      <c r="D2664" t="inlineStr">
        <is>
          <t>I</t>
        </is>
      </c>
      <c r="E2664" t="inlineStr">
        <is>
          <t>Stage 1</t>
        </is>
      </c>
      <c r="F2664" t="inlineStr">
        <is>
          <t>N/A</t>
        </is>
      </c>
      <c r="G2664" s="26">
        <v>2295271729</v>
      </c>
      <c r="H2664" s="26">
        <v>22952717</v>
      </c>
      <c r="I2664" s="26">
        <v>0</v>
      </c>
      <c r="J2664" s="26">
        <v>3</v>
      </c>
      <c r="K2664" t="inlineStr">
        <is>
          <t>Non</t>
        </is>
      </c>
      <c r="L2664">
        <f>SUBTOTAL(103,A2664)</f>
        <v>1</v>
      </c>
    </row>
    <row r="2665">
      <c r="A2665" t="inlineStr">
        <is>
          <t>SOCIETE C1743</t>
        </is>
      </c>
      <c r="B2665" t="inlineStr">
        <is>
          <t>C1743</t>
        </is>
      </c>
      <c r="C2665" t="inlineStr">
        <is>
          <t>CORPORATE BANKING</t>
        </is>
      </c>
      <c r="D2665" t="inlineStr">
        <is>
          <t>III</t>
        </is>
      </c>
      <c r="E2665" t="inlineStr">
        <is>
          <t>Stage 3</t>
        </is>
      </c>
      <c r="F2665" t="inlineStr">
        <is>
          <t>N/A</t>
        </is>
      </c>
      <c r="G2665" s="26">
        <v>2643862281</v>
      </c>
      <c r="H2665" s="26">
        <v>1454124254</v>
      </c>
      <c r="I2665" s="26">
        <v>0</v>
      </c>
      <c r="J2665" s="26">
        <v>22</v>
      </c>
      <c r="K2665" t="inlineStr">
        <is>
          <t>Oui</t>
        </is>
      </c>
      <c r="L2665">
        <f>SUBTOTAL(103,A2665)</f>
        <v>1</v>
      </c>
    </row>
    <row r="2666">
      <c r="A2666" t="inlineStr">
        <is>
          <t>SOCIETE C197</t>
        </is>
      </c>
      <c r="B2666" t="inlineStr">
        <is>
          <t>C197</t>
        </is>
      </c>
      <c r="C2666" t="inlineStr">
        <is>
          <t>CORPORATE BANKING</t>
        </is>
      </c>
      <c r="D2666" t="inlineStr">
        <is>
          <t>I</t>
        </is>
      </c>
      <c r="E2666" t="inlineStr">
        <is>
          <t>Stage 1</t>
        </is>
      </c>
      <c r="F2666" t="inlineStr">
        <is>
          <t>N/A</t>
        </is>
      </c>
      <c r="G2666" s="26">
        <v>599771221</v>
      </c>
      <c r="H2666" s="26">
        <v>5997712</v>
      </c>
      <c r="I2666" s="26">
        <v>0</v>
      </c>
      <c r="J2666" s="26">
        <v>157</v>
      </c>
      <c r="K2666" t="inlineStr">
        <is>
          <t>Non</t>
        </is>
      </c>
      <c r="L2666">
        <f>SUBTOTAL(103,A2666)</f>
        <v>1</v>
      </c>
    </row>
    <row r="2667">
      <c r="A2667" t="inlineStr">
        <is>
          <t>SOCIETE C1661</t>
        </is>
      </c>
      <c r="B2667" t="inlineStr">
        <is>
          <t>C1661</t>
        </is>
      </c>
      <c r="C2667" t="inlineStr">
        <is>
          <t>CORPORATE BANKING</t>
        </is>
      </c>
      <c r="D2667" t="inlineStr">
        <is>
          <t>IA</t>
        </is>
      </c>
      <c r="E2667" t="inlineStr">
        <is>
          <t>Stage 2</t>
        </is>
      </c>
      <c r="F2667" t="inlineStr">
        <is>
          <t>N/A</t>
        </is>
      </c>
      <c r="G2667" s="26">
        <v>1575378673</v>
      </c>
      <c r="H2667" s="26">
        <v>94522720</v>
      </c>
      <c r="I2667" s="26">
        <v>0</v>
      </c>
      <c r="J2667" s="26">
        <v>198</v>
      </c>
      <c r="K2667" t="inlineStr">
        <is>
          <t>Non</t>
        </is>
      </c>
      <c r="L2667">
        <f>SUBTOTAL(103,A2667)</f>
        <v>1</v>
      </c>
    </row>
    <row r="2668">
      <c r="A2668" t="inlineStr">
        <is>
          <t>SOCIETE C1010</t>
        </is>
      </c>
      <c r="B2668" t="inlineStr">
        <is>
          <t>C1010</t>
        </is>
      </c>
      <c r="C2668" t="inlineStr">
        <is>
          <t>COMMERCIAL BANKING</t>
        </is>
      </c>
      <c r="D2668" t="inlineStr">
        <is>
          <t>I</t>
        </is>
      </c>
      <c r="E2668" t="inlineStr">
        <is>
          <t>Stage 1</t>
        </is>
      </c>
      <c r="F2668" t="inlineStr">
        <is>
          <t>N/A</t>
        </is>
      </c>
      <c r="G2668" s="26">
        <v>66413827</v>
      </c>
      <c r="H2668" s="26">
        <v>664138</v>
      </c>
      <c r="I2668" s="26">
        <v>0</v>
      </c>
      <c r="J2668" s="26">
        <v>184</v>
      </c>
      <c r="K2668" t="inlineStr">
        <is>
          <t>Non</t>
        </is>
      </c>
      <c r="L2668">
        <f>SUBTOTAL(103,A2668)</f>
        <v>1</v>
      </c>
    </row>
    <row r="2669">
      <c r="A2669" t="inlineStr">
        <is>
          <t>SOCIETE C1795</t>
        </is>
      </c>
      <c r="B2669" t="inlineStr">
        <is>
          <t>C1795</t>
        </is>
      </c>
      <c r="C2669" t="inlineStr">
        <is>
          <t>CORPORATE BANKING</t>
        </is>
      </c>
      <c r="D2669" t="inlineStr">
        <is>
          <t>V</t>
        </is>
      </c>
      <c r="E2669" t="inlineStr">
        <is>
          <t>Stage 3</t>
        </is>
      </c>
      <c r="F2669" t="inlineStr">
        <is>
          <t>N/A</t>
        </is>
      </c>
      <c r="G2669" s="26">
        <v>149548708</v>
      </c>
      <c r="H2669" s="26">
        <v>82251789</v>
      </c>
      <c r="I2669" s="26">
        <v>0</v>
      </c>
      <c r="J2669" s="26">
        <v>184</v>
      </c>
      <c r="K2669" t="inlineStr">
        <is>
          <t>Oui</t>
        </is>
      </c>
      <c r="L2669">
        <f>SUBTOTAL(103,A2669)</f>
        <v>1</v>
      </c>
    </row>
    <row r="2670">
      <c r="A2670" t="inlineStr">
        <is>
          <t>SOCIETE C744</t>
        </is>
      </c>
      <c r="B2670" t="inlineStr">
        <is>
          <t>C744</t>
        </is>
      </c>
      <c r="C2670" t="inlineStr">
        <is>
          <t>CORPORATE BANKING</t>
        </is>
      </c>
      <c r="D2670" t="inlineStr">
        <is>
          <t>V</t>
        </is>
      </c>
      <c r="E2670" t="inlineStr">
        <is>
          <t>Stage 3</t>
        </is>
      </c>
      <c r="F2670" t="inlineStr">
        <is>
          <t>N/A</t>
        </is>
      </c>
      <c r="G2670" s="26">
        <v>1049646</v>
      </c>
      <c r="H2670" s="26">
        <v>577306</v>
      </c>
      <c r="I2670" s="26">
        <v>0</v>
      </c>
      <c r="J2670" s="26">
        <v>67</v>
      </c>
      <c r="K2670" t="inlineStr">
        <is>
          <t>Oui</t>
        </is>
      </c>
      <c r="L2670">
        <f>SUBTOTAL(103,A2670)</f>
        <v>1</v>
      </c>
    </row>
    <row r="2671">
      <c r="A2671" t="inlineStr">
        <is>
          <t>SOCIETE C369</t>
        </is>
      </c>
      <c r="B2671" t="inlineStr">
        <is>
          <t>C369</t>
        </is>
      </c>
      <c r="C2671" t="inlineStr">
        <is>
          <t>CORPORATE BANKING</t>
        </is>
      </c>
      <c r="D2671" t="inlineStr">
        <is>
          <t>I</t>
        </is>
      </c>
      <c r="E2671" t="inlineStr">
        <is>
          <t>Stage 1</t>
        </is>
      </c>
      <c r="F2671" t="inlineStr">
        <is>
          <t>N/A</t>
        </is>
      </c>
      <c r="G2671" s="26">
        <v>2825752696</v>
      </c>
      <c r="H2671" s="26">
        <v>28257527</v>
      </c>
      <c r="I2671" s="26">
        <v>0</v>
      </c>
      <c r="J2671" s="26">
        <v>326</v>
      </c>
      <c r="K2671" t="inlineStr">
        <is>
          <t>Non</t>
        </is>
      </c>
      <c r="L2671">
        <f>SUBTOTAL(103,A2671)</f>
        <v>1</v>
      </c>
    </row>
    <row r="2672">
      <c r="A2672" t="inlineStr">
        <is>
          <t>SOCIETE C1484</t>
        </is>
      </c>
      <c r="B2672" t="inlineStr">
        <is>
          <t>C1484</t>
        </is>
      </c>
      <c r="C2672" t="inlineStr">
        <is>
          <t>CORPORATE BANKING</t>
        </is>
      </c>
      <c r="D2672" t="inlineStr">
        <is>
          <t>IA</t>
        </is>
      </c>
      <c r="E2672" t="inlineStr">
        <is>
          <t>Stage 2</t>
        </is>
      </c>
      <c r="F2672" t="inlineStr">
        <is>
          <t>N/A</t>
        </is>
      </c>
      <c r="G2672" s="26">
        <v>88707063</v>
      </c>
      <c r="H2672" s="26">
        <v>5322424</v>
      </c>
      <c r="I2672" s="26">
        <v>0</v>
      </c>
      <c r="J2672" s="26">
        <v>32</v>
      </c>
      <c r="K2672" t="inlineStr">
        <is>
          <t>Non</t>
        </is>
      </c>
      <c r="L2672">
        <f>SUBTOTAL(103,A2672)</f>
        <v>1</v>
      </c>
    </row>
    <row r="2673">
      <c r="A2673" t="inlineStr">
        <is>
          <t>SOCIETE C206</t>
        </is>
      </c>
      <c r="B2673" t="inlineStr">
        <is>
          <t>C206</t>
        </is>
      </c>
      <c r="C2673" t="inlineStr">
        <is>
          <t>COMMERCIAL BANKING</t>
        </is>
      </c>
      <c r="D2673" t="inlineStr">
        <is>
          <t>IA</t>
        </is>
      </c>
      <c r="E2673" t="inlineStr">
        <is>
          <t>Stage 2</t>
        </is>
      </c>
      <c r="F2673" t="inlineStr">
        <is>
          <t>N/A</t>
        </is>
      </c>
      <c r="G2673" s="26">
        <v>2847380243</v>
      </c>
      <c r="H2673" s="26">
        <v>170842815</v>
      </c>
      <c r="I2673" s="26">
        <v>562463908</v>
      </c>
      <c r="J2673" s="26">
        <v>15</v>
      </c>
      <c r="K2673" t="inlineStr">
        <is>
          <t>Non</t>
        </is>
      </c>
      <c r="L2673">
        <f>SUBTOTAL(103,A2673)</f>
        <v>1</v>
      </c>
    </row>
    <row r="2674">
      <c r="A2674" t="inlineStr">
        <is>
          <t>SOCIETE C696</t>
        </is>
      </c>
      <c r="B2674" t="inlineStr">
        <is>
          <t>C696</t>
        </is>
      </c>
      <c r="C2674" t="inlineStr">
        <is>
          <t>CONSUMER BANKING</t>
        </is>
      </c>
      <c r="D2674" t="inlineStr">
        <is>
          <t>V</t>
        </is>
      </c>
      <c r="E2674" t="inlineStr">
        <is>
          <t>Stage 3</t>
        </is>
      </c>
      <c r="F2674" t="inlineStr">
        <is>
          <t>N/A</t>
        </is>
      </c>
      <c r="G2674" s="26">
        <v>50448516</v>
      </c>
      <c r="H2674" s="26">
        <v>27746684</v>
      </c>
      <c r="I2674" s="26">
        <v>1786068</v>
      </c>
      <c r="J2674" s="26">
        <v>16</v>
      </c>
      <c r="K2674" t="inlineStr">
        <is>
          <t>Oui</t>
        </is>
      </c>
      <c r="L2674">
        <f>SUBTOTAL(103,A2674)</f>
        <v>1</v>
      </c>
    </row>
    <row r="2675">
      <c r="A2675" t="inlineStr">
        <is>
          <t>SOCIETE C1047</t>
        </is>
      </c>
      <c r="B2675" t="inlineStr">
        <is>
          <t>C1047</t>
        </is>
      </c>
      <c r="C2675" t="inlineStr">
        <is>
          <t>CONSUMER BANKING</t>
        </is>
      </c>
      <c r="D2675" t="inlineStr">
        <is>
          <t>IV</t>
        </is>
      </c>
      <c r="E2675" t="inlineStr">
        <is>
          <t>Stage 3</t>
        </is>
      </c>
      <c r="F2675" t="inlineStr">
        <is>
          <t>N/A</t>
        </is>
      </c>
      <c r="G2675" s="26">
        <v>1482420450</v>
      </c>
      <c r="H2675" s="26">
        <v>815331248</v>
      </c>
      <c r="I2675" s="26">
        <v>0</v>
      </c>
      <c r="J2675" s="26">
        <v>11</v>
      </c>
      <c r="K2675" t="inlineStr">
        <is>
          <t>Oui</t>
        </is>
      </c>
      <c r="L2675">
        <f>SUBTOTAL(103,A2675)</f>
        <v>1</v>
      </c>
    </row>
    <row r="2676">
      <c r="A2676" t="inlineStr">
        <is>
          <t>SOCIETE C625</t>
        </is>
      </c>
      <c r="B2676" t="inlineStr">
        <is>
          <t>C625</t>
        </is>
      </c>
      <c r="C2676" t="inlineStr">
        <is>
          <t>COMMERCIAL BANKING</t>
        </is>
      </c>
      <c r="D2676" t="inlineStr">
        <is>
          <t>V</t>
        </is>
      </c>
      <c r="E2676" t="inlineStr">
        <is>
          <t>Stage 3</t>
        </is>
      </c>
      <c r="F2676" t="inlineStr">
        <is>
          <t>N/A</t>
        </is>
      </c>
      <c r="G2676" s="26">
        <v>1135020173</v>
      </c>
      <c r="H2676" s="26">
        <v>624261095</v>
      </c>
      <c r="I2676" s="26">
        <v>93126457</v>
      </c>
      <c r="J2676" s="26">
        <v>89</v>
      </c>
      <c r="K2676" t="inlineStr">
        <is>
          <t>Oui</t>
        </is>
      </c>
      <c r="L2676">
        <f>SUBTOTAL(103,A2676)</f>
        <v>1</v>
      </c>
    </row>
    <row r="2677">
      <c r="A2677" t="inlineStr">
        <is>
          <t>SOCIETE C2342</t>
        </is>
      </c>
      <c r="B2677" t="inlineStr">
        <is>
          <t>C2342</t>
        </is>
      </c>
      <c r="C2677" t="inlineStr">
        <is>
          <t>CORPORATE BANKING</t>
        </is>
      </c>
      <c r="D2677" t="inlineStr">
        <is>
          <t>I</t>
        </is>
      </c>
      <c r="E2677" t="inlineStr">
        <is>
          <t>Stage 1</t>
        </is>
      </c>
      <c r="F2677" t="inlineStr">
        <is>
          <t>N/A</t>
        </is>
      </c>
      <c r="G2677" s="26">
        <v>93221087</v>
      </c>
      <c r="H2677" s="26">
        <v>932211</v>
      </c>
      <c r="I2677" s="26">
        <v>5903488</v>
      </c>
      <c r="J2677" s="26">
        <v>104</v>
      </c>
      <c r="K2677" t="inlineStr">
        <is>
          <t>Non</t>
        </is>
      </c>
      <c r="L2677">
        <f>SUBTOTAL(103,A2677)</f>
        <v>1</v>
      </c>
    </row>
    <row r="2678">
      <c r="A2678" t="inlineStr">
        <is>
          <t>SOCIETE C1766</t>
        </is>
      </c>
      <c r="B2678" t="inlineStr">
        <is>
          <t>C1766</t>
        </is>
      </c>
      <c r="C2678" t="inlineStr">
        <is>
          <t>CORPORATE BANKING</t>
        </is>
      </c>
      <c r="D2678" t="inlineStr">
        <is>
          <t>II</t>
        </is>
      </c>
      <c r="E2678" t="inlineStr">
        <is>
          <t>Stage 2</t>
        </is>
      </c>
      <c r="F2678" t="inlineStr">
        <is>
          <t>N/A</t>
        </is>
      </c>
      <c r="G2678" s="26">
        <v>393702586</v>
      </c>
      <c r="H2678" s="26">
        <v>23622155</v>
      </c>
      <c r="I2678" s="26">
        <v>72455798</v>
      </c>
      <c r="J2678" s="26">
        <v>98</v>
      </c>
      <c r="K2678" t="inlineStr">
        <is>
          <t>Non</t>
        </is>
      </c>
      <c r="L2678">
        <f>SUBTOTAL(103,A2678)</f>
        <v>1</v>
      </c>
    </row>
    <row r="2679">
      <c r="A2679" t="inlineStr">
        <is>
          <t>SOCIETE C1009</t>
        </is>
      </c>
      <c r="B2679" t="inlineStr">
        <is>
          <t>C1009</t>
        </is>
      </c>
      <c r="C2679" t="inlineStr">
        <is>
          <t>COMMERCIAL BANKING</t>
        </is>
      </c>
      <c r="D2679" t="inlineStr">
        <is>
          <t>III</t>
        </is>
      </c>
      <c r="E2679" t="inlineStr">
        <is>
          <t>Stage 3</t>
        </is>
      </c>
      <c r="F2679" t="inlineStr">
        <is>
          <t>N/A</t>
        </is>
      </c>
      <c r="G2679" s="26">
        <v>17361495</v>
      </c>
      <c r="H2679" s="26">
        <v>9548822</v>
      </c>
      <c r="I2679" s="26">
        <v>2288954</v>
      </c>
      <c r="J2679" s="26">
        <v>31</v>
      </c>
      <c r="K2679" t="inlineStr">
        <is>
          <t>Oui</t>
        </is>
      </c>
      <c r="L2679">
        <f>SUBTOTAL(103,A2679)</f>
        <v>1</v>
      </c>
    </row>
    <row r="2680">
      <c r="A2680" t="inlineStr">
        <is>
          <t>SOCIETE C2203</t>
        </is>
      </c>
      <c r="B2680" t="inlineStr">
        <is>
          <t>C2203</t>
        </is>
      </c>
      <c r="C2680" t="inlineStr">
        <is>
          <t>CONSUMER BANKING</t>
        </is>
      </c>
      <c r="D2680" t="inlineStr">
        <is>
          <t>I</t>
        </is>
      </c>
      <c r="E2680" t="inlineStr">
        <is>
          <t>Stage 1</t>
        </is>
      </c>
      <c r="F2680" t="inlineStr">
        <is>
          <t>N/A</t>
        </is>
      </c>
      <c r="G2680" s="26">
        <v>247820749</v>
      </c>
      <c r="H2680" s="26">
        <v>2478207</v>
      </c>
      <c r="I2680" s="26">
        <v>0</v>
      </c>
      <c r="J2680" s="26">
        <v>19</v>
      </c>
      <c r="K2680" t="inlineStr">
        <is>
          <t>Non</t>
        </is>
      </c>
      <c r="L2680">
        <f>SUBTOTAL(103,A2680)</f>
        <v>1</v>
      </c>
    </row>
    <row r="2681">
      <c r="A2681" t="inlineStr">
        <is>
          <t>SOCIETE C2402</t>
        </is>
      </c>
      <c r="B2681" t="inlineStr">
        <is>
          <t>C2402</t>
        </is>
      </c>
      <c r="C2681" t="inlineStr">
        <is>
          <t>CONSUMER BANKING</t>
        </is>
      </c>
      <c r="D2681" t="inlineStr">
        <is>
          <t>IV</t>
        </is>
      </c>
      <c r="E2681" t="inlineStr">
        <is>
          <t>Stage 3</t>
        </is>
      </c>
      <c r="F2681" t="inlineStr">
        <is>
          <t>N/A</t>
        </is>
      </c>
      <c r="G2681" s="26">
        <v>534939551</v>
      </c>
      <c r="H2681" s="26">
        <v>294216753</v>
      </c>
      <c r="I2681" s="26">
        <v>0</v>
      </c>
      <c r="J2681" s="26">
        <v>224</v>
      </c>
      <c r="K2681" t="inlineStr">
        <is>
          <t>Oui</t>
        </is>
      </c>
      <c r="L2681">
        <f>SUBTOTAL(103,A2681)</f>
        <v>1</v>
      </c>
    </row>
    <row r="2682">
      <c r="A2682" t="inlineStr">
        <is>
          <t>SOCIETE C2163</t>
        </is>
      </c>
      <c r="B2682" t="inlineStr">
        <is>
          <t>C2163</t>
        </is>
      </c>
      <c r="C2682" t="inlineStr">
        <is>
          <t>CONSUMER BANKING</t>
        </is>
      </c>
      <c r="D2682" t="inlineStr">
        <is>
          <t>IA</t>
        </is>
      </c>
      <c r="E2682" t="inlineStr">
        <is>
          <t>Stage 2</t>
        </is>
      </c>
      <c r="F2682" t="inlineStr">
        <is>
          <t>N/A</t>
        </is>
      </c>
      <c r="G2682" s="26">
        <v>1263800349</v>
      </c>
      <c r="H2682" s="26">
        <v>75828021</v>
      </c>
      <c r="I2682" s="26">
        <v>227938505</v>
      </c>
      <c r="J2682" s="26">
        <v>24</v>
      </c>
      <c r="K2682" t="inlineStr">
        <is>
          <t>Non</t>
        </is>
      </c>
      <c r="L2682">
        <f>SUBTOTAL(103,A2682)</f>
        <v>1</v>
      </c>
    </row>
    <row r="2683">
      <c r="A2683" t="inlineStr">
        <is>
          <t>SOCIETE C2019</t>
        </is>
      </c>
      <c r="B2683" t="inlineStr">
        <is>
          <t>C2019</t>
        </is>
      </c>
      <c r="C2683" t="inlineStr">
        <is>
          <t>CORPORATE BANKING</t>
        </is>
      </c>
      <c r="D2683" t="inlineStr">
        <is>
          <t>IA</t>
        </is>
      </c>
      <c r="E2683" t="inlineStr">
        <is>
          <t>Stage 2</t>
        </is>
      </c>
      <c r="F2683" t="inlineStr">
        <is>
          <t>N/A</t>
        </is>
      </c>
      <c r="G2683" s="26">
        <v>410801408</v>
      </c>
      <c r="H2683" s="26">
        <v>24648084</v>
      </c>
      <c r="I2683" s="26">
        <v>25932107</v>
      </c>
      <c r="J2683" s="26">
        <v>98</v>
      </c>
      <c r="K2683" t="inlineStr">
        <is>
          <t>Non</t>
        </is>
      </c>
      <c r="L2683">
        <f>SUBTOTAL(103,A2683)</f>
        <v>1</v>
      </c>
    </row>
    <row r="2684">
      <c r="A2684" t="inlineStr">
        <is>
          <t>SOCIETE C1715</t>
        </is>
      </c>
      <c r="B2684" t="inlineStr">
        <is>
          <t>C1715</t>
        </is>
      </c>
      <c r="C2684" t="inlineStr">
        <is>
          <t>CONSUMER BANKING</t>
        </is>
      </c>
      <c r="D2684" t="inlineStr">
        <is>
          <t>I</t>
        </is>
      </c>
      <c r="E2684" t="inlineStr">
        <is>
          <t>Stage 1</t>
        </is>
      </c>
      <c r="F2684" t="inlineStr">
        <is>
          <t>N/A</t>
        </is>
      </c>
      <c r="G2684" s="26">
        <v>1371963484</v>
      </c>
      <c r="H2684" s="26">
        <v>13719635</v>
      </c>
      <c r="I2684" s="26">
        <v>267656335</v>
      </c>
      <c r="J2684" s="26">
        <v>134</v>
      </c>
      <c r="K2684" t="inlineStr">
        <is>
          <t>Non</t>
        </is>
      </c>
      <c r="L2684">
        <f>SUBTOTAL(103,A2684)</f>
        <v>1</v>
      </c>
    </row>
    <row r="2685">
      <c r="A2685" t="inlineStr">
        <is>
          <t>SOCIETE C1533</t>
        </is>
      </c>
      <c r="B2685" t="inlineStr">
        <is>
          <t>C1533</t>
        </is>
      </c>
      <c r="C2685" t="inlineStr">
        <is>
          <t>CORPORATE BANKING</t>
        </is>
      </c>
      <c r="D2685" t="inlineStr">
        <is>
          <t>II</t>
        </is>
      </c>
      <c r="E2685" t="inlineStr">
        <is>
          <t>Stage 2</t>
        </is>
      </c>
      <c r="F2685" t="inlineStr">
        <is>
          <t>N/A</t>
        </is>
      </c>
      <c r="G2685" s="26">
        <v>86141716</v>
      </c>
      <c r="H2685" s="26">
        <v>5168503</v>
      </c>
      <c r="I2685" s="26">
        <v>0</v>
      </c>
      <c r="J2685" s="26">
        <v>137</v>
      </c>
      <c r="K2685" t="inlineStr">
        <is>
          <t>Non</t>
        </is>
      </c>
      <c r="L2685">
        <f>SUBTOTAL(103,A2685)</f>
        <v>1</v>
      </c>
    </row>
    <row r="2686">
      <c r="A2686" t="inlineStr">
        <is>
          <t>SOCIETE C561</t>
        </is>
      </c>
      <c r="B2686" t="inlineStr">
        <is>
          <t>C561</t>
        </is>
      </c>
      <c r="C2686" t="inlineStr">
        <is>
          <t>CORPORATE BANKING</t>
        </is>
      </c>
      <c r="D2686" t="inlineStr">
        <is>
          <t>IA</t>
        </is>
      </c>
      <c r="E2686" t="inlineStr">
        <is>
          <t>Stage 2</t>
        </is>
      </c>
      <c r="F2686" t="inlineStr">
        <is>
          <t>N/A</t>
        </is>
      </c>
      <c r="G2686" s="26">
        <v>4318703</v>
      </c>
      <c r="H2686" s="26">
        <v>259122</v>
      </c>
      <c r="I2686" s="26">
        <v>0</v>
      </c>
      <c r="J2686" s="26">
        <v>255</v>
      </c>
      <c r="K2686" t="inlineStr">
        <is>
          <t>Non</t>
        </is>
      </c>
      <c r="L2686">
        <f>SUBTOTAL(103,A2686)</f>
        <v>1</v>
      </c>
    </row>
    <row r="2687">
      <c r="A2687" t="inlineStr">
        <is>
          <t>SOCIETE C703</t>
        </is>
      </c>
      <c r="B2687" t="inlineStr">
        <is>
          <t>C703</t>
        </is>
      </c>
      <c r="C2687" t="inlineStr">
        <is>
          <t>CORPORATE BANKING</t>
        </is>
      </c>
      <c r="D2687" t="inlineStr">
        <is>
          <t>I</t>
        </is>
      </c>
      <c r="E2687" t="inlineStr">
        <is>
          <t>Stage 1</t>
        </is>
      </c>
      <c r="F2687" t="inlineStr">
        <is>
          <t>N/A</t>
        </is>
      </c>
      <c r="G2687" s="26">
        <v>1626658488</v>
      </c>
      <c r="H2687" s="26">
        <v>16266585</v>
      </c>
      <c r="I2687" s="26">
        <v>0</v>
      </c>
      <c r="J2687" s="26">
        <v>47</v>
      </c>
      <c r="K2687" t="inlineStr">
        <is>
          <t>Non</t>
        </is>
      </c>
      <c r="L2687">
        <f>SUBTOTAL(103,A2687)</f>
        <v>1</v>
      </c>
    </row>
    <row r="2688">
      <c r="A2688" t="inlineStr">
        <is>
          <t>SOCIETE C208</t>
        </is>
      </c>
      <c r="B2688" t="inlineStr">
        <is>
          <t>C208</t>
        </is>
      </c>
      <c r="C2688" t="inlineStr">
        <is>
          <t>COMMERCIAL BANKING</t>
        </is>
      </c>
      <c r="D2688" t="inlineStr">
        <is>
          <t>I</t>
        </is>
      </c>
      <c r="E2688" t="inlineStr">
        <is>
          <t>Stage 1</t>
        </is>
      </c>
      <c r="F2688" t="inlineStr">
        <is>
          <t>N/A</t>
        </is>
      </c>
      <c r="G2688" s="26">
        <v>2770017537</v>
      </c>
      <c r="H2688" s="26">
        <v>27700175</v>
      </c>
      <c r="I2688" s="26">
        <v>0</v>
      </c>
      <c r="J2688" s="26">
        <v>218</v>
      </c>
      <c r="K2688" t="inlineStr">
        <is>
          <t>Non</t>
        </is>
      </c>
      <c r="L2688">
        <f>SUBTOTAL(103,A2688)</f>
        <v>1</v>
      </c>
    </row>
    <row r="2689">
      <c r="A2689" t="inlineStr">
        <is>
          <t>SOCIETE C713</t>
        </is>
      </c>
      <c r="B2689" t="inlineStr">
        <is>
          <t>C713</t>
        </is>
      </c>
      <c r="C2689" t="inlineStr">
        <is>
          <t>CORPORATE BANKING</t>
        </is>
      </c>
      <c r="D2689" t="inlineStr">
        <is>
          <t>II</t>
        </is>
      </c>
      <c r="E2689" t="inlineStr">
        <is>
          <t>Stage 2</t>
        </is>
      </c>
      <c r="F2689" t="inlineStr">
        <is>
          <t>N/A</t>
        </is>
      </c>
      <c r="G2689" s="26">
        <v>1526634118</v>
      </c>
      <c r="H2689" s="26">
        <v>91598047</v>
      </c>
      <c r="I2689" s="26">
        <v>0</v>
      </c>
      <c r="J2689" s="26">
        <v>56</v>
      </c>
      <c r="K2689" t="inlineStr">
        <is>
          <t>Non</t>
        </is>
      </c>
      <c r="L2689">
        <f>SUBTOTAL(103,A2689)</f>
        <v>1</v>
      </c>
    </row>
    <row r="2690">
      <c r="A2690" t="inlineStr">
        <is>
          <t>SOCIETE C1347</t>
        </is>
      </c>
      <c r="B2690" t="inlineStr">
        <is>
          <t>C1347</t>
        </is>
      </c>
      <c r="C2690" t="inlineStr">
        <is>
          <t>CORPORATE BANKING</t>
        </is>
      </c>
      <c r="D2690" t="inlineStr">
        <is>
          <t>I</t>
        </is>
      </c>
      <c r="E2690" t="inlineStr">
        <is>
          <t>Stage 1</t>
        </is>
      </c>
      <c r="F2690" t="inlineStr">
        <is>
          <t>N/A</t>
        </is>
      </c>
      <c r="G2690" s="26">
        <v>810924802</v>
      </c>
      <c r="H2690" s="26">
        <v>8109248</v>
      </c>
      <c r="I2690" s="26">
        <v>0</v>
      </c>
      <c r="J2690" s="26">
        <v>32</v>
      </c>
      <c r="K2690" t="inlineStr">
        <is>
          <t>Non</t>
        </is>
      </c>
      <c r="L2690">
        <f>SUBTOTAL(103,A2690)</f>
        <v>1</v>
      </c>
    </row>
    <row r="2691">
      <c r="A2691" t="inlineStr">
        <is>
          <t>SOCIETE C1187</t>
        </is>
      </c>
      <c r="B2691" t="inlineStr">
        <is>
          <t>C1187</t>
        </is>
      </c>
      <c r="C2691" t="inlineStr">
        <is>
          <t>INSTITUTIONAL</t>
        </is>
      </c>
      <c r="D2691" t="inlineStr">
        <is>
          <t>IV</t>
        </is>
      </c>
      <c r="E2691" t="inlineStr">
        <is>
          <t>Stage 3</t>
        </is>
      </c>
      <c r="F2691" t="inlineStr">
        <is>
          <t>N/A</t>
        </is>
      </c>
      <c r="G2691" s="26">
        <v>807559899</v>
      </c>
      <c r="H2691" s="26">
        <v>444157945</v>
      </c>
      <c r="I2691" s="26">
        <v>0</v>
      </c>
      <c r="J2691" s="26">
        <v>11</v>
      </c>
      <c r="K2691" t="inlineStr">
        <is>
          <t>Oui</t>
        </is>
      </c>
      <c r="L2691">
        <f>SUBTOTAL(103,A2691)</f>
        <v>1</v>
      </c>
    </row>
    <row r="2692">
      <c r="A2692" t="inlineStr">
        <is>
          <t>SOCIETE C1838</t>
        </is>
      </c>
      <c r="B2692" t="inlineStr">
        <is>
          <t>C1838</t>
        </is>
      </c>
      <c r="C2692" t="inlineStr">
        <is>
          <t>COMMERCIAL BANKING</t>
        </is>
      </c>
      <c r="D2692" t="inlineStr">
        <is>
          <t>IA</t>
        </is>
      </c>
      <c r="E2692" t="inlineStr">
        <is>
          <t>Stage 2</t>
        </is>
      </c>
      <c r="F2692" t="inlineStr">
        <is>
          <t>N/A</t>
        </is>
      </c>
      <c r="G2692" s="26">
        <v>1595345990</v>
      </c>
      <c r="H2692" s="26">
        <v>95720759</v>
      </c>
      <c r="I2692" s="26">
        <v>0</v>
      </c>
      <c r="J2692" s="26">
        <v>6</v>
      </c>
      <c r="K2692" t="inlineStr">
        <is>
          <t>Non</t>
        </is>
      </c>
      <c r="L2692">
        <f>SUBTOTAL(103,A2692)</f>
        <v>1</v>
      </c>
    </row>
    <row r="2693">
      <c r="A2693" t="inlineStr">
        <is>
          <t>SOCIETE C757</t>
        </is>
      </c>
      <c r="B2693" t="inlineStr">
        <is>
          <t>C757</t>
        </is>
      </c>
      <c r="C2693" t="inlineStr">
        <is>
          <t>CORPORATE BANKING</t>
        </is>
      </c>
      <c r="D2693" t="inlineStr">
        <is>
          <t>IA</t>
        </is>
      </c>
      <c r="E2693" t="inlineStr">
        <is>
          <t>Stage 2</t>
        </is>
      </c>
      <c r="F2693" t="inlineStr">
        <is>
          <t>N/A</t>
        </is>
      </c>
      <c r="G2693" s="26">
        <v>31332909</v>
      </c>
      <c r="H2693" s="26">
        <v>1879975</v>
      </c>
      <c r="I2693" s="26">
        <v>0</v>
      </c>
      <c r="J2693" s="26">
        <v>0</v>
      </c>
      <c r="K2693" t="inlineStr">
        <is>
          <t>Non</t>
        </is>
      </c>
      <c r="L2693">
        <f>SUBTOTAL(103,A2693)</f>
        <v>1</v>
      </c>
    </row>
    <row r="2694">
      <c r="A2694" t="inlineStr">
        <is>
          <t>SOCIETE C855</t>
        </is>
      </c>
      <c r="B2694" t="inlineStr">
        <is>
          <t>C855</t>
        </is>
      </c>
      <c r="C2694" t="inlineStr">
        <is>
          <t>CORPORATE BANKING</t>
        </is>
      </c>
      <c r="D2694" t="inlineStr">
        <is>
          <t>II</t>
        </is>
      </c>
      <c r="E2694" t="inlineStr">
        <is>
          <t>Stage 2</t>
        </is>
      </c>
      <c r="F2694" t="inlineStr">
        <is>
          <t>N/A</t>
        </is>
      </c>
      <c r="G2694" s="26">
        <v>341987669</v>
      </c>
      <c r="H2694" s="26">
        <v>20519260</v>
      </c>
      <c r="I2694" s="26">
        <v>0</v>
      </c>
      <c r="J2694" s="26">
        <v>38</v>
      </c>
      <c r="K2694" t="inlineStr">
        <is>
          <t>Non</t>
        </is>
      </c>
      <c r="L2694">
        <f>SUBTOTAL(103,A2694)</f>
        <v>1</v>
      </c>
    </row>
    <row r="2695">
      <c r="A2695" t="inlineStr">
        <is>
          <t>SOCIETE C177</t>
        </is>
      </c>
      <c r="B2695" t="inlineStr">
        <is>
          <t>C177</t>
        </is>
      </c>
      <c r="C2695" t="inlineStr">
        <is>
          <t>CORPORATE BANKING</t>
        </is>
      </c>
      <c r="D2695" t="inlineStr">
        <is>
          <t>II</t>
        </is>
      </c>
      <c r="E2695" t="inlineStr">
        <is>
          <t>Stage 2</t>
        </is>
      </c>
      <c r="F2695" t="inlineStr">
        <is>
          <t>N/A</t>
        </is>
      </c>
      <c r="G2695" s="26">
        <v>1238765194</v>
      </c>
      <c r="H2695" s="26">
        <v>74325912</v>
      </c>
      <c r="I2695" s="26">
        <v>108213921</v>
      </c>
      <c r="J2695" s="26">
        <v>387</v>
      </c>
      <c r="K2695" t="inlineStr">
        <is>
          <t>Non</t>
        </is>
      </c>
      <c r="L2695">
        <f>SUBTOTAL(103,A2695)</f>
        <v>1</v>
      </c>
    </row>
    <row r="2696">
      <c r="A2696" t="inlineStr">
        <is>
          <t>SOCIETE C885</t>
        </is>
      </c>
      <c r="B2696" t="inlineStr">
        <is>
          <t>C885</t>
        </is>
      </c>
      <c r="C2696" t="inlineStr">
        <is>
          <t>CONSUMER BANKING</t>
        </is>
      </c>
      <c r="D2696" t="inlineStr">
        <is>
          <t>IA</t>
        </is>
      </c>
      <c r="E2696" t="inlineStr">
        <is>
          <t>Stage 2</t>
        </is>
      </c>
      <c r="F2696" t="inlineStr">
        <is>
          <t>N/A</t>
        </is>
      </c>
      <c r="G2696" s="26">
        <v>1240630798</v>
      </c>
      <c r="H2696" s="26">
        <v>74437848</v>
      </c>
      <c r="I2696" s="26">
        <v>42573318</v>
      </c>
      <c r="J2696" s="26">
        <v>200</v>
      </c>
      <c r="K2696" t="inlineStr">
        <is>
          <t>Non</t>
        </is>
      </c>
      <c r="L2696">
        <f>SUBTOTAL(103,A2696)</f>
        <v>1</v>
      </c>
    </row>
    <row r="2697">
      <c r="A2697" t="inlineStr">
        <is>
          <t>SOCIETE C1047</t>
        </is>
      </c>
      <c r="B2697" t="inlineStr">
        <is>
          <t>C1047</t>
        </is>
      </c>
      <c r="C2697" t="inlineStr">
        <is>
          <t>CORPORATE BANKING</t>
        </is>
      </c>
      <c r="D2697" t="inlineStr">
        <is>
          <t>I</t>
        </is>
      </c>
      <c r="E2697" t="inlineStr">
        <is>
          <t>Stage 1</t>
        </is>
      </c>
      <c r="F2697" t="inlineStr">
        <is>
          <t>N/A</t>
        </is>
      </c>
      <c r="G2697" s="26">
        <v>2783408150</v>
      </c>
      <c r="H2697" s="26">
        <v>27834081</v>
      </c>
      <c r="I2697" s="26">
        <v>483947518</v>
      </c>
      <c r="J2697" s="26">
        <v>3</v>
      </c>
      <c r="K2697" t="inlineStr">
        <is>
          <t>Non</t>
        </is>
      </c>
      <c r="L2697">
        <f>SUBTOTAL(103,A2697)</f>
        <v>1</v>
      </c>
    </row>
    <row r="2698">
      <c r="A2698" t="inlineStr">
        <is>
          <t>SOCIETE C2010</t>
        </is>
      </c>
      <c r="B2698" t="inlineStr">
        <is>
          <t>C2010</t>
        </is>
      </c>
      <c r="C2698" t="inlineStr">
        <is>
          <t>CONSUMER BANKING</t>
        </is>
      </c>
      <c r="D2698" t="inlineStr">
        <is>
          <t>I</t>
        </is>
      </c>
      <c r="E2698" t="inlineStr">
        <is>
          <t>Stage 1</t>
        </is>
      </c>
      <c r="F2698" t="inlineStr">
        <is>
          <t>N/A</t>
        </is>
      </c>
      <c r="G2698" s="26">
        <v>6900714</v>
      </c>
      <c r="H2698" s="26">
        <v>69007</v>
      </c>
      <c r="I2698" s="26">
        <v>0</v>
      </c>
      <c r="J2698" s="26">
        <v>18</v>
      </c>
      <c r="K2698" t="inlineStr">
        <is>
          <t>Non</t>
        </is>
      </c>
      <c r="L2698">
        <f>SUBTOTAL(103,A2698)</f>
        <v>1</v>
      </c>
    </row>
    <row r="2699">
      <c r="A2699" t="inlineStr">
        <is>
          <t>SOCIETE C228</t>
        </is>
      </c>
      <c r="B2699" t="inlineStr">
        <is>
          <t>C228</t>
        </is>
      </c>
      <c r="C2699" t="inlineStr">
        <is>
          <t>COMMERCIAL BANKING</t>
        </is>
      </c>
      <c r="D2699" t="inlineStr">
        <is>
          <t>I</t>
        </is>
      </c>
      <c r="E2699" t="inlineStr">
        <is>
          <t>Stage 1</t>
        </is>
      </c>
      <c r="F2699" t="inlineStr">
        <is>
          <t>N/A</t>
        </is>
      </c>
      <c r="G2699" s="26">
        <v>603438660</v>
      </c>
      <c r="H2699" s="26">
        <v>6034387</v>
      </c>
      <c r="I2699" s="26">
        <v>0</v>
      </c>
      <c r="J2699" s="26">
        <v>1</v>
      </c>
      <c r="K2699" t="inlineStr">
        <is>
          <t>Non</t>
        </is>
      </c>
      <c r="L2699">
        <f>SUBTOTAL(103,A2699)</f>
        <v>1</v>
      </c>
    </row>
    <row r="2700">
      <c r="A2700" t="inlineStr">
        <is>
          <t>SOCIETE C1347</t>
        </is>
      </c>
      <c r="B2700" t="inlineStr">
        <is>
          <t>C1347</t>
        </is>
      </c>
      <c r="C2700" t="inlineStr">
        <is>
          <t>CONSUMER BANKING</t>
        </is>
      </c>
      <c r="D2700" t="inlineStr">
        <is>
          <t>IV</t>
        </is>
      </c>
      <c r="E2700" t="inlineStr">
        <is>
          <t>Stage 3</t>
        </is>
      </c>
      <c r="F2700" t="inlineStr">
        <is>
          <t>N/A</t>
        </is>
      </c>
      <c r="G2700" s="26">
        <v>1721800277</v>
      </c>
      <c r="H2700" s="26">
        <v>946990152</v>
      </c>
      <c r="I2700" s="26">
        <v>177793474</v>
      </c>
      <c r="J2700" s="26">
        <v>58</v>
      </c>
      <c r="K2700" t="inlineStr">
        <is>
          <t>Oui</t>
        </is>
      </c>
      <c r="L2700">
        <f>SUBTOTAL(103,A2700)</f>
        <v>1</v>
      </c>
    </row>
    <row r="2701">
      <c r="A2701" t="inlineStr">
        <is>
          <t>SOCIETE C308</t>
        </is>
      </c>
      <c r="B2701" t="inlineStr">
        <is>
          <t>C308</t>
        </is>
      </c>
      <c r="C2701" t="inlineStr">
        <is>
          <t>COMMERCIAL BANKING</t>
        </is>
      </c>
      <c r="D2701" t="inlineStr">
        <is>
          <t>I</t>
        </is>
      </c>
      <c r="E2701" t="inlineStr">
        <is>
          <t>Stage 1</t>
        </is>
      </c>
      <c r="F2701" t="inlineStr">
        <is>
          <t>N/A</t>
        </is>
      </c>
      <c r="G2701" s="26">
        <v>2465664630</v>
      </c>
      <c r="H2701" s="26">
        <v>24656646</v>
      </c>
      <c r="I2701" s="26">
        <v>0</v>
      </c>
      <c r="J2701" s="26">
        <v>189</v>
      </c>
      <c r="K2701" t="inlineStr">
        <is>
          <t>Non</t>
        </is>
      </c>
      <c r="L2701">
        <f>SUBTOTAL(103,A2701)</f>
        <v>1</v>
      </c>
    </row>
    <row r="2702">
      <c r="A2702" t="inlineStr">
        <is>
          <t>SOCIETE C427</t>
        </is>
      </c>
      <c r="B2702" t="inlineStr">
        <is>
          <t>C427</t>
        </is>
      </c>
      <c r="C2702" t="inlineStr">
        <is>
          <t>SME</t>
        </is>
      </c>
      <c r="D2702" t="inlineStr">
        <is>
          <t>IA</t>
        </is>
      </c>
      <c r="E2702" t="inlineStr">
        <is>
          <t>Stage 2</t>
        </is>
      </c>
      <c r="F2702" t="inlineStr">
        <is>
          <t>N/A</t>
        </is>
      </c>
      <c r="G2702" s="26">
        <v>1145669313</v>
      </c>
      <c r="H2702" s="26">
        <v>68740159</v>
      </c>
      <c r="I2702" s="26">
        <v>0</v>
      </c>
      <c r="J2702" s="26">
        <v>46</v>
      </c>
      <c r="K2702" t="inlineStr">
        <is>
          <t>Non</t>
        </is>
      </c>
      <c r="L2702">
        <f>SUBTOTAL(103,A2702)</f>
        <v>1</v>
      </c>
    </row>
    <row r="2703">
      <c r="A2703" t="inlineStr">
        <is>
          <t>SOCIETE C1594</t>
        </is>
      </c>
      <c r="B2703" t="inlineStr">
        <is>
          <t>C1594</t>
        </is>
      </c>
      <c r="C2703" t="inlineStr">
        <is>
          <t>INSTITUTIONAL</t>
        </is>
      </c>
      <c r="D2703" t="inlineStr">
        <is>
          <t>I</t>
        </is>
      </c>
      <c r="E2703" t="inlineStr">
        <is>
          <t>Stage 1</t>
        </is>
      </c>
      <c r="F2703" t="inlineStr">
        <is>
          <t>N/A</t>
        </is>
      </c>
      <c r="G2703" s="26">
        <v>2415056575</v>
      </c>
      <c r="H2703" s="26">
        <v>24150566</v>
      </c>
      <c r="I2703" s="26">
        <v>0</v>
      </c>
      <c r="J2703" s="26">
        <v>16</v>
      </c>
      <c r="K2703" t="inlineStr">
        <is>
          <t>Non</t>
        </is>
      </c>
      <c r="L2703">
        <f>SUBTOTAL(103,A2703)</f>
        <v>1</v>
      </c>
    </row>
    <row r="2704">
      <c r="A2704" t="inlineStr">
        <is>
          <t>SOCIETE C2062</t>
        </is>
      </c>
      <c r="B2704" t="inlineStr">
        <is>
          <t>C2062</t>
        </is>
      </c>
      <c r="C2704" t="inlineStr">
        <is>
          <t>SME</t>
        </is>
      </c>
      <c r="D2704" t="inlineStr">
        <is>
          <t>II</t>
        </is>
      </c>
      <c r="E2704" t="inlineStr">
        <is>
          <t>Stage 2</t>
        </is>
      </c>
      <c r="F2704" t="inlineStr">
        <is>
          <t>N/A</t>
        </is>
      </c>
      <c r="G2704" s="26">
        <v>696300539</v>
      </c>
      <c r="H2704" s="26">
        <v>41778032</v>
      </c>
      <c r="I2704" s="26">
        <v>50667763</v>
      </c>
      <c r="J2704" s="26">
        <v>86</v>
      </c>
      <c r="K2704" t="inlineStr">
        <is>
          <t>Non</t>
        </is>
      </c>
      <c r="L2704">
        <f>SUBTOTAL(103,A2704)</f>
        <v>1</v>
      </c>
    </row>
    <row r="2705">
      <c r="A2705" t="inlineStr">
        <is>
          <t>SOCIETE C2079</t>
        </is>
      </c>
      <c r="B2705" t="inlineStr">
        <is>
          <t>C2079</t>
        </is>
      </c>
      <c r="C2705" t="inlineStr">
        <is>
          <t>CORPORATE BANKING</t>
        </is>
      </c>
      <c r="D2705" t="inlineStr">
        <is>
          <t>I</t>
        </is>
      </c>
      <c r="E2705" t="inlineStr">
        <is>
          <t>Stage 1</t>
        </is>
      </c>
      <c r="F2705" t="inlineStr">
        <is>
          <t>N/A</t>
        </is>
      </c>
      <c r="G2705" s="26">
        <v>866573486</v>
      </c>
      <c r="H2705" s="26">
        <v>8665735</v>
      </c>
      <c r="I2705" s="26">
        <v>0</v>
      </c>
      <c r="J2705" s="26">
        <v>5</v>
      </c>
      <c r="K2705" t="inlineStr">
        <is>
          <t>Non</t>
        </is>
      </c>
      <c r="L2705">
        <f>SUBTOTAL(103,A2705)</f>
        <v>1</v>
      </c>
    </row>
    <row r="2706">
      <c r="A2706" t="inlineStr">
        <is>
          <t>SOCIETE C2019</t>
        </is>
      </c>
      <c r="B2706" t="inlineStr">
        <is>
          <t>C2019</t>
        </is>
      </c>
      <c r="C2706" t="inlineStr">
        <is>
          <t>CORPORATE BANKING</t>
        </is>
      </c>
      <c r="D2706" t="inlineStr">
        <is>
          <t>IA</t>
        </is>
      </c>
      <c r="E2706" t="inlineStr">
        <is>
          <t>Stage 2</t>
        </is>
      </c>
      <c r="F2706" t="inlineStr">
        <is>
          <t>N/A</t>
        </is>
      </c>
      <c r="G2706" s="26">
        <v>142031665</v>
      </c>
      <c r="H2706" s="26">
        <v>8521900</v>
      </c>
      <c r="I2706" s="26">
        <v>6621896</v>
      </c>
      <c r="J2706" s="26">
        <v>228</v>
      </c>
      <c r="K2706" t="inlineStr">
        <is>
          <t>Non</t>
        </is>
      </c>
      <c r="L2706">
        <f>SUBTOTAL(103,A2706)</f>
        <v>1</v>
      </c>
    </row>
    <row r="2707">
      <c r="A2707" t="inlineStr">
        <is>
          <t>SOCIETE C1697</t>
        </is>
      </c>
      <c r="B2707" t="inlineStr">
        <is>
          <t>C1697</t>
        </is>
      </c>
      <c r="C2707" t="inlineStr">
        <is>
          <t>COMMERCIAL BANKING</t>
        </is>
      </c>
      <c r="D2707" t="inlineStr">
        <is>
          <t>III</t>
        </is>
      </c>
      <c r="E2707" t="inlineStr">
        <is>
          <t>Stage 3</t>
        </is>
      </c>
      <c r="F2707" t="inlineStr">
        <is>
          <t>N/A</t>
        </is>
      </c>
      <c r="G2707" s="26">
        <v>31367373</v>
      </c>
      <c r="H2707" s="26">
        <v>17252055</v>
      </c>
      <c r="I2707" s="26">
        <v>0</v>
      </c>
      <c r="J2707" s="26">
        <v>3</v>
      </c>
      <c r="K2707" t="inlineStr">
        <is>
          <t>Oui</t>
        </is>
      </c>
      <c r="L2707">
        <f>SUBTOTAL(103,A2707)</f>
        <v>1</v>
      </c>
    </row>
    <row r="2708">
      <c r="A2708" t="inlineStr">
        <is>
          <t>SOCIETE C116</t>
        </is>
      </c>
      <c r="B2708" t="inlineStr">
        <is>
          <t>C116</t>
        </is>
      </c>
      <c r="C2708" t="inlineStr">
        <is>
          <t>CORPORATE BANKING</t>
        </is>
      </c>
      <c r="D2708" t="inlineStr">
        <is>
          <t>I</t>
        </is>
      </c>
      <c r="E2708" t="inlineStr">
        <is>
          <t>Stage 1</t>
        </is>
      </c>
      <c r="F2708" t="inlineStr">
        <is>
          <t>N/A</t>
        </is>
      </c>
      <c r="G2708" s="26">
        <v>78764297</v>
      </c>
      <c r="H2708" s="26">
        <v>787643</v>
      </c>
      <c r="I2708" s="26">
        <v>0</v>
      </c>
      <c r="J2708" s="26">
        <v>349</v>
      </c>
      <c r="K2708" t="inlineStr">
        <is>
          <t>Non</t>
        </is>
      </c>
      <c r="L2708">
        <f>SUBTOTAL(103,A2708)</f>
        <v>1</v>
      </c>
    </row>
    <row r="2709">
      <c r="A2709" t="inlineStr">
        <is>
          <t>SOCIETE C1221</t>
        </is>
      </c>
      <c r="B2709" t="inlineStr">
        <is>
          <t>C1221</t>
        </is>
      </c>
      <c r="C2709" t="inlineStr">
        <is>
          <t>CONSUMER BANKING</t>
        </is>
      </c>
      <c r="D2709" t="inlineStr">
        <is>
          <t>IA</t>
        </is>
      </c>
      <c r="E2709" t="inlineStr">
        <is>
          <t>Stage 2</t>
        </is>
      </c>
      <c r="F2709" t="inlineStr">
        <is>
          <t>N/A</t>
        </is>
      </c>
      <c r="G2709" s="26">
        <v>973495504</v>
      </c>
      <c r="H2709" s="26">
        <v>58409730</v>
      </c>
      <c r="I2709" s="26">
        <v>108743529</v>
      </c>
      <c r="J2709" s="26">
        <v>0</v>
      </c>
      <c r="K2709" t="inlineStr">
        <is>
          <t>Non</t>
        </is>
      </c>
      <c r="L2709">
        <f>SUBTOTAL(103,A2709)</f>
        <v>1</v>
      </c>
    </row>
    <row r="2710">
      <c r="A2710" t="inlineStr">
        <is>
          <t>SOCIETE C169</t>
        </is>
      </c>
      <c r="B2710" t="inlineStr">
        <is>
          <t>C169</t>
        </is>
      </c>
      <c r="C2710" t="inlineStr">
        <is>
          <t>CORPORATE BANKING</t>
        </is>
      </c>
      <c r="D2710" t="inlineStr">
        <is>
          <t>V</t>
        </is>
      </c>
      <c r="E2710" t="inlineStr">
        <is>
          <t>Stage 3</t>
        </is>
      </c>
      <c r="F2710" t="inlineStr">
        <is>
          <t>N/A</t>
        </is>
      </c>
      <c r="G2710" s="26">
        <v>5564487</v>
      </c>
      <c r="H2710" s="26">
        <v>3060468</v>
      </c>
      <c r="I2710" s="26">
        <v>0</v>
      </c>
      <c r="J2710" s="26">
        <v>270</v>
      </c>
      <c r="K2710" t="inlineStr">
        <is>
          <t>Oui</t>
        </is>
      </c>
      <c r="L2710">
        <f>SUBTOTAL(103,A2710)</f>
        <v>1</v>
      </c>
    </row>
    <row r="2711">
      <c r="A2711" t="inlineStr">
        <is>
          <t>SOCIETE C636</t>
        </is>
      </c>
      <c r="B2711" t="inlineStr">
        <is>
          <t>C636</t>
        </is>
      </c>
      <c r="C2711" t="inlineStr">
        <is>
          <t>COMMERCIAL BANKING</t>
        </is>
      </c>
      <c r="D2711" t="inlineStr">
        <is>
          <t>IA</t>
        </is>
      </c>
      <c r="E2711" t="inlineStr">
        <is>
          <t>Stage 2</t>
        </is>
      </c>
      <c r="F2711" t="inlineStr">
        <is>
          <t>N/A</t>
        </is>
      </c>
      <c r="G2711" s="26">
        <v>1837309178</v>
      </c>
      <c r="H2711" s="26">
        <v>110238551</v>
      </c>
      <c r="I2711" s="26">
        <v>0</v>
      </c>
      <c r="J2711" s="26">
        <v>103</v>
      </c>
      <c r="K2711" t="inlineStr">
        <is>
          <t>Non</t>
        </is>
      </c>
      <c r="L2711">
        <f>SUBTOTAL(103,A2711)</f>
        <v>1</v>
      </c>
    </row>
    <row r="2712">
      <c r="A2712" t="inlineStr">
        <is>
          <t>SOCIETE C854</t>
        </is>
      </c>
      <c r="B2712" t="inlineStr">
        <is>
          <t>C854</t>
        </is>
      </c>
      <c r="C2712" t="inlineStr">
        <is>
          <t>CORPORATE BANKING</t>
        </is>
      </c>
      <c r="D2712" t="inlineStr">
        <is>
          <t>III</t>
        </is>
      </c>
      <c r="E2712" t="inlineStr">
        <is>
          <t>Stage 3</t>
        </is>
      </c>
      <c r="F2712" t="inlineStr">
        <is>
          <t>N/A</t>
        </is>
      </c>
      <c r="G2712" s="26">
        <v>1724686357</v>
      </c>
      <c r="H2712" s="26">
        <v>948577496</v>
      </c>
      <c r="I2712" s="26">
        <v>0</v>
      </c>
      <c r="J2712" s="26">
        <v>45</v>
      </c>
      <c r="K2712" t="inlineStr">
        <is>
          <t>Oui</t>
        </is>
      </c>
      <c r="L2712">
        <f>SUBTOTAL(103,A2712)</f>
        <v>1</v>
      </c>
    </row>
    <row r="2713">
      <c r="A2713" t="inlineStr">
        <is>
          <t>SOCIETE C892</t>
        </is>
      </c>
      <c r="B2713" t="inlineStr">
        <is>
          <t>C892</t>
        </is>
      </c>
      <c r="C2713" t="inlineStr">
        <is>
          <t>CORPORATE BANKING</t>
        </is>
      </c>
      <c r="D2713" t="inlineStr">
        <is>
          <t>I</t>
        </is>
      </c>
      <c r="E2713" t="inlineStr">
        <is>
          <t>Stage 1</t>
        </is>
      </c>
      <c r="F2713" t="inlineStr">
        <is>
          <t>N/A</t>
        </is>
      </c>
      <c r="G2713" s="26">
        <v>25020507</v>
      </c>
      <c r="H2713" s="26">
        <v>250205</v>
      </c>
      <c r="I2713" s="26">
        <v>2783243</v>
      </c>
      <c r="J2713" s="26">
        <v>37</v>
      </c>
      <c r="K2713" t="inlineStr">
        <is>
          <t>Non</t>
        </is>
      </c>
      <c r="L2713">
        <f>SUBTOTAL(103,A2713)</f>
        <v>1</v>
      </c>
    </row>
    <row r="2714">
      <c r="A2714" t="inlineStr">
        <is>
          <t>SOCIETE C1734</t>
        </is>
      </c>
      <c r="B2714" t="inlineStr">
        <is>
          <t>C1734</t>
        </is>
      </c>
      <c r="C2714" t="inlineStr">
        <is>
          <t>COMMERCIAL BANKING</t>
        </is>
      </c>
      <c r="D2714" t="inlineStr">
        <is>
          <t>I</t>
        </is>
      </c>
      <c r="E2714" t="inlineStr">
        <is>
          <t>Stage 1</t>
        </is>
      </c>
      <c r="F2714" t="inlineStr">
        <is>
          <t>N/A</t>
        </is>
      </c>
      <c r="G2714" s="26">
        <v>2061020226</v>
      </c>
      <c r="H2714" s="26">
        <v>20610202</v>
      </c>
      <c r="I2714" s="26">
        <v>0</v>
      </c>
      <c r="J2714" s="26">
        <v>71</v>
      </c>
      <c r="K2714" t="inlineStr">
        <is>
          <t>Non</t>
        </is>
      </c>
      <c r="L2714">
        <f>SUBTOTAL(103,A2714)</f>
        <v>1</v>
      </c>
    </row>
    <row r="2715">
      <c r="A2715" t="inlineStr">
        <is>
          <t>SOCIETE C616</t>
        </is>
      </c>
      <c r="B2715" t="inlineStr">
        <is>
          <t>C616</t>
        </is>
      </c>
      <c r="C2715" t="inlineStr">
        <is>
          <t>PUBLIC SECTOR</t>
        </is>
      </c>
      <c r="D2715" t="inlineStr">
        <is>
          <t>I</t>
        </is>
      </c>
      <c r="E2715" t="inlineStr">
        <is>
          <t>Stage 1</t>
        </is>
      </c>
      <c r="F2715" t="inlineStr">
        <is>
          <t>N/A</t>
        </is>
      </c>
      <c r="G2715" s="26">
        <v>124690711</v>
      </c>
      <c r="H2715" s="26">
        <v>1246907</v>
      </c>
      <c r="I2715" s="26">
        <v>0</v>
      </c>
      <c r="J2715" s="26">
        <v>72</v>
      </c>
      <c r="K2715" t="inlineStr">
        <is>
          <t>Non</t>
        </is>
      </c>
      <c r="L2715">
        <f>SUBTOTAL(103,A2715)</f>
        <v>1</v>
      </c>
    </row>
    <row r="2716">
      <c r="A2716" t="inlineStr">
        <is>
          <t>SOCIETE C360</t>
        </is>
      </c>
      <c r="B2716" t="inlineStr">
        <is>
          <t>C360</t>
        </is>
      </c>
      <c r="C2716" t="inlineStr">
        <is>
          <t>COMMERCIAL BANKING</t>
        </is>
      </c>
      <c r="D2716" t="inlineStr">
        <is>
          <t>III</t>
        </is>
      </c>
      <c r="E2716" t="inlineStr">
        <is>
          <t>Stage 3</t>
        </is>
      </c>
      <c r="F2716" t="inlineStr">
        <is>
          <t>N/A</t>
        </is>
      </c>
      <c r="G2716" s="26">
        <v>792633841</v>
      </c>
      <c r="H2716" s="26">
        <v>435948612</v>
      </c>
      <c r="I2716" s="26">
        <v>0</v>
      </c>
      <c r="J2716" s="26">
        <v>237</v>
      </c>
      <c r="K2716" t="inlineStr">
        <is>
          <t>Oui</t>
        </is>
      </c>
      <c r="L2716">
        <f>SUBTOTAL(103,A2716)</f>
        <v>1</v>
      </c>
    </row>
    <row r="2717">
      <c r="A2717" t="inlineStr">
        <is>
          <t>SOCIETE C134</t>
        </is>
      </c>
      <c r="B2717" t="inlineStr">
        <is>
          <t>C134</t>
        </is>
      </c>
      <c r="C2717" t="inlineStr">
        <is>
          <t>SME</t>
        </is>
      </c>
      <c r="D2717" t="inlineStr">
        <is>
          <t>V</t>
        </is>
      </c>
      <c r="E2717" t="inlineStr">
        <is>
          <t>Stage 3</t>
        </is>
      </c>
      <c r="F2717" t="inlineStr">
        <is>
          <t>N/A</t>
        </is>
      </c>
      <c r="G2717" s="26">
        <v>2858237082</v>
      </c>
      <c r="H2717" s="26">
        <v>1572030395</v>
      </c>
      <c r="I2717" s="26">
        <v>410337224</v>
      </c>
      <c r="J2717" s="26">
        <v>18</v>
      </c>
      <c r="K2717" t="inlineStr">
        <is>
          <t>Oui</t>
        </is>
      </c>
      <c r="L2717">
        <f>SUBTOTAL(103,A2717)</f>
        <v>1</v>
      </c>
    </row>
    <row r="2718">
      <c r="A2718" t="inlineStr">
        <is>
          <t>SOCIETE C161</t>
        </is>
      </c>
      <c r="B2718" t="inlineStr">
        <is>
          <t>C161</t>
        </is>
      </c>
      <c r="C2718" t="inlineStr">
        <is>
          <t>CORPORATE BANKING</t>
        </is>
      </c>
      <c r="D2718" t="inlineStr">
        <is>
          <t>V</t>
        </is>
      </c>
      <c r="E2718" t="inlineStr">
        <is>
          <t>Stage 3</t>
        </is>
      </c>
      <c r="F2718" t="inlineStr">
        <is>
          <t>N/A</t>
        </is>
      </c>
      <c r="G2718" s="26">
        <v>2949390783</v>
      </c>
      <c r="H2718" s="26">
        <v>1622164931</v>
      </c>
      <c r="I2718" s="26">
        <v>67951788</v>
      </c>
      <c r="J2718" s="26">
        <v>31</v>
      </c>
      <c r="K2718" t="inlineStr">
        <is>
          <t>Oui</t>
        </is>
      </c>
      <c r="L2718">
        <f>SUBTOTAL(103,A2718)</f>
        <v>1</v>
      </c>
    </row>
    <row r="2719">
      <c r="A2719" t="inlineStr">
        <is>
          <t>SOCIETE C1537</t>
        </is>
      </c>
      <c r="B2719" t="inlineStr">
        <is>
          <t>C1537</t>
        </is>
      </c>
      <c r="C2719" t="inlineStr">
        <is>
          <t>CORPORATE BANKING</t>
        </is>
      </c>
      <c r="D2719" t="inlineStr">
        <is>
          <t>I</t>
        </is>
      </c>
      <c r="E2719" t="inlineStr">
        <is>
          <t>Stage 1</t>
        </is>
      </c>
      <c r="F2719" t="inlineStr">
        <is>
          <t>N/A</t>
        </is>
      </c>
      <c r="G2719" s="26">
        <v>155763653</v>
      </c>
      <c r="H2719" s="26">
        <v>1557637</v>
      </c>
      <c r="I2719" s="26">
        <v>0</v>
      </c>
      <c r="J2719" s="26">
        <v>92</v>
      </c>
      <c r="K2719" t="inlineStr">
        <is>
          <t>Non</t>
        </is>
      </c>
      <c r="L2719">
        <f>SUBTOTAL(103,A2719)</f>
        <v>1</v>
      </c>
    </row>
    <row r="2720">
      <c r="A2720" t="inlineStr">
        <is>
          <t>SOCIETE C1857</t>
        </is>
      </c>
      <c r="B2720" t="inlineStr">
        <is>
          <t>C1857</t>
        </is>
      </c>
      <c r="C2720" t="inlineStr">
        <is>
          <t>CORPORATE BANKING</t>
        </is>
      </c>
      <c r="D2720" t="inlineStr">
        <is>
          <t>I</t>
        </is>
      </c>
      <c r="E2720" t="inlineStr">
        <is>
          <t>Stage 1</t>
        </is>
      </c>
      <c r="F2720" t="inlineStr">
        <is>
          <t>N/A</t>
        </is>
      </c>
      <c r="G2720" s="26">
        <v>249736287</v>
      </c>
      <c r="H2720" s="26">
        <v>2497363</v>
      </c>
      <c r="I2720" s="26">
        <v>0</v>
      </c>
      <c r="J2720" s="26">
        <v>172</v>
      </c>
      <c r="K2720" t="inlineStr">
        <is>
          <t>Non</t>
        </is>
      </c>
      <c r="L2720">
        <f>SUBTOTAL(103,A2720)</f>
        <v>1</v>
      </c>
    </row>
    <row r="2721">
      <c r="A2721" t="inlineStr">
        <is>
          <t>SOCIETE C40</t>
        </is>
      </c>
      <c r="B2721" t="inlineStr">
        <is>
          <t>C40</t>
        </is>
      </c>
      <c r="C2721" t="inlineStr">
        <is>
          <t>CORPORATE BANKING</t>
        </is>
      </c>
      <c r="D2721" t="inlineStr">
        <is>
          <t>IA</t>
        </is>
      </c>
      <c r="E2721" t="inlineStr">
        <is>
          <t>Stage 2</t>
        </is>
      </c>
      <c r="F2721" t="inlineStr">
        <is>
          <t>N/A</t>
        </is>
      </c>
      <c r="G2721" s="26">
        <v>45450320</v>
      </c>
      <c r="H2721" s="26">
        <v>2727019</v>
      </c>
      <c r="I2721" s="26">
        <v>5971840</v>
      </c>
      <c r="J2721" s="26">
        <v>72</v>
      </c>
      <c r="K2721" t="inlineStr">
        <is>
          <t>Non</t>
        </is>
      </c>
      <c r="L2721">
        <f>SUBTOTAL(103,A2721)</f>
        <v>1</v>
      </c>
    </row>
    <row r="2722">
      <c r="A2722" t="inlineStr">
        <is>
          <t>SOCIETE C839</t>
        </is>
      </c>
      <c r="B2722" t="inlineStr">
        <is>
          <t>C839</t>
        </is>
      </c>
      <c r="C2722" t="inlineStr">
        <is>
          <t>COMMERCIAL BANKING</t>
        </is>
      </c>
      <c r="D2722" t="inlineStr">
        <is>
          <t>I</t>
        </is>
      </c>
      <c r="E2722" t="inlineStr">
        <is>
          <t>Stage 1</t>
        </is>
      </c>
      <c r="F2722" t="inlineStr">
        <is>
          <t>N/A</t>
        </is>
      </c>
      <c r="G2722" s="26">
        <v>544034145</v>
      </c>
      <c r="H2722" s="26">
        <v>5440341</v>
      </c>
      <c r="I2722" s="26">
        <v>0</v>
      </c>
      <c r="J2722" s="26">
        <v>36</v>
      </c>
      <c r="K2722" t="inlineStr">
        <is>
          <t>Non</t>
        </is>
      </c>
      <c r="L2722">
        <f>SUBTOTAL(103,A2722)</f>
        <v>1</v>
      </c>
    </row>
    <row r="2723">
      <c r="A2723" t="inlineStr">
        <is>
          <t>SOCIETE C673</t>
        </is>
      </c>
      <c r="B2723" t="inlineStr">
        <is>
          <t>C673</t>
        </is>
      </c>
      <c r="C2723" t="inlineStr">
        <is>
          <t>CORPORATE BANKING</t>
        </is>
      </c>
      <c r="D2723" t="inlineStr">
        <is>
          <t>I</t>
        </is>
      </c>
      <c r="E2723" t="inlineStr">
        <is>
          <t>Stage 1</t>
        </is>
      </c>
      <c r="F2723" t="inlineStr">
        <is>
          <t>N/A</t>
        </is>
      </c>
      <c r="G2723" s="26">
        <v>4553393</v>
      </c>
      <c r="H2723" s="26">
        <v>45534</v>
      </c>
      <c r="I2723" s="26">
        <v>412539</v>
      </c>
      <c r="J2723" s="26">
        <v>157</v>
      </c>
      <c r="K2723" t="inlineStr">
        <is>
          <t>Non</t>
        </is>
      </c>
      <c r="L2723">
        <f>SUBTOTAL(103,A2723)</f>
        <v>1</v>
      </c>
    </row>
    <row r="2724">
      <c r="A2724" t="inlineStr">
        <is>
          <t>SOCIETE C418</t>
        </is>
      </c>
      <c r="B2724" t="inlineStr">
        <is>
          <t>C418</t>
        </is>
      </c>
      <c r="C2724" t="inlineStr">
        <is>
          <t>CORPORATE BANKING</t>
        </is>
      </c>
      <c r="D2724" t="inlineStr">
        <is>
          <t>I</t>
        </is>
      </c>
      <c r="E2724" t="inlineStr">
        <is>
          <t>Stage 1</t>
        </is>
      </c>
      <c r="F2724" t="inlineStr">
        <is>
          <t>N/A</t>
        </is>
      </c>
      <c r="G2724" s="26">
        <v>570645424</v>
      </c>
      <c r="H2724" s="26">
        <v>5706454</v>
      </c>
      <c r="I2724" s="26">
        <v>0</v>
      </c>
      <c r="J2724" s="26">
        <v>103</v>
      </c>
      <c r="K2724" t="inlineStr">
        <is>
          <t>Non</t>
        </is>
      </c>
      <c r="L2724">
        <f>SUBTOTAL(103,A2724)</f>
        <v>1</v>
      </c>
    </row>
    <row r="2725">
      <c r="A2725" t="inlineStr">
        <is>
          <t>SOCIETE C566</t>
        </is>
      </c>
      <c r="B2725" t="inlineStr">
        <is>
          <t>C566</t>
        </is>
      </c>
      <c r="C2725" t="inlineStr">
        <is>
          <t>CORPORATE BANKING</t>
        </is>
      </c>
      <c r="D2725" t="inlineStr">
        <is>
          <t>II</t>
        </is>
      </c>
      <c r="E2725" t="inlineStr">
        <is>
          <t>Stage 2</t>
        </is>
      </c>
      <c r="F2725" t="inlineStr">
        <is>
          <t>N/A</t>
        </is>
      </c>
      <c r="G2725" s="26">
        <v>7521712</v>
      </c>
      <c r="H2725" s="26">
        <v>451303</v>
      </c>
      <c r="I2725" s="26">
        <v>0</v>
      </c>
      <c r="J2725" s="26">
        <v>106</v>
      </c>
      <c r="K2725" t="inlineStr">
        <is>
          <t>Non</t>
        </is>
      </c>
      <c r="L2725">
        <f>SUBTOTAL(103,A2725)</f>
        <v>1</v>
      </c>
    </row>
    <row r="2726">
      <c r="A2726" t="inlineStr">
        <is>
          <t>SOCIETE C403</t>
        </is>
      </c>
      <c r="B2726" t="inlineStr">
        <is>
          <t>C403</t>
        </is>
      </c>
      <c r="C2726" t="inlineStr">
        <is>
          <t>SME</t>
        </is>
      </c>
      <c r="D2726" t="inlineStr">
        <is>
          <t>IA</t>
        </is>
      </c>
      <c r="E2726" t="inlineStr">
        <is>
          <t>Stage 2</t>
        </is>
      </c>
      <c r="F2726" t="inlineStr">
        <is>
          <t>N/A</t>
        </is>
      </c>
      <c r="G2726" s="26">
        <v>4499073</v>
      </c>
      <c r="H2726" s="26">
        <v>269944</v>
      </c>
      <c r="I2726" s="26">
        <v>0</v>
      </c>
      <c r="J2726" s="26">
        <v>12</v>
      </c>
      <c r="K2726" t="inlineStr">
        <is>
          <t>Non</t>
        </is>
      </c>
      <c r="L2726">
        <f>SUBTOTAL(103,A2726)</f>
        <v>1</v>
      </c>
    </row>
    <row r="2727">
      <c r="A2727" t="inlineStr">
        <is>
          <t>SOCIETE C1757</t>
        </is>
      </c>
      <c r="B2727" t="inlineStr">
        <is>
          <t>C1757</t>
        </is>
      </c>
      <c r="C2727" t="inlineStr">
        <is>
          <t>COMMERCIAL BANKING</t>
        </is>
      </c>
      <c r="D2727" t="inlineStr">
        <is>
          <t>IA</t>
        </is>
      </c>
      <c r="E2727" t="inlineStr">
        <is>
          <t>Stage 2</t>
        </is>
      </c>
      <c r="F2727" t="inlineStr">
        <is>
          <t>N/A</t>
        </is>
      </c>
      <c r="G2727" s="26">
        <v>1686978980</v>
      </c>
      <c r="H2727" s="26">
        <v>101218739</v>
      </c>
      <c r="I2727" s="26">
        <v>0</v>
      </c>
      <c r="J2727" s="26">
        <v>175</v>
      </c>
      <c r="K2727" t="inlineStr">
        <is>
          <t>Non</t>
        </is>
      </c>
      <c r="L2727">
        <f>SUBTOTAL(103,A2727)</f>
        <v>1</v>
      </c>
    </row>
    <row r="2728">
      <c r="A2728" t="inlineStr">
        <is>
          <t>SOCIETE C906</t>
        </is>
      </c>
      <c r="B2728" t="inlineStr">
        <is>
          <t>C906</t>
        </is>
      </c>
      <c r="C2728" t="inlineStr">
        <is>
          <t>CONSUMER BANKING</t>
        </is>
      </c>
      <c r="D2728" t="inlineStr">
        <is>
          <t>I</t>
        </is>
      </c>
      <c r="E2728" t="inlineStr">
        <is>
          <t>Stage 1</t>
        </is>
      </c>
      <c r="F2728" t="inlineStr">
        <is>
          <t>N/A</t>
        </is>
      </c>
      <c r="G2728" s="26">
        <v>544895987</v>
      </c>
      <c r="H2728" s="26">
        <v>5448960</v>
      </c>
      <c r="I2728" s="26">
        <v>0</v>
      </c>
      <c r="J2728" s="26">
        <v>339</v>
      </c>
      <c r="K2728" t="inlineStr">
        <is>
          <t>Non</t>
        </is>
      </c>
      <c r="L2728">
        <f>SUBTOTAL(103,A2728)</f>
        <v>1</v>
      </c>
    </row>
    <row r="2729">
      <c r="A2729" t="inlineStr">
        <is>
          <t>SOCIETE C2069</t>
        </is>
      </c>
      <c r="B2729" t="inlineStr">
        <is>
          <t>C2069</t>
        </is>
      </c>
      <c r="C2729" t="inlineStr">
        <is>
          <t>COMMERCIAL BANKING</t>
        </is>
      </c>
      <c r="D2729" t="inlineStr">
        <is>
          <t>II</t>
        </is>
      </c>
      <c r="E2729" t="inlineStr">
        <is>
          <t>Stage 2</t>
        </is>
      </c>
      <c r="F2729" t="inlineStr">
        <is>
          <t>N/A</t>
        </is>
      </c>
      <c r="G2729" s="26">
        <v>2125932140</v>
      </c>
      <c r="H2729" s="26">
        <v>127555928</v>
      </c>
      <c r="I2729" s="26">
        <v>132304896</v>
      </c>
      <c r="J2729" s="26">
        <v>4</v>
      </c>
      <c r="K2729" t="inlineStr">
        <is>
          <t>Non</t>
        </is>
      </c>
      <c r="L2729">
        <f>SUBTOTAL(103,A2729)</f>
        <v>1</v>
      </c>
    </row>
    <row r="2730">
      <c r="A2730" t="inlineStr">
        <is>
          <t>SOCIETE C1727</t>
        </is>
      </c>
      <c r="B2730" t="inlineStr">
        <is>
          <t>C1727</t>
        </is>
      </c>
      <c r="C2730" t="inlineStr">
        <is>
          <t>CORPORATE BANKING</t>
        </is>
      </c>
      <c r="D2730" t="inlineStr">
        <is>
          <t>IV</t>
        </is>
      </c>
      <c r="E2730" t="inlineStr">
        <is>
          <t>Stage 3</t>
        </is>
      </c>
      <c r="F2730" t="inlineStr">
        <is>
          <t>N/A</t>
        </is>
      </c>
      <c r="G2730" s="26">
        <v>342282864</v>
      </c>
      <c r="H2730" s="26">
        <v>188255575</v>
      </c>
      <c r="I2730" s="26">
        <v>0</v>
      </c>
      <c r="J2730" s="26">
        <v>122</v>
      </c>
      <c r="K2730" t="inlineStr">
        <is>
          <t>Oui</t>
        </is>
      </c>
      <c r="L2730">
        <f>SUBTOTAL(103,A2730)</f>
        <v>1</v>
      </c>
    </row>
    <row r="2731">
      <c r="A2731" t="inlineStr">
        <is>
          <t>SOCIETE C513</t>
        </is>
      </c>
      <c r="B2731" t="inlineStr">
        <is>
          <t>C513</t>
        </is>
      </c>
      <c r="C2731" t="inlineStr">
        <is>
          <t>PUBLIC SECTOR</t>
        </is>
      </c>
      <c r="D2731" t="inlineStr">
        <is>
          <t>IA</t>
        </is>
      </c>
      <c r="E2731" t="inlineStr">
        <is>
          <t>Stage 2</t>
        </is>
      </c>
      <c r="F2731" t="inlineStr">
        <is>
          <t>N/A</t>
        </is>
      </c>
      <c r="G2731" s="26">
        <v>109330563</v>
      </c>
      <c r="H2731" s="26">
        <v>6559834</v>
      </c>
      <c r="I2731" s="26">
        <v>0</v>
      </c>
      <c r="J2731" s="26">
        <v>304</v>
      </c>
      <c r="K2731" t="inlineStr">
        <is>
          <t>Non</t>
        </is>
      </c>
      <c r="L2731">
        <f>SUBTOTAL(103,A2731)</f>
        <v>1</v>
      </c>
    </row>
    <row r="2732">
      <c r="A2732" t="inlineStr">
        <is>
          <t>SOCIETE C2475</t>
        </is>
      </c>
      <c r="B2732" t="inlineStr">
        <is>
          <t>C2475</t>
        </is>
      </c>
      <c r="C2732" t="inlineStr">
        <is>
          <t>PUBLIC SECTOR</t>
        </is>
      </c>
      <c r="D2732" t="inlineStr">
        <is>
          <t>II</t>
        </is>
      </c>
      <c r="E2732" t="inlineStr">
        <is>
          <t>Stage 2</t>
        </is>
      </c>
      <c r="F2732" t="inlineStr">
        <is>
          <t>N/A</t>
        </is>
      </c>
      <c r="G2732" s="26">
        <v>354533661</v>
      </c>
      <c r="H2732" s="26">
        <v>21272020</v>
      </c>
      <c r="I2732" s="26">
        <v>1573286</v>
      </c>
      <c r="J2732" s="26">
        <v>98</v>
      </c>
      <c r="K2732" t="inlineStr">
        <is>
          <t>Non</t>
        </is>
      </c>
      <c r="L2732">
        <f>SUBTOTAL(103,A2732)</f>
        <v>1</v>
      </c>
    </row>
    <row r="2733">
      <c r="A2733" t="inlineStr">
        <is>
          <t>SOCIETE C484</t>
        </is>
      </c>
      <c r="B2733" t="inlineStr">
        <is>
          <t>C484</t>
        </is>
      </c>
      <c r="C2733" t="inlineStr">
        <is>
          <t>CONSUMER BANKING</t>
        </is>
      </c>
      <c r="D2733" t="inlineStr">
        <is>
          <t>V</t>
        </is>
      </c>
      <c r="E2733" t="inlineStr">
        <is>
          <t>Stage 3</t>
        </is>
      </c>
      <c r="F2733" t="inlineStr">
        <is>
          <t>N/A</t>
        </is>
      </c>
      <c r="G2733" s="26">
        <v>495014653</v>
      </c>
      <c r="H2733" s="26">
        <v>272258059</v>
      </c>
      <c r="I2733" s="26">
        <v>60340182</v>
      </c>
      <c r="J2733" s="26">
        <v>129</v>
      </c>
      <c r="K2733" t="inlineStr">
        <is>
          <t>Oui</t>
        </is>
      </c>
      <c r="L2733">
        <f>SUBTOTAL(103,A2733)</f>
        <v>1</v>
      </c>
    </row>
    <row r="2734">
      <c r="A2734" t="inlineStr">
        <is>
          <t>SOCIETE C886</t>
        </is>
      </c>
      <c r="B2734" t="inlineStr">
        <is>
          <t>C886</t>
        </is>
      </c>
      <c r="C2734" t="inlineStr">
        <is>
          <t>PUBLIC SECTOR</t>
        </is>
      </c>
      <c r="D2734" t="inlineStr">
        <is>
          <t>I</t>
        </is>
      </c>
      <c r="E2734" t="inlineStr">
        <is>
          <t>Stage 1</t>
        </is>
      </c>
      <c r="F2734" t="inlineStr">
        <is>
          <t>N/A</t>
        </is>
      </c>
      <c r="G2734" s="26">
        <v>2277262061</v>
      </c>
      <c r="H2734" s="26">
        <v>22772621</v>
      </c>
      <c r="I2734" s="26">
        <v>0</v>
      </c>
      <c r="J2734" s="26">
        <v>152</v>
      </c>
      <c r="K2734" t="inlineStr">
        <is>
          <t>Non</t>
        </is>
      </c>
      <c r="L2734">
        <f>SUBTOTAL(103,A2734)</f>
        <v>1</v>
      </c>
    </row>
    <row r="2735">
      <c r="A2735" t="inlineStr">
        <is>
          <t>SOCIETE C203</t>
        </is>
      </c>
      <c r="B2735" t="inlineStr">
        <is>
          <t>C203</t>
        </is>
      </c>
      <c r="C2735" t="inlineStr">
        <is>
          <t>CORPORATE BANKING</t>
        </is>
      </c>
      <c r="D2735" t="inlineStr">
        <is>
          <t>IA</t>
        </is>
      </c>
      <c r="E2735" t="inlineStr">
        <is>
          <t>Stage 2</t>
        </is>
      </c>
      <c r="F2735" t="inlineStr">
        <is>
          <t>N/A</t>
        </is>
      </c>
      <c r="G2735" s="26">
        <v>265678040</v>
      </c>
      <c r="H2735" s="26">
        <v>15940682</v>
      </c>
      <c r="I2735" s="26">
        <v>43004421</v>
      </c>
      <c r="J2735" s="26">
        <v>33</v>
      </c>
      <c r="K2735" t="inlineStr">
        <is>
          <t>Non</t>
        </is>
      </c>
      <c r="L2735">
        <f>SUBTOTAL(103,A2735)</f>
        <v>1</v>
      </c>
    </row>
    <row r="2736">
      <c r="A2736" t="inlineStr">
        <is>
          <t>SOCIETE C2326</t>
        </is>
      </c>
      <c r="B2736" t="inlineStr">
        <is>
          <t>C2326</t>
        </is>
      </c>
      <c r="C2736" t="inlineStr">
        <is>
          <t>COMMERCIAL BANKING</t>
        </is>
      </c>
      <c r="D2736" t="inlineStr">
        <is>
          <t>I</t>
        </is>
      </c>
      <c r="E2736" t="inlineStr">
        <is>
          <t>Stage 1</t>
        </is>
      </c>
      <c r="F2736" t="inlineStr">
        <is>
          <t>N/A</t>
        </is>
      </c>
      <c r="G2736" s="26">
        <v>1828704766</v>
      </c>
      <c r="H2736" s="26">
        <v>18287048</v>
      </c>
      <c r="I2736" s="26">
        <v>241797554</v>
      </c>
      <c r="J2736" s="26">
        <v>58</v>
      </c>
      <c r="K2736" t="inlineStr">
        <is>
          <t>Non</t>
        </is>
      </c>
      <c r="L2736">
        <f>SUBTOTAL(103,A2736)</f>
        <v>1</v>
      </c>
    </row>
    <row r="2737">
      <c r="A2737" t="inlineStr">
        <is>
          <t>SOCIETE C2244</t>
        </is>
      </c>
      <c r="B2737" t="inlineStr">
        <is>
          <t>C2244</t>
        </is>
      </c>
      <c r="C2737" t="inlineStr">
        <is>
          <t>PUBLIC SECTOR</t>
        </is>
      </c>
      <c r="D2737" t="inlineStr">
        <is>
          <t>IV</t>
        </is>
      </c>
      <c r="E2737" t="inlineStr">
        <is>
          <t>Stage 3</t>
        </is>
      </c>
      <c r="F2737" t="inlineStr">
        <is>
          <t>N/A</t>
        </is>
      </c>
      <c r="G2737" s="26">
        <v>1353403</v>
      </c>
      <c r="H2737" s="26">
        <v>744372</v>
      </c>
      <c r="I2737" s="26">
        <v>0</v>
      </c>
      <c r="J2737" s="26">
        <v>2</v>
      </c>
      <c r="K2737" t="inlineStr">
        <is>
          <t>Oui</t>
        </is>
      </c>
      <c r="L2737">
        <f>SUBTOTAL(103,A2737)</f>
        <v>1</v>
      </c>
    </row>
    <row r="2738">
      <c r="A2738" t="inlineStr">
        <is>
          <t>SOCIETE C1993</t>
        </is>
      </c>
      <c r="B2738" t="inlineStr">
        <is>
          <t>C1993</t>
        </is>
      </c>
      <c r="C2738" t="inlineStr">
        <is>
          <t>COMMERCIAL BANKING</t>
        </is>
      </c>
      <c r="D2738" t="inlineStr">
        <is>
          <t>I</t>
        </is>
      </c>
      <c r="E2738" t="inlineStr">
        <is>
          <t>Stage 1</t>
        </is>
      </c>
      <c r="F2738" t="inlineStr">
        <is>
          <t>N/A</t>
        </is>
      </c>
      <c r="G2738" s="26">
        <v>356442973</v>
      </c>
      <c r="H2738" s="26">
        <v>3564430</v>
      </c>
      <c r="I2738" s="26">
        <v>0</v>
      </c>
      <c r="J2738" s="26">
        <v>4</v>
      </c>
      <c r="K2738" t="inlineStr">
        <is>
          <t>Non</t>
        </is>
      </c>
      <c r="L2738">
        <f>SUBTOTAL(103,A2738)</f>
        <v>1</v>
      </c>
    </row>
    <row r="2739">
      <c r="A2739" t="inlineStr">
        <is>
          <t>SOCIETE C1147</t>
        </is>
      </c>
      <c r="B2739" t="inlineStr">
        <is>
          <t>C1147</t>
        </is>
      </c>
      <c r="C2739" t="inlineStr">
        <is>
          <t>CORPORATE BANKING</t>
        </is>
      </c>
      <c r="D2739" t="inlineStr">
        <is>
          <t>II</t>
        </is>
      </c>
      <c r="E2739" t="inlineStr">
        <is>
          <t>Stage 2</t>
        </is>
      </c>
      <c r="F2739" t="inlineStr">
        <is>
          <t>N/A</t>
        </is>
      </c>
      <c r="G2739" s="26">
        <v>7434329</v>
      </c>
      <c r="H2739" s="26">
        <v>446060</v>
      </c>
      <c r="I2739" s="26">
        <v>0</v>
      </c>
      <c r="J2739" s="26">
        <v>23</v>
      </c>
      <c r="K2739" t="inlineStr">
        <is>
          <t>Non</t>
        </is>
      </c>
      <c r="L2739">
        <f>SUBTOTAL(103,A2739)</f>
        <v>1</v>
      </c>
    </row>
    <row r="2740">
      <c r="A2740" t="inlineStr">
        <is>
          <t>SOCIETE C938</t>
        </is>
      </c>
      <c r="B2740" t="inlineStr">
        <is>
          <t>C938</t>
        </is>
      </c>
      <c r="C2740" t="inlineStr">
        <is>
          <t>CONSUMER BANKING</t>
        </is>
      </c>
      <c r="D2740" t="inlineStr">
        <is>
          <t>IA</t>
        </is>
      </c>
      <c r="E2740" t="inlineStr">
        <is>
          <t>Stage 2</t>
        </is>
      </c>
      <c r="F2740" t="inlineStr">
        <is>
          <t>N/A</t>
        </is>
      </c>
      <c r="G2740" s="26">
        <v>3733469</v>
      </c>
      <c r="H2740" s="26">
        <v>224008</v>
      </c>
      <c r="I2740" s="26">
        <v>716183</v>
      </c>
      <c r="J2740" s="26">
        <v>63</v>
      </c>
      <c r="K2740" t="inlineStr">
        <is>
          <t>Non</t>
        </is>
      </c>
      <c r="L2740">
        <f>SUBTOTAL(103,A2740)</f>
        <v>1</v>
      </c>
    </row>
    <row r="2741">
      <c r="A2741" t="inlineStr">
        <is>
          <t>SOCIETE C1268</t>
        </is>
      </c>
      <c r="B2741" t="inlineStr">
        <is>
          <t>C1268</t>
        </is>
      </c>
      <c r="C2741" t="inlineStr">
        <is>
          <t>CORPORATE BANKING</t>
        </is>
      </c>
      <c r="D2741" t="inlineStr">
        <is>
          <t>IA</t>
        </is>
      </c>
      <c r="E2741" t="inlineStr">
        <is>
          <t>Stage 2</t>
        </is>
      </c>
      <c r="F2741" t="inlineStr">
        <is>
          <t>N/A</t>
        </is>
      </c>
      <c r="G2741" s="26">
        <v>2676380050</v>
      </c>
      <c r="H2741" s="26">
        <v>160582803</v>
      </c>
      <c r="I2741" s="26">
        <v>0</v>
      </c>
      <c r="J2741" s="26">
        <v>256</v>
      </c>
      <c r="K2741" t="inlineStr">
        <is>
          <t>Non</t>
        </is>
      </c>
      <c r="L2741">
        <f>SUBTOTAL(103,A2741)</f>
        <v>1</v>
      </c>
    </row>
    <row r="2742">
      <c r="A2742" t="inlineStr">
        <is>
          <t>SOCIETE C2455</t>
        </is>
      </c>
      <c r="B2742" t="inlineStr">
        <is>
          <t>C2455</t>
        </is>
      </c>
      <c r="C2742" t="inlineStr">
        <is>
          <t>COMMERCIAL BANKING</t>
        </is>
      </c>
      <c r="D2742" t="inlineStr">
        <is>
          <t>II</t>
        </is>
      </c>
      <c r="E2742" t="inlineStr">
        <is>
          <t>Stage 2</t>
        </is>
      </c>
      <c r="F2742" t="inlineStr">
        <is>
          <t>N/A</t>
        </is>
      </c>
      <c r="G2742" s="26">
        <v>1020343519</v>
      </c>
      <c r="H2742" s="26">
        <v>61220611</v>
      </c>
      <c r="I2742" s="26">
        <v>0</v>
      </c>
      <c r="J2742" s="26">
        <v>93</v>
      </c>
      <c r="K2742" t="inlineStr">
        <is>
          <t>Non</t>
        </is>
      </c>
      <c r="L2742">
        <f>SUBTOTAL(103,A2742)</f>
        <v>1</v>
      </c>
    </row>
    <row r="2743">
      <c r="A2743" t="inlineStr">
        <is>
          <t>SOCIETE C703</t>
        </is>
      </c>
      <c r="B2743" t="inlineStr">
        <is>
          <t>C703</t>
        </is>
      </c>
      <c r="C2743" t="inlineStr">
        <is>
          <t>CORPORATE BANKING</t>
        </is>
      </c>
      <c r="D2743" t="inlineStr">
        <is>
          <t>I</t>
        </is>
      </c>
      <c r="E2743" t="inlineStr">
        <is>
          <t>Stage 1</t>
        </is>
      </c>
      <c r="F2743" t="inlineStr">
        <is>
          <t>N/A</t>
        </is>
      </c>
      <c r="G2743" s="26">
        <v>3565444</v>
      </c>
      <c r="H2743" s="26">
        <v>35654</v>
      </c>
      <c r="I2743" s="26">
        <v>0</v>
      </c>
      <c r="J2743" s="26">
        <v>102</v>
      </c>
      <c r="K2743" t="inlineStr">
        <is>
          <t>Non</t>
        </is>
      </c>
      <c r="L2743">
        <f>SUBTOTAL(103,A2743)</f>
        <v>1</v>
      </c>
    </row>
    <row r="2744">
      <c r="A2744" t="inlineStr">
        <is>
          <t>SOCIETE C686</t>
        </is>
      </c>
      <c r="B2744" t="inlineStr">
        <is>
          <t>C686</t>
        </is>
      </c>
      <c r="C2744" t="inlineStr">
        <is>
          <t>COMMERCIAL BANKING</t>
        </is>
      </c>
      <c r="D2744" t="inlineStr">
        <is>
          <t>IV</t>
        </is>
      </c>
      <c r="E2744" t="inlineStr">
        <is>
          <t>Stage 3</t>
        </is>
      </c>
      <c r="F2744" t="inlineStr">
        <is>
          <t>N/A</t>
        </is>
      </c>
      <c r="G2744" s="26">
        <v>96106000</v>
      </c>
      <c r="H2744" s="26">
        <v>52858300</v>
      </c>
      <c r="I2744" s="26">
        <v>0</v>
      </c>
      <c r="J2744" s="26">
        <v>13</v>
      </c>
      <c r="K2744" t="inlineStr">
        <is>
          <t>Oui</t>
        </is>
      </c>
      <c r="L2744">
        <f>SUBTOTAL(103,A2744)</f>
        <v>1</v>
      </c>
    </row>
    <row r="2745">
      <c r="A2745" t="inlineStr">
        <is>
          <t>SOCIETE C2344</t>
        </is>
      </c>
      <c r="B2745" t="inlineStr">
        <is>
          <t>C2344</t>
        </is>
      </c>
      <c r="C2745" t="inlineStr">
        <is>
          <t>CORPORATE BANKING</t>
        </is>
      </c>
      <c r="D2745" t="inlineStr">
        <is>
          <t>IA</t>
        </is>
      </c>
      <c r="E2745" t="inlineStr">
        <is>
          <t>Stage 2</t>
        </is>
      </c>
      <c r="F2745" t="inlineStr">
        <is>
          <t>N/A</t>
        </is>
      </c>
      <c r="G2745" s="26">
        <v>2657783913</v>
      </c>
      <c r="H2745" s="26">
        <v>159467035</v>
      </c>
      <c r="I2745" s="26">
        <v>0</v>
      </c>
      <c r="J2745" s="26">
        <v>342</v>
      </c>
      <c r="K2745" t="inlineStr">
        <is>
          <t>Non</t>
        </is>
      </c>
      <c r="L2745">
        <f>SUBTOTAL(103,A2745)</f>
        <v>1</v>
      </c>
    </row>
    <row r="2746">
      <c r="A2746" t="inlineStr">
        <is>
          <t>SOCIETE C866</t>
        </is>
      </c>
      <c r="B2746" t="inlineStr">
        <is>
          <t>C866</t>
        </is>
      </c>
      <c r="C2746" t="inlineStr">
        <is>
          <t>COMMERCIAL BANKING</t>
        </is>
      </c>
      <c r="D2746" t="inlineStr">
        <is>
          <t>I</t>
        </is>
      </c>
      <c r="E2746" t="inlineStr">
        <is>
          <t>Stage 1</t>
        </is>
      </c>
      <c r="F2746" t="inlineStr">
        <is>
          <t>N/A</t>
        </is>
      </c>
      <c r="G2746" s="26">
        <v>114992408</v>
      </c>
      <c r="H2746" s="26">
        <v>1149924</v>
      </c>
      <c r="I2746" s="26">
        <v>0</v>
      </c>
      <c r="J2746" s="26">
        <v>152</v>
      </c>
      <c r="K2746" t="inlineStr">
        <is>
          <t>Non</t>
        </is>
      </c>
      <c r="L2746">
        <f>SUBTOTAL(103,A2746)</f>
        <v>1</v>
      </c>
    </row>
    <row r="2747">
      <c r="A2747" t="inlineStr">
        <is>
          <t>SOCIETE C1834</t>
        </is>
      </c>
      <c r="B2747" t="inlineStr">
        <is>
          <t>C1834</t>
        </is>
      </c>
      <c r="C2747" t="inlineStr">
        <is>
          <t>COMMERCIAL BANKING</t>
        </is>
      </c>
      <c r="D2747" t="inlineStr">
        <is>
          <t>I</t>
        </is>
      </c>
      <c r="E2747" t="inlineStr">
        <is>
          <t>Stage 1</t>
        </is>
      </c>
      <c r="F2747" t="inlineStr">
        <is>
          <t>N/A</t>
        </is>
      </c>
      <c r="G2747" s="26">
        <v>1745671</v>
      </c>
      <c r="H2747" s="26">
        <v>17457</v>
      </c>
      <c r="I2747" s="26">
        <v>0</v>
      </c>
      <c r="J2747" s="26">
        <v>146</v>
      </c>
      <c r="K2747" t="inlineStr">
        <is>
          <t>Non</t>
        </is>
      </c>
      <c r="L2747">
        <f>SUBTOTAL(103,A2747)</f>
        <v>1</v>
      </c>
    </row>
    <row r="2748">
      <c r="A2748" t="inlineStr">
        <is>
          <t>SOCIETE C2497</t>
        </is>
      </c>
      <c r="B2748" t="inlineStr">
        <is>
          <t>C2497</t>
        </is>
      </c>
      <c r="C2748" t="inlineStr">
        <is>
          <t>CORPORATE BANKING</t>
        </is>
      </c>
      <c r="D2748" t="inlineStr">
        <is>
          <t>I</t>
        </is>
      </c>
      <c r="E2748" t="inlineStr">
        <is>
          <t>Stage 1</t>
        </is>
      </c>
      <c r="F2748" t="inlineStr">
        <is>
          <t>N/A</t>
        </is>
      </c>
      <c r="G2748" s="26">
        <v>191819976</v>
      </c>
      <c r="H2748" s="26">
        <v>1918200</v>
      </c>
      <c r="I2748" s="26">
        <v>36768150</v>
      </c>
      <c r="J2748" s="26">
        <v>95</v>
      </c>
      <c r="K2748" t="inlineStr">
        <is>
          <t>Non</t>
        </is>
      </c>
      <c r="L2748">
        <f>SUBTOTAL(103,A2748)</f>
        <v>1</v>
      </c>
    </row>
    <row r="2749">
      <c r="A2749" t="inlineStr">
        <is>
          <t>SOCIETE C345</t>
        </is>
      </c>
      <c r="B2749" t="inlineStr">
        <is>
          <t>C345</t>
        </is>
      </c>
      <c r="C2749" t="inlineStr">
        <is>
          <t>PUBLIC SECTOR</t>
        </is>
      </c>
      <c r="D2749" t="inlineStr">
        <is>
          <t>I</t>
        </is>
      </c>
      <c r="E2749" t="inlineStr">
        <is>
          <t>Stage 1</t>
        </is>
      </c>
      <c r="F2749" t="inlineStr">
        <is>
          <t>N/A</t>
        </is>
      </c>
      <c r="G2749" s="26">
        <v>3312999</v>
      </c>
      <c r="H2749" s="26">
        <v>33130</v>
      </c>
      <c r="I2749" s="26">
        <v>298784</v>
      </c>
      <c r="J2749" s="26">
        <v>166</v>
      </c>
      <c r="K2749" t="inlineStr">
        <is>
          <t>Non</t>
        </is>
      </c>
      <c r="L2749">
        <f>SUBTOTAL(103,A2749)</f>
        <v>1</v>
      </c>
    </row>
    <row r="2750">
      <c r="A2750" t="inlineStr">
        <is>
          <t>SOCIETE C170</t>
        </is>
      </c>
      <c r="B2750" t="inlineStr">
        <is>
          <t>C170</t>
        </is>
      </c>
      <c r="C2750" t="inlineStr">
        <is>
          <t>COMMERCIAL BANKING</t>
        </is>
      </c>
      <c r="D2750" t="inlineStr">
        <is>
          <t>I</t>
        </is>
      </c>
      <c r="E2750" t="inlineStr">
        <is>
          <t>Stage 1</t>
        </is>
      </c>
      <c r="F2750" t="inlineStr">
        <is>
          <t>N/A</t>
        </is>
      </c>
      <c r="G2750" s="26">
        <v>798801607</v>
      </c>
      <c r="H2750" s="26">
        <v>7988016</v>
      </c>
      <c r="I2750" s="26">
        <v>0</v>
      </c>
      <c r="J2750" s="26">
        <v>1</v>
      </c>
      <c r="K2750" t="inlineStr">
        <is>
          <t>Non</t>
        </is>
      </c>
      <c r="L2750">
        <f>SUBTOTAL(103,A2750)</f>
        <v>1</v>
      </c>
    </row>
    <row r="2751">
      <c r="A2751" t="inlineStr">
        <is>
          <t>SOCIETE C14</t>
        </is>
      </c>
      <c r="B2751" t="inlineStr">
        <is>
          <t>C14</t>
        </is>
      </c>
      <c r="C2751" t="inlineStr">
        <is>
          <t>COMMERCIAL BANKING</t>
        </is>
      </c>
      <c r="D2751" t="inlineStr">
        <is>
          <t>I</t>
        </is>
      </c>
      <c r="E2751" t="inlineStr">
        <is>
          <t>Stage 1</t>
        </is>
      </c>
      <c r="F2751" t="inlineStr">
        <is>
          <t>N/A</t>
        </is>
      </c>
      <c r="G2751" s="26">
        <v>943366755</v>
      </c>
      <c r="H2751" s="26">
        <v>9433668</v>
      </c>
      <c r="I2751" s="26">
        <v>0</v>
      </c>
      <c r="J2751" s="26">
        <v>313</v>
      </c>
      <c r="K2751" t="inlineStr">
        <is>
          <t>Non</t>
        </is>
      </c>
      <c r="L2751">
        <f>SUBTOTAL(103,A2751)</f>
        <v>1</v>
      </c>
    </row>
    <row r="2752">
      <c r="A2752" t="inlineStr">
        <is>
          <t>SOCIETE C1400</t>
        </is>
      </c>
      <c r="B2752" t="inlineStr">
        <is>
          <t>C1400</t>
        </is>
      </c>
      <c r="C2752" t="inlineStr">
        <is>
          <t>CORPORATE BANKING</t>
        </is>
      </c>
      <c r="D2752" t="inlineStr">
        <is>
          <t>I</t>
        </is>
      </c>
      <c r="E2752" t="inlineStr">
        <is>
          <t>Stage 1</t>
        </is>
      </c>
      <c r="F2752" t="inlineStr">
        <is>
          <t>N/A</t>
        </is>
      </c>
      <c r="G2752" s="26">
        <v>1068823</v>
      </c>
      <c r="H2752" s="26">
        <v>10688</v>
      </c>
      <c r="I2752" s="26">
        <v>0</v>
      </c>
      <c r="J2752" s="26">
        <v>63</v>
      </c>
      <c r="K2752" t="inlineStr">
        <is>
          <t>Non</t>
        </is>
      </c>
      <c r="L2752">
        <f>SUBTOTAL(103,A2752)</f>
        <v>1</v>
      </c>
    </row>
    <row r="2753">
      <c r="A2753" t="inlineStr">
        <is>
          <t>SOCIETE C404</t>
        </is>
      </c>
      <c r="B2753" t="inlineStr">
        <is>
          <t>C404</t>
        </is>
      </c>
      <c r="C2753" t="inlineStr">
        <is>
          <t>CORPORATE BANKING</t>
        </is>
      </c>
      <c r="D2753" t="inlineStr">
        <is>
          <t>I</t>
        </is>
      </c>
      <c r="E2753" t="inlineStr">
        <is>
          <t>Stage 1</t>
        </is>
      </c>
      <c r="F2753" t="inlineStr">
        <is>
          <t>N/A</t>
        </is>
      </c>
      <c r="G2753" s="26">
        <v>1367671198</v>
      </c>
      <c r="H2753" s="26">
        <v>13676712</v>
      </c>
      <c r="I2753" s="26">
        <v>0</v>
      </c>
      <c r="J2753" s="26">
        <v>152</v>
      </c>
      <c r="K2753" t="inlineStr">
        <is>
          <t>Non</t>
        </is>
      </c>
      <c r="L2753">
        <f>SUBTOTAL(103,A2753)</f>
        <v>1</v>
      </c>
    </row>
    <row r="2754">
      <c r="A2754" t="inlineStr">
        <is>
          <t>SOCIETE C2403</t>
        </is>
      </c>
      <c r="B2754" t="inlineStr">
        <is>
          <t>C2403</t>
        </is>
      </c>
      <c r="C2754" t="inlineStr">
        <is>
          <t>COMMERCIAL BANKING</t>
        </is>
      </c>
      <c r="D2754" t="inlineStr">
        <is>
          <t>III</t>
        </is>
      </c>
      <c r="E2754" t="inlineStr">
        <is>
          <t>Stage 3</t>
        </is>
      </c>
      <c r="F2754" t="inlineStr">
        <is>
          <t>N/A</t>
        </is>
      </c>
      <c r="G2754" s="26">
        <v>102839684</v>
      </c>
      <c r="H2754" s="26">
        <v>56561826</v>
      </c>
      <c r="I2754" s="26">
        <v>0</v>
      </c>
      <c r="J2754" s="26">
        <v>142</v>
      </c>
      <c r="K2754" t="inlineStr">
        <is>
          <t>Oui</t>
        </is>
      </c>
      <c r="L2754">
        <f>SUBTOTAL(103,A2754)</f>
        <v>1</v>
      </c>
    </row>
    <row r="2755">
      <c r="A2755" t="inlineStr">
        <is>
          <t>SOCIETE C857</t>
        </is>
      </c>
      <c r="B2755" t="inlineStr">
        <is>
          <t>C857</t>
        </is>
      </c>
      <c r="C2755" t="inlineStr">
        <is>
          <t>CORPORATE BANKING</t>
        </is>
      </c>
      <c r="D2755" t="inlineStr">
        <is>
          <t>IA</t>
        </is>
      </c>
      <c r="E2755" t="inlineStr">
        <is>
          <t>Stage 2</t>
        </is>
      </c>
      <c r="F2755" t="inlineStr">
        <is>
          <t>N/A</t>
        </is>
      </c>
      <c r="G2755" s="26">
        <v>17577118</v>
      </c>
      <c r="H2755" s="26">
        <v>1054627</v>
      </c>
      <c r="I2755" s="26">
        <v>0</v>
      </c>
      <c r="J2755" s="26">
        <v>1</v>
      </c>
      <c r="K2755" t="inlineStr">
        <is>
          <t>Non</t>
        </is>
      </c>
      <c r="L2755">
        <f>SUBTOTAL(103,A2755)</f>
        <v>1</v>
      </c>
    </row>
    <row r="2756">
      <c r="A2756" t="inlineStr">
        <is>
          <t>SOCIETE C352</t>
        </is>
      </c>
      <c r="B2756" t="inlineStr">
        <is>
          <t>C352</t>
        </is>
      </c>
      <c r="C2756" t="inlineStr">
        <is>
          <t>CORPORATE BANKING</t>
        </is>
      </c>
      <c r="D2756" t="inlineStr">
        <is>
          <t>IV</t>
        </is>
      </c>
      <c r="E2756" t="inlineStr">
        <is>
          <t>Stage 3</t>
        </is>
      </c>
      <c r="F2756" t="inlineStr">
        <is>
          <t>N/A</t>
        </is>
      </c>
      <c r="G2756" s="26">
        <v>268987970</v>
      </c>
      <c r="H2756" s="26">
        <v>147943383</v>
      </c>
      <c r="I2756" s="26">
        <v>0</v>
      </c>
      <c r="J2756" s="26">
        <v>27</v>
      </c>
      <c r="K2756" t="inlineStr">
        <is>
          <t>Oui</t>
        </is>
      </c>
      <c r="L2756">
        <f>SUBTOTAL(103,A2756)</f>
        <v>1</v>
      </c>
    </row>
    <row r="2757">
      <c r="A2757" t="inlineStr">
        <is>
          <t>SOCIETE C1365</t>
        </is>
      </c>
      <c r="B2757" t="inlineStr">
        <is>
          <t>C1365</t>
        </is>
      </c>
      <c r="C2757" t="inlineStr">
        <is>
          <t>COMMERCIAL BANKING</t>
        </is>
      </c>
      <c r="D2757" t="inlineStr">
        <is>
          <t>II</t>
        </is>
      </c>
      <c r="E2757" t="inlineStr">
        <is>
          <t>Stage 2</t>
        </is>
      </c>
      <c r="F2757" t="inlineStr">
        <is>
          <t>N/A</t>
        </is>
      </c>
      <c r="G2757" s="26">
        <v>1020490587</v>
      </c>
      <c r="H2757" s="26">
        <v>61229435</v>
      </c>
      <c r="I2757" s="26">
        <v>9671233</v>
      </c>
      <c r="J2757" s="26">
        <v>92</v>
      </c>
      <c r="K2757" t="inlineStr">
        <is>
          <t>Non</t>
        </is>
      </c>
      <c r="L2757">
        <f>SUBTOTAL(103,A2757)</f>
        <v>1</v>
      </c>
    </row>
    <row r="2758">
      <c r="A2758" t="inlineStr">
        <is>
          <t>SOCIETE C658</t>
        </is>
      </c>
      <c r="B2758" t="inlineStr">
        <is>
          <t>C658</t>
        </is>
      </c>
      <c r="C2758" t="inlineStr">
        <is>
          <t>CONSUMER BANKING</t>
        </is>
      </c>
      <c r="D2758" t="inlineStr">
        <is>
          <t>IV</t>
        </is>
      </c>
      <c r="E2758" t="inlineStr">
        <is>
          <t>Stage 3</t>
        </is>
      </c>
      <c r="F2758" t="inlineStr">
        <is>
          <t>N/A</t>
        </is>
      </c>
      <c r="G2758" s="26">
        <v>3788633</v>
      </c>
      <c r="H2758" s="26">
        <v>2083748</v>
      </c>
      <c r="I2758" s="26">
        <v>169763</v>
      </c>
      <c r="J2758" s="26">
        <v>123</v>
      </c>
      <c r="K2758" t="inlineStr">
        <is>
          <t>Oui</t>
        </is>
      </c>
      <c r="L2758">
        <f>SUBTOTAL(103,A2758)</f>
        <v>1</v>
      </c>
    </row>
    <row r="2759">
      <c r="A2759" t="inlineStr">
        <is>
          <t>SOCIETE C722</t>
        </is>
      </c>
      <c r="B2759" t="inlineStr">
        <is>
          <t>C722</t>
        </is>
      </c>
      <c r="C2759" t="inlineStr">
        <is>
          <t>CORPORATE BANKING</t>
        </is>
      </c>
      <c r="D2759" t="inlineStr">
        <is>
          <t>V</t>
        </is>
      </c>
      <c r="E2759" t="inlineStr">
        <is>
          <t>Stage 3</t>
        </is>
      </c>
      <c r="F2759" t="inlineStr">
        <is>
          <t>N/A</t>
        </is>
      </c>
      <c r="G2759" s="26">
        <v>1792239</v>
      </c>
      <c r="H2759" s="26">
        <v>985731</v>
      </c>
      <c r="I2759" s="26">
        <v>0</v>
      </c>
      <c r="J2759" s="26">
        <v>181</v>
      </c>
      <c r="K2759" t="inlineStr">
        <is>
          <t>Oui</t>
        </is>
      </c>
      <c r="L2759">
        <f>SUBTOTAL(103,A2759)</f>
        <v>1</v>
      </c>
    </row>
    <row r="2760">
      <c r="A2760" t="inlineStr">
        <is>
          <t>SOCIETE C1150</t>
        </is>
      </c>
      <c r="B2760" t="inlineStr">
        <is>
          <t>C1150</t>
        </is>
      </c>
      <c r="C2760" t="inlineStr">
        <is>
          <t>COMMERCIAL BANKING</t>
        </is>
      </c>
      <c r="D2760" t="inlineStr">
        <is>
          <t>I</t>
        </is>
      </c>
      <c r="E2760" t="inlineStr">
        <is>
          <t>Stage 1</t>
        </is>
      </c>
      <c r="F2760" t="inlineStr">
        <is>
          <t>N/A</t>
        </is>
      </c>
      <c r="G2760" s="26">
        <v>2301449825</v>
      </c>
      <c r="H2760" s="26">
        <v>23014498</v>
      </c>
      <c r="I2760" s="26">
        <v>0</v>
      </c>
      <c r="J2760" s="26">
        <v>92</v>
      </c>
      <c r="K2760" t="inlineStr">
        <is>
          <t>Non</t>
        </is>
      </c>
      <c r="L2760">
        <f>SUBTOTAL(103,A2760)</f>
        <v>1</v>
      </c>
    </row>
    <row r="2761">
      <c r="A2761" t="inlineStr">
        <is>
          <t>SOCIETE C654</t>
        </is>
      </c>
      <c r="B2761" t="inlineStr">
        <is>
          <t>C654</t>
        </is>
      </c>
      <c r="C2761" t="inlineStr">
        <is>
          <t>COMMERCIAL BANKING</t>
        </is>
      </c>
      <c r="D2761" t="inlineStr">
        <is>
          <t>III</t>
        </is>
      </c>
      <c r="E2761" t="inlineStr">
        <is>
          <t>Stage 3</t>
        </is>
      </c>
      <c r="F2761" t="inlineStr">
        <is>
          <t>N/A</t>
        </is>
      </c>
      <c r="G2761" s="26">
        <v>43422449</v>
      </c>
      <c r="H2761" s="26">
        <v>23882347</v>
      </c>
      <c r="I2761" s="26">
        <v>0</v>
      </c>
      <c r="J2761" s="26">
        <v>349</v>
      </c>
      <c r="K2761" t="inlineStr">
        <is>
          <t>Oui</t>
        </is>
      </c>
      <c r="L2761">
        <f>SUBTOTAL(103,A2761)</f>
        <v>1</v>
      </c>
    </row>
    <row r="2762">
      <c r="A2762" t="inlineStr">
        <is>
          <t>SOCIETE C1086</t>
        </is>
      </c>
      <c r="B2762" t="inlineStr">
        <is>
          <t>C1086</t>
        </is>
      </c>
      <c r="C2762" t="inlineStr">
        <is>
          <t>CORPORATE BANKING</t>
        </is>
      </c>
      <c r="D2762" t="inlineStr">
        <is>
          <t>I</t>
        </is>
      </c>
      <c r="E2762" t="inlineStr">
        <is>
          <t>Stage 1</t>
        </is>
      </c>
      <c r="F2762" t="inlineStr">
        <is>
          <t>N/A</t>
        </is>
      </c>
      <c r="G2762" s="26">
        <v>1453510329</v>
      </c>
      <c r="H2762" s="26">
        <v>14535103</v>
      </c>
      <c r="I2762" s="26">
        <v>38737168</v>
      </c>
      <c r="J2762" s="26">
        <v>72</v>
      </c>
      <c r="K2762" t="inlineStr">
        <is>
          <t>Non</t>
        </is>
      </c>
      <c r="L2762">
        <f>SUBTOTAL(103,A2762)</f>
        <v>1</v>
      </c>
    </row>
    <row r="2763">
      <c r="A2763" t="inlineStr">
        <is>
          <t>SOCIETE C167</t>
        </is>
      </c>
      <c r="B2763" t="inlineStr">
        <is>
          <t>C167</t>
        </is>
      </c>
      <c r="C2763" t="inlineStr">
        <is>
          <t>COMMERCIAL BANKING</t>
        </is>
      </c>
      <c r="D2763" t="inlineStr">
        <is>
          <t>III</t>
        </is>
      </c>
      <c r="E2763" t="inlineStr">
        <is>
          <t>Stage 3</t>
        </is>
      </c>
      <c r="F2763" t="inlineStr">
        <is>
          <t>N/A</t>
        </is>
      </c>
      <c r="G2763" s="26">
        <v>251402080</v>
      </c>
      <c r="H2763" s="26">
        <v>138271144</v>
      </c>
      <c r="I2763" s="26">
        <v>28864458</v>
      </c>
      <c r="J2763" s="26">
        <v>153</v>
      </c>
      <c r="K2763" t="inlineStr">
        <is>
          <t>Oui</t>
        </is>
      </c>
      <c r="L2763">
        <f>SUBTOTAL(103,A2763)</f>
        <v>1</v>
      </c>
    </row>
    <row r="2764">
      <c r="A2764" t="inlineStr">
        <is>
          <t>SOCIETE C2197</t>
        </is>
      </c>
      <c r="B2764" t="inlineStr">
        <is>
          <t>C2197</t>
        </is>
      </c>
      <c r="C2764" t="inlineStr">
        <is>
          <t>COMMERCIAL BANKING</t>
        </is>
      </c>
      <c r="D2764" t="inlineStr">
        <is>
          <t>I</t>
        </is>
      </c>
      <c r="E2764" t="inlineStr">
        <is>
          <t>Stage 1</t>
        </is>
      </c>
      <c r="F2764" t="inlineStr">
        <is>
          <t>N/A</t>
        </is>
      </c>
      <c r="G2764" s="26">
        <v>454611750</v>
      </c>
      <c r="H2764" s="26">
        <v>4546118</v>
      </c>
      <c r="I2764" s="26">
        <v>42629551</v>
      </c>
      <c r="J2764" s="26">
        <v>3</v>
      </c>
      <c r="K2764" t="inlineStr">
        <is>
          <t>Non</t>
        </is>
      </c>
      <c r="L2764">
        <f>SUBTOTAL(103,A2764)</f>
        <v>1</v>
      </c>
    </row>
    <row r="2765">
      <c r="A2765" t="inlineStr">
        <is>
          <t>SOCIETE C122</t>
        </is>
      </c>
      <c r="B2765" t="inlineStr">
        <is>
          <t>C122</t>
        </is>
      </c>
      <c r="C2765" t="inlineStr">
        <is>
          <t>CORPORATE BANKING</t>
        </is>
      </c>
      <c r="D2765" t="inlineStr">
        <is>
          <t>I</t>
        </is>
      </c>
      <c r="E2765" t="inlineStr">
        <is>
          <t>Stage 1</t>
        </is>
      </c>
      <c r="F2765" t="inlineStr">
        <is>
          <t>N/A</t>
        </is>
      </c>
      <c r="G2765" s="26">
        <v>494669689</v>
      </c>
      <c r="H2765" s="26">
        <v>4946697</v>
      </c>
      <c r="I2765" s="26">
        <v>0</v>
      </c>
      <c r="J2765" s="26">
        <v>2</v>
      </c>
      <c r="K2765" t="inlineStr">
        <is>
          <t>Non</t>
        </is>
      </c>
      <c r="L2765">
        <f>SUBTOTAL(103,A2765)</f>
        <v>1</v>
      </c>
    </row>
    <row r="2766">
      <c r="A2766" t="inlineStr">
        <is>
          <t>SOCIETE C416</t>
        </is>
      </c>
      <c r="B2766" t="inlineStr">
        <is>
          <t>C416</t>
        </is>
      </c>
      <c r="C2766" t="inlineStr">
        <is>
          <t>COMMERCIAL BANKING</t>
        </is>
      </c>
      <c r="D2766" t="inlineStr">
        <is>
          <t>IA</t>
        </is>
      </c>
      <c r="E2766" t="inlineStr">
        <is>
          <t>Stage 2</t>
        </is>
      </c>
      <c r="F2766" t="inlineStr">
        <is>
          <t>N/A</t>
        </is>
      </c>
      <c r="G2766" s="26">
        <v>1695549929</v>
      </c>
      <c r="H2766" s="26">
        <v>101732996</v>
      </c>
      <c r="I2766" s="26">
        <v>0</v>
      </c>
      <c r="J2766" s="26">
        <v>19</v>
      </c>
      <c r="K2766" t="inlineStr">
        <is>
          <t>Non</t>
        </is>
      </c>
      <c r="L2766">
        <f>SUBTOTAL(103,A2766)</f>
        <v>1</v>
      </c>
    </row>
    <row r="2767">
      <c r="A2767" t="inlineStr">
        <is>
          <t>SOCIETE C814</t>
        </is>
      </c>
      <c r="B2767" t="inlineStr">
        <is>
          <t>C814</t>
        </is>
      </c>
      <c r="C2767" t="inlineStr">
        <is>
          <t>CORPORATE BANKING</t>
        </is>
      </c>
      <c r="D2767" t="inlineStr">
        <is>
          <t>III</t>
        </is>
      </c>
      <c r="E2767" t="inlineStr">
        <is>
          <t>Stage 3</t>
        </is>
      </c>
      <c r="F2767" t="inlineStr">
        <is>
          <t>N/A</t>
        </is>
      </c>
      <c r="G2767" s="26">
        <v>115476007</v>
      </c>
      <c r="H2767" s="26">
        <v>63511804</v>
      </c>
      <c r="I2767" s="26">
        <v>0</v>
      </c>
      <c r="J2767" s="26">
        <v>37</v>
      </c>
      <c r="K2767" t="inlineStr">
        <is>
          <t>Oui</t>
        </is>
      </c>
      <c r="L2767">
        <f>SUBTOTAL(103,A2767)</f>
        <v>1</v>
      </c>
    </row>
    <row r="2768">
      <c r="A2768" t="inlineStr">
        <is>
          <t>SOCIETE C2359</t>
        </is>
      </c>
      <c r="B2768" t="inlineStr">
        <is>
          <t>C2359</t>
        </is>
      </c>
      <c r="C2768" t="inlineStr">
        <is>
          <t>CORPORATE BANKING</t>
        </is>
      </c>
      <c r="D2768" t="inlineStr">
        <is>
          <t>I</t>
        </is>
      </c>
      <c r="E2768" t="inlineStr">
        <is>
          <t>Stage 1</t>
        </is>
      </c>
      <c r="F2768" t="inlineStr">
        <is>
          <t>N/A</t>
        </is>
      </c>
      <c r="G2768" s="26">
        <v>384693607</v>
      </c>
      <c r="H2768" s="26">
        <v>3846936</v>
      </c>
      <c r="I2768" s="26">
        <v>0</v>
      </c>
      <c r="J2768" s="26">
        <v>11</v>
      </c>
      <c r="K2768" t="inlineStr">
        <is>
          <t>Non</t>
        </is>
      </c>
      <c r="L2768">
        <f>SUBTOTAL(103,A2768)</f>
        <v>1</v>
      </c>
    </row>
    <row r="2769">
      <c r="A2769" t="inlineStr">
        <is>
          <t>SOCIETE C572</t>
        </is>
      </c>
      <c r="B2769" t="inlineStr">
        <is>
          <t>C572</t>
        </is>
      </c>
      <c r="C2769" t="inlineStr">
        <is>
          <t>CONSUMER BANKING</t>
        </is>
      </c>
      <c r="D2769" t="inlineStr">
        <is>
          <t>IA</t>
        </is>
      </c>
      <c r="E2769" t="inlineStr">
        <is>
          <t>Stage 2</t>
        </is>
      </c>
      <c r="F2769" t="inlineStr">
        <is>
          <t>N/A</t>
        </is>
      </c>
      <c r="G2769" s="26">
        <v>5914220</v>
      </c>
      <c r="H2769" s="26">
        <v>354853</v>
      </c>
      <c r="I2769" s="26">
        <v>0</v>
      </c>
      <c r="J2769" s="26">
        <v>54</v>
      </c>
      <c r="K2769" t="inlineStr">
        <is>
          <t>Non</t>
        </is>
      </c>
      <c r="L2769">
        <f>SUBTOTAL(103,A2769)</f>
        <v>1</v>
      </c>
    </row>
    <row r="2770">
      <c r="A2770" t="inlineStr">
        <is>
          <t>SOCIETE C167</t>
        </is>
      </c>
      <c r="B2770" t="inlineStr">
        <is>
          <t>C167</t>
        </is>
      </c>
      <c r="C2770" t="inlineStr">
        <is>
          <t>CORPORATE BANKING</t>
        </is>
      </c>
      <c r="D2770" t="inlineStr">
        <is>
          <t>I</t>
        </is>
      </c>
      <c r="E2770" t="inlineStr">
        <is>
          <t>Stage 1</t>
        </is>
      </c>
      <c r="F2770" t="inlineStr">
        <is>
          <t>N/A</t>
        </is>
      </c>
      <c r="G2770" s="26">
        <v>2326486454</v>
      </c>
      <c r="H2770" s="26">
        <v>23264865</v>
      </c>
      <c r="I2770" s="26">
        <v>0</v>
      </c>
      <c r="J2770" s="26">
        <v>50</v>
      </c>
      <c r="K2770" t="inlineStr">
        <is>
          <t>Non</t>
        </is>
      </c>
      <c r="L2770">
        <f>SUBTOTAL(103,A2770)</f>
        <v>1</v>
      </c>
    </row>
    <row r="2771">
      <c r="A2771" t="inlineStr">
        <is>
          <t>SOCIETE C1889</t>
        </is>
      </c>
      <c r="B2771" t="inlineStr">
        <is>
          <t>C1889</t>
        </is>
      </c>
      <c r="C2771" t="inlineStr">
        <is>
          <t>CORPORATE BANKING</t>
        </is>
      </c>
      <c r="D2771" t="inlineStr">
        <is>
          <t>III</t>
        </is>
      </c>
      <c r="E2771" t="inlineStr">
        <is>
          <t>Stage 3</t>
        </is>
      </c>
      <c r="F2771" t="inlineStr">
        <is>
          <t>N/A</t>
        </is>
      </c>
      <c r="G2771" s="26">
        <v>549263413</v>
      </c>
      <c r="H2771" s="26">
        <v>302094877</v>
      </c>
      <c r="I2771" s="26">
        <v>0</v>
      </c>
      <c r="J2771" s="26">
        <v>58</v>
      </c>
      <c r="K2771" t="inlineStr">
        <is>
          <t>Oui</t>
        </is>
      </c>
      <c r="L2771">
        <f>SUBTOTAL(103,A2771)</f>
        <v>1</v>
      </c>
    </row>
    <row r="2772">
      <c r="A2772" t="inlineStr">
        <is>
          <t>SOCIETE C2492</t>
        </is>
      </c>
      <c r="B2772" t="inlineStr">
        <is>
          <t>C2492</t>
        </is>
      </c>
      <c r="C2772" t="inlineStr">
        <is>
          <t>COMMERCIAL BANKING</t>
        </is>
      </c>
      <c r="D2772" t="inlineStr">
        <is>
          <t>I</t>
        </is>
      </c>
      <c r="E2772" t="inlineStr">
        <is>
          <t>Stage 1</t>
        </is>
      </c>
      <c r="F2772" t="inlineStr">
        <is>
          <t>N/A</t>
        </is>
      </c>
      <c r="G2772" s="26">
        <v>2234166919</v>
      </c>
      <c r="H2772" s="26">
        <v>22341669</v>
      </c>
      <c r="I2772" s="26">
        <v>0</v>
      </c>
      <c r="J2772" s="26">
        <v>116</v>
      </c>
      <c r="K2772" t="inlineStr">
        <is>
          <t>Non</t>
        </is>
      </c>
      <c r="L2772">
        <f>SUBTOTAL(103,A2772)</f>
        <v>1</v>
      </c>
    </row>
    <row r="2773">
      <c r="A2773" t="inlineStr">
        <is>
          <t>SOCIETE C1832</t>
        </is>
      </c>
      <c r="B2773" t="inlineStr">
        <is>
          <t>C1832</t>
        </is>
      </c>
      <c r="C2773" t="inlineStr">
        <is>
          <t>CORPORATE BANKING</t>
        </is>
      </c>
      <c r="D2773" t="inlineStr">
        <is>
          <t>I</t>
        </is>
      </c>
      <c r="E2773" t="inlineStr">
        <is>
          <t>Stage 1</t>
        </is>
      </c>
      <c r="F2773" t="inlineStr">
        <is>
          <t>N/A</t>
        </is>
      </c>
      <c r="G2773" s="26">
        <v>16567186</v>
      </c>
      <c r="H2773" s="26">
        <v>165672</v>
      </c>
      <c r="I2773" s="26">
        <v>0</v>
      </c>
      <c r="J2773" s="26">
        <v>13</v>
      </c>
      <c r="K2773" t="inlineStr">
        <is>
          <t>Non</t>
        </is>
      </c>
      <c r="L2773">
        <f>SUBTOTAL(103,A2773)</f>
        <v>1</v>
      </c>
    </row>
    <row r="2774">
      <c r="A2774" t="inlineStr">
        <is>
          <t>SOCIETE C1898</t>
        </is>
      </c>
      <c r="B2774" t="inlineStr">
        <is>
          <t>C1898</t>
        </is>
      </c>
      <c r="C2774" t="inlineStr">
        <is>
          <t>CORPORATE BANKING</t>
        </is>
      </c>
      <c r="D2774" t="inlineStr">
        <is>
          <t>III</t>
        </is>
      </c>
      <c r="E2774" t="inlineStr">
        <is>
          <t>Stage 3</t>
        </is>
      </c>
      <c r="F2774" t="inlineStr">
        <is>
          <t>N/A</t>
        </is>
      </c>
      <c r="G2774" s="26">
        <v>919021058</v>
      </c>
      <c r="H2774" s="26">
        <v>505461582</v>
      </c>
      <c r="I2774" s="26">
        <v>0</v>
      </c>
      <c r="J2774" s="26">
        <v>133</v>
      </c>
      <c r="K2774" t="inlineStr">
        <is>
          <t>Oui</t>
        </is>
      </c>
      <c r="L2774">
        <f>SUBTOTAL(103,A2774)</f>
        <v>1</v>
      </c>
    </row>
    <row r="2775">
      <c r="A2775" t="inlineStr">
        <is>
          <t>SOCIETE C1380</t>
        </is>
      </c>
      <c r="B2775" t="inlineStr">
        <is>
          <t>C1380</t>
        </is>
      </c>
      <c r="C2775" t="inlineStr">
        <is>
          <t>CORPORATE BANKING</t>
        </is>
      </c>
      <c r="D2775" t="inlineStr">
        <is>
          <t>V</t>
        </is>
      </c>
      <c r="E2775" t="inlineStr">
        <is>
          <t>Stage 3</t>
        </is>
      </c>
      <c r="F2775" t="inlineStr">
        <is>
          <t>N/A</t>
        </is>
      </c>
      <c r="G2775" s="26">
        <v>73741001</v>
      </c>
      <c r="H2775" s="26">
        <v>40557550</v>
      </c>
      <c r="I2775" s="26">
        <v>0</v>
      </c>
      <c r="J2775" s="26">
        <v>50</v>
      </c>
      <c r="K2775" t="inlineStr">
        <is>
          <t>Oui</t>
        </is>
      </c>
      <c r="L2775">
        <f>SUBTOTAL(103,A2775)</f>
        <v>1</v>
      </c>
    </row>
    <row r="2776">
      <c r="A2776" t="inlineStr">
        <is>
          <t>SOCIETE C2339</t>
        </is>
      </c>
      <c r="B2776" t="inlineStr">
        <is>
          <t>C2339</t>
        </is>
      </c>
      <c r="C2776" t="inlineStr">
        <is>
          <t>CORPORATE BANKING</t>
        </is>
      </c>
      <c r="D2776" t="inlineStr">
        <is>
          <t>II</t>
        </is>
      </c>
      <c r="E2776" t="inlineStr">
        <is>
          <t>Stage 2</t>
        </is>
      </c>
      <c r="F2776" t="inlineStr">
        <is>
          <t>N/A</t>
        </is>
      </c>
      <c r="G2776" s="26">
        <v>873161304</v>
      </c>
      <c r="H2776" s="26">
        <v>52389678</v>
      </c>
      <c r="I2776" s="26">
        <v>80404022</v>
      </c>
      <c r="J2776" s="26">
        <v>5</v>
      </c>
      <c r="K2776" t="inlineStr">
        <is>
          <t>Non</t>
        </is>
      </c>
      <c r="L2776">
        <f>SUBTOTAL(103,A2776)</f>
        <v>1</v>
      </c>
    </row>
    <row r="2777">
      <c r="A2777" t="inlineStr">
        <is>
          <t>SOCIETE C2215</t>
        </is>
      </c>
      <c r="B2777" t="inlineStr">
        <is>
          <t>C2215</t>
        </is>
      </c>
      <c r="C2777" t="inlineStr">
        <is>
          <t>CORPORATE BANKING</t>
        </is>
      </c>
      <c r="D2777" t="inlineStr">
        <is>
          <t>IA</t>
        </is>
      </c>
      <c r="E2777" t="inlineStr">
        <is>
          <t>Stage 2</t>
        </is>
      </c>
      <c r="F2777" t="inlineStr">
        <is>
          <t>N/A</t>
        </is>
      </c>
      <c r="G2777" s="26">
        <v>13463839</v>
      </c>
      <c r="H2777" s="26">
        <v>807830</v>
      </c>
      <c r="I2777" s="26">
        <v>1209374</v>
      </c>
      <c r="J2777" s="26">
        <v>67</v>
      </c>
      <c r="K2777" t="inlineStr">
        <is>
          <t>Non</t>
        </is>
      </c>
      <c r="L2777">
        <f>SUBTOTAL(103,A2777)</f>
        <v>1</v>
      </c>
    </row>
    <row r="2778">
      <c r="A2778" t="inlineStr">
        <is>
          <t>SOCIETE C2463</t>
        </is>
      </c>
      <c r="B2778" t="inlineStr">
        <is>
          <t>C2463</t>
        </is>
      </c>
      <c r="C2778" t="inlineStr">
        <is>
          <t>CORPORATE BANKING</t>
        </is>
      </c>
      <c r="D2778" t="inlineStr">
        <is>
          <t>I</t>
        </is>
      </c>
      <c r="E2778" t="inlineStr">
        <is>
          <t>Stage 1</t>
        </is>
      </c>
      <c r="F2778" t="inlineStr">
        <is>
          <t>N/A</t>
        </is>
      </c>
      <c r="G2778" s="26">
        <v>247122862</v>
      </c>
      <c r="H2778" s="26">
        <v>2471229</v>
      </c>
      <c r="I2778" s="26">
        <v>0</v>
      </c>
      <c r="J2778" s="26">
        <v>59</v>
      </c>
      <c r="K2778" t="inlineStr">
        <is>
          <t>Non</t>
        </is>
      </c>
      <c r="L2778">
        <f>SUBTOTAL(103,A2778)</f>
        <v>1</v>
      </c>
    </row>
    <row r="2779">
      <c r="A2779" t="inlineStr">
        <is>
          <t>SOCIETE C2004</t>
        </is>
      </c>
      <c r="B2779" t="inlineStr">
        <is>
          <t>C2004</t>
        </is>
      </c>
      <c r="C2779" t="inlineStr">
        <is>
          <t>CORPORATE BANKING</t>
        </is>
      </c>
      <c r="D2779" t="inlineStr">
        <is>
          <t>I</t>
        </is>
      </c>
      <c r="E2779" t="inlineStr">
        <is>
          <t>Stage 1</t>
        </is>
      </c>
      <c r="F2779" t="inlineStr">
        <is>
          <t>N/A</t>
        </is>
      </c>
      <c r="G2779" s="26">
        <v>1419560785</v>
      </c>
      <c r="H2779" s="26">
        <v>14195608</v>
      </c>
      <c r="I2779" s="26">
        <v>8429336</v>
      </c>
      <c r="J2779" s="26">
        <v>275</v>
      </c>
      <c r="K2779" t="inlineStr">
        <is>
          <t>Non</t>
        </is>
      </c>
      <c r="L2779">
        <f>SUBTOTAL(103,A2779)</f>
        <v>1</v>
      </c>
    </row>
    <row r="2780">
      <c r="A2780" t="inlineStr">
        <is>
          <t>SOCIETE C1356</t>
        </is>
      </c>
      <c r="B2780" t="inlineStr">
        <is>
          <t>C1356</t>
        </is>
      </c>
      <c r="C2780" t="inlineStr">
        <is>
          <t>COMMERCIAL BANKING</t>
        </is>
      </c>
      <c r="D2780" t="inlineStr">
        <is>
          <t>IV</t>
        </is>
      </c>
      <c r="E2780" t="inlineStr">
        <is>
          <t>Stage 3</t>
        </is>
      </c>
      <c r="F2780" t="inlineStr">
        <is>
          <t>N/A</t>
        </is>
      </c>
      <c r="G2780" s="26">
        <v>103097086</v>
      </c>
      <c r="H2780" s="26">
        <v>56703397</v>
      </c>
      <c r="I2780" s="26">
        <v>0</v>
      </c>
      <c r="J2780" s="26">
        <v>225</v>
      </c>
      <c r="K2780" t="inlineStr">
        <is>
          <t>Oui</t>
        </is>
      </c>
      <c r="L2780">
        <f>SUBTOTAL(103,A2780)</f>
        <v>1</v>
      </c>
    </row>
    <row r="2781">
      <c r="A2781" t="inlineStr">
        <is>
          <t>SOCIETE C2365</t>
        </is>
      </c>
      <c r="B2781" t="inlineStr">
        <is>
          <t>C2365</t>
        </is>
      </c>
      <c r="C2781" t="inlineStr">
        <is>
          <t>SME</t>
        </is>
      </c>
      <c r="D2781" t="inlineStr">
        <is>
          <t>I</t>
        </is>
      </c>
      <c r="E2781" t="inlineStr">
        <is>
          <t>Stage 1</t>
        </is>
      </c>
      <c r="F2781" t="inlineStr">
        <is>
          <t>N/A</t>
        </is>
      </c>
      <c r="G2781" s="26">
        <v>3833153</v>
      </c>
      <c r="H2781" s="26">
        <v>38332</v>
      </c>
      <c r="I2781" s="26">
        <v>0</v>
      </c>
      <c r="J2781" s="26">
        <v>22</v>
      </c>
      <c r="K2781" t="inlineStr">
        <is>
          <t>Non</t>
        </is>
      </c>
      <c r="L2781">
        <f>SUBTOTAL(103,A2781)</f>
        <v>1</v>
      </c>
    </row>
    <row r="2782">
      <c r="A2782" t="inlineStr">
        <is>
          <t>SOCIETE C775</t>
        </is>
      </c>
      <c r="B2782" t="inlineStr">
        <is>
          <t>C775</t>
        </is>
      </c>
      <c r="C2782" t="inlineStr">
        <is>
          <t>CORPORATE BANKING</t>
        </is>
      </c>
      <c r="D2782" t="inlineStr">
        <is>
          <t>III</t>
        </is>
      </c>
      <c r="E2782" t="inlineStr">
        <is>
          <t>Stage 3</t>
        </is>
      </c>
      <c r="F2782" t="inlineStr">
        <is>
          <t>N/A</t>
        </is>
      </c>
      <c r="G2782" s="26">
        <v>80144895</v>
      </c>
      <c r="H2782" s="26">
        <v>44079692</v>
      </c>
      <c r="I2782" s="26">
        <v>3673778</v>
      </c>
      <c r="J2782" s="26">
        <v>11</v>
      </c>
      <c r="K2782" t="inlineStr">
        <is>
          <t>Oui</t>
        </is>
      </c>
      <c r="L2782">
        <f>SUBTOTAL(103,A2782)</f>
        <v>1</v>
      </c>
    </row>
    <row r="2783">
      <c r="A2783" t="inlineStr">
        <is>
          <t>SOCIETE C177</t>
        </is>
      </c>
      <c r="B2783" t="inlineStr">
        <is>
          <t>C177</t>
        </is>
      </c>
      <c r="C2783" t="inlineStr">
        <is>
          <t>COMMERCIAL BANKING</t>
        </is>
      </c>
      <c r="D2783" t="inlineStr">
        <is>
          <t>I</t>
        </is>
      </c>
      <c r="E2783" t="inlineStr">
        <is>
          <t>Stage 1</t>
        </is>
      </c>
      <c r="F2783" t="inlineStr">
        <is>
          <t>N/A</t>
        </is>
      </c>
      <c r="G2783" s="26">
        <v>2528642338</v>
      </c>
      <c r="H2783" s="26">
        <v>25286423</v>
      </c>
      <c r="I2783" s="26">
        <v>213534959</v>
      </c>
      <c r="J2783" s="26">
        <v>107</v>
      </c>
      <c r="K2783" t="inlineStr">
        <is>
          <t>Non</t>
        </is>
      </c>
      <c r="L2783">
        <f>SUBTOTAL(103,A2783)</f>
        <v>1</v>
      </c>
    </row>
    <row r="2784">
      <c r="A2784" t="inlineStr">
        <is>
          <t>SOCIETE C2038</t>
        </is>
      </c>
      <c r="B2784" t="inlineStr">
        <is>
          <t>C2038</t>
        </is>
      </c>
      <c r="C2784" t="inlineStr">
        <is>
          <t>COMMERCIAL BANKING</t>
        </is>
      </c>
      <c r="D2784" t="inlineStr">
        <is>
          <t>I</t>
        </is>
      </c>
      <c r="E2784" t="inlineStr">
        <is>
          <t>Stage 1</t>
        </is>
      </c>
      <c r="F2784" t="inlineStr">
        <is>
          <t>N/A</t>
        </is>
      </c>
      <c r="G2784" s="26">
        <v>152902210</v>
      </c>
      <c r="H2784" s="26">
        <v>1529022</v>
      </c>
      <c r="I2784" s="26">
        <v>0</v>
      </c>
      <c r="J2784" s="26">
        <v>48</v>
      </c>
      <c r="K2784" t="inlineStr">
        <is>
          <t>Non</t>
        </is>
      </c>
      <c r="L2784">
        <f>SUBTOTAL(103,A2784)</f>
        <v>1</v>
      </c>
    </row>
    <row r="2785">
      <c r="A2785" t="inlineStr">
        <is>
          <t>SOCIETE C2441</t>
        </is>
      </c>
      <c r="B2785" t="inlineStr">
        <is>
          <t>C2441</t>
        </is>
      </c>
      <c r="C2785" t="inlineStr">
        <is>
          <t>COMMERCIAL BANKING</t>
        </is>
      </c>
      <c r="D2785" t="inlineStr">
        <is>
          <t>I</t>
        </is>
      </c>
      <c r="E2785" t="inlineStr">
        <is>
          <t>Stage 1</t>
        </is>
      </c>
      <c r="F2785" t="inlineStr">
        <is>
          <t>N/A</t>
        </is>
      </c>
      <c r="G2785" s="26">
        <v>1696502</v>
      </c>
      <c r="H2785" s="26">
        <v>16965</v>
      </c>
      <c r="I2785" s="26">
        <v>0</v>
      </c>
      <c r="J2785" s="26">
        <v>5</v>
      </c>
      <c r="K2785" t="inlineStr">
        <is>
          <t>Non</t>
        </is>
      </c>
      <c r="L2785">
        <f>SUBTOTAL(103,A2785)</f>
        <v>1</v>
      </c>
    </row>
    <row r="2786">
      <c r="A2786" t="inlineStr">
        <is>
          <t>SOCIETE C2415</t>
        </is>
      </c>
      <c r="B2786" t="inlineStr">
        <is>
          <t>C2415</t>
        </is>
      </c>
      <c r="C2786" t="inlineStr">
        <is>
          <t>PUBLIC SECTOR</t>
        </is>
      </c>
      <c r="D2786" t="inlineStr">
        <is>
          <t>III</t>
        </is>
      </c>
      <c r="E2786" t="inlineStr">
        <is>
          <t>Stage 3</t>
        </is>
      </c>
      <c r="F2786" t="inlineStr">
        <is>
          <t>N/A</t>
        </is>
      </c>
      <c r="G2786" s="26">
        <v>1330851177</v>
      </c>
      <c r="H2786" s="26">
        <v>731968147</v>
      </c>
      <c r="I2786" s="26">
        <v>0</v>
      </c>
      <c r="J2786" s="26">
        <v>120</v>
      </c>
      <c r="K2786" t="inlineStr">
        <is>
          <t>Oui</t>
        </is>
      </c>
      <c r="L2786">
        <f>SUBTOTAL(103,A2786)</f>
        <v>1</v>
      </c>
    </row>
    <row r="2787">
      <c r="A2787" t="inlineStr">
        <is>
          <t>SOCIETE C1062</t>
        </is>
      </c>
      <c r="B2787" t="inlineStr">
        <is>
          <t>C1062</t>
        </is>
      </c>
      <c r="C2787" t="inlineStr">
        <is>
          <t>CORPORATE BANKING</t>
        </is>
      </c>
      <c r="D2787" t="inlineStr">
        <is>
          <t>V</t>
        </is>
      </c>
      <c r="E2787" t="inlineStr">
        <is>
          <t>Stage 3</t>
        </is>
      </c>
      <c r="F2787" t="inlineStr">
        <is>
          <t>N/A</t>
        </is>
      </c>
      <c r="G2787" s="26">
        <v>3718646</v>
      </c>
      <c r="H2787" s="26">
        <v>2045255</v>
      </c>
      <c r="I2787" s="26">
        <v>0</v>
      </c>
      <c r="J2787" s="26">
        <v>1</v>
      </c>
      <c r="K2787" t="inlineStr">
        <is>
          <t>Oui</t>
        </is>
      </c>
      <c r="L2787">
        <f>SUBTOTAL(103,A2787)</f>
        <v>1</v>
      </c>
    </row>
    <row r="2788">
      <c r="A2788" t="inlineStr">
        <is>
          <t>SOCIETE C164</t>
        </is>
      </c>
      <c r="B2788" t="inlineStr">
        <is>
          <t>C164</t>
        </is>
      </c>
      <c r="C2788" t="inlineStr">
        <is>
          <t>CORPORATE BANKING</t>
        </is>
      </c>
      <c r="D2788" t="inlineStr">
        <is>
          <t>I</t>
        </is>
      </c>
      <c r="E2788" t="inlineStr">
        <is>
          <t>Stage 1</t>
        </is>
      </c>
      <c r="F2788" t="inlineStr">
        <is>
          <t>N/A</t>
        </is>
      </c>
      <c r="G2788" s="26">
        <v>74168621</v>
      </c>
      <c r="H2788" s="26">
        <v>741686</v>
      </c>
      <c r="I2788" s="26">
        <v>0</v>
      </c>
      <c r="J2788" s="26">
        <v>164</v>
      </c>
      <c r="K2788" t="inlineStr">
        <is>
          <t>Non</t>
        </is>
      </c>
      <c r="L2788">
        <f>SUBTOTAL(103,A2788)</f>
        <v>1</v>
      </c>
    </row>
    <row r="2789">
      <c r="A2789" t="inlineStr">
        <is>
          <t>SOCIETE C815</t>
        </is>
      </c>
      <c r="B2789" t="inlineStr">
        <is>
          <t>C815</t>
        </is>
      </c>
      <c r="C2789" t="inlineStr">
        <is>
          <t>CORPORATE BANKING</t>
        </is>
      </c>
      <c r="D2789" t="inlineStr">
        <is>
          <t>I</t>
        </is>
      </c>
      <c r="E2789" t="inlineStr">
        <is>
          <t>Stage 1</t>
        </is>
      </c>
      <c r="F2789" t="inlineStr">
        <is>
          <t>N/A</t>
        </is>
      </c>
      <c r="G2789" s="26">
        <v>75039446</v>
      </c>
      <c r="H2789" s="26">
        <v>750394</v>
      </c>
      <c r="I2789" s="26">
        <v>0</v>
      </c>
      <c r="J2789" s="26">
        <v>47</v>
      </c>
      <c r="K2789" t="inlineStr">
        <is>
          <t>Non</t>
        </is>
      </c>
      <c r="L2789">
        <f>SUBTOTAL(103,A2789)</f>
        <v>1</v>
      </c>
    </row>
    <row r="2790">
      <c r="A2790" t="inlineStr">
        <is>
          <t>SOCIETE C57</t>
        </is>
      </c>
      <c r="B2790" t="inlineStr">
        <is>
          <t>C57</t>
        </is>
      </c>
      <c r="C2790" t="inlineStr">
        <is>
          <t>PUBLIC SECTOR</t>
        </is>
      </c>
      <c r="D2790" t="inlineStr">
        <is>
          <t>I</t>
        </is>
      </c>
      <c r="E2790" t="inlineStr">
        <is>
          <t>Stage 1</t>
        </is>
      </c>
      <c r="F2790" t="inlineStr">
        <is>
          <t>N/A</t>
        </is>
      </c>
      <c r="G2790" s="26">
        <v>742168274</v>
      </c>
      <c r="H2790" s="26">
        <v>7421683</v>
      </c>
      <c r="I2790" s="26">
        <v>0</v>
      </c>
      <c r="J2790" s="26">
        <v>11</v>
      </c>
      <c r="K2790" t="inlineStr">
        <is>
          <t>Non</t>
        </is>
      </c>
      <c r="L2790">
        <f>SUBTOTAL(103,A2790)</f>
        <v>1</v>
      </c>
    </row>
    <row r="2791">
      <c r="A2791" t="inlineStr">
        <is>
          <t>SOCIETE C971</t>
        </is>
      </c>
      <c r="B2791" t="inlineStr">
        <is>
          <t>C971</t>
        </is>
      </c>
      <c r="C2791" t="inlineStr">
        <is>
          <t>CONSUMER BANKING</t>
        </is>
      </c>
      <c r="D2791" t="inlineStr">
        <is>
          <t>V</t>
        </is>
      </c>
      <c r="E2791" t="inlineStr">
        <is>
          <t>Stage 3</t>
        </is>
      </c>
      <c r="F2791" t="inlineStr">
        <is>
          <t>N/A</t>
        </is>
      </c>
      <c r="G2791" s="26">
        <v>1028845</v>
      </c>
      <c r="H2791" s="26">
        <v>565865</v>
      </c>
      <c r="I2791" s="26">
        <v>0</v>
      </c>
      <c r="J2791" s="26">
        <v>108</v>
      </c>
      <c r="K2791" t="inlineStr">
        <is>
          <t>Oui</t>
        </is>
      </c>
      <c r="L2791">
        <f>SUBTOTAL(103,A2791)</f>
        <v>1</v>
      </c>
    </row>
    <row r="2792">
      <c r="A2792" t="inlineStr">
        <is>
          <t>SOCIETE C1015</t>
        </is>
      </c>
      <c r="B2792" t="inlineStr">
        <is>
          <t>C1015</t>
        </is>
      </c>
      <c r="C2792" t="inlineStr">
        <is>
          <t>CORPORATE BANKING</t>
        </is>
      </c>
      <c r="D2792" t="inlineStr">
        <is>
          <t>I</t>
        </is>
      </c>
      <c r="E2792" t="inlineStr">
        <is>
          <t>Stage 1</t>
        </is>
      </c>
      <c r="F2792" t="inlineStr">
        <is>
          <t>N/A</t>
        </is>
      </c>
      <c r="G2792" s="26">
        <v>1431221</v>
      </c>
      <c r="H2792" s="26">
        <v>14312</v>
      </c>
      <c r="I2792" s="26">
        <v>0</v>
      </c>
      <c r="J2792" s="26">
        <v>65</v>
      </c>
      <c r="K2792" t="inlineStr">
        <is>
          <t>Non</t>
        </is>
      </c>
      <c r="L2792">
        <f>SUBTOTAL(103,A2792)</f>
        <v>1</v>
      </c>
    </row>
    <row r="2793">
      <c r="A2793" t="inlineStr">
        <is>
          <t>SOCIETE C703</t>
        </is>
      </c>
      <c r="B2793" t="inlineStr">
        <is>
          <t>C703</t>
        </is>
      </c>
      <c r="C2793" t="inlineStr">
        <is>
          <t>COMMERCIAL BANKING</t>
        </is>
      </c>
      <c r="D2793" t="inlineStr">
        <is>
          <t>II</t>
        </is>
      </c>
      <c r="E2793" t="inlineStr">
        <is>
          <t>Stage 2</t>
        </is>
      </c>
      <c r="F2793" t="inlineStr">
        <is>
          <t>N/A</t>
        </is>
      </c>
      <c r="G2793" s="26">
        <v>651331792</v>
      </c>
      <c r="H2793" s="26">
        <v>39079908</v>
      </c>
      <c r="I2793" s="26">
        <v>90512009</v>
      </c>
      <c r="J2793" s="26">
        <v>266</v>
      </c>
      <c r="K2793" t="inlineStr">
        <is>
          <t>Non</t>
        </is>
      </c>
      <c r="L2793">
        <f>SUBTOTAL(103,A2793)</f>
        <v>1</v>
      </c>
    </row>
    <row r="2794">
      <c r="A2794" t="inlineStr">
        <is>
          <t>SOCIETE C1489</t>
        </is>
      </c>
      <c r="B2794" t="inlineStr">
        <is>
          <t>C1489</t>
        </is>
      </c>
      <c r="C2794" t="inlineStr">
        <is>
          <t>COMMERCIAL BANKING</t>
        </is>
      </c>
      <c r="D2794" t="inlineStr">
        <is>
          <t>III</t>
        </is>
      </c>
      <c r="E2794" t="inlineStr">
        <is>
          <t>Stage 3</t>
        </is>
      </c>
      <c r="F2794" t="inlineStr">
        <is>
          <t>N/A</t>
        </is>
      </c>
      <c r="G2794" s="26">
        <v>10517618</v>
      </c>
      <c r="H2794" s="26">
        <v>5784690</v>
      </c>
      <c r="I2794" s="26">
        <v>0</v>
      </c>
      <c r="J2794" s="26">
        <v>15</v>
      </c>
      <c r="K2794" t="inlineStr">
        <is>
          <t>Oui</t>
        </is>
      </c>
      <c r="L2794">
        <f>SUBTOTAL(103,A2794)</f>
        <v>1</v>
      </c>
    </row>
    <row r="2795">
      <c r="A2795" t="inlineStr">
        <is>
          <t>SOCIETE C2143</t>
        </is>
      </c>
      <c r="B2795" t="inlineStr">
        <is>
          <t>C2143</t>
        </is>
      </c>
      <c r="C2795" t="inlineStr">
        <is>
          <t>CORPORATE BANKING</t>
        </is>
      </c>
      <c r="D2795" t="inlineStr">
        <is>
          <t>V</t>
        </is>
      </c>
      <c r="E2795" t="inlineStr">
        <is>
          <t>Stage 3</t>
        </is>
      </c>
      <c r="F2795" t="inlineStr">
        <is>
          <t>N/A</t>
        </is>
      </c>
      <c r="G2795" s="26">
        <v>40176997</v>
      </c>
      <c r="H2795" s="26">
        <v>22097348</v>
      </c>
      <c r="I2795" s="26">
        <v>5588901</v>
      </c>
      <c r="J2795" s="26">
        <v>314</v>
      </c>
      <c r="K2795" t="inlineStr">
        <is>
          <t>Oui</t>
        </is>
      </c>
      <c r="L2795">
        <f>SUBTOTAL(103,A2795)</f>
        <v>1</v>
      </c>
    </row>
    <row r="2796">
      <c r="A2796" t="inlineStr">
        <is>
          <t>SOCIETE C2061</t>
        </is>
      </c>
      <c r="B2796" t="inlineStr">
        <is>
          <t>C2061</t>
        </is>
      </c>
      <c r="C2796" t="inlineStr">
        <is>
          <t>COMMERCIAL BANKING</t>
        </is>
      </c>
      <c r="D2796" t="inlineStr">
        <is>
          <t>I</t>
        </is>
      </c>
      <c r="E2796" t="inlineStr">
        <is>
          <t>Stage 1</t>
        </is>
      </c>
      <c r="F2796" t="inlineStr">
        <is>
          <t>N/A</t>
        </is>
      </c>
      <c r="G2796" s="26">
        <v>1783628969</v>
      </c>
      <c r="H2796" s="26">
        <v>17836290</v>
      </c>
      <c r="I2796" s="26">
        <v>0</v>
      </c>
      <c r="J2796" s="26">
        <v>271</v>
      </c>
      <c r="K2796" t="inlineStr">
        <is>
          <t>Non</t>
        </is>
      </c>
      <c r="L2796">
        <f>SUBTOTAL(103,A2796)</f>
        <v>1</v>
      </c>
    </row>
    <row r="2797">
      <c r="A2797" t="inlineStr">
        <is>
          <t>SOCIETE C938</t>
        </is>
      </c>
      <c r="B2797" t="inlineStr">
        <is>
          <t>C938</t>
        </is>
      </c>
      <c r="C2797" t="inlineStr">
        <is>
          <t>CORPORATE BANKING</t>
        </is>
      </c>
      <c r="D2797" t="inlineStr">
        <is>
          <t>V</t>
        </is>
      </c>
      <c r="E2797" t="inlineStr">
        <is>
          <t>Stage 3</t>
        </is>
      </c>
      <c r="F2797" t="inlineStr">
        <is>
          <t>N/A</t>
        </is>
      </c>
      <c r="G2797" s="26">
        <v>1198929040</v>
      </c>
      <c r="H2797" s="26">
        <v>659410972</v>
      </c>
      <c r="I2797" s="26">
        <v>0</v>
      </c>
      <c r="J2797" s="26">
        <v>308</v>
      </c>
      <c r="K2797" t="inlineStr">
        <is>
          <t>Oui</t>
        </is>
      </c>
      <c r="L2797">
        <f>SUBTOTAL(103,A2797)</f>
        <v>1</v>
      </c>
    </row>
    <row r="2798">
      <c r="A2798" t="inlineStr">
        <is>
          <t>SOCIETE C2090</t>
        </is>
      </c>
      <c r="B2798" t="inlineStr">
        <is>
          <t>C2090</t>
        </is>
      </c>
      <c r="C2798" t="inlineStr">
        <is>
          <t>CORPORATE BANKING</t>
        </is>
      </c>
      <c r="D2798" t="inlineStr">
        <is>
          <t>II</t>
        </is>
      </c>
      <c r="E2798" t="inlineStr">
        <is>
          <t>Stage 2</t>
        </is>
      </c>
      <c r="F2798" t="inlineStr">
        <is>
          <t>N/A</t>
        </is>
      </c>
      <c r="G2798" s="26">
        <v>198538969</v>
      </c>
      <c r="H2798" s="26">
        <v>11912338</v>
      </c>
      <c r="I2798" s="26">
        <v>9488753</v>
      </c>
      <c r="J2798" s="26">
        <v>59</v>
      </c>
      <c r="K2798" t="inlineStr">
        <is>
          <t>Non</t>
        </is>
      </c>
      <c r="L2798">
        <f>SUBTOTAL(103,A2798)</f>
        <v>1</v>
      </c>
    </row>
    <row r="2799">
      <c r="A2799" t="inlineStr">
        <is>
          <t>SOCIETE C2245</t>
        </is>
      </c>
      <c r="B2799" t="inlineStr">
        <is>
          <t>C2245</t>
        </is>
      </c>
      <c r="C2799" t="inlineStr">
        <is>
          <t>CORPORATE BANKING</t>
        </is>
      </c>
      <c r="D2799" t="inlineStr">
        <is>
          <t>I</t>
        </is>
      </c>
      <c r="E2799" t="inlineStr">
        <is>
          <t>Stage 1</t>
        </is>
      </c>
      <c r="F2799" t="inlineStr">
        <is>
          <t>N/A</t>
        </is>
      </c>
      <c r="G2799" s="26">
        <v>257363372</v>
      </c>
      <c r="H2799" s="26">
        <v>2573634</v>
      </c>
      <c r="I2799" s="26">
        <v>7039605</v>
      </c>
      <c r="J2799" s="26">
        <v>118</v>
      </c>
      <c r="K2799" t="inlineStr">
        <is>
          <t>Non</t>
        </is>
      </c>
      <c r="L2799">
        <f>SUBTOTAL(103,A2799)</f>
        <v>1</v>
      </c>
    </row>
    <row r="2800">
      <c r="A2800" t="inlineStr">
        <is>
          <t>SOCIETE C2145</t>
        </is>
      </c>
      <c r="B2800" t="inlineStr">
        <is>
          <t>C2145</t>
        </is>
      </c>
      <c r="C2800" t="inlineStr">
        <is>
          <t>COMMERCIAL BANKING</t>
        </is>
      </c>
      <c r="D2800" t="inlineStr">
        <is>
          <t>I</t>
        </is>
      </c>
      <c r="E2800" t="inlineStr">
        <is>
          <t>Stage 1</t>
        </is>
      </c>
      <c r="F2800" t="inlineStr">
        <is>
          <t>N/A</t>
        </is>
      </c>
      <c r="G2800" s="26">
        <v>6636218</v>
      </c>
      <c r="H2800" s="26">
        <v>66362</v>
      </c>
      <c r="I2800" s="26">
        <v>0</v>
      </c>
      <c r="J2800" s="26">
        <v>64</v>
      </c>
      <c r="K2800" t="inlineStr">
        <is>
          <t>Non</t>
        </is>
      </c>
      <c r="L2800">
        <f>SUBTOTAL(103,A2800)</f>
        <v>1</v>
      </c>
    </row>
    <row r="2801">
      <c r="A2801" t="inlineStr">
        <is>
          <t>SOCIETE C1832</t>
        </is>
      </c>
      <c r="B2801" t="inlineStr">
        <is>
          <t>C1832</t>
        </is>
      </c>
      <c r="C2801" t="inlineStr">
        <is>
          <t>PUBLIC SECTOR</t>
        </is>
      </c>
      <c r="D2801" t="inlineStr">
        <is>
          <t>I</t>
        </is>
      </c>
      <c r="E2801" t="inlineStr">
        <is>
          <t>Stage 1</t>
        </is>
      </c>
      <c r="F2801" t="inlineStr">
        <is>
          <t>N/A</t>
        </is>
      </c>
      <c r="G2801" s="26">
        <v>8735931</v>
      </c>
      <c r="H2801" s="26">
        <v>87359</v>
      </c>
      <c r="I2801" s="26">
        <v>0</v>
      </c>
      <c r="J2801" s="26">
        <v>51</v>
      </c>
      <c r="K2801" t="inlineStr">
        <is>
          <t>Non</t>
        </is>
      </c>
      <c r="L2801">
        <f>SUBTOTAL(103,A2801)</f>
        <v>1</v>
      </c>
    </row>
    <row r="2802">
      <c r="A2802" t="inlineStr">
        <is>
          <t>SOCIETE C404</t>
        </is>
      </c>
      <c r="B2802" t="inlineStr">
        <is>
          <t>C404</t>
        </is>
      </c>
      <c r="C2802" t="inlineStr">
        <is>
          <t>PUBLIC SECTOR</t>
        </is>
      </c>
      <c r="D2802" t="inlineStr">
        <is>
          <t>I</t>
        </is>
      </c>
      <c r="E2802" t="inlineStr">
        <is>
          <t>Stage 1</t>
        </is>
      </c>
      <c r="F2802" t="inlineStr">
        <is>
          <t>N/A</t>
        </is>
      </c>
      <c r="G2802" s="26">
        <v>2328810</v>
      </c>
      <c r="H2802" s="26">
        <v>23288</v>
      </c>
      <c r="I2802" s="26">
        <v>0</v>
      </c>
      <c r="J2802" s="26">
        <v>246</v>
      </c>
      <c r="K2802" t="inlineStr">
        <is>
          <t>Non</t>
        </is>
      </c>
      <c r="L2802">
        <f>SUBTOTAL(103,A2802)</f>
        <v>1</v>
      </c>
    </row>
    <row r="2803">
      <c r="A2803" t="inlineStr">
        <is>
          <t>SOCIETE C783</t>
        </is>
      </c>
      <c r="B2803" t="inlineStr">
        <is>
          <t>C783</t>
        </is>
      </c>
      <c r="C2803" t="inlineStr">
        <is>
          <t>COMMERCIAL BANKING</t>
        </is>
      </c>
      <c r="D2803" t="inlineStr">
        <is>
          <t>IA</t>
        </is>
      </c>
      <c r="E2803" t="inlineStr">
        <is>
          <t>Stage 2</t>
        </is>
      </c>
      <c r="F2803" t="inlineStr">
        <is>
          <t>N/A</t>
        </is>
      </c>
      <c r="G2803" s="26">
        <v>779090289</v>
      </c>
      <c r="H2803" s="26">
        <v>46745417</v>
      </c>
      <c r="I2803" s="26">
        <v>118499784</v>
      </c>
      <c r="J2803" s="26">
        <v>154</v>
      </c>
      <c r="K2803" t="inlineStr">
        <is>
          <t>Non</t>
        </is>
      </c>
      <c r="L2803">
        <f>SUBTOTAL(103,A2803)</f>
        <v>1</v>
      </c>
    </row>
    <row r="2804">
      <c r="A2804" t="inlineStr">
        <is>
          <t>SOCIETE C1660</t>
        </is>
      </c>
      <c r="B2804" t="inlineStr">
        <is>
          <t>C1660</t>
        </is>
      </c>
      <c r="C2804" t="inlineStr">
        <is>
          <t>CORPORATE BANKING</t>
        </is>
      </c>
      <c r="D2804" t="inlineStr">
        <is>
          <t>IA</t>
        </is>
      </c>
      <c r="E2804" t="inlineStr">
        <is>
          <t>Stage 2</t>
        </is>
      </c>
      <c r="F2804" t="inlineStr">
        <is>
          <t>N/A</t>
        </is>
      </c>
      <c r="G2804" s="26">
        <v>5064004</v>
      </c>
      <c r="H2804" s="26">
        <v>303840</v>
      </c>
      <c r="I2804" s="26">
        <v>696932</v>
      </c>
      <c r="J2804" s="26">
        <v>54</v>
      </c>
      <c r="K2804" t="inlineStr">
        <is>
          <t>Non</t>
        </is>
      </c>
      <c r="L2804">
        <f>SUBTOTAL(103,A2804)</f>
        <v>1</v>
      </c>
    </row>
    <row r="2805">
      <c r="A2805" t="inlineStr">
        <is>
          <t>SOCIETE C916</t>
        </is>
      </c>
      <c r="B2805" t="inlineStr">
        <is>
          <t>C916</t>
        </is>
      </c>
      <c r="C2805" t="inlineStr">
        <is>
          <t>COMMERCIAL BANKING</t>
        </is>
      </c>
      <c r="D2805" t="inlineStr">
        <is>
          <t>I</t>
        </is>
      </c>
      <c r="E2805" t="inlineStr">
        <is>
          <t>Stage 1</t>
        </is>
      </c>
      <c r="F2805" t="inlineStr">
        <is>
          <t>N/A</t>
        </is>
      </c>
      <c r="G2805" s="26">
        <v>2599659288</v>
      </c>
      <c r="H2805" s="26">
        <v>25996593</v>
      </c>
      <c r="I2805" s="26">
        <v>0</v>
      </c>
      <c r="J2805" s="26">
        <v>183</v>
      </c>
      <c r="K2805" t="inlineStr">
        <is>
          <t>Non</t>
        </is>
      </c>
      <c r="L2805">
        <f>SUBTOTAL(103,A2805)</f>
        <v>1</v>
      </c>
    </row>
    <row r="2806">
      <c r="A2806" t="inlineStr">
        <is>
          <t>SOCIETE C2063</t>
        </is>
      </c>
      <c r="B2806" t="inlineStr">
        <is>
          <t>C2063</t>
        </is>
      </c>
      <c r="C2806" t="inlineStr">
        <is>
          <t>CORPORATE BANKING</t>
        </is>
      </c>
      <c r="D2806" t="inlineStr">
        <is>
          <t>IA</t>
        </is>
      </c>
      <c r="E2806" t="inlineStr">
        <is>
          <t>Stage 2</t>
        </is>
      </c>
      <c r="F2806" t="inlineStr">
        <is>
          <t>N/A</t>
        </is>
      </c>
      <c r="G2806" s="26">
        <v>2937634419</v>
      </c>
      <c r="H2806" s="26">
        <v>176258065</v>
      </c>
      <c r="I2806" s="26">
        <v>0</v>
      </c>
      <c r="J2806" s="26">
        <v>37</v>
      </c>
      <c r="K2806" t="inlineStr">
        <is>
          <t>Non</t>
        </is>
      </c>
      <c r="L2806">
        <f>SUBTOTAL(103,A2806)</f>
        <v>1</v>
      </c>
    </row>
    <row r="2807">
      <c r="A2807" t="inlineStr">
        <is>
          <t>SOCIETE C160</t>
        </is>
      </c>
      <c r="B2807" t="inlineStr">
        <is>
          <t>C160</t>
        </is>
      </c>
      <c r="C2807" t="inlineStr">
        <is>
          <t>CORPORATE BANKING</t>
        </is>
      </c>
      <c r="D2807" t="inlineStr">
        <is>
          <t>IV</t>
        </is>
      </c>
      <c r="E2807" t="inlineStr">
        <is>
          <t>Stage 3</t>
        </is>
      </c>
      <c r="F2807" t="inlineStr">
        <is>
          <t>N/A</t>
        </is>
      </c>
      <c r="G2807" s="26">
        <v>464436887</v>
      </c>
      <c r="H2807" s="26">
        <v>255440288</v>
      </c>
      <c r="I2807" s="26">
        <v>0</v>
      </c>
      <c r="J2807" s="26">
        <v>107</v>
      </c>
      <c r="K2807" t="inlineStr">
        <is>
          <t>Oui</t>
        </is>
      </c>
      <c r="L2807">
        <f>SUBTOTAL(103,A2807)</f>
        <v>1</v>
      </c>
    </row>
    <row r="2808">
      <c r="A2808" t="inlineStr">
        <is>
          <t>SOCIETE C1234</t>
        </is>
      </c>
      <c r="B2808" t="inlineStr">
        <is>
          <t>C1234</t>
        </is>
      </c>
      <c r="C2808" t="inlineStr">
        <is>
          <t>CORPORATE BANKING</t>
        </is>
      </c>
      <c r="D2808" t="inlineStr">
        <is>
          <t>III</t>
        </is>
      </c>
      <c r="E2808" t="inlineStr">
        <is>
          <t>Stage 3</t>
        </is>
      </c>
      <c r="F2808" t="inlineStr">
        <is>
          <t>N/A</t>
        </is>
      </c>
      <c r="G2808" s="26">
        <v>1059025047</v>
      </c>
      <c r="H2808" s="26">
        <v>582463776</v>
      </c>
      <c r="I2808" s="26">
        <v>0</v>
      </c>
      <c r="J2808" s="26">
        <v>70</v>
      </c>
      <c r="K2808" t="inlineStr">
        <is>
          <t>Oui</t>
        </is>
      </c>
      <c r="L2808">
        <f>SUBTOTAL(103,A2808)</f>
        <v>1</v>
      </c>
    </row>
    <row r="2809">
      <c r="A2809" t="inlineStr">
        <is>
          <t>SOCIETE C730</t>
        </is>
      </c>
      <c r="B2809" t="inlineStr">
        <is>
          <t>C730</t>
        </is>
      </c>
      <c r="C2809" t="inlineStr">
        <is>
          <t>SME</t>
        </is>
      </c>
      <c r="D2809" t="inlineStr">
        <is>
          <t>I</t>
        </is>
      </c>
      <c r="E2809" t="inlineStr">
        <is>
          <t>Stage 1</t>
        </is>
      </c>
      <c r="F2809" t="inlineStr">
        <is>
          <t>N/A</t>
        </is>
      </c>
      <c r="G2809" s="26">
        <v>1528684460</v>
      </c>
      <c r="H2809" s="26">
        <v>15286845</v>
      </c>
      <c r="I2809" s="26">
        <v>0</v>
      </c>
      <c r="J2809" s="26">
        <v>159</v>
      </c>
      <c r="K2809" t="inlineStr">
        <is>
          <t>Non</t>
        </is>
      </c>
      <c r="L2809">
        <f>SUBTOTAL(103,A2809)</f>
        <v>1</v>
      </c>
    </row>
    <row r="2810">
      <c r="A2810" t="inlineStr">
        <is>
          <t>SOCIETE C327</t>
        </is>
      </c>
      <c r="B2810" t="inlineStr">
        <is>
          <t>C327</t>
        </is>
      </c>
      <c r="C2810" t="inlineStr">
        <is>
          <t>PUBLIC SECTOR</t>
        </is>
      </c>
      <c r="D2810" t="inlineStr">
        <is>
          <t>III</t>
        </is>
      </c>
      <c r="E2810" t="inlineStr">
        <is>
          <t>Stage 3</t>
        </is>
      </c>
      <c r="F2810" t="inlineStr">
        <is>
          <t>N/A</t>
        </is>
      </c>
      <c r="G2810" s="26">
        <v>913045227</v>
      </c>
      <c r="H2810" s="26">
        <v>502174875</v>
      </c>
      <c r="I2810" s="26">
        <v>0</v>
      </c>
      <c r="J2810" s="26">
        <v>114</v>
      </c>
      <c r="K2810" t="inlineStr">
        <is>
          <t>Oui</t>
        </is>
      </c>
      <c r="L2810">
        <f>SUBTOTAL(103,A2810)</f>
        <v>1</v>
      </c>
    </row>
    <row r="2811">
      <c r="A2811" t="inlineStr">
        <is>
          <t>SOCIETE C2445</t>
        </is>
      </c>
      <c r="B2811" t="inlineStr">
        <is>
          <t>C2445</t>
        </is>
      </c>
      <c r="C2811" t="inlineStr">
        <is>
          <t>CORPORATE BANKING</t>
        </is>
      </c>
      <c r="D2811" t="inlineStr">
        <is>
          <t>IA</t>
        </is>
      </c>
      <c r="E2811" t="inlineStr">
        <is>
          <t>Stage 2</t>
        </is>
      </c>
      <c r="F2811" t="inlineStr">
        <is>
          <t>N/A</t>
        </is>
      </c>
      <c r="G2811" s="26">
        <v>17437510</v>
      </c>
      <c r="H2811" s="26">
        <v>1046251</v>
      </c>
      <c r="I2811" s="26">
        <v>0</v>
      </c>
      <c r="J2811" s="26">
        <v>7</v>
      </c>
      <c r="K2811" t="inlineStr">
        <is>
          <t>Non</t>
        </is>
      </c>
      <c r="L2811">
        <f>SUBTOTAL(103,A2811)</f>
        <v>1</v>
      </c>
    </row>
    <row r="2812">
      <c r="A2812" t="inlineStr">
        <is>
          <t>SOCIETE C2063</t>
        </is>
      </c>
      <c r="B2812" t="inlineStr">
        <is>
          <t>C2063</t>
        </is>
      </c>
      <c r="C2812" t="inlineStr">
        <is>
          <t>CORPORATE BANKING</t>
        </is>
      </c>
      <c r="D2812" t="inlineStr">
        <is>
          <t>IV</t>
        </is>
      </c>
      <c r="E2812" t="inlineStr">
        <is>
          <t>Stage 3</t>
        </is>
      </c>
      <c r="F2812" t="inlineStr">
        <is>
          <t>N/A</t>
        </is>
      </c>
      <c r="G2812" s="26">
        <v>2499504</v>
      </c>
      <c r="H2812" s="26">
        <v>1374727</v>
      </c>
      <c r="I2812" s="26">
        <v>0</v>
      </c>
      <c r="J2812" s="26">
        <v>105</v>
      </c>
      <c r="K2812" t="inlineStr">
        <is>
          <t>Oui</t>
        </is>
      </c>
      <c r="L2812">
        <f>SUBTOTAL(103,A2812)</f>
        <v>1</v>
      </c>
    </row>
    <row r="2813">
      <c r="A2813" t="inlineStr">
        <is>
          <t>SOCIETE C87</t>
        </is>
      </c>
      <c r="B2813" t="inlineStr">
        <is>
          <t>C87</t>
        </is>
      </c>
      <c r="C2813" t="inlineStr">
        <is>
          <t>COMMERCIAL BANKING</t>
        </is>
      </c>
      <c r="D2813" t="inlineStr">
        <is>
          <t>I</t>
        </is>
      </c>
      <c r="E2813" t="inlineStr">
        <is>
          <t>Stage 1</t>
        </is>
      </c>
      <c r="F2813" t="inlineStr">
        <is>
          <t>N/A</t>
        </is>
      </c>
      <c r="G2813" s="26">
        <v>444827831</v>
      </c>
      <c r="H2813" s="26">
        <v>4448278</v>
      </c>
      <c r="I2813" s="26">
        <v>0</v>
      </c>
      <c r="J2813" s="26">
        <v>13</v>
      </c>
      <c r="K2813" t="inlineStr">
        <is>
          <t>Non</t>
        </is>
      </c>
      <c r="L2813">
        <f>SUBTOTAL(103,A2813)</f>
        <v>1</v>
      </c>
    </row>
    <row r="2814">
      <c r="A2814" t="inlineStr">
        <is>
          <t>SOCIETE C1511</t>
        </is>
      </c>
      <c r="B2814" t="inlineStr">
        <is>
          <t>C1511</t>
        </is>
      </c>
      <c r="C2814" t="inlineStr">
        <is>
          <t>PUBLIC SECTOR</t>
        </is>
      </c>
      <c r="D2814" t="inlineStr">
        <is>
          <t>I</t>
        </is>
      </c>
      <c r="E2814" t="inlineStr">
        <is>
          <t>Stage 1</t>
        </is>
      </c>
      <c r="F2814" t="inlineStr">
        <is>
          <t>N/A</t>
        </is>
      </c>
      <c r="G2814" s="26">
        <v>1682206765</v>
      </c>
      <c r="H2814" s="26">
        <v>16822068</v>
      </c>
      <c r="I2814" s="26">
        <v>0</v>
      </c>
      <c r="J2814" s="26">
        <v>2</v>
      </c>
      <c r="K2814" t="inlineStr">
        <is>
          <t>Non</t>
        </is>
      </c>
      <c r="L2814">
        <f>SUBTOTAL(103,A2814)</f>
        <v>1</v>
      </c>
    </row>
    <row r="2815">
      <c r="A2815" t="inlineStr">
        <is>
          <t>SOCIETE C1625</t>
        </is>
      </c>
      <c r="B2815" t="inlineStr">
        <is>
          <t>C1625</t>
        </is>
      </c>
      <c r="C2815" t="inlineStr">
        <is>
          <t>CORPORATE BANKING</t>
        </is>
      </c>
      <c r="D2815" t="inlineStr">
        <is>
          <t>I</t>
        </is>
      </c>
      <c r="E2815" t="inlineStr">
        <is>
          <t>Stage 1</t>
        </is>
      </c>
      <c r="F2815" t="inlineStr">
        <is>
          <t>N/A</t>
        </is>
      </c>
      <c r="G2815" s="26">
        <v>127485386</v>
      </c>
      <c r="H2815" s="26">
        <v>1274854</v>
      </c>
      <c r="I2815" s="26">
        <v>0</v>
      </c>
      <c r="J2815" s="26">
        <v>11</v>
      </c>
      <c r="K2815" t="inlineStr">
        <is>
          <t>Non</t>
        </is>
      </c>
      <c r="L2815">
        <f>SUBTOTAL(103,A2815)</f>
        <v>1</v>
      </c>
    </row>
    <row r="2816">
      <c r="A2816" t="inlineStr">
        <is>
          <t>SOCIETE C145</t>
        </is>
      </c>
      <c r="B2816" t="inlineStr">
        <is>
          <t>C145</t>
        </is>
      </c>
      <c r="C2816" t="inlineStr">
        <is>
          <t>CORPORATE BANKING</t>
        </is>
      </c>
      <c r="D2816" t="inlineStr">
        <is>
          <t>II</t>
        </is>
      </c>
      <c r="E2816" t="inlineStr">
        <is>
          <t>Stage 2</t>
        </is>
      </c>
      <c r="F2816" t="inlineStr">
        <is>
          <t>N/A</t>
        </is>
      </c>
      <c r="G2816" s="26">
        <v>346748696</v>
      </c>
      <c r="H2816" s="26">
        <v>20804922</v>
      </c>
      <c r="I2816" s="26">
        <v>0</v>
      </c>
      <c r="J2816" s="26">
        <v>35</v>
      </c>
      <c r="K2816" t="inlineStr">
        <is>
          <t>Non</t>
        </is>
      </c>
      <c r="L2816">
        <f>SUBTOTAL(103,A2816)</f>
        <v>1</v>
      </c>
    </row>
    <row r="2817">
      <c r="A2817" t="inlineStr">
        <is>
          <t>SOCIETE C149</t>
        </is>
      </c>
      <c r="B2817" t="inlineStr">
        <is>
          <t>C149</t>
        </is>
      </c>
      <c r="C2817" t="inlineStr">
        <is>
          <t>CONSUMER BANKING</t>
        </is>
      </c>
      <c r="D2817" t="inlineStr">
        <is>
          <t>IA</t>
        </is>
      </c>
      <c r="E2817" t="inlineStr">
        <is>
          <t>Stage 2</t>
        </is>
      </c>
      <c r="F2817" t="inlineStr">
        <is>
          <t>N/A</t>
        </is>
      </c>
      <c r="G2817" s="26">
        <v>166111358</v>
      </c>
      <c r="H2817" s="26">
        <v>9966681</v>
      </c>
      <c r="I2817" s="26">
        <v>12199114</v>
      </c>
      <c r="J2817" s="26">
        <v>0</v>
      </c>
      <c r="K2817" t="inlineStr">
        <is>
          <t>Non</t>
        </is>
      </c>
      <c r="L2817">
        <f>SUBTOTAL(103,A2817)</f>
        <v>1</v>
      </c>
    </row>
    <row r="2818">
      <c r="A2818" t="inlineStr">
        <is>
          <t>SOCIETE C1727</t>
        </is>
      </c>
      <c r="B2818" t="inlineStr">
        <is>
          <t>C1727</t>
        </is>
      </c>
      <c r="C2818" t="inlineStr">
        <is>
          <t>CORPORATE BANKING</t>
        </is>
      </c>
      <c r="D2818" t="inlineStr">
        <is>
          <t>I</t>
        </is>
      </c>
      <c r="E2818" t="inlineStr">
        <is>
          <t>Stage 1</t>
        </is>
      </c>
      <c r="F2818" t="inlineStr">
        <is>
          <t>N/A</t>
        </is>
      </c>
      <c r="G2818" s="26">
        <v>212006347</v>
      </c>
      <c r="H2818" s="26">
        <v>2120063</v>
      </c>
      <c r="I2818" s="26">
        <v>10027413</v>
      </c>
      <c r="J2818" s="26">
        <v>33</v>
      </c>
      <c r="K2818" t="inlineStr">
        <is>
          <t>Non</t>
        </is>
      </c>
      <c r="L2818">
        <f>SUBTOTAL(103,A2818)</f>
        <v>1</v>
      </c>
    </row>
    <row r="2819">
      <c r="A2819" t="inlineStr">
        <is>
          <t>SOCIETE C178</t>
        </is>
      </c>
      <c r="B2819" t="inlineStr">
        <is>
          <t>C178</t>
        </is>
      </c>
      <c r="C2819" t="inlineStr">
        <is>
          <t>CONSUMER BANKING</t>
        </is>
      </c>
      <c r="D2819" t="inlineStr">
        <is>
          <t>II</t>
        </is>
      </c>
      <c r="E2819" t="inlineStr">
        <is>
          <t>Stage 2</t>
        </is>
      </c>
      <c r="F2819" t="inlineStr">
        <is>
          <t>N/A</t>
        </is>
      </c>
      <c r="G2819" s="26">
        <v>71807839</v>
      </c>
      <c r="H2819" s="26">
        <v>4308470</v>
      </c>
      <c r="I2819" s="26">
        <v>8999419</v>
      </c>
      <c r="J2819" s="26">
        <v>127</v>
      </c>
      <c r="K2819" t="inlineStr">
        <is>
          <t>Non</t>
        </is>
      </c>
      <c r="L2819">
        <f>SUBTOTAL(103,A2819)</f>
        <v>1</v>
      </c>
    </row>
    <row r="2820">
      <c r="A2820" t="inlineStr">
        <is>
          <t>SOCIETE C2372</t>
        </is>
      </c>
      <c r="B2820" t="inlineStr">
        <is>
          <t>C2372</t>
        </is>
      </c>
      <c r="C2820" t="inlineStr">
        <is>
          <t>PUBLIC SECTOR</t>
        </is>
      </c>
      <c r="D2820" t="inlineStr">
        <is>
          <t>I</t>
        </is>
      </c>
      <c r="E2820" t="inlineStr">
        <is>
          <t>Stage 1</t>
        </is>
      </c>
      <c r="F2820" t="inlineStr">
        <is>
          <t>N/A</t>
        </is>
      </c>
      <c r="G2820" s="26">
        <v>1285069</v>
      </c>
      <c r="H2820" s="26">
        <v>12851</v>
      </c>
      <c r="I2820" s="26">
        <v>103740</v>
      </c>
      <c r="J2820" s="26">
        <v>189</v>
      </c>
      <c r="K2820" t="inlineStr">
        <is>
          <t>Non</t>
        </is>
      </c>
      <c r="L2820">
        <f>SUBTOTAL(103,A2820)</f>
        <v>1</v>
      </c>
    </row>
    <row r="2821">
      <c r="A2821" t="inlineStr">
        <is>
          <t>SOCIETE C1271</t>
        </is>
      </c>
      <c r="B2821" t="inlineStr">
        <is>
          <t>C1271</t>
        </is>
      </c>
      <c r="C2821" t="inlineStr">
        <is>
          <t>COMMERCIAL BANKING</t>
        </is>
      </c>
      <c r="D2821" t="inlineStr">
        <is>
          <t>IA</t>
        </is>
      </c>
      <c r="E2821" t="inlineStr">
        <is>
          <t>Stage 2</t>
        </is>
      </c>
      <c r="F2821" t="inlineStr">
        <is>
          <t>N/A</t>
        </is>
      </c>
      <c r="G2821" s="26">
        <v>14598528</v>
      </c>
      <c r="H2821" s="26">
        <v>875912</v>
      </c>
      <c r="I2821" s="26">
        <v>0</v>
      </c>
      <c r="J2821" s="26">
        <v>217</v>
      </c>
      <c r="K2821" t="inlineStr">
        <is>
          <t>Non</t>
        </is>
      </c>
      <c r="L2821">
        <f>SUBTOTAL(103,A2821)</f>
        <v>1</v>
      </c>
    </row>
    <row r="2822">
      <c r="A2822" t="inlineStr">
        <is>
          <t>SOCIETE C1863</t>
        </is>
      </c>
      <c r="B2822" t="inlineStr">
        <is>
          <t>C1863</t>
        </is>
      </c>
      <c r="C2822" t="inlineStr">
        <is>
          <t>COMMERCIAL BANKING</t>
        </is>
      </c>
      <c r="D2822" t="inlineStr">
        <is>
          <t>IV</t>
        </is>
      </c>
      <c r="E2822" t="inlineStr">
        <is>
          <t>Stage 3</t>
        </is>
      </c>
      <c r="F2822" t="inlineStr">
        <is>
          <t>N/A</t>
        </is>
      </c>
      <c r="G2822" s="26">
        <v>494781701</v>
      </c>
      <c r="H2822" s="26">
        <v>272129935</v>
      </c>
      <c r="I2822" s="26">
        <v>0</v>
      </c>
      <c r="J2822" s="26">
        <v>57</v>
      </c>
      <c r="K2822" t="inlineStr">
        <is>
          <t>Oui</t>
        </is>
      </c>
      <c r="L2822">
        <f>SUBTOTAL(103,A2822)</f>
        <v>1</v>
      </c>
    </row>
    <row r="2823">
      <c r="A2823" t="inlineStr">
        <is>
          <t>SOCIETE C1271</t>
        </is>
      </c>
      <c r="B2823" t="inlineStr">
        <is>
          <t>C1271</t>
        </is>
      </c>
      <c r="C2823" t="inlineStr">
        <is>
          <t>CORPORATE BANKING</t>
        </is>
      </c>
      <c r="D2823" t="inlineStr">
        <is>
          <t>I</t>
        </is>
      </c>
      <c r="E2823" t="inlineStr">
        <is>
          <t>Stage 1</t>
        </is>
      </c>
      <c r="F2823" t="inlineStr">
        <is>
          <t>N/A</t>
        </is>
      </c>
      <c r="G2823" s="26">
        <v>1265799451</v>
      </c>
      <c r="H2823" s="26">
        <v>12657995</v>
      </c>
      <c r="I2823" s="26">
        <v>0</v>
      </c>
      <c r="J2823" s="26">
        <v>68</v>
      </c>
      <c r="K2823" t="inlineStr">
        <is>
          <t>Non</t>
        </is>
      </c>
      <c r="L2823">
        <f>SUBTOTAL(103,A2823)</f>
        <v>1</v>
      </c>
    </row>
    <row r="2824">
      <c r="A2824" t="inlineStr">
        <is>
          <t>SOCIETE C1518</t>
        </is>
      </c>
      <c r="B2824" t="inlineStr">
        <is>
          <t>C1518</t>
        </is>
      </c>
      <c r="C2824" t="inlineStr">
        <is>
          <t>CORPORATE BANKING</t>
        </is>
      </c>
      <c r="D2824" t="inlineStr">
        <is>
          <t>III</t>
        </is>
      </c>
      <c r="E2824" t="inlineStr">
        <is>
          <t>Stage 3</t>
        </is>
      </c>
      <c r="F2824" t="inlineStr">
        <is>
          <t>N/A</t>
        </is>
      </c>
      <c r="G2824" s="26">
        <v>1815201</v>
      </c>
      <c r="H2824" s="26">
        <v>998360</v>
      </c>
      <c r="I2824" s="26">
        <v>142109</v>
      </c>
      <c r="J2824" s="26">
        <v>107</v>
      </c>
      <c r="K2824" t="inlineStr">
        <is>
          <t>Oui</t>
        </is>
      </c>
      <c r="L2824">
        <f>SUBTOTAL(103,A2824)</f>
        <v>1</v>
      </c>
    </row>
    <row r="2825">
      <c r="A2825" t="inlineStr">
        <is>
          <t>SOCIETE C780</t>
        </is>
      </c>
      <c r="B2825" t="inlineStr">
        <is>
          <t>C780</t>
        </is>
      </c>
      <c r="C2825" t="inlineStr">
        <is>
          <t>CORPORATE BANKING</t>
        </is>
      </c>
      <c r="D2825" t="inlineStr">
        <is>
          <t>IA</t>
        </is>
      </c>
      <c r="E2825" t="inlineStr">
        <is>
          <t>Stage 2</t>
        </is>
      </c>
      <c r="F2825" t="inlineStr">
        <is>
          <t>N/A</t>
        </is>
      </c>
      <c r="G2825" s="26">
        <v>52881602</v>
      </c>
      <c r="H2825" s="26">
        <v>3172896</v>
      </c>
      <c r="I2825" s="26">
        <v>0</v>
      </c>
      <c r="J2825" s="26">
        <v>53</v>
      </c>
      <c r="K2825" t="inlineStr">
        <is>
          <t>Non</t>
        </is>
      </c>
      <c r="L2825">
        <f>SUBTOTAL(103,A2825)</f>
        <v>1</v>
      </c>
    </row>
    <row r="2826">
      <c r="A2826" t="inlineStr">
        <is>
          <t>SOCIETE C2005</t>
        </is>
      </c>
      <c r="B2826" t="inlineStr">
        <is>
          <t>C2005</t>
        </is>
      </c>
      <c r="C2826" t="inlineStr">
        <is>
          <t>PUBLIC SECTOR</t>
        </is>
      </c>
      <c r="D2826" t="inlineStr">
        <is>
          <t>IA</t>
        </is>
      </c>
      <c r="E2826" t="inlineStr">
        <is>
          <t>Stage 2</t>
        </is>
      </c>
      <c r="F2826" t="inlineStr">
        <is>
          <t>N/A</t>
        </is>
      </c>
      <c r="G2826" s="26">
        <v>1306972896</v>
      </c>
      <c r="H2826" s="26">
        <v>78418374</v>
      </c>
      <c r="I2826" s="26">
        <v>195098858</v>
      </c>
      <c r="J2826" s="26">
        <v>137</v>
      </c>
      <c r="K2826" t="inlineStr">
        <is>
          <t>Non</t>
        </is>
      </c>
      <c r="L2826">
        <f>SUBTOTAL(103,A2826)</f>
        <v>1</v>
      </c>
    </row>
    <row r="2827">
      <c r="A2827" t="inlineStr">
        <is>
          <t>SOCIETE C1625</t>
        </is>
      </c>
      <c r="B2827" t="inlineStr">
        <is>
          <t>C1625</t>
        </is>
      </c>
      <c r="C2827" t="inlineStr">
        <is>
          <t>CORPORATE BANKING</t>
        </is>
      </c>
      <c r="D2827" t="inlineStr">
        <is>
          <t>III</t>
        </is>
      </c>
      <c r="E2827" t="inlineStr">
        <is>
          <t>Stage 3</t>
        </is>
      </c>
      <c r="F2827" t="inlineStr">
        <is>
          <t>N/A</t>
        </is>
      </c>
      <c r="G2827" s="26">
        <v>2118631440</v>
      </c>
      <c r="H2827" s="26">
        <v>1165247292</v>
      </c>
      <c r="I2827" s="26">
        <v>0</v>
      </c>
      <c r="J2827" s="26">
        <v>111</v>
      </c>
      <c r="K2827" t="inlineStr">
        <is>
          <t>Oui</t>
        </is>
      </c>
      <c r="L2827">
        <f>SUBTOTAL(103,A2827)</f>
        <v>1</v>
      </c>
    </row>
    <row r="2828">
      <c r="A2828" t="inlineStr">
        <is>
          <t>SOCIETE C7</t>
        </is>
      </c>
      <c r="B2828" t="inlineStr">
        <is>
          <t>C7</t>
        </is>
      </c>
      <c r="C2828" t="inlineStr">
        <is>
          <t>PUBLIC SECTOR</t>
        </is>
      </c>
      <c r="D2828" t="inlineStr">
        <is>
          <t>I</t>
        </is>
      </c>
      <c r="E2828" t="inlineStr">
        <is>
          <t>Stage 1</t>
        </is>
      </c>
      <c r="F2828" t="inlineStr">
        <is>
          <t>N/A</t>
        </is>
      </c>
      <c r="G2828" s="26">
        <v>24650492</v>
      </c>
      <c r="H2828" s="26">
        <v>246505</v>
      </c>
      <c r="I2828" s="26">
        <v>0</v>
      </c>
      <c r="J2828" s="26">
        <v>54</v>
      </c>
      <c r="K2828" t="inlineStr">
        <is>
          <t>Non</t>
        </is>
      </c>
      <c r="L2828">
        <f>SUBTOTAL(103,A2828)</f>
        <v>1</v>
      </c>
    </row>
    <row r="2829">
      <c r="A2829" t="inlineStr">
        <is>
          <t>SOCIETE C1071</t>
        </is>
      </c>
      <c r="B2829" t="inlineStr">
        <is>
          <t>C1071</t>
        </is>
      </c>
      <c r="C2829" t="inlineStr">
        <is>
          <t>COMMERCIAL BANKING</t>
        </is>
      </c>
      <c r="D2829" t="inlineStr">
        <is>
          <t>II</t>
        </is>
      </c>
      <c r="E2829" t="inlineStr">
        <is>
          <t>Stage 2</t>
        </is>
      </c>
      <c r="F2829" t="inlineStr">
        <is>
          <t>N/A</t>
        </is>
      </c>
      <c r="G2829" s="26">
        <v>1910122009</v>
      </c>
      <c r="H2829" s="26">
        <v>114607321</v>
      </c>
      <c r="I2829" s="26">
        <v>0</v>
      </c>
      <c r="J2829" s="26">
        <v>81</v>
      </c>
      <c r="K2829" t="inlineStr">
        <is>
          <t>Non</t>
        </is>
      </c>
      <c r="L2829">
        <f>SUBTOTAL(103,A2829)</f>
        <v>1</v>
      </c>
    </row>
    <row r="2830">
      <c r="A2830" t="inlineStr">
        <is>
          <t>SOCIETE C142</t>
        </is>
      </c>
      <c r="B2830" t="inlineStr">
        <is>
          <t>C142</t>
        </is>
      </c>
      <c r="C2830" t="inlineStr">
        <is>
          <t>COMMERCIAL BANKING</t>
        </is>
      </c>
      <c r="D2830" t="inlineStr">
        <is>
          <t>V</t>
        </is>
      </c>
      <c r="E2830" t="inlineStr">
        <is>
          <t>Stage 3</t>
        </is>
      </c>
      <c r="F2830" t="inlineStr">
        <is>
          <t>N/A</t>
        </is>
      </c>
      <c r="G2830" s="26">
        <v>406167330</v>
      </c>
      <c r="H2830" s="26">
        <v>223392031</v>
      </c>
      <c r="I2830" s="26">
        <v>46134034</v>
      </c>
      <c r="J2830" s="26">
        <v>3</v>
      </c>
      <c r="K2830" t="inlineStr">
        <is>
          <t>Oui</t>
        </is>
      </c>
      <c r="L2830">
        <f>SUBTOTAL(103,A2830)</f>
        <v>1</v>
      </c>
    </row>
    <row r="2831">
      <c r="A2831" t="inlineStr">
        <is>
          <t>SOCIETE C2268</t>
        </is>
      </c>
      <c r="B2831" t="inlineStr">
        <is>
          <t>C2268</t>
        </is>
      </c>
      <c r="C2831" t="inlineStr">
        <is>
          <t>CORPORATE BANKING</t>
        </is>
      </c>
      <c r="D2831" t="inlineStr">
        <is>
          <t>IA</t>
        </is>
      </c>
      <c r="E2831" t="inlineStr">
        <is>
          <t>Stage 2</t>
        </is>
      </c>
      <c r="F2831" t="inlineStr">
        <is>
          <t>N/A</t>
        </is>
      </c>
      <c r="G2831" s="26">
        <v>206598343</v>
      </c>
      <c r="H2831" s="26">
        <v>12395901</v>
      </c>
      <c r="I2831" s="26">
        <v>0</v>
      </c>
      <c r="J2831" s="26">
        <v>105</v>
      </c>
      <c r="K2831" t="inlineStr">
        <is>
          <t>Non</t>
        </is>
      </c>
      <c r="L2831">
        <f>SUBTOTAL(103,A2831)</f>
        <v>1</v>
      </c>
    </row>
    <row r="2832">
      <c r="A2832" t="inlineStr">
        <is>
          <t>SOCIETE C1195</t>
        </is>
      </c>
      <c r="B2832" t="inlineStr">
        <is>
          <t>C1195</t>
        </is>
      </c>
      <c r="C2832" t="inlineStr">
        <is>
          <t>PUBLIC SECTOR</t>
        </is>
      </c>
      <c r="D2832" t="inlineStr">
        <is>
          <t>III</t>
        </is>
      </c>
      <c r="E2832" t="inlineStr">
        <is>
          <t>Stage 3</t>
        </is>
      </c>
      <c r="F2832" t="inlineStr">
        <is>
          <t>N/A</t>
        </is>
      </c>
      <c r="G2832" s="26">
        <v>1065807</v>
      </c>
      <c r="H2832" s="26">
        <v>586194</v>
      </c>
      <c r="I2832" s="26">
        <v>0</v>
      </c>
      <c r="J2832" s="26">
        <v>347</v>
      </c>
      <c r="K2832" t="inlineStr">
        <is>
          <t>Oui</t>
        </is>
      </c>
      <c r="L2832">
        <f>SUBTOTAL(103,A2832)</f>
        <v>1</v>
      </c>
    </row>
    <row r="2833">
      <c r="A2833" t="inlineStr">
        <is>
          <t>SOCIETE C2255</t>
        </is>
      </c>
      <c r="B2833" t="inlineStr">
        <is>
          <t>C2255</t>
        </is>
      </c>
      <c r="C2833" t="inlineStr">
        <is>
          <t>CORPORATE BANKING</t>
        </is>
      </c>
      <c r="D2833" t="inlineStr">
        <is>
          <t>I</t>
        </is>
      </c>
      <c r="E2833" t="inlineStr">
        <is>
          <t>Stage 1</t>
        </is>
      </c>
      <c r="F2833" t="inlineStr">
        <is>
          <t>N/A</t>
        </is>
      </c>
      <c r="G2833" s="26">
        <v>7894105</v>
      </c>
      <c r="H2833" s="26">
        <v>78941</v>
      </c>
      <c r="I2833" s="26">
        <v>1227628</v>
      </c>
      <c r="J2833" s="26">
        <v>169</v>
      </c>
      <c r="K2833" t="inlineStr">
        <is>
          <t>Non</t>
        </is>
      </c>
      <c r="L2833">
        <f>SUBTOTAL(103,A2833)</f>
        <v>1</v>
      </c>
    </row>
    <row r="2834">
      <c r="A2834" t="inlineStr">
        <is>
          <t>SOCIETE C1710</t>
        </is>
      </c>
      <c r="B2834" t="inlineStr">
        <is>
          <t>C1710</t>
        </is>
      </c>
      <c r="C2834" t="inlineStr">
        <is>
          <t>COMMERCIAL BANKING</t>
        </is>
      </c>
      <c r="D2834" t="inlineStr">
        <is>
          <t>I</t>
        </is>
      </c>
      <c r="E2834" t="inlineStr">
        <is>
          <t>Stage 1</t>
        </is>
      </c>
      <c r="F2834" t="inlineStr">
        <is>
          <t>N/A</t>
        </is>
      </c>
      <c r="G2834" s="26">
        <v>984197160</v>
      </c>
      <c r="H2834" s="26">
        <v>9841972</v>
      </c>
      <c r="I2834" s="26">
        <v>0</v>
      </c>
      <c r="J2834" s="26">
        <v>111</v>
      </c>
      <c r="K2834" t="inlineStr">
        <is>
          <t>Non</t>
        </is>
      </c>
      <c r="L2834">
        <f>SUBTOTAL(103,A2834)</f>
        <v>1</v>
      </c>
    </row>
    <row r="2835">
      <c r="A2835" t="inlineStr">
        <is>
          <t>SOCIETE C1856</t>
        </is>
      </c>
      <c r="B2835" t="inlineStr">
        <is>
          <t>C1856</t>
        </is>
      </c>
      <c r="C2835" t="inlineStr">
        <is>
          <t>CORPORATE BANKING</t>
        </is>
      </c>
      <c r="D2835" t="inlineStr">
        <is>
          <t>I</t>
        </is>
      </c>
      <c r="E2835" t="inlineStr">
        <is>
          <t>Stage 1</t>
        </is>
      </c>
      <c r="F2835" t="inlineStr">
        <is>
          <t>N/A</t>
        </is>
      </c>
      <c r="G2835" s="26">
        <v>12167220</v>
      </c>
      <c r="H2835" s="26">
        <v>121672</v>
      </c>
      <c r="I2835" s="26">
        <v>731142</v>
      </c>
      <c r="J2835" s="26">
        <v>277</v>
      </c>
      <c r="K2835" t="inlineStr">
        <is>
          <t>Non</t>
        </is>
      </c>
      <c r="L2835">
        <f>SUBTOTAL(103,A2835)</f>
        <v>1</v>
      </c>
    </row>
    <row r="2836">
      <c r="A2836" t="inlineStr">
        <is>
          <t>SOCIETE C189</t>
        </is>
      </c>
      <c r="B2836" t="inlineStr">
        <is>
          <t>C189</t>
        </is>
      </c>
      <c r="C2836" t="inlineStr">
        <is>
          <t>COMMERCIAL BANKING</t>
        </is>
      </c>
      <c r="D2836" t="inlineStr">
        <is>
          <t>IV</t>
        </is>
      </c>
      <c r="E2836" t="inlineStr">
        <is>
          <t>Stage 3</t>
        </is>
      </c>
      <c r="F2836" t="inlineStr">
        <is>
          <t>N/A</t>
        </is>
      </c>
      <c r="G2836" s="26">
        <v>2464702830</v>
      </c>
      <c r="H2836" s="26">
        <v>1355586557</v>
      </c>
      <c r="I2836" s="26">
        <v>0</v>
      </c>
      <c r="J2836" s="26">
        <v>269</v>
      </c>
      <c r="K2836" t="inlineStr">
        <is>
          <t>Oui</t>
        </is>
      </c>
      <c r="L2836">
        <f>SUBTOTAL(103,A2836)</f>
        <v>1</v>
      </c>
    </row>
    <row r="2837">
      <c r="A2837" t="inlineStr">
        <is>
          <t>SOCIETE C1217</t>
        </is>
      </c>
      <c r="B2837" t="inlineStr">
        <is>
          <t>C1217</t>
        </is>
      </c>
      <c r="C2837" t="inlineStr">
        <is>
          <t>COMMERCIAL BANKING</t>
        </is>
      </c>
      <c r="D2837" t="inlineStr">
        <is>
          <t>I</t>
        </is>
      </c>
      <c r="E2837" t="inlineStr">
        <is>
          <t>Stage 1</t>
        </is>
      </c>
      <c r="F2837" t="inlineStr">
        <is>
          <t>N/A</t>
        </is>
      </c>
      <c r="G2837" s="26">
        <v>34309353</v>
      </c>
      <c r="H2837" s="26">
        <v>343094</v>
      </c>
      <c r="I2837" s="26">
        <v>0</v>
      </c>
      <c r="J2837" s="26">
        <v>143</v>
      </c>
      <c r="K2837" t="inlineStr">
        <is>
          <t>Non</t>
        </is>
      </c>
      <c r="L2837">
        <f>SUBTOTAL(103,A2837)</f>
        <v>1</v>
      </c>
    </row>
    <row r="2838">
      <c r="A2838" t="inlineStr">
        <is>
          <t>SOCIETE C2033</t>
        </is>
      </c>
      <c r="B2838" t="inlineStr">
        <is>
          <t>C2033</t>
        </is>
      </c>
      <c r="C2838" t="inlineStr">
        <is>
          <t>CORPORATE BANKING</t>
        </is>
      </c>
      <c r="D2838" t="inlineStr">
        <is>
          <t>V</t>
        </is>
      </c>
      <c r="E2838" t="inlineStr">
        <is>
          <t>Stage 3</t>
        </is>
      </c>
      <c r="F2838" t="inlineStr">
        <is>
          <t>N/A</t>
        </is>
      </c>
      <c r="G2838" s="26">
        <v>679066500</v>
      </c>
      <c r="H2838" s="26">
        <v>373486575</v>
      </c>
      <c r="I2838" s="26">
        <v>0</v>
      </c>
      <c r="J2838" s="26">
        <v>30</v>
      </c>
      <c r="K2838" t="inlineStr">
        <is>
          <t>Oui</t>
        </is>
      </c>
      <c r="L2838">
        <f>SUBTOTAL(103,A2838)</f>
        <v>1</v>
      </c>
    </row>
    <row r="2839">
      <c r="A2839" t="inlineStr">
        <is>
          <t>SOCIETE C1064</t>
        </is>
      </c>
      <c r="B2839" t="inlineStr">
        <is>
          <t>C1064</t>
        </is>
      </c>
      <c r="C2839" t="inlineStr">
        <is>
          <t>COMMERCIAL BANKING</t>
        </is>
      </c>
      <c r="D2839" t="inlineStr">
        <is>
          <t>IV</t>
        </is>
      </c>
      <c r="E2839" t="inlineStr">
        <is>
          <t>Stage 3</t>
        </is>
      </c>
      <c r="F2839" t="inlineStr">
        <is>
          <t>N/A</t>
        </is>
      </c>
      <c r="G2839" s="26">
        <v>158887126</v>
      </c>
      <c r="H2839" s="26">
        <v>87387920</v>
      </c>
      <c r="I2839" s="26">
        <v>19528127</v>
      </c>
      <c r="J2839" s="26">
        <v>126</v>
      </c>
      <c r="K2839" t="inlineStr">
        <is>
          <t>Oui</t>
        </is>
      </c>
      <c r="L2839">
        <f>SUBTOTAL(103,A2839)</f>
        <v>1</v>
      </c>
    </row>
    <row r="2840">
      <c r="A2840" t="inlineStr">
        <is>
          <t>SOCIETE C2258</t>
        </is>
      </c>
      <c r="B2840" t="inlineStr">
        <is>
          <t>C2258</t>
        </is>
      </c>
      <c r="C2840" t="inlineStr">
        <is>
          <t>CORPORATE BANKING</t>
        </is>
      </c>
      <c r="D2840" t="inlineStr">
        <is>
          <t>IA</t>
        </is>
      </c>
      <c r="E2840" t="inlineStr">
        <is>
          <t>Stage 2</t>
        </is>
      </c>
      <c r="F2840" t="inlineStr">
        <is>
          <t>N/A</t>
        </is>
      </c>
      <c r="G2840" s="26">
        <v>1139688577</v>
      </c>
      <c r="H2840" s="26">
        <v>68381315</v>
      </c>
      <c r="I2840" s="26">
        <v>124567612</v>
      </c>
      <c r="J2840" s="26">
        <v>28</v>
      </c>
      <c r="K2840" t="inlineStr">
        <is>
          <t>Non</t>
        </is>
      </c>
      <c r="L2840">
        <f>SUBTOTAL(103,A2840)</f>
        <v>1</v>
      </c>
    </row>
    <row r="2841">
      <c r="A2841" t="inlineStr">
        <is>
          <t>SOCIETE C1151</t>
        </is>
      </c>
      <c r="B2841" t="inlineStr">
        <is>
          <t>C1151</t>
        </is>
      </c>
      <c r="C2841" t="inlineStr">
        <is>
          <t>CORPORATE BANKING</t>
        </is>
      </c>
      <c r="D2841" t="inlineStr">
        <is>
          <t>I</t>
        </is>
      </c>
      <c r="E2841" t="inlineStr">
        <is>
          <t>Stage 1</t>
        </is>
      </c>
      <c r="F2841" t="inlineStr">
        <is>
          <t>N/A</t>
        </is>
      </c>
      <c r="G2841" s="26">
        <v>1012641</v>
      </c>
      <c r="H2841" s="26">
        <v>10126</v>
      </c>
      <c r="I2841" s="26">
        <v>0</v>
      </c>
      <c r="J2841" s="26">
        <v>82</v>
      </c>
      <c r="K2841" t="inlineStr">
        <is>
          <t>Non</t>
        </is>
      </c>
      <c r="L2841">
        <f>SUBTOTAL(103,A2841)</f>
        <v>1</v>
      </c>
    </row>
    <row r="2842">
      <c r="A2842" t="inlineStr">
        <is>
          <t>SOCIETE C1482</t>
        </is>
      </c>
      <c r="B2842" t="inlineStr">
        <is>
          <t>C1482</t>
        </is>
      </c>
      <c r="C2842" t="inlineStr">
        <is>
          <t>CORPORATE BANKING</t>
        </is>
      </c>
      <c r="D2842" t="inlineStr">
        <is>
          <t>IA</t>
        </is>
      </c>
      <c r="E2842" t="inlineStr">
        <is>
          <t>Stage 2</t>
        </is>
      </c>
      <c r="F2842" t="inlineStr">
        <is>
          <t>N/A</t>
        </is>
      </c>
      <c r="G2842" s="26">
        <v>71963115</v>
      </c>
      <c r="H2842" s="26">
        <v>4317787</v>
      </c>
      <c r="I2842" s="26">
        <v>13082058</v>
      </c>
      <c r="J2842" s="26">
        <v>83</v>
      </c>
      <c r="K2842" t="inlineStr">
        <is>
          <t>Non</t>
        </is>
      </c>
      <c r="L2842">
        <f>SUBTOTAL(103,A2842)</f>
        <v>1</v>
      </c>
    </row>
    <row r="2843">
      <c r="A2843" t="inlineStr">
        <is>
          <t>SOCIETE C1727</t>
        </is>
      </c>
      <c r="B2843" t="inlineStr">
        <is>
          <t>C1727</t>
        </is>
      </c>
      <c r="C2843" t="inlineStr">
        <is>
          <t>CONSUMER BANKING</t>
        </is>
      </c>
      <c r="D2843" t="inlineStr">
        <is>
          <t>II</t>
        </is>
      </c>
      <c r="E2843" t="inlineStr">
        <is>
          <t>Stage 2</t>
        </is>
      </c>
      <c r="F2843" t="inlineStr">
        <is>
          <t>N/A</t>
        </is>
      </c>
      <c r="G2843" s="26">
        <v>1908641740</v>
      </c>
      <c r="H2843" s="26">
        <v>114518504</v>
      </c>
      <c r="I2843" s="26">
        <v>113612620</v>
      </c>
      <c r="J2843" s="26">
        <v>67</v>
      </c>
      <c r="K2843" t="inlineStr">
        <is>
          <t>Non</t>
        </is>
      </c>
      <c r="L2843">
        <f>SUBTOTAL(103,A2843)</f>
        <v>1</v>
      </c>
    </row>
    <row r="2844">
      <c r="A2844" t="inlineStr">
        <is>
          <t>SOCIETE C744</t>
        </is>
      </c>
      <c r="B2844" t="inlineStr">
        <is>
          <t>C744</t>
        </is>
      </c>
      <c r="C2844" t="inlineStr">
        <is>
          <t>COMMERCIAL BANKING</t>
        </is>
      </c>
      <c r="D2844" t="inlineStr">
        <is>
          <t>II</t>
        </is>
      </c>
      <c r="E2844" t="inlineStr">
        <is>
          <t>Stage 2</t>
        </is>
      </c>
      <c r="F2844" t="inlineStr">
        <is>
          <t>N/A</t>
        </is>
      </c>
      <c r="G2844" s="26">
        <v>1000071</v>
      </c>
      <c r="H2844" s="26">
        <v>60004</v>
      </c>
      <c r="I2844" s="26">
        <v>0</v>
      </c>
      <c r="J2844" s="26">
        <v>59</v>
      </c>
      <c r="K2844" t="inlineStr">
        <is>
          <t>Non</t>
        </is>
      </c>
      <c r="L2844">
        <f>SUBTOTAL(103,A2844)</f>
        <v>1</v>
      </c>
    </row>
    <row r="2845">
      <c r="A2845" t="inlineStr">
        <is>
          <t>SOCIETE C2019</t>
        </is>
      </c>
      <c r="B2845" t="inlineStr">
        <is>
          <t>C2019</t>
        </is>
      </c>
      <c r="C2845" t="inlineStr">
        <is>
          <t>COMMERCIAL BANKING</t>
        </is>
      </c>
      <c r="D2845" t="inlineStr">
        <is>
          <t>IV</t>
        </is>
      </c>
      <c r="E2845" t="inlineStr">
        <is>
          <t>Stage 3</t>
        </is>
      </c>
      <c r="F2845" t="inlineStr">
        <is>
          <t>N/A</t>
        </is>
      </c>
      <c r="G2845" s="26">
        <v>1458592119</v>
      </c>
      <c r="H2845" s="26">
        <v>802225665</v>
      </c>
      <c r="I2845" s="26">
        <v>0</v>
      </c>
      <c r="J2845" s="26">
        <v>1</v>
      </c>
      <c r="K2845" t="inlineStr">
        <is>
          <t>Oui</t>
        </is>
      </c>
      <c r="L2845">
        <f>SUBTOTAL(103,A2845)</f>
        <v>1</v>
      </c>
    </row>
    <row r="2846">
      <c r="A2846" t="inlineStr">
        <is>
          <t>SOCIETE C1987</t>
        </is>
      </c>
      <c r="B2846" t="inlineStr">
        <is>
          <t>C1987</t>
        </is>
      </c>
      <c r="C2846" t="inlineStr">
        <is>
          <t>CORPORATE BANKING</t>
        </is>
      </c>
      <c r="D2846" t="inlineStr">
        <is>
          <t>IA</t>
        </is>
      </c>
      <c r="E2846" t="inlineStr">
        <is>
          <t>Stage 2</t>
        </is>
      </c>
      <c r="F2846" t="inlineStr">
        <is>
          <t>N/A</t>
        </is>
      </c>
      <c r="G2846" s="26">
        <v>58766463</v>
      </c>
      <c r="H2846" s="26">
        <v>3525988</v>
      </c>
      <c r="I2846" s="26">
        <v>0</v>
      </c>
      <c r="J2846" s="26">
        <v>69</v>
      </c>
      <c r="K2846" t="inlineStr">
        <is>
          <t>Non</t>
        </is>
      </c>
      <c r="L2846">
        <f>SUBTOTAL(103,A2846)</f>
        <v>1</v>
      </c>
    </row>
    <row r="2847">
      <c r="A2847" t="inlineStr">
        <is>
          <t>SOCIETE C271</t>
        </is>
      </c>
      <c r="B2847" t="inlineStr">
        <is>
          <t>C271</t>
        </is>
      </c>
      <c r="C2847" t="inlineStr">
        <is>
          <t>CORPORATE BANKING</t>
        </is>
      </c>
      <c r="D2847" t="inlineStr">
        <is>
          <t>I</t>
        </is>
      </c>
      <c r="E2847" t="inlineStr">
        <is>
          <t>Stage 1</t>
        </is>
      </c>
      <c r="F2847" t="inlineStr">
        <is>
          <t>N/A</t>
        </is>
      </c>
      <c r="G2847" s="26">
        <v>217567186</v>
      </c>
      <c r="H2847" s="26">
        <v>2175672</v>
      </c>
      <c r="I2847" s="26">
        <v>0</v>
      </c>
      <c r="J2847" s="26">
        <v>14</v>
      </c>
      <c r="K2847" t="inlineStr">
        <is>
          <t>Non</t>
        </is>
      </c>
      <c r="L2847">
        <f>SUBTOTAL(103,A2847)</f>
        <v>1</v>
      </c>
    </row>
    <row r="2848">
      <c r="A2848" t="inlineStr">
        <is>
          <t>SOCIETE C60</t>
        </is>
      </c>
      <c r="B2848" t="inlineStr">
        <is>
          <t>C60</t>
        </is>
      </c>
      <c r="C2848" t="inlineStr">
        <is>
          <t>CONSUMER BANKING</t>
        </is>
      </c>
      <c r="D2848" t="inlineStr">
        <is>
          <t>I</t>
        </is>
      </c>
      <c r="E2848" t="inlineStr">
        <is>
          <t>Stage 1</t>
        </is>
      </c>
      <c r="F2848" t="inlineStr">
        <is>
          <t>N/A</t>
        </is>
      </c>
      <c r="G2848" s="26">
        <v>352354379</v>
      </c>
      <c r="H2848" s="26">
        <v>3523544</v>
      </c>
      <c r="I2848" s="26">
        <v>0</v>
      </c>
      <c r="J2848" s="26">
        <v>77</v>
      </c>
      <c r="K2848" t="inlineStr">
        <is>
          <t>Non</t>
        </is>
      </c>
      <c r="L2848">
        <f>SUBTOTAL(103,A2848)</f>
        <v>1</v>
      </c>
    </row>
    <row r="2849">
      <c r="A2849" t="inlineStr">
        <is>
          <t>SOCIETE C1525</t>
        </is>
      </c>
      <c r="B2849" t="inlineStr">
        <is>
          <t>C1525</t>
        </is>
      </c>
      <c r="C2849" t="inlineStr">
        <is>
          <t>CORPORATE BANKING</t>
        </is>
      </c>
      <c r="D2849" t="inlineStr">
        <is>
          <t>I</t>
        </is>
      </c>
      <c r="E2849" t="inlineStr">
        <is>
          <t>Stage 1</t>
        </is>
      </c>
      <c r="F2849" t="inlineStr">
        <is>
          <t>N/A</t>
        </is>
      </c>
      <c r="G2849" s="26">
        <v>1769581035</v>
      </c>
      <c r="H2849" s="26">
        <v>17695810</v>
      </c>
      <c r="I2849" s="26">
        <v>34190696</v>
      </c>
      <c r="J2849" s="26">
        <v>154</v>
      </c>
      <c r="K2849" t="inlineStr">
        <is>
          <t>Non</t>
        </is>
      </c>
      <c r="L2849">
        <f>SUBTOTAL(103,A2849)</f>
        <v>1</v>
      </c>
    </row>
    <row r="2850">
      <c r="A2850" t="inlineStr">
        <is>
          <t>SOCIETE C1671</t>
        </is>
      </c>
      <c r="B2850" t="inlineStr">
        <is>
          <t>C1671</t>
        </is>
      </c>
      <c r="C2850" t="inlineStr">
        <is>
          <t>CORPORATE BANKING</t>
        </is>
      </c>
      <c r="D2850" t="inlineStr">
        <is>
          <t>II</t>
        </is>
      </c>
      <c r="E2850" t="inlineStr">
        <is>
          <t>Stage 2</t>
        </is>
      </c>
      <c r="F2850" t="inlineStr">
        <is>
          <t>N/A</t>
        </is>
      </c>
      <c r="G2850" s="26">
        <v>554611607</v>
      </c>
      <c r="H2850" s="26">
        <v>33276696</v>
      </c>
      <c r="I2850" s="26">
        <v>0</v>
      </c>
      <c r="J2850" s="26">
        <v>40</v>
      </c>
      <c r="K2850" t="inlineStr">
        <is>
          <t>Non</t>
        </is>
      </c>
      <c r="L2850">
        <f>SUBTOTAL(103,A2850)</f>
        <v>1</v>
      </c>
    </row>
    <row r="2851">
      <c r="A2851" t="inlineStr">
        <is>
          <t>SOCIETE C842</t>
        </is>
      </c>
      <c r="B2851" t="inlineStr">
        <is>
          <t>C842</t>
        </is>
      </c>
      <c r="C2851" t="inlineStr">
        <is>
          <t>COMMERCIAL BANKING</t>
        </is>
      </c>
      <c r="D2851" t="inlineStr">
        <is>
          <t>I</t>
        </is>
      </c>
      <c r="E2851" t="inlineStr">
        <is>
          <t>Stage 1</t>
        </is>
      </c>
      <c r="F2851" t="inlineStr">
        <is>
          <t>N/A</t>
        </is>
      </c>
      <c r="G2851" s="26">
        <v>13127181</v>
      </c>
      <c r="H2851" s="26">
        <v>131272</v>
      </c>
      <c r="I2851" s="26">
        <v>0</v>
      </c>
      <c r="J2851" s="26">
        <v>156</v>
      </c>
      <c r="K2851" t="inlineStr">
        <is>
          <t>Non</t>
        </is>
      </c>
      <c r="L2851">
        <f>SUBTOTAL(103,A2851)</f>
        <v>1</v>
      </c>
    </row>
    <row r="2852">
      <c r="A2852" t="inlineStr">
        <is>
          <t>SOCIETE C2315</t>
        </is>
      </c>
      <c r="B2852" t="inlineStr">
        <is>
          <t>C2315</t>
        </is>
      </c>
      <c r="C2852" t="inlineStr">
        <is>
          <t>CONSUMER BANKING</t>
        </is>
      </c>
      <c r="D2852" t="inlineStr">
        <is>
          <t>I</t>
        </is>
      </c>
      <c r="E2852" t="inlineStr">
        <is>
          <t>Stage 1</t>
        </is>
      </c>
      <c r="F2852" t="inlineStr">
        <is>
          <t>N/A</t>
        </is>
      </c>
      <c r="G2852" s="26">
        <v>806991464</v>
      </c>
      <c r="H2852" s="26">
        <v>8069915</v>
      </c>
      <c r="I2852" s="26">
        <v>57171610</v>
      </c>
      <c r="J2852" s="26">
        <v>2</v>
      </c>
      <c r="K2852" t="inlineStr">
        <is>
          <t>Non</t>
        </is>
      </c>
      <c r="L2852">
        <f>SUBTOTAL(103,A2852)</f>
        <v>1</v>
      </c>
    </row>
    <row r="2853">
      <c r="A2853" t="inlineStr">
        <is>
          <t>SOCIETE C2041</t>
        </is>
      </c>
      <c r="B2853" t="inlineStr">
        <is>
          <t>C2041</t>
        </is>
      </c>
      <c r="C2853" t="inlineStr">
        <is>
          <t>CORPORATE BANKING</t>
        </is>
      </c>
      <c r="D2853" t="inlineStr">
        <is>
          <t>III</t>
        </is>
      </c>
      <c r="E2853" t="inlineStr">
        <is>
          <t>Stage 3</t>
        </is>
      </c>
      <c r="F2853" t="inlineStr">
        <is>
          <t>N/A</t>
        </is>
      </c>
      <c r="G2853" s="26">
        <v>6635879</v>
      </c>
      <c r="H2853" s="26">
        <v>3649733</v>
      </c>
      <c r="I2853" s="26">
        <v>674642</v>
      </c>
      <c r="J2853" s="26">
        <v>58</v>
      </c>
      <c r="K2853" t="inlineStr">
        <is>
          <t>Oui</t>
        </is>
      </c>
      <c r="L2853">
        <f>SUBTOTAL(103,A2853)</f>
        <v>1</v>
      </c>
    </row>
    <row r="2854">
      <c r="A2854" t="inlineStr">
        <is>
          <t>SOCIETE C645</t>
        </is>
      </c>
      <c r="B2854" t="inlineStr">
        <is>
          <t>C645</t>
        </is>
      </c>
      <c r="C2854" t="inlineStr">
        <is>
          <t>CORPORATE BANKING</t>
        </is>
      </c>
      <c r="D2854" t="inlineStr">
        <is>
          <t>V</t>
        </is>
      </c>
      <c r="E2854" t="inlineStr">
        <is>
          <t>Stage 3</t>
        </is>
      </c>
      <c r="F2854" t="inlineStr">
        <is>
          <t>N/A</t>
        </is>
      </c>
      <c r="G2854" s="26">
        <v>1091051</v>
      </c>
      <c r="H2854" s="26">
        <v>600078</v>
      </c>
      <c r="I2854" s="26">
        <v>0</v>
      </c>
      <c r="J2854" s="26">
        <v>117</v>
      </c>
      <c r="K2854" t="inlineStr">
        <is>
          <t>Oui</t>
        </is>
      </c>
      <c r="L2854">
        <f>SUBTOTAL(103,A2854)</f>
        <v>1</v>
      </c>
    </row>
    <row r="2855">
      <c r="A2855" t="inlineStr">
        <is>
          <t>SOCIETE C1204</t>
        </is>
      </c>
      <c r="B2855" t="inlineStr">
        <is>
          <t>C1204</t>
        </is>
      </c>
      <c r="C2855" t="inlineStr">
        <is>
          <t>CORPORATE BANKING</t>
        </is>
      </c>
      <c r="D2855" t="inlineStr">
        <is>
          <t>I</t>
        </is>
      </c>
      <c r="E2855" t="inlineStr">
        <is>
          <t>Stage 1</t>
        </is>
      </c>
      <c r="F2855" t="inlineStr">
        <is>
          <t>N/A</t>
        </is>
      </c>
      <c r="G2855" s="26">
        <v>1000973</v>
      </c>
      <c r="H2855" s="26">
        <v>10010</v>
      </c>
      <c r="I2855" s="26">
        <v>0</v>
      </c>
      <c r="J2855" s="26">
        <v>136</v>
      </c>
      <c r="K2855" t="inlineStr">
        <is>
          <t>Non</t>
        </is>
      </c>
      <c r="L2855">
        <f>SUBTOTAL(103,A2855)</f>
        <v>1</v>
      </c>
    </row>
    <row r="2856">
      <c r="A2856" t="inlineStr">
        <is>
          <t>SOCIETE C2361</t>
        </is>
      </c>
      <c r="B2856" t="inlineStr">
        <is>
          <t>C2361</t>
        </is>
      </c>
      <c r="C2856" t="inlineStr">
        <is>
          <t>CONSUMER BANKING</t>
        </is>
      </c>
      <c r="D2856" t="inlineStr">
        <is>
          <t>V</t>
        </is>
      </c>
      <c r="E2856" t="inlineStr">
        <is>
          <t>Stage 3</t>
        </is>
      </c>
      <c r="F2856" t="inlineStr">
        <is>
          <t>N/A</t>
        </is>
      </c>
      <c r="G2856" s="26">
        <v>17122764</v>
      </c>
      <c r="H2856" s="26">
        <v>9417520</v>
      </c>
      <c r="I2856" s="26">
        <v>0</v>
      </c>
      <c r="J2856" s="26">
        <v>145</v>
      </c>
      <c r="K2856" t="inlineStr">
        <is>
          <t>Oui</t>
        </is>
      </c>
      <c r="L2856">
        <f>SUBTOTAL(103,A2856)</f>
        <v>1</v>
      </c>
    </row>
    <row r="2857">
      <c r="A2857" t="inlineStr">
        <is>
          <t>SOCIETE C2226</t>
        </is>
      </c>
      <c r="B2857" t="inlineStr">
        <is>
          <t>C2226</t>
        </is>
      </c>
      <c r="C2857" t="inlineStr">
        <is>
          <t>CORPORATE BANKING</t>
        </is>
      </c>
      <c r="D2857" t="inlineStr">
        <is>
          <t>I</t>
        </is>
      </c>
      <c r="E2857" t="inlineStr">
        <is>
          <t>Stage 1</t>
        </is>
      </c>
      <c r="F2857" t="inlineStr">
        <is>
          <t>N/A</t>
        </is>
      </c>
      <c r="G2857" s="26">
        <v>1009626</v>
      </c>
      <c r="H2857" s="26">
        <v>10096</v>
      </c>
      <c r="I2857" s="26">
        <v>0</v>
      </c>
      <c r="J2857" s="26">
        <v>68</v>
      </c>
      <c r="K2857" t="inlineStr">
        <is>
          <t>Non</t>
        </is>
      </c>
      <c r="L2857">
        <f>SUBTOTAL(103,A2857)</f>
        <v>1</v>
      </c>
    </row>
    <row r="2858">
      <c r="A2858" t="inlineStr">
        <is>
          <t>SOCIETE C1765</t>
        </is>
      </c>
      <c r="B2858" t="inlineStr">
        <is>
          <t>C1765</t>
        </is>
      </c>
      <c r="C2858" t="inlineStr">
        <is>
          <t>CORPORATE BANKING</t>
        </is>
      </c>
      <c r="D2858" t="inlineStr">
        <is>
          <t>I</t>
        </is>
      </c>
      <c r="E2858" t="inlineStr">
        <is>
          <t>Stage 1</t>
        </is>
      </c>
      <c r="F2858" t="inlineStr">
        <is>
          <t>N/A</t>
        </is>
      </c>
      <c r="G2858" s="26">
        <v>333806799</v>
      </c>
      <c r="H2858" s="26">
        <v>3338068</v>
      </c>
      <c r="I2858" s="26">
        <v>58085079</v>
      </c>
      <c r="J2858" s="26">
        <v>184</v>
      </c>
      <c r="K2858" t="inlineStr">
        <is>
          <t>Non</t>
        </is>
      </c>
      <c r="L2858">
        <f>SUBTOTAL(103,A2858)</f>
        <v>1</v>
      </c>
    </row>
    <row r="2859">
      <c r="A2859" t="inlineStr">
        <is>
          <t>SOCIETE C1833</t>
        </is>
      </c>
      <c r="B2859" t="inlineStr">
        <is>
          <t>C1833</t>
        </is>
      </c>
      <c r="C2859" t="inlineStr">
        <is>
          <t>SME</t>
        </is>
      </c>
      <c r="D2859" t="inlineStr">
        <is>
          <t>II</t>
        </is>
      </c>
      <c r="E2859" t="inlineStr">
        <is>
          <t>Stage 2</t>
        </is>
      </c>
      <c r="F2859" t="inlineStr">
        <is>
          <t>N/A</t>
        </is>
      </c>
      <c r="G2859" s="26">
        <v>824464079</v>
      </c>
      <c r="H2859" s="26">
        <v>49467845</v>
      </c>
      <c r="I2859" s="26">
        <v>110319355</v>
      </c>
      <c r="J2859" s="26">
        <v>28</v>
      </c>
      <c r="K2859" t="inlineStr">
        <is>
          <t>Non</t>
        </is>
      </c>
      <c r="L2859">
        <f>SUBTOTAL(103,A2859)</f>
        <v>1</v>
      </c>
    </row>
    <row r="2860">
      <c r="A2860" t="inlineStr">
        <is>
          <t>SOCIETE C1593</t>
        </is>
      </c>
      <c r="B2860" t="inlineStr">
        <is>
          <t>C1593</t>
        </is>
      </c>
      <c r="C2860" t="inlineStr">
        <is>
          <t>COMMERCIAL BANKING</t>
        </is>
      </c>
      <c r="D2860" t="inlineStr">
        <is>
          <t>I</t>
        </is>
      </c>
      <c r="E2860" t="inlineStr">
        <is>
          <t>Stage 1</t>
        </is>
      </c>
      <c r="F2860" t="inlineStr">
        <is>
          <t>N/A</t>
        </is>
      </c>
      <c r="G2860" s="26">
        <v>267545542</v>
      </c>
      <c r="H2860" s="26">
        <v>2675455</v>
      </c>
      <c r="I2860" s="26">
        <v>0</v>
      </c>
      <c r="J2860" s="26">
        <v>211</v>
      </c>
      <c r="K2860" t="inlineStr">
        <is>
          <t>Non</t>
        </is>
      </c>
      <c r="L2860">
        <f>SUBTOTAL(103,A2860)</f>
        <v>1</v>
      </c>
    </row>
    <row r="2861">
      <c r="A2861" t="inlineStr">
        <is>
          <t>SOCIETE C87</t>
        </is>
      </c>
      <c r="B2861" t="inlineStr">
        <is>
          <t>C87</t>
        </is>
      </c>
      <c r="C2861" t="inlineStr">
        <is>
          <t>CORPORATE BANKING</t>
        </is>
      </c>
      <c r="D2861" t="inlineStr">
        <is>
          <t>I</t>
        </is>
      </c>
      <c r="E2861" t="inlineStr">
        <is>
          <t>Stage 1</t>
        </is>
      </c>
      <c r="F2861" t="inlineStr">
        <is>
          <t>N/A</t>
        </is>
      </c>
      <c r="G2861" s="26">
        <v>1186699</v>
      </c>
      <c r="H2861" s="26">
        <v>11867</v>
      </c>
      <c r="I2861" s="26">
        <v>0</v>
      </c>
      <c r="J2861" s="26">
        <v>4</v>
      </c>
      <c r="K2861" t="inlineStr">
        <is>
          <t>Non</t>
        </is>
      </c>
      <c r="L2861">
        <f>SUBTOTAL(103,A2861)</f>
        <v>1</v>
      </c>
    </row>
    <row r="2862">
      <c r="A2862" t="inlineStr">
        <is>
          <t>SOCIETE C1938</t>
        </is>
      </c>
      <c r="B2862" t="inlineStr">
        <is>
          <t>C1938</t>
        </is>
      </c>
      <c r="C2862" t="inlineStr">
        <is>
          <t>COMMERCIAL BANKING</t>
        </is>
      </c>
      <c r="D2862" t="inlineStr">
        <is>
          <t>III</t>
        </is>
      </c>
      <c r="E2862" t="inlineStr">
        <is>
          <t>Stage 3</t>
        </is>
      </c>
      <c r="F2862" t="inlineStr">
        <is>
          <t>N/A</t>
        </is>
      </c>
      <c r="G2862" s="26">
        <v>239497781</v>
      </c>
      <c r="H2862" s="26">
        <v>131723779</v>
      </c>
      <c r="I2862" s="26">
        <v>0</v>
      </c>
      <c r="J2862" s="26">
        <v>134</v>
      </c>
      <c r="K2862" t="inlineStr">
        <is>
          <t>Oui</t>
        </is>
      </c>
      <c r="L2862">
        <f>SUBTOTAL(103,A2862)</f>
        <v>1</v>
      </c>
    </row>
    <row r="2863">
      <c r="A2863" t="inlineStr">
        <is>
          <t>SOCIETE C1576</t>
        </is>
      </c>
      <c r="B2863" t="inlineStr">
        <is>
          <t>C1576</t>
        </is>
      </c>
      <c r="C2863" t="inlineStr">
        <is>
          <t>COMMERCIAL BANKING</t>
        </is>
      </c>
      <c r="D2863" t="inlineStr">
        <is>
          <t>I</t>
        </is>
      </c>
      <c r="E2863" t="inlineStr">
        <is>
          <t>Stage 1</t>
        </is>
      </c>
      <c r="F2863" t="inlineStr">
        <is>
          <t>N/A</t>
        </is>
      </c>
      <c r="G2863" s="26">
        <v>31316074</v>
      </c>
      <c r="H2863" s="26">
        <v>313161</v>
      </c>
      <c r="I2863" s="26">
        <v>0</v>
      </c>
      <c r="J2863" s="26">
        <v>20</v>
      </c>
      <c r="K2863" t="inlineStr">
        <is>
          <t>Non</t>
        </is>
      </c>
      <c r="L2863">
        <f>SUBTOTAL(103,A2863)</f>
        <v>1</v>
      </c>
    </row>
    <row r="2864">
      <c r="A2864" t="inlineStr">
        <is>
          <t>SOCIETE C1646</t>
        </is>
      </c>
      <c r="B2864" t="inlineStr">
        <is>
          <t>C1646</t>
        </is>
      </c>
      <c r="C2864" t="inlineStr">
        <is>
          <t>PUBLIC SECTOR</t>
        </is>
      </c>
      <c r="D2864" t="inlineStr">
        <is>
          <t>III</t>
        </is>
      </c>
      <c r="E2864" t="inlineStr">
        <is>
          <t>Stage 3</t>
        </is>
      </c>
      <c r="F2864" t="inlineStr">
        <is>
          <t>N/A</t>
        </is>
      </c>
      <c r="G2864" s="26">
        <v>38186481</v>
      </c>
      <c r="H2864" s="26">
        <v>21002565</v>
      </c>
      <c r="I2864" s="26">
        <v>0</v>
      </c>
      <c r="J2864" s="26">
        <v>219</v>
      </c>
      <c r="K2864" t="inlineStr">
        <is>
          <t>Oui</t>
        </is>
      </c>
      <c r="L2864">
        <f>SUBTOTAL(103,A2864)</f>
        <v>1</v>
      </c>
    </row>
    <row r="2865">
      <c r="A2865" t="inlineStr">
        <is>
          <t>SOCIETE C1314</t>
        </is>
      </c>
      <c r="B2865" t="inlineStr">
        <is>
          <t>C1314</t>
        </is>
      </c>
      <c r="C2865" t="inlineStr">
        <is>
          <t>COMMERCIAL BANKING</t>
        </is>
      </c>
      <c r="D2865" t="inlineStr">
        <is>
          <t>III</t>
        </is>
      </c>
      <c r="E2865" t="inlineStr">
        <is>
          <t>Stage 3</t>
        </is>
      </c>
      <c r="F2865" t="inlineStr">
        <is>
          <t>N/A</t>
        </is>
      </c>
      <c r="G2865" s="26">
        <v>1034105533</v>
      </c>
      <c r="H2865" s="26">
        <v>568758043</v>
      </c>
      <c r="I2865" s="26">
        <v>0</v>
      </c>
      <c r="J2865" s="26">
        <v>9</v>
      </c>
      <c r="K2865" t="inlineStr">
        <is>
          <t>Oui</t>
        </is>
      </c>
      <c r="L2865">
        <f>SUBTOTAL(103,A2865)</f>
        <v>1</v>
      </c>
    </row>
    <row r="2866">
      <c r="A2866" t="inlineStr">
        <is>
          <t>SOCIETE C1585</t>
        </is>
      </c>
      <c r="B2866" t="inlineStr">
        <is>
          <t>C1585</t>
        </is>
      </c>
      <c r="C2866" t="inlineStr">
        <is>
          <t>CORPORATE BANKING</t>
        </is>
      </c>
      <c r="D2866" t="inlineStr">
        <is>
          <t>IA</t>
        </is>
      </c>
      <c r="E2866" t="inlineStr">
        <is>
          <t>Stage 2</t>
        </is>
      </c>
      <c r="F2866" t="inlineStr">
        <is>
          <t>N/A</t>
        </is>
      </c>
      <c r="G2866" s="26">
        <v>41400406</v>
      </c>
      <c r="H2866" s="26">
        <v>2484024</v>
      </c>
      <c r="I2866" s="26">
        <v>0</v>
      </c>
      <c r="J2866" s="26">
        <v>117</v>
      </c>
      <c r="K2866" t="inlineStr">
        <is>
          <t>Non</t>
        </is>
      </c>
      <c r="L2866">
        <f>SUBTOTAL(103,A2866)</f>
        <v>1</v>
      </c>
    </row>
    <row r="2867">
      <c r="A2867" t="inlineStr">
        <is>
          <t>SOCIETE C876</t>
        </is>
      </c>
      <c r="B2867" t="inlineStr">
        <is>
          <t>C876</t>
        </is>
      </c>
      <c r="C2867" t="inlineStr">
        <is>
          <t>CORPORATE BANKING</t>
        </is>
      </c>
      <c r="D2867" t="inlineStr">
        <is>
          <t>II</t>
        </is>
      </c>
      <c r="E2867" t="inlineStr">
        <is>
          <t>Stage 2</t>
        </is>
      </c>
      <c r="F2867" t="inlineStr">
        <is>
          <t>N/A</t>
        </is>
      </c>
      <c r="G2867" s="26">
        <v>677188017</v>
      </c>
      <c r="H2867" s="26">
        <v>40631281</v>
      </c>
      <c r="I2867" s="26">
        <v>0</v>
      </c>
      <c r="J2867" s="26">
        <v>88</v>
      </c>
      <c r="K2867" t="inlineStr">
        <is>
          <t>Non</t>
        </is>
      </c>
      <c r="L2867">
        <f>SUBTOTAL(103,A2867)</f>
        <v>1</v>
      </c>
    </row>
    <row r="2868">
      <c r="A2868" t="inlineStr">
        <is>
          <t>SOCIETE C2052</t>
        </is>
      </c>
      <c r="B2868" t="inlineStr">
        <is>
          <t>C2052</t>
        </is>
      </c>
      <c r="C2868" t="inlineStr">
        <is>
          <t>CORPORATE BANKING</t>
        </is>
      </c>
      <c r="D2868" t="inlineStr">
        <is>
          <t>I</t>
        </is>
      </c>
      <c r="E2868" t="inlineStr">
        <is>
          <t>Stage 1</t>
        </is>
      </c>
      <c r="F2868" t="inlineStr">
        <is>
          <t>N/A</t>
        </is>
      </c>
      <c r="G2868" s="26">
        <v>1141631614</v>
      </c>
      <c r="H2868" s="26">
        <v>11416316</v>
      </c>
      <c r="I2868" s="26">
        <v>0</v>
      </c>
      <c r="J2868" s="26">
        <v>26</v>
      </c>
      <c r="K2868" t="inlineStr">
        <is>
          <t>Non</t>
        </is>
      </c>
      <c r="L2868">
        <f>SUBTOTAL(103,A2868)</f>
        <v>1</v>
      </c>
    </row>
    <row r="2869">
      <c r="A2869" t="inlineStr">
        <is>
          <t>SOCIETE C1687</t>
        </is>
      </c>
      <c r="B2869" t="inlineStr">
        <is>
          <t>C1687</t>
        </is>
      </c>
      <c r="C2869" t="inlineStr">
        <is>
          <t>CORPORATE BANKING</t>
        </is>
      </c>
      <c r="D2869" t="inlineStr">
        <is>
          <t>IA</t>
        </is>
      </c>
      <c r="E2869" t="inlineStr">
        <is>
          <t>Stage 2</t>
        </is>
      </c>
      <c r="F2869" t="inlineStr">
        <is>
          <t>N/A</t>
        </is>
      </c>
      <c r="G2869" s="26">
        <v>358109026</v>
      </c>
      <c r="H2869" s="26">
        <v>21486542</v>
      </c>
      <c r="I2869" s="26">
        <v>20302916</v>
      </c>
      <c r="J2869" s="26">
        <v>128</v>
      </c>
      <c r="K2869" t="inlineStr">
        <is>
          <t>Non</t>
        </is>
      </c>
      <c r="L2869">
        <f>SUBTOTAL(103,A2869)</f>
        <v>1</v>
      </c>
    </row>
    <row r="2870">
      <c r="A2870" t="inlineStr">
        <is>
          <t>SOCIETE C2395</t>
        </is>
      </c>
      <c r="B2870" t="inlineStr">
        <is>
          <t>C2395</t>
        </is>
      </c>
      <c r="C2870" t="inlineStr">
        <is>
          <t>CONSUMER BANKING</t>
        </is>
      </c>
      <c r="D2870" t="inlineStr">
        <is>
          <t>I</t>
        </is>
      </c>
      <c r="E2870" t="inlineStr">
        <is>
          <t>Stage 1</t>
        </is>
      </c>
      <c r="F2870" t="inlineStr">
        <is>
          <t>N/A</t>
        </is>
      </c>
      <c r="G2870" s="26">
        <v>1898864804</v>
      </c>
      <c r="H2870" s="26">
        <v>18988648</v>
      </c>
      <c r="I2870" s="26">
        <v>0</v>
      </c>
      <c r="J2870" s="26">
        <v>107</v>
      </c>
      <c r="K2870" t="inlineStr">
        <is>
          <t>Non</t>
        </is>
      </c>
      <c r="L2870">
        <f>SUBTOTAL(103,A2870)</f>
        <v>1</v>
      </c>
    </row>
    <row r="2871">
      <c r="A2871" t="inlineStr">
        <is>
          <t>SOCIETE C2477</t>
        </is>
      </c>
      <c r="B2871" t="inlineStr">
        <is>
          <t>C2477</t>
        </is>
      </c>
      <c r="C2871" t="inlineStr">
        <is>
          <t>CORPORATE BANKING</t>
        </is>
      </c>
      <c r="D2871" t="inlineStr">
        <is>
          <t>III</t>
        </is>
      </c>
      <c r="E2871" t="inlineStr">
        <is>
          <t>Stage 3</t>
        </is>
      </c>
      <c r="F2871" t="inlineStr">
        <is>
          <t>N/A</t>
        </is>
      </c>
      <c r="G2871" s="26">
        <v>1656274845</v>
      </c>
      <c r="H2871" s="26">
        <v>910951165</v>
      </c>
      <c r="I2871" s="26">
        <v>0</v>
      </c>
      <c r="J2871" s="26">
        <v>6</v>
      </c>
      <c r="K2871" t="inlineStr">
        <is>
          <t>Oui</t>
        </is>
      </c>
      <c r="L2871">
        <f>SUBTOTAL(103,A2871)</f>
        <v>1</v>
      </c>
    </row>
    <row r="2872">
      <c r="A2872" t="inlineStr">
        <is>
          <t>SOCIETE C266</t>
        </is>
      </c>
      <c r="B2872" t="inlineStr">
        <is>
          <t>C266</t>
        </is>
      </c>
      <c r="C2872" t="inlineStr">
        <is>
          <t>SME</t>
        </is>
      </c>
      <c r="D2872" t="inlineStr">
        <is>
          <t>V</t>
        </is>
      </c>
      <c r="E2872" t="inlineStr">
        <is>
          <t>Stage 3</t>
        </is>
      </c>
      <c r="F2872" t="inlineStr">
        <is>
          <t>N/A</t>
        </is>
      </c>
      <c r="G2872" s="26">
        <v>2094717649</v>
      </c>
      <c r="H2872" s="26">
        <v>1152094707</v>
      </c>
      <c r="I2872" s="26">
        <v>0</v>
      </c>
      <c r="J2872" s="26">
        <v>75</v>
      </c>
      <c r="K2872" t="inlineStr">
        <is>
          <t>Oui</t>
        </is>
      </c>
      <c r="L2872">
        <f>SUBTOTAL(103,A2872)</f>
        <v>1</v>
      </c>
    </row>
    <row r="2873">
      <c r="A2873" t="inlineStr">
        <is>
          <t>SOCIETE C2134</t>
        </is>
      </c>
      <c r="B2873" t="inlineStr">
        <is>
          <t>C2134</t>
        </is>
      </c>
      <c r="C2873" t="inlineStr">
        <is>
          <t>CORPORATE BANKING</t>
        </is>
      </c>
      <c r="D2873" t="inlineStr">
        <is>
          <t>II</t>
        </is>
      </c>
      <c r="E2873" t="inlineStr">
        <is>
          <t>Stage 2</t>
        </is>
      </c>
      <c r="F2873" t="inlineStr">
        <is>
          <t>N/A</t>
        </is>
      </c>
      <c r="G2873" s="26">
        <v>19550450</v>
      </c>
      <c r="H2873" s="26">
        <v>1173027</v>
      </c>
      <c r="I2873" s="26">
        <v>0</v>
      </c>
      <c r="J2873" s="26">
        <v>66</v>
      </c>
      <c r="K2873" t="inlineStr">
        <is>
          <t>Non</t>
        </is>
      </c>
      <c r="L2873">
        <f>SUBTOTAL(103,A2873)</f>
        <v>1</v>
      </c>
    </row>
    <row r="2874">
      <c r="A2874" t="inlineStr">
        <is>
          <t>SOCIETE C774</t>
        </is>
      </c>
      <c r="B2874" t="inlineStr">
        <is>
          <t>C774</t>
        </is>
      </c>
      <c r="C2874" t="inlineStr">
        <is>
          <t>CORPORATE BANKING</t>
        </is>
      </c>
      <c r="D2874" t="inlineStr">
        <is>
          <t>I</t>
        </is>
      </c>
      <c r="E2874" t="inlineStr">
        <is>
          <t>Stage 1</t>
        </is>
      </c>
      <c r="F2874" t="inlineStr">
        <is>
          <t>N/A</t>
        </is>
      </c>
      <c r="G2874" s="26">
        <v>5481700</v>
      </c>
      <c r="H2874" s="26">
        <v>54817</v>
      </c>
      <c r="I2874" s="26">
        <v>0</v>
      </c>
      <c r="J2874" s="26">
        <v>283</v>
      </c>
      <c r="K2874" t="inlineStr">
        <is>
          <t>Non</t>
        </is>
      </c>
      <c r="L2874">
        <f>SUBTOTAL(103,A2874)</f>
        <v>1</v>
      </c>
    </row>
    <row r="2875">
      <c r="A2875" t="inlineStr">
        <is>
          <t>SOCIETE C1340</t>
        </is>
      </c>
      <c r="B2875" t="inlineStr">
        <is>
          <t>C1340</t>
        </is>
      </c>
      <c r="C2875" t="inlineStr">
        <is>
          <t>CORPORATE BANKING</t>
        </is>
      </c>
      <c r="D2875" t="inlineStr">
        <is>
          <t>I</t>
        </is>
      </c>
      <c r="E2875" t="inlineStr">
        <is>
          <t>Stage 1</t>
        </is>
      </c>
      <c r="F2875" t="inlineStr">
        <is>
          <t>N/A</t>
        </is>
      </c>
      <c r="G2875" s="26">
        <v>220872978</v>
      </c>
      <c r="H2875" s="26">
        <v>2208730</v>
      </c>
      <c r="I2875" s="26">
        <v>0</v>
      </c>
      <c r="J2875" s="26">
        <v>110</v>
      </c>
      <c r="K2875" t="inlineStr">
        <is>
          <t>Non</t>
        </is>
      </c>
      <c r="L2875">
        <f>SUBTOTAL(103,A2875)</f>
        <v>1</v>
      </c>
    </row>
    <row r="2876">
      <c r="A2876" t="inlineStr">
        <is>
          <t>SOCIETE C496</t>
        </is>
      </c>
      <c r="B2876" t="inlineStr">
        <is>
          <t>C496</t>
        </is>
      </c>
      <c r="C2876" t="inlineStr">
        <is>
          <t>CONSUMER BANKING</t>
        </is>
      </c>
      <c r="D2876" t="inlineStr">
        <is>
          <t>V</t>
        </is>
      </c>
      <c r="E2876" t="inlineStr">
        <is>
          <t>Stage 3</t>
        </is>
      </c>
      <c r="F2876" t="inlineStr">
        <is>
          <t>N/A</t>
        </is>
      </c>
      <c r="G2876" s="26">
        <v>425516928</v>
      </c>
      <c r="H2876" s="26">
        <v>234034310</v>
      </c>
      <c r="I2876" s="26">
        <v>0</v>
      </c>
      <c r="J2876" s="26">
        <v>240</v>
      </c>
      <c r="K2876" t="inlineStr">
        <is>
          <t>Oui</t>
        </is>
      </c>
      <c r="L2876">
        <f>SUBTOTAL(103,A2876)</f>
        <v>1</v>
      </c>
    </row>
    <row r="2877">
      <c r="A2877" t="inlineStr">
        <is>
          <t>SOCIETE C898</t>
        </is>
      </c>
      <c r="B2877" t="inlineStr">
        <is>
          <t>C898</t>
        </is>
      </c>
      <c r="C2877" t="inlineStr">
        <is>
          <t>PUBLIC SECTOR</t>
        </is>
      </c>
      <c r="D2877" t="inlineStr">
        <is>
          <t>I</t>
        </is>
      </c>
      <c r="E2877" t="inlineStr">
        <is>
          <t>Stage 1</t>
        </is>
      </c>
      <c r="F2877" t="inlineStr">
        <is>
          <t>N/A</t>
        </is>
      </c>
      <c r="G2877" s="26">
        <v>84102797</v>
      </c>
      <c r="H2877" s="26">
        <v>841028</v>
      </c>
      <c r="I2877" s="26">
        <v>0</v>
      </c>
      <c r="J2877" s="26">
        <v>14</v>
      </c>
      <c r="K2877" t="inlineStr">
        <is>
          <t>Non</t>
        </is>
      </c>
      <c r="L2877">
        <f>SUBTOTAL(103,A2877)</f>
        <v>1</v>
      </c>
    </row>
    <row r="2878">
      <c r="A2878" t="inlineStr">
        <is>
          <t>SOCIETE C1351</t>
        </is>
      </c>
      <c r="B2878" t="inlineStr">
        <is>
          <t>C1351</t>
        </is>
      </c>
      <c r="C2878" t="inlineStr">
        <is>
          <t>CORPORATE BANKING</t>
        </is>
      </c>
      <c r="D2878" t="inlineStr">
        <is>
          <t>V</t>
        </is>
      </c>
      <c r="E2878" t="inlineStr">
        <is>
          <t>Stage 3</t>
        </is>
      </c>
      <c r="F2878" t="inlineStr">
        <is>
          <t>N/A</t>
        </is>
      </c>
      <c r="G2878" s="26">
        <v>2338469672</v>
      </c>
      <c r="H2878" s="26">
        <v>1286158320</v>
      </c>
      <c r="I2878" s="26">
        <v>87815325</v>
      </c>
      <c r="J2878" s="26">
        <v>89</v>
      </c>
      <c r="K2878" t="inlineStr">
        <is>
          <t>Oui</t>
        </is>
      </c>
      <c r="L2878">
        <f>SUBTOTAL(103,A2878)</f>
        <v>1</v>
      </c>
    </row>
    <row r="2879">
      <c r="A2879" t="inlineStr">
        <is>
          <t>SOCIETE C1768</t>
        </is>
      </c>
      <c r="B2879" t="inlineStr">
        <is>
          <t>C1768</t>
        </is>
      </c>
      <c r="C2879" t="inlineStr">
        <is>
          <t>COMMERCIAL BANKING</t>
        </is>
      </c>
      <c r="D2879" t="inlineStr">
        <is>
          <t>IA</t>
        </is>
      </c>
      <c r="E2879" t="inlineStr">
        <is>
          <t>Stage 2</t>
        </is>
      </c>
      <c r="F2879" t="inlineStr">
        <is>
          <t>N/A</t>
        </is>
      </c>
      <c r="G2879" s="26">
        <v>1756847719</v>
      </c>
      <c r="H2879" s="26">
        <v>105410863</v>
      </c>
      <c r="I2879" s="26">
        <v>0</v>
      </c>
      <c r="J2879" s="26">
        <v>96</v>
      </c>
      <c r="K2879" t="inlineStr">
        <is>
          <t>Non</t>
        </is>
      </c>
      <c r="L2879">
        <f>SUBTOTAL(103,A2879)</f>
        <v>1</v>
      </c>
    </row>
    <row r="2880">
      <c r="A2880" t="inlineStr">
        <is>
          <t>SOCIETE C1652</t>
        </is>
      </c>
      <c r="B2880" t="inlineStr">
        <is>
          <t>C1652</t>
        </is>
      </c>
      <c r="C2880" t="inlineStr">
        <is>
          <t>CORPORATE BANKING</t>
        </is>
      </c>
      <c r="D2880" t="inlineStr">
        <is>
          <t>I</t>
        </is>
      </c>
      <c r="E2880" t="inlineStr">
        <is>
          <t>Stage 1</t>
        </is>
      </c>
      <c r="F2880" t="inlineStr">
        <is>
          <t>N/A</t>
        </is>
      </c>
      <c r="G2880" s="26">
        <v>1070875053</v>
      </c>
      <c r="H2880" s="26">
        <v>10708751</v>
      </c>
      <c r="I2880" s="26">
        <v>0</v>
      </c>
      <c r="J2880" s="26">
        <v>68</v>
      </c>
      <c r="K2880" t="inlineStr">
        <is>
          <t>Non</t>
        </is>
      </c>
      <c r="L2880">
        <f>SUBTOTAL(103,A2880)</f>
        <v>1</v>
      </c>
    </row>
    <row r="2881">
      <c r="A2881" t="inlineStr">
        <is>
          <t>SOCIETE C1951</t>
        </is>
      </c>
      <c r="B2881" t="inlineStr">
        <is>
          <t>C1951</t>
        </is>
      </c>
      <c r="C2881" t="inlineStr">
        <is>
          <t>CORPORATE BANKING</t>
        </is>
      </c>
      <c r="D2881" t="inlineStr">
        <is>
          <t>IA</t>
        </is>
      </c>
      <c r="E2881" t="inlineStr">
        <is>
          <t>Stage 2</t>
        </is>
      </c>
      <c r="F2881" t="inlineStr">
        <is>
          <t>N/A</t>
        </is>
      </c>
      <c r="G2881" s="26">
        <v>3051742</v>
      </c>
      <c r="H2881" s="26">
        <v>183105</v>
      </c>
      <c r="I2881" s="26">
        <v>0</v>
      </c>
      <c r="J2881" s="26">
        <v>55</v>
      </c>
      <c r="K2881" t="inlineStr">
        <is>
          <t>Non</t>
        </is>
      </c>
      <c r="L2881">
        <f>SUBTOTAL(103,A2881)</f>
        <v>1</v>
      </c>
    </row>
    <row r="2882">
      <c r="A2882" t="inlineStr">
        <is>
          <t>SOCIETE C1287</t>
        </is>
      </c>
      <c r="B2882" t="inlineStr">
        <is>
          <t>C1287</t>
        </is>
      </c>
      <c r="C2882" t="inlineStr">
        <is>
          <t>PUBLIC SECTOR</t>
        </is>
      </c>
      <c r="D2882" t="inlineStr">
        <is>
          <t>IA</t>
        </is>
      </c>
      <c r="E2882" t="inlineStr">
        <is>
          <t>Stage 2</t>
        </is>
      </c>
      <c r="F2882" t="inlineStr">
        <is>
          <t>N/A</t>
        </is>
      </c>
      <c r="G2882" s="26">
        <v>11533579</v>
      </c>
      <c r="H2882" s="26">
        <v>692015</v>
      </c>
      <c r="I2882" s="26">
        <v>0</v>
      </c>
      <c r="J2882" s="26">
        <v>8</v>
      </c>
      <c r="K2882" t="inlineStr">
        <is>
          <t>Non</t>
        </is>
      </c>
      <c r="L2882">
        <f>SUBTOTAL(103,A2882)</f>
        <v>1</v>
      </c>
    </row>
    <row r="2883">
      <c r="A2883" t="inlineStr">
        <is>
          <t>SOCIETE C880</t>
        </is>
      </c>
      <c r="B2883" t="inlineStr">
        <is>
          <t>C880</t>
        </is>
      </c>
      <c r="C2883" t="inlineStr">
        <is>
          <t>CORPORATE BANKING</t>
        </is>
      </c>
      <c r="D2883" t="inlineStr">
        <is>
          <t>I</t>
        </is>
      </c>
      <c r="E2883" t="inlineStr">
        <is>
          <t>Stage 1</t>
        </is>
      </c>
      <c r="F2883" t="inlineStr">
        <is>
          <t>N/A</t>
        </is>
      </c>
      <c r="G2883" s="26">
        <v>1215842956</v>
      </c>
      <c r="H2883" s="26">
        <v>12158430</v>
      </c>
      <c r="I2883" s="26">
        <v>0</v>
      </c>
      <c r="J2883" s="26">
        <v>23</v>
      </c>
      <c r="K2883" t="inlineStr">
        <is>
          <t>Non</t>
        </is>
      </c>
      <c r="L2883">
        <f>SUBTOTAL(103,A2883)</f>
        <v>1</v>
      </c>
    </row>
    <row r="2884">
      <c r="A2884" t="inlineStr">
        <is>
          <t>SOCIETE C92</t>
        </is>
      </c>
      <c r="B2884" t="inlineStr">
        <is>
          <t>C92</t>
        </is>
      </c>
      <c r="C2884" t="inlineStr">
        <is>
          <t>CORPORATE BANKING</t>
        </is>
      </c>
      <c r="D2884" t="inlineStr">
        <is>
          <t>I</t>
        </is>
      </c>
      <c r="E2884" t="inlineStr">
        <is>
          <t>Stage 1</t>
        </is>
      </c>
      <c r="F2884" t="inlineStr">
        <is>
          <t>N/A</t>
        </is>
      </c>
      <c r="G2884" s="26">
        <v>1110503400</v>
      </c>
      <c r="H2884" s="26">
        <v>11105034</v>
      </c>
      <c r="I2884" s="26">
        <v>10482626</v>
      </c>
      <c r="J2884" s="26">
        <v>26</v>
      </c>
      <c r="K2884" t="inlineStr">
        <is>
          <t>Non</t>
        </is>
      </c>
      <c r="L2884">
        <f>SUBTOTAL(103,A2884)</f>
        <v>1</v>
      </c>
    </row>
    <row r="2885">
      <c r="A2885" t="inlineStr">
        <is>
          <t>SOCIETE C2247</t>
        </is>
      </c>
      <c r="B2885" t="inlineStr">
        <is>
          <t>C2247</t>
        </is>
      </c>
      <c r="C2885" t="inlineStr">
        <is>
          <t>COMMERCIAL BANKING</t>
        </is>
      </c>
      <c r="D2885" t="inlineStr">
        <is>
          <t>I</t>
        </is>
      </c>
      <c r="E2885" t="inlineStr">
        <is>
          <t>Stage 1</t>
        </is>
      </c>
      <c r="F2885" t="inlineStr">
        <is>
          <t>N/A</t>
        </is>
      </c>
      <c r="G2885" s="26">
        <v>1188079759</v>
      </c>
      <c r="H2885" s="26">
        <v>11880798</v>
      </c>
      <c r="I2885" s="26">
        <v>0</v>
      </c>
      <c r="J2885" s="26">
        <v>172</v>
      </c>
      <c r="K2885" t="inlineStr">
        <is>
          <t>Non</t>
        </is>
      </c>
      <c r="L2885">
        <f>SUBTOTAL(103,A2885)</f>
        <v>1</v>
      </c>
    </row>
    <row r="2886">
      <c r="A2886" t="inlineStr">
        <is>
          <t>SOCIETE C2353</t>
        </is>
      </c>
      <c r="B2886" t="inlineStr">
        <is>
          <t>C2353</t>
        </is>
      </c>
      <c r="C2886" t="inlineStr">
        <is>
          <t>COMMERCIAL BANKING</t>
        </is>
      </c>
      <c r="D2886" t="inlineStr">
        <is>
          <t>IA</t>
        </is>
      </c>
      <c r="E2886" t="inlineStr">
        <is>
          <t>Stage 2</t>
        </is>
      </c>
      <c r="F2886" t="inlineStr">
        <is>
          <t>N/A</t>
        </is>
      </c>
      <c r="G2886" s="26">
        <v>795235697</v>
      </c>
      <c r="H2886" s="26">
        <v>47714142</v>
      </c>
      <c r="I2886" s="26">
        <v>152739814</v>
      </c>
      <c r="J2886" s="26">
        <v>131</v>
      </c>
      <c r="K2886" t="inlineStr">
        <is>
          <t>Non</t>
        </is>
      </c>
      <c r="L2886">
        <f>SUBTOTAL(103,A2886)</f>
        <v>1</v>
      </c>
    </row>
    <row r="2887">
      <c r="A2887" t="inlineStr">
        <is>
          <t>SOCIETE C757</t>
        </is>
      </c>
      <c r="B2887" t="inlineStr">
        <is>
          <t>C757</t>
        </is>
      </c>
      <c r="C2887" t="inlineStr">
        <is>
          <t>CORPORATE BANKING</t>
        </is>
      </c>
      <c r="D2887" t="inlineStr">
        <is>
          <t>IA</t>
        </is>
      </c>
      <c r="E2887" t="inlineStr">
        <is>
          <t>Stage 2</t>
        </is>
      </c>
      <c r="F2887" t="inlineStr">
        <is>
          <t>N/A</t>
        </is>
      </c>
      <c r="G2887" s="26">
        <v>165743064</v>
      </c>
      <c r="H2887" s="26">
        <v>9944584</v>
      </c>
      <c r="I2887" s="26">
        <v>0</v>
      </c>
      <c r="J2887" s="26">
        <v>40</v>
      </c>
      <c r="K2887" t="inlineStr">
        <is>
          <t>Non</t>
        </is>
      </c>
      <c r="L2887">
        <f>SUBTOTAL(103,A2887)</f>
        <v>1</v>
      </c>
    </row>
    <row r="2888">
      <c r="A2888" t="inlineStr">
        <is>
          <t>SOCIETE C660</t>
        </is>
      </c>
      <c r="B2888" t="inlineStr">
        <is>
          <t>C660</t>
        </is>
      </c>
      <c r="C2888" t="inlineStr">
        <is>
          <t>CORPORATE BANKING</t>
        </is>
      </c>
      <c r="D2888" t="inlineStr">
        <is>
          <t>IV</t>
        </is>
      </c>
      <c r="E2888" t="inlineStr">
        <is>
          <t>Stage 3</t>
        </is>
      </c>
      <c r="F2888" t="inlineStr">
        <is>
          <t>N/A</t>
        </is>
      </c>
      <c r="G2888" s="26">
        <v>497120433</v>
      </c>
      <c r="H2888" s="26">
        <v>273416238</v>
      </c>
      <c r="I2888" s="26">
        <v>0</v>
      </c>
      <c r="J2888" s="26">
        <v>69</v>
      </c>
      <c r="K2888" t="inlineStr">
        <is>
          <t>Oui</t>
        </is>
      </c>
      <c r="L2888">
        <f>SUBTOTAL(103,A2888)</f>
        <v>1</v>
      </c>
    </row>
    <row r="2889">
      <c r="A2889" t="inlineStr">
        <is>
          <t>SOCIETE C1625</t>
        </is>
      </c>
      <c r="B2889" t="inlineStr">
        <is>
          <t>C1625</t>
        </is>
      </c>
      <c r="C2889" t="inlineStr">
        <is>
          <t>PUBLIC SECTOR</t>
        </is>
      </c>
      <c r="D2889" t="inlineStr">
        <is>
          <t>I</t>
        </is>
      </c>
      <c r="E2889" t="inlineStr">
        <is>
          <t>Stage 1</t>
        </is>
      </c>
      <c r="F2889" t="inlineStr">
        <is>
          <t>N/A</t>
        </is>
      </c>
      <c r="G2889" s="26">
        <v>1422818</v>
      </c>
      <c r="H2889" s="26">
        <v>14228</v>
      </c>
      <c r="I2889" s="26">
        <v>0</v>
      </c>
      <c r="J2889" s="26">
        <v>9</v>
      </c>
      <c r="K2889" t="inlineStr">
        <is>
          <t>Non</t>
        </is>
      </c>
      <c r="L2889">
        <f>SUBTOTAL(103,A2889)</f>
        <v>1</v>
      </c>
    </row>
    <row r="2890">
      <c r="A2890" t="inlineStr">
        <is>
          <t>SOCIETE C2410</t>
        </is>
      </c>
      <c r="B2890" t="inlineStr">
        <is>
          <t>C2410</t>
        </is>
      </c>
      <c r="C2890" t="inlineStr">
        <is>
          <t>PUBLIC SECTOR</t>
        </is>
      </c>
      <c r="D2890" t="inlineStr">
        <is>
          <t>I</t>
        </is>
      </c>
      <c r="E2890" t="inlineStr">
        <is>
          <t>Stage 1</t>
        </is>
      </c>
      <c r="F2890" t="inlineStr">
        <is>
          <t>N/A</t>
        </is>
      </c>
      <c r="G2890" s="26">
        <v>1449067171</v>
      </c>
      <c r="H2890" s="26">
        <v>14490672</v>
      </c>
      <c r="I2890" s="26">
        <v>42671302</v>
      </c>
      <c r="J2890" s="26">
        <v>128</v>
      </c>
      <c r="K2890" t="inlineStr">
        <is>
          <t>Non</t>
        </is>
      </c>
      <c r="L2890">
        <f>SUBTOTAL(103,A2890)</f>
        <v>1</v>
      </c>
    </row>
    <row r="2891">
      <c r="A2891" t="inlineStr">
        <is>
          <t>SOCIETE C1613</t>
        </is>
      </c>
      <c r="B2891" t="inlineStr">
        <is>
          <t>C1613</t>
        </is>
      </c>
      <c r="C2891" t="inlineStr">
        <is>
          <t>CONSUMER BANKING</t>
        </is>
      </c>
      <c r="D2891" t="inlineStr">
        <is>
          <t>V</t>
        </is>
      </c>
      <c r="E2891" t="inlineStr">
        <is>
          <t>Stage 3</t>
        </is>
      </c>
      <c r="F2891" t="inlineStr">
        <is>
          <t>N/A</t>
        </is>
      </c>
      <c r="G2891" s="26">
        <v>18502691</v>
      </c>
      <c r="H2891" s="26">
        <v>10176480</v>
      </c>
      <c r="I2891" s="26">
        <v>1965651</v>
      </c>
      <c r="J2891" s="26">
        <v>149</v>
      </c>
      <c r="K2891" t="inlineStr">
        <is>
          <t>Oui</t>
        </is>
      </c>
      <c r="L2891">
        <f>SUBTOTAL(103,A2891)</f>
        <v>1</v>
      </c>
    </row>
    <row r="2892">
      <c r="A2892" t="inlineStr">
        <is>
          <t>SOCIETE C1599</t>
        </is>
      </c>
      <c r="B2892" t="inlineStr">
        <is>
          <t>C1599</t>
        </is>
      </c>
      <c r="C2892" t="inlineStr">
        <is>
          <t>CORPORATE BANKING</t>
        </is>
      </c>
      <c r="D2892" t="inlineStr">
        <is>
          <t>I</t>
        </is>
      </c>
      <c r="E2892" t="inlineStr">
        <is>
          <t>Stage 1</t>
        </is>
      </c>
      <c r="F2892" t="inlineStr">
        <is>
          <t>N/A</t>
        </is>
      </c>
      <c r="G2892" s="26">
        <v>197128069</v>
      </c>
      <c r="H2892" s="26">
        <v>1971281</v>
      </c>
      <c r="I2892" s="26">
        <v>33229417</v>
      </c>
      <c r="J2892" s="26">
        <v>131</v>
      </c>
      <c r="K2892" t="inlineStr">
        <is>
          <t>Non</t>
        </is>
      </c>
      <c r="L2892">
        <f>SUBTOTAL(103,A2892)</f>
        <v>1</v>
      </c>
    </row>
    <row r="2893">
      <c r="A2893" t="inlineStr">
        <is>
          <t>SOCIETE C364</t>
        </is>
      </c>
      <c r="B2893" t="inlineStr">
        <is>
          <t>C364</t>
        </is>
      </c>
      <c r="C2893" t="inlineStr">
        <is>
          <t>CORPORATE BANKING</t>
        </is>
      </c>
      <c r="D2893" t="inlineStr">
        <is>
          <t>III</t>
        </is>
      </c>
      <c r="E2893" t="inlineStr">
        <is>
          <t>Stage 3</t>
        </is>
      </c>
      <c r="F2893" t="inlineStr">
        <is>
          <t>N/A</t>
        </is>
      </c>
      <c r="G2893" s="26">
        <v>355455475</v>
      </c>
      <c r="H2893" s="26">
        <v>195500511</v>
      </c>
      <c r="I2893" s="26">
        <v>3576665</v>
      </c>
      <c r="J2893" s="26">
        <v>83</v>
      </c>
      <c r="K2893" t="inlineStr">
        <is>
          <t>Oui</t>
        </is>
      </c>
      <c r="L2893">
        <f>SUBTOTAL(103,A2893)</f>
        <v>1</v>
      </c>
    </row>
    <row r="2894">
      <c r="A2894" t="inlineStr">
        <is>
          <t>SOCIETE C46</t>
        </is>
      </c>
      <c r="B2894" t="inlineStr">
        <is>
          <t>C46</t>
        </is>
      </c>
      <c r="C2894" t="inlineStr">
        <is>
          <t>CORPORATE BANKING</t>
        </is>
      </c>
      <c r="D2894" t="inlineStr">
        <is>
          <t>IA</t>
        </is>
      </c>
      <c r="E2894" t="inlineStr">
        <is>
          <t>Stage 2</t>
        </is>
      </c>
      <c r="F2894" t="inlineStr">
        <is>
          <t>N/A</t>
        </is>
      </c>
      <c r="G2894" s="26">
        <v>1047446596</v>
      </c>
      <c r="H2894" s="26">
        <v>62846796</v>
      </c>
      <c r="I2894" s="26">
        <v>0</v>
      </c>
      <c r="J2894" s="26">
        <v>69</v>
      </c>
      <c r="K2894" t="inlineStr">
        <is>
          <t>Non</t>
        </is>
      </c>
      <c r="L2894">
        <f>SUBTOTAL(103,A2894)</f>
        <v>1</v>
      </c>
    </row>
    <row r="2895">
      <c r="A2895" t="inlineStr">
        <is>
          <t>SOCIETE C582</t>
        </is>
      </c>
      <c r="B2895" t="inlineStr">
        <is>
          <t>C582</t>
        </is>
      </c>
      <c r="C2895" t="inlineStr">
        <is>
          <t>COMMERCIAL BANKING</t>
        </is>
      </c>
      <c r="D2895" t="inlineStr">
        <is>
          <t>IA</t>
        </is>
      </c>
      <c r="E2895" t="inlineStr">
        <is>
          <t>Stage 2</t>
        </is>
      </c>
      <c r="F2895" t="inlineStr">
        <is>
          <t>N/A</t>
        </is>
      </c>
      <c r="G2895" s="26">
        <v>1234959006</v>
      </c>
      <c r="H2895" s="26">
        <v>74097540</v>
      </c>
      <c r="I2895" s="26">
        <v>29039696</v>
      </c>
      <c r="J2895" s="26">
        <v>18</v>
      </c>
      <c r="K2895" t="inlineStr">
        <is>
          <t>Non</t>
        </is>
      </c>
      <c r="L2895">
        <f>SUBTOTAL(103,A2895)</f>
        <v>1</v>
      </c>
    </row>
    <row r="2896">
      <c r="A2896" t="inlineStr">
        <is>
          <t>SOCIETE C43</t>
        </is>
      </c>
      <c r="B2896" t="inlineStr">
        <is>
          <t>C43</t>
        </is>
      </c>
      <c r="C2896" t="inlineStr">
        <is>
          <t>CORPORATE BANKING</t>
        </is>
      </c>
      <c r="D2896" t="inlineStr">
        <is>
          <t>IA</t>
        </is>
      </c>
      <c r="E2896" t="inlineStr">
        <is>
          <t>Stage 2</t>
        </is>
      </c>
      <c r="F2896" t="inlineStr">
        <is>
          <t>N/A</t>
        </is>
      </c>
      <c r="G2896" s="26">
        <v>309959440</v>
      </c>
      <c r="H2896" s="26">
        <v>18597566</v>
      </c>
      <c r="I2896" s="26">
        <v>0</v>
      </c>
      <c r="J2896" s="26">
        <v>47</v>
      </c>
      <c r="K2896" t="inlineStr">
        <is>
          <t>Non</t>
        </is>
      </c>
      <c r="L2896">
        <f>SUBTOTAL(103,A2896)</f>
        <v>1</v>
      </c>
    </row>
    <row r="2897">
      <c r="A2897" t="inlineStr">
        <is>
          <t>SOCIETE C3</t>
        </is>
      </c>
      <c r="B2897" t="inlineStr">
        <is>
          <t>C3</t>
        </is>
      </c>
      <c r="C2897" t="inlineStr">
        <is>
          <t>COMMERCIAL BANKING</t>
        </is>
      </c>
      <c r="D2897" t="inlineStr">
        <is>
          <t>IA</t>
        </is>
      </c>
      <c r="E2897" t="inlineStr">
        <is>
          <t>Stage 2</t>
        </is>
      </c>
      <c r="F2897" t="inlineStr">
        <is>
          <t>N/A</t>
        </is>
      </c>
      <c r="G2897" s="26">
        <v>28325778</v>
      </c>
      <c r="H2897" s="26">
        <v>1699547</v>
      </c>
      <c r="I2897" s="26">
        <v>0</v>
      </c>
      <c r="J2897" s="26">
        <v>199</v>
      </c>
      <c r="K2897" t="inlineStr">
        <is>
          <t>Non</t>
        </is>
      </c>
      <c r="L2897">
        <f>SUBTOTAL(103,A2897)</f>
        <v>1</v>
      </c>
    </row>
    <row r="2898">
      <c r="A2898" t="inlineStr">
        <is>
          <t>SOCIETE C2481</t>
        </is>
      </c>
      <c r="B2898" t="inlineStr">
        <is>
          <t>C2481</t>
        </is>
      </c>
      <c r="C2898" t="inlineStr">
        <is>
          <t>CORPORATE BANKING</t>
        </is>
      </c>
      <c r="D2898" t="inlineStr">
        <is>
          <t>IV</t>
        </is>
      </c>
      <c r="E2898" t="inlineStr">
        <is>
          <t>Stage 3</t>
        </is>
      </c>
      <c r="F2898" t="inlineStr">
        <is>
          <t>N/A</t>
        </is>
      </c>
      <c r="G2898" s="26">
        <v>186494133</v>
      </c>
      <c r="H2898" s="26">
        <v>102571773</v>
      </c>
      <c r="I2898" s="26">
        <v>22741823</v>
      </c>
      <c r="J2898" s="26">
        <v>32</v>
      </c>
      <c r="K2898" t="inlineStr">
        <is>
          <t>Oui</t>
        </is>
      </c>
      <c r="L2898">
        <f>SUBTOTAL(103,A2898)</f>
        <v>1</v>
      </c>
    </row>
    <row r="2899">
      <c r="A2899" t="inlineStr">
        <is>
          <t>SOCIETE C938</t>
        </is>
      </c>
      <c r="B2899" t="inlineStr">
        <is>
          <t>C938</t>
        </is>
      </c>
      <c r="C2899" t="inlineStr">
        <is>
          <t>CORPORATE BANKING</t>
        </is>
      </c>
      <c r="D2899" t="inlineStr">
        <is>
          <t>II</t>
        </is>
      </c>
      <c r="E2899" t="inlineStr">
        <is>
          <t>Stage 2</t>
        </is>
      </c>
      <c r="F2899" t="inlineStr">
        <is>
          <t>N/A</t>
        </is>
      </c>
      <c r="G2899" s="26">
        <v>1449049</v>
      </c>
      <c r="H2899" s="26">
        <v>86943</v>
      </c>
      <c r="I2899" s="26">
        <v>0</v>
      </c>
      <c r="J2899" s="26">
        <v>17</v>
      </c>
      <c r="K2899" t="inlineStr">
        <is>
          <t>Non</t>
        </is>
      </c>
      <c r="L2899">
        <f>SUBTOTAL(103,A2899)</f>
        <v>1</v>
      </c>
    </row>
    <row r="2900">
      <c r="A2900" t="inlineStr">
        <is>
          <t>SOCIETE C2176</t>
        </is>
      </c>
      <c r="B2900" t="inlineStr">
        <is>
          <t>C2176</t>
        </is>
      </c>
      <c r="C2900" t="inlineStr">
        <is>
          <t>CORPORATE BANKING</t>
        </is>
      </c>
      <c r="D2900" t="inlineStr">
        <is>
          <t>IA</t>
        </is>
      </c>
      <c r="E2900" t="inlineStr">
        <is>
          <t>Stage 2</t>
        </is>
      </c>
      <c r="F2900" t="inlineStr">
        <is>
          <t>N/A</t>
        </is>
      </c>
      <c r="G2900" s="26">
        <v>12285036</v>
      </c>
      <c r="H2900" s="26">
        <v>737102</v>
      </c>
      <c r="I2900" s="26">
        <v>0</v>
      </c>
      <c r="J2900" s="26">
        <v>268</v>
      </c>
      <c r="K2900" t="inlineStr">
        <is>
          <t>Non</t>
        </is>
      </c>
      <c r="L2900">
        <f>SUBTOTAL(103,A2900)</f>
        <v>1</v>
      </c>
    </row>
    <row r="2901">
      <c r="A2901" t="inlineStr">
        <is>
          <t>SOCIETE C180</t>
        </is>
      </c>
      <c r="B2901" t="inlineStr">
        <is>
          <t>C180</t>
        </is>
      </c>
      <c r="C2901" t="inlineStr">
        <is>
          <t>CORPORATE BANKING</t>
        </is>
      </c>
      <c r="D2901" t="inlineStr">
        <is>
          <t>IA</t>
        </is>
      </c>
      <c r="E2901" t="inlineStr">
        <is>
          <t>Stage 2</t>
        </is>
      </c>
      <c r="F2901" t="inlineStr">
        <is>
          <t>N/A</t>
        </is>
      </c>
      <c r="G2901" s="26">
        <v>359717865</v>
      </c>
      <c r="H2901" s="26">
        <v>21583072</v>
      </c>
      <c r="I2901" s="26">
        <v>0</v>
      </c>
      <c r="J2901" s="26">
        <v>68</v>
      </c>
      <c r="K2901" t="inlineStr">
        <is>
          <t>Non</t>
        </is>
      </c>
      <c r="L2901">
        <f>SUBTOTAL(103,A2901)</f>
        <v>1</v>
      </c>
    </row>
    <row r="2902">
      <c r="A2902" t="inlineStr">
        <is>
          <t>SOCIETE C67</t>
        </is>
      </c>
      <c r="B2902" t="inlineStr">
        <is>
          <t>C67</t>
        </is>
      </c>
      <c r="C2902" t="inlineStr">
        <is>
          <t>CORPORATE BANKING</t>
        </is>
      </c>
      <c r="D2902" t="inlineStr">
        <is>
          <t>IV</t>
        </is>
      </c>
      <c r="E2902" t="inlineStr">
        <is>
          <t>Stage 3</t>
        </is>
      </c>
      <c r="F2902" t="inlineStr">
        <is>
          <t>N/A</t>
        </is>
      </c>
      <c r="G2902" s="26">
        <v>641477651</v>
      </c>
      <c r="H2902" s="26">
        <v>352812708</v>
      </c>
      <c r="I2902" s="26">
        <v>0</v>
      </c>
      <c r="J2902" s="26">
        <v>156</v>
      </c>
      <c r="K2902" t="inlineStr">
        <is>
          <t>Oui</t>
        </is>
      </c>
      <c r="L2902">
        <f>SUBTOTAL(103,A2902)</f>
        <v>1</v>
      </c>
    </row>
    <row r="2903">
      <c r="A2903" t="inlineStr">
        <is>
          <t>SOCIETE C2236</t>
        </is>
      </c>
      <c r="B2903" t="inlineStr">
        <is>
          <t>C2236</t>
        </is>
      </c>
      <c r="C2903" t="inlineStr">
        <is>
          <t>CORPORATE BANKING</t>
        </is>
      </c>
      <c r="D2903" t="inlineStr">
        <is>
          <t>V</t>
        </is>
      </c>
      <c r="E2903" t="inlineStr">
        <is>
          <t>Stage 3</t>
        </is>
      </c>
      <c r="F2903" t="inlineStr">
        <is>
          <t>N/A</t>
        </is>
      </c>
      <c r="G2903" s="26">
        <v>679281315</v>
      </c>
      <c r="H2903" s="26">
        <v>373604723</v>
      </c>
      <c r="I2903" s="26">
        <v>0</v>
      </c>
      <c r="J2903" s="26">
        <v>30</v>
      </c>
      <c r="K2903" t="inlineStr">
        <is>
          <t>Oui</t>
        </is>
      </c>
      <c r="L2903">
        <f>SUBTOTAL(103,A2903)</f>
        <v>1</v>
      </c>
    </row>
    <row r="2904">
      <c r="A2904" t="inlineStr">
        <is>
          <t>SOCIETE C604</t>
        </is>
      </c>
      <c r="B2904" t="inlineStr">
        <is>
          <t>C604</t>
        </is>
      </c>
      <c r="C2904" t="inlineStr">
        <is>
          <t>PUBLIC SECTOR</t>
        </is>
      </c>
      <c r="D2904" t="inlineStr">
        <is>
          <t>V</t>
        </is>
      </c>
      <c r="E2904" t="inlineStr">
        <is>
          <t>Stage 3</t>
        </is>
      </c>
      <c r="F2904" t="inlineStr">
        <is>
          <t>N/A</t>
        </is>
      </c>
      <c r="G2904" s="26">
        <v>538553354</v>
      </c>
      <c r="H2904" s="26">
        <v>296204345</v>
      </c>
      <c r="I2904" s="26">
        <v>0</v>
      </c>
      <c r="J2904" s="26">
        <v>182</v>
      </c>
      <c r="K2904" t="inlineStr">
        <is>
          <t>Oui</t>
        </is>
      </c>
      <c r="L2904">
        <f>SUBTOTAL(103,A2904)</f>
        <v>1</v>
      </c>
    </row>
    <row r="2905">
      <c r="A2905" t="inlineStr">
        <is>
          <t>SOCIETE C581</t>
        </is>
      </c>
      <c r="B2905" t="inlineStr">
        <is>
          <t>C581</t>
        </is>
      </c>
      <c r="C2905" t="inlineStr">
        <is>
          <t>CORPORATE BANKING</t>
        </is>
      </c>
      <c r="D2905" t="inlineStr">
        <is>
          <t>I</t>
        </is>
      </c>
      <c r="E2905" t="inlineStr">
        <is>
          <t>Stage 1</t>
        </is>
      </c>
      <c r="F2905" t="inlineStr">
        <is>
          <t>N/A</t>
        </is>
      </c>
      <c r="G2905" s="26">
        <v>86272278</v>
      </c>
      <c r="H2905" s="26">
        <v>862723</v>
      </c>
      <c r="I2905" s="26">
        <v>0</v>
      </c>
      <c r="J2905" s="26">
        <v>4</v>
      </c>
      <c r="K2905" t="inlineStr">
        <is>
          <t>Non</t>
        </is>
      </c>
      <c r="L2905">
        <f>SUBTOTAL(103,A2905)</f>
        <v>1</v>
      </c>
    </row>
    <row r="2906">
      <c r="A2906" t="inlineStr">
        <is>
          <t>SOCIETE C503</t>
        </is>
      </c>
      <c r="B2906" t="inlineStr">
        <is>
          <t>C503</t>
        </is>
      </c>
      <c r="C2906" t="inlineStr">
        <is>
          <t>CORPORATE BANKING</t>
        </is>
      </c>
      <c r="D2906" t="inlineStr">
        <is>
          <t>I</t>
        </is>
      </c>
      <c r="E2906" t="inlineStr">
        <is>
          <t>Stage 1</t>
        </is>
      </c>
      <c r="F2906" t="inlineStr">
        <is>
          <t>N/A</t>
        </is>
      </c>
      <c r="G2906" s="26">
        <v>688124878</v>
      </c>
      <c r="H2906" s="26">
        <v>6881249</v>
      </c>
      <c r="I2906" s="26">
        <v>0</v>
      </c>
      <c r="J2906" s="26">
        <v>5</v>
      </c>
      <c r="K2906" t="inlineStr">
        <is>
          <t>Non</t>
        </is>
      </c>
      <c r="L2906">
        <f>SUBTOTAL(103,A2906)</f>
        <v>1</v>
      </c>
    </row>
    <row r="2907">
      <c r="A2907" t="inlineStr">
        <is>
          <t>SOCIETE C1980</t>
        </is>
      </c>
      <c r="B2907" t="inlineStr">
        <is>
          <t>C1980</t>
        </is>
      </c>
      <c r="C2907" t="inlineStr">
        <is>
          <t>COMMERCIAL BANKING</t>
        </is>
      </c>
      <c r="D2907" t="inlineStr">
        <is>
          <t>I</t>
        </is>
      </c>
      <c r="E2907" t="inlineStr">
        <is>
          <t>Stage 1</t>
        </is>
      </c>
      <c r="F2907" t="inlineStr">
        <is>
          <t>N/A</t>
        </is>
      </c>
      <c r="G2907" s="26">
        <v>34078163</v>
      </c>
      <c r="H2907" s="26">
        <v>340782</v>
      </c>
      <c r="I2907" s="26">
        <v>2121451</v>
      </c>
      <c r="J2907" s="26">
        <v>147</v>
      </c>
      <c r="K2907" t="inlineStr">
        <is>
          <t>Non</t>
        </is>
      </c>
      <c r="L2907">
        <f>SUBTOTAL(103,A2907)</f>
        <v>1</v>
      </c>
    </row>
    <row r="2908">
      <c r="A2908" t="inlineStr">
        <is>
          <t>SOCIETE C1083</t>
        </is>
      </c>
      <c r="B2908" t="inlineStr">
        <is>
          <t>C1083</t>
        </is>
      </c>
      <c r="C2908" t="inlineStr">
        <is>
          <t>COMMERCIAL BANKING</t>
        </is>
      </c>
      <c r="D2908" t="inlineStr">
        <is>
          <t>V</t>
        </is>
      </c>
      <c r="E2908" t="inlineStr">
        <is>
          <t>Stage 3</t>
        </is>
      </c>
      <c r="F2908" t="inlineStr">
        <is>
          <t>N/A</t>
        </is>
      </c>
      <c r="G2908" s="26">
        <v>657564611</v>
      </c>
      <c r="H2908" s="26">
        <v>361660536</v>
      </c>
      <c r="I2908" s="26">
        <v>0</v>
      </c>
      <c r="J2908" s="26">
        <v>223</v>
      </c>
      <c r="K2908" t="inlineStr">
        <is>
          <t>Oui</t>
        </is>
      </c>
      <c r="L2908">
        <f>SUBTOTAL(103,A2908)</f>
        <v>1</v>
      </c>
    </row>
    <row r="2909">
      <c r="A2909" t="inlineStr">
        <is>
          <t>SOCIETE C2367</t>
        </is>
      </c>
      <c r="B2909" t="inlineStr">
        <is>
          <t>C2367</t>
        </is>
      </c>
      <c r="C2909" t="inlineStr">
        <is>
          <t>CORPORATE BANKING</t>
        </is>
      </c>
      <c r="D2909" t="inlineStr">
        <is>
          <t>I</t>
        </is>
      </c>
      <c r="E2909" t="inlineStr">
        <is>
          <t>Stage 1</t>
        </is>
      </c>
      <c r="F2909" t="inlineStr">
        <is>
          <t>N/A</t>
        </is>
      </c>
      <c r="G2909" s="26">
        <v>2443296</v>
      </c>
      <c r="H2909" s="26">
        <v>24433</v>
      </c>
      <c r="I2909" s="26">
        <v>311056</v>
      </c>
      <c r="J2909" s="26">
        <v>195</v>
      </c>
      <c r="K2909" t="inlineStr">
        <is>
          <t>Non</t>
        </is>
      </c>
      <c r="L2909">
        <f>SUBTOTAL(103,A2909)</f>
        <v>1</v>
      </c>
    </row>
    <row r="2910">
      <c r="A2910" t="inlineStr">
        <is>
          <t>SOCIETE C1284</t>
        </is>
      </c>
      <c r="B2910" t="inlineStr">
        <is>
          <t>C1284</t>
        </is>
      </c>
      <c r="C2910" t="inlineStr">
        <is>
          <t>CORPORATE BANKING</t>
        </is>
      </c>
      <c r="D2910" t="inlineStr">
        <is>
          <t>I</t>
        </is>
      </c>
      <c r="E2910" t="inlineStr">
        <is>
          <t>Stage 1</t>
        </is>
      </c>
      <c r="F2910" t="inlineStr">
        <is>
          <t>N/A</t>
        </is>
      </c>
      <c r="G2910" s="26">
        <v>514460406</v>
      </c>
      <c r="H2910" s="26">
        <v>5144604</v>
      </c>
      <c r="I2910" s="26">
        <v>0</v>
      </c>
      <c r="J2910" s="26">
        <v>153</v>
      </c>
      <c r="K2910" t="inlineStr">
        <is>
          <t>Non</t>
        </is>
      </c>
      <c r="L2910">
        <f>SUBTOTAL(103,A2910)</f>
        <v>1</v>
      </c>
    </row>
    <row r="2911">
      <c r="A2911" t="inlineStr">
        <is>
          <t>SOCIETE C1145</t>
        </is>
      </c>
      <c r="B2911" t="inlineStr">
        <is>
          <t>C1145</t>
        </is>
      </c>
      <c r="C2911" t="inlineStr">
        <is>
          <t>CORPORATE BANKING</t>
        </is>
      </c>
      <c r="D2911" t="inlineStr">
        <is>
          <t>II</t>
        </is>
      </c>
      <c r="E2911" t="inlineStr">
        <is>
          <t>Stage 2</t>
        </is>
      </c>
      <c r="F2911" t="inlineStr">
        <is>
          <t>N/A</t>
        </is>
      </c>
      <c r="G2911" s="26">
        <v>104731828</v>
      </c>
      <c r="H2911" s="26">
        <v>6283910</v>
      </c>
      <c r="I2911" s="26">
        <v>0</v>
      </c>
      <c r="J2911" s="26">
        <v>3</v>
      </c>
      <c r="K2911" t="inlineStr">
        <is>
          <t>Non</t>
        </is>
      </c>
      <c r="L2911">
        <f>SUBTOTAL(103,A2911)</f>
        <v>1</v>
      </c>
    </row>
    <row r="2912">
      <c r="A2912" t="inlineStr">
        <is>
          <t>SOCIETE C556</t>
        </is>
      </c>
      <c r="B2912" t="inlineStr">
        <is>
          <t>C556</t>
        </is>
      </c>
      <c r="C2912" t="inlineStr">
        <is>
          <t>CORPORATE BANKING</t>
        </is>
      </c>
      <c r="D2912" t="inlineStr">
        <is>
          <t>IV</t>
        </is>
      </c>
      <c r="E2912" t="inlineStr">
        <is>
          <t>Stage 3</t>
        </is>
      </c>
      <c r="F2912" t="inlineStr">
        <is>
          <t>N/A</t>
        </is>
      </c>
      <c r="G2912" s="26">
        <v>258854420</v>
      </c>
      <c r="H2912" s="26">
        <v>142369931</v>
      </c>
      <c r="I2912" s="26">
        <v>0</v>
      </c>
      <c r="J2912" s="26">
        <v>17</v>
      </c>
      <c r="K2912" t="inlineStr">
        <is>
          <t>Oui</t>
        </is>
      </c>
      <c r="L2912">
        <f>SUBTOTAL(103,A2912)</f>
        <v>1</v>
      </c>
    </row>
    <row r="2913">
      <c r="A2913" t="inlineStr">
        <is>
          <t>SOCIETE C786</t>
        </is>
      </c>
      <c r="B2913" t="inlineStr">
        <is>
          <t>C786</t>
        </is>
      </c>
      <c r="C2913" t="inlineStr">
        <is>
          <t>CORPORATE BANKING</t>
        </is>
      </c>
      <c r="D2913" t="inlineStr">
        <is>
          <t>V</t>
        </is>
      </c>
      <c r="E2913" t="inlineStr">
        <is>
          <t>Stage 3</t>
        </is>
      </c>
      <c r="F2913" t="inlineStr">
        <is>
          <t>N/A</t>
        </is>
      </c>
      <c r="G2913" s="26">
        <v>16131251</v>
      </c>
      <c r="H2913" s="26">
        <v>8872188</v>
      </c>
      <c r="I2913" s="26">
        <v>0</v>
      </c>
      <c r="J2913" s="26">
        <v>124</v>
      </c>
      <c r="K2913" t="inlineStr">
        <is>
          <t>Oui</t>
        </is>
      </c>
      <c r="L2913">
        <f>SUBTOTAL(103,A2913)</f>
        <v>1</v>
      </c>
    </row>
    <row r="2914">
      <c r="A2914" t="inlineStr">
        <is>
          <t>SOCIETE C887</t>
        </is>
      </c>
      <c r="B2914" t="inlineStr">
        <is>
          <t>C887</t>
        </is>
      </c>
      <c r="C2914" t="inlineStr">
        <is>
          <t>PUBLIC SECTOR</t>
        </is>
      </c>
      <c r="D2914" t="inlineStr">
        <is>
          <t>I</t>
        </is>
      </c>
      <c r="E2914" t="inlineStr">
        <is>
          <t>Stage 1</t>
        </is>
      </c>
      <c r="F2914" t="inlineStr">
        <is>
          <t>N/A</t>
        </is>
      </c>
      <c r="G2914" s="26">
        <v>1979860884</v>
      </c>
      <c r="H2914" s="26">
        <v>19798609</v>
      </c>
      <c r="I2914" s="26">
        <v>0</v>
      </c>
      <c r="J2914" s="26">
        <v>32</v>
      </c>
      <c r="K2914" t="inlineStr">
        <is>
          <t>Non</t>
        </is>
      </c>
      <c r="L2914">
        <f>SUBTOTAL(103,A2914)</f>
        <v>1</v>
      </c>
    </row>
    <row r="2915">
      <c r="A2915" t="inlineStr">
        <is>
          <t>SOCIETE C2401</t>
        </is>
      </c>
      <c r="B2915" t="inlineStr">
        <is>
          <t>C2401</t>
        </is>
      </c>
      <c r="C2915" t="inlineStr">
        <is>
          <t>CORPORATE BANKING</t>
        </is>
      </c>
      <c r="D2915" t="inlineStr">
        <is>
          <t>II</t>
        </is>
      </c>
      <c r="E2915" t="inlineStr">
        <is>
          <t>Stage 2</t>
        </is>
      </c>
      <c r="F2915" t="inlineStr">
        <is>
          <t>N/A</t>
        </is>
      </c>
      <c r="G2915" s="26">
        <v>2316962168</v>
      </c>
      <c r="H2915" s="26">
        <v>139017730</v>
      </c>
      <c r="I2915" s="26">
        <v>404777798</v>
      </c>
      <c r="J2915" s="26">
        <v>27</v>
      </c>
      <c r="K2915" t="inlineStr">
        <is>
          <t>Non</t>
        </is>
      </c>
      <c r="L2915">
        <f>SUBTOTAL(103,A2915)</f>
        <v>1</v>
      </c>
    </row>
    <row r="2916">
      <c r="A2916" t="inlineStr">
        <is>
          <t>SOCIETE C116</t>
        </is>
      </c>
      <c r="B2916" t="inlineStr">
        <is>
          <t>C116</t>
        </is>
      </c>
      <c r="C2916" t="inlineStr">
        <is>
          <t>CORPORATE BANKING</t>
        </is>
      </c>
      <c r="D2916" t="inlineStr">
        <is>
          <t>II</t>
        </is>
      </c>
      <c r="E2916" t="inlineStr">
        <is>
          <t>Stage 2</t>
        </is>
      </c>
      <c r="F2916" t="inlineStr">
        <is>
          <t>N/A</t>
        </is>
      </c>
      <c r="G2916" s="26">
        <v>725433715</v>
      </c>
      <c r="H2916" s="26">
        <v>43526023</v>
      </c>
      <c r="I2916" s="26">
        <v>0</v>
      </c>
      <c r="J2916" s="26">
        <v>165</v>
      </c>
      <c r="K2916" t="inlineStr">
        <is>
          <t>Non</t>
        </is>
      </c>
      <c r="L2916">
        <f>SUBTOTAL(103,A2916)</f>
        <v>1</v>
      </c>
    </row>
    <row r="2917">
      <c r="A2917" t="inlineStr">
        <is>
          <t>SOCIETE C2287</t>
        </is>
      </c>
      <c r="B2917" t="inlineStr">
        <is>
          <t>C2287</t>
        </is>
      </c>
      <c r="C2917" t="inlineStr">
        <is>
          <t>COMMERCIAL BANKING</t>
        </is>
      </c>
      <c r="D2917" t="inlineStr">
        <is>
          <t>IV</t>
        </is>
      </c>
      <c r="E2917" t="inlineStr">
        <is>
          <t>Stage 3</t>
        </is>
      </c>
      <c r="F2917" t="inlineStr">
        <is>
          <t>N/A</t>
        </is>
      </c>
      <c r="G2917" s="26">
        <v>2298963032</v>
      </c>
      <c r="H2917" s="26">
        <v>1264429668</v>
      </c>
      <c r="I2917" s="26">
        <v>0</v>
      </c>
      <c r="J2917" s="26">
        <v>7</v>
      </c>
      <c r="K2917" t="inlineStr">
        <is>
          <t>Oui</t>
        </is>
      </c>
      <c r="L2917">
        <f>SUBTOTAL(103,A2917)</f>
        <v>1</v>
      </c>
    </row>
    <row r="2918">
      <c r="A2918" t="inlineStr">
        <is>
          <t>SOCIETE C1615</t>
        </is>
      </c>
      <c r="B2918" t="inlineStr">
        <is>
          <t>C1615</t>
        </is>
      </c>
      <c r="C2918" t="inlineStr">
        <is>
          <t>CORPORATE BANKING</t>
        </is>
      </c>
      <c r="D2918" t="inlineStr">
        <is>
          <t>I</t>
        </is>
      </c>
      <c r="E2918" t="inlineStr">
        <is>
          <t>Stage 1</t>
        </is>
      </c>
      <c r="F2918" t="inlineStr">
        <is>
          <t>N/A</t>
        </is>
      </c>
      <c r="G2918" s="26">
        <v>233010329</v>
      </c>
      <c r="H2918" s="26">
        <v>2330103</v>
      </c>
      <c r="I2918" s="26">
        <v>0</v>
      </c>
      <c r="J2918" s="26">
        <v>51</v>
      </c>
      <c r="K2918" t="inlineStr">
        <is>
          <t>Non</t>
        </is>
      </c>
      <c r="L2918">
        <f>SUBTOTAL(103,A2918)</f>
        <v>1</v>
      </c>
    </row>
    <row r="2919">
      <c r="A2919" t="inlineStr">
        <is>
          <t>SOCIETE C486</t>
        </is>
      </c>
      <c r="B2919" t="inlineStr">
        <is>
          <t>C486</t>
        </is>
      </c>
      <c r="C2919" t="inlineStr">
        <is>
          <t>COMMERCIAL BANKING</t>
        </is>
      </c>
      <c r="D2919" t="inlineStr">
        <is>
          <t>I</t>
        </is>
      </c>
      <c r="E2919" t="inlineStr">
        <is>
          <t>Stage 1</t>
        </is>
      </c>
      <c r="F2919" t="inlineStr">
        <is>
          <t>N/A</t>
        </is>
      </c>
      <c r="G2919" s="26">
        <v>131718640</v>
      </c>
      <c r="H2919" s="26">
        <v>1317186</v>
      </c>
      <c r="I2919" s="26">
        <v>23766577</v>
      </c>
      <c r="J2919" s="26">
        <v>132</v>
      </c>
      <c r="K2919" t="inlineStr">
        <is>
          <t>Non</t>
        </is>
      </c>
      <c r="L2919">
        <f>SUBTOTAL(103,A2919)</f>
        <v>1</v>
      </c>
    </row>
    <row r="2920">
      <c r="A2920" t="inlineStr">
        <is>
          <t>SOCIETE C1726</t>
        </is>
      </c>
      <c r="B2920" t="inlineStr">
        <is>
          <t>C1726</t>
        </is>
      </c>
      <c r="C2920" t="inlineStr">
        <is>
          <t>COMMERCIAL BANKING</t>
        </is>
      </c>
      <c r="D2920" t="inlineStr">
        <is>
          <t>IV</t>
        </is>
      </c>
      <c r="E2920" t="inlineStr">
        <is>
          <t>Stage 3</t>
        </is>
      </c>
      <c r="F2920" t="inlineStr">
        <is>
          <t>N/A</t>
        </is>
      </c>
      <c r="G2920" s="26">
        <v>634932161</v>
      </c>
      <c r="H2920" s="26">
        <v>349212688</v>
      </c>
      <c r="I2920" s="26">
        <v>0</v>
      </c>
      <c r="J2920" s="26">
        <v>178</v>
      </c>
      <c r="K2920" t="inlineStr">
        <is>
          <t>Oui</t>
        </is>
      </c>
      <c r="L2920">
        <f>SUBTOTAL(103,A2920)</f>
        <v>1</v>
      </c>
    </row>
    <row r="2921">
      <c r="A2921" t="inlineStr">
        <is>
          <t>SOCIETE C2457</t>
        </is>
      </c>
      <c r="B2921" t="inlineStr">
        <is>
          <t>C2457</t>
        </is>
      </c>
      <c r="C2921" t="inlineStr">
        <is>
          <t>CORPORATE BANKING</t>
        </is>
      </c>
      <c r="D2921" t="inlineStr">
        <is>
          <t>I</t>
        </is>
      </c>
      <c r="E2921" t="inlineStr">
        <is>
          <t>Stage 1</t>
        </is>
      </c>
      <c r="F2921" t="inlineStr">
        <is>
          <t>N/A</t>
        </is>
      </c>
      <c r="G2921" s="26">
        <v>744270139</v>
      </c>
      <c r="H2921" s="26">
        <v>7442701</v>
      </c>
      <c r="I2921" s="26">
        <v>0</v>
      </c>
      <c r="J2921" s="26">
        <v>28</v>
      </c>
      <c r="K2921" t="inlineStr">
        <is>
          <t>Non</t>
        </is>
      </c>
      <c r="L2921">
        <f>SUBTOTAL(103,A2921)</f>
        <v>1</v>
      </c>
    </row>
    <row r="2922">
      <c r="A2922" t="inlineStr">
        <is>
          <t>SOCIETE C1021</t>
        </is>
      </c>
      <c r="B2922" t="inlineStr">
        <is>
          <t>C1021</t>
        </is>
      </c>
      <c r="C2922" t="inlineStr">
        <is>
          <t>CORPORATE BANKING</t>
        </is>
      </c>
      <c r="D2922" t="inlineStr">
        <is>
          <t>V</t>
        </is>
      </c>
      <c r="E2922" t="inlineStr">
        <is>
          <t>Stage 3</t>
        </is>
      </c>
      <c r="F2922" t="inlineStr">
        <is>
          <t>N/A</t>
        </is>
      </c>
      <c r="G2922" s="26">
        <v>955394732</v>
      </c>
      <c r="H2922" s="26">
        <v>525467103</v>
      </c>
      <c r="I2922" s="26">
        <v>0</v>
      </c>
      <c r="J2922" s="26">
        <v>45</v>
      </c>
      <c r="K2922" t="inlineStr">
        <is>
          <t>Oui</t>
        </is>
      </c>
      <c r="L2922">
        <f>SUBTOTAL(103,A2922)</f>
        <v>1</v>
      </c>
    </row>
    <row r="2923">
      <c r="A2923" t="inlineStr">
        <is>
          <t>SOCIETE C1547</t>
        </is>
      </c>
      <c r="B2923" t="inlineStr">
        <is>
          <t>C1547</t>
        </is>
      </c>
      <c r="C2923" t="inlineStr">
        <is>
          <t>COMMERCIAL BANKING</t>
        </is>
      </c>
      <c r="D2923" t="inlineStr">
        <is>
          <t>I</t>
        </is>
      </c>
      <c r="E2923" t="inlineStr">
        <is>
          <t>Stage 1</t>
        </is>
      </c>
      <c r="F2923" t="inlineStr">
        <is>
          <t>N/A</t>
        </is>
      </c>
      <c r="G2923" s="26">
        <v>67304513</v>
      </c>
      <c r="H2923" s="26">
        <v>673045</v>
      </c>
      <c r="I2923" s="26">
        <v>4275007</v>
      </c>
      <c r="J2923" s="26">
        <v>263</v>
      </c>
      <c r="K2923" t="inlineStr">
        <is>
          <t>Non</t>
        </is>
      </c>
      <c r="L2923">
        <f>SUBTOTAL(103,A2923)</f>
        <v>1</v>
      </c>
    </row>
    <row r="2924">
      <c r="A2924" t="inlineStr">
        <is>
          <t>SOCIETE C83</t>
        </is>
      </c>
      <c r="B2924" t="inlineStr">
        <is>
          <t>C83</t>
        </is>
      </c>
      <c r="C2924" t="inlineStr">
        <is>
          <t>PUBLIC SECTOR</t>
        </is>
      </c>
      <c r="D2924" t="inlineStr">
        <is>
          <t>V</t>
        </is>
      </c>
      <c r="E2924" t="inlineStr">
        <is>
          <t>Stage 3</t>
        </is>
      </c>
      <c r="F2924" t="inlineStr">
        <is>
          <t>N/A</t>
        </is>
      </c>
      <c r="G2924" s="26">
        <v>307965524</v>
      </c>
      <c r="H2924" s="26">
        <v>169381038</v>
      </c>
      <c r="I2924" s="26">
        <v>25454083</v>
      </c>
      <c r="J2924" s="26">
        <v>161</v>
      </c>
      <c r="K2924" t="inlineStr">
        <is>
          <t>Oui</t>
        </is>
      </c>
      <c r="L2924">
        <f>SUBTOTAL(103,A2924)</f>
        <v>1</v>
      </c>
    </row>
    <row r="2925">
      <c r="A2925" t="inlineStr">
        <is>
          <t>SOCIETE C3</t>
        </is>
      </c>
      <c r="B2925" t="inlineStr">
        <is>
          <t>C3</t>
        </is>
      </c>
      <c r="C2925" t="inlineStr">
        <is>
          <t>CONSUMER BANKING</t>
        </is>
      </c>
      <c r="D2925" t="inlineStr">
        <is>
          <t>III</t>
        </is>
      </c>
      <c r="E2925" t="inlineStr">
        <is>
          <t>Stage 3</t>
        </is>
      </c>
      <c r="F2925" t="inlineStr">
        <is>
          <t>N/A</t>
        </is>
      </c>
      <c r="G2925" s="26">
        <v>1038709926</v>
      </c>
      <c r="H2925" s="26">
        <v>571290460</v>
      </c>
      <c r="I2925" s="26">
        <v>0</v>
      </c>
      <c r="J2925" s="26">
        <v>19</v>
      </c>
      <c r="K2925" t="inlineStr">
        <is>
          <t>Oui</t>
        </is>
      </c>
      <c r="L2925">
        <f>SUBTOTAL(103,A2925)</f>
        <v>1</v>
      </c>
    </row>
    <row r="2926">
      <c r="A2926" t="inlineStr">
        <is>
          <t>SOCIETE C1870</t>
        </is>
      </c>
      <c r="B2926" t="inlineStr">
        <is>
          <t>C1870</t>
        </is>
      </c>
      <c r="C2926" t="inlineStr">
        <is>
          <t>SME</t>
        </is>
      </c>
      <c r="D2926" t="inlineStr">
        <is>
          <t>IV</t>
        </is>
      </c>
      <c r="E2926" t="inlineStr">
        <is>
          <t>Stage 3</t>
        </is>
      </c>
      <c r="F2926" t="inlineStr">
        <is>
          <t>N/A</t>
        </is>
      </c>
      <c r="G2926" s="26">
        <v>254759389</v>
      </c>
      <c r="H2926" s="26">
        <v>140117664</v>
      </c>
      <c r="I2926" s="26">
        <v>0</v>
      </c>
      <c r="J2926" s="26">
        <v>4</v>
      </c>
      <c r="K2926" t="inlineStr">
        <is>
          <t>Oui</t>
        </is>
      </c>
      <c r="L2926">
        <f>SUBTOTAL(103,A2926)</f>
        <v>1</v>
      </c>
    </row>
    <row r="2927">
      <c r="A2927" t="inlineStr">
        <is>
          <t>SOCIETE C2176</t>
        </is>
      </c>
      <c r="B2927" t="inlineStr">
        <is>
          <t>C2176</t>
        </is>
      </c>
      <c r="C2927" t="inlineStr">
        <is>
          <t>CONSUMER BANKING</t>
        </is>
      </c>
      <c r="D2927" t="inlineStr">
        <is>
          <t>IA</t>
        </is>
      </c>
      <c r="E2927" t="inlineStr">
        <is>
          <t>Stage 2</t>
        </is>
      </c>
      <c r="F2927" t="inlineStr">
        <is>
          <t>N/A</t>
        </is>
      </c>
      <c r="G2927" s="26">
        <v>65352462</v>
      </c>
      <c r="H2927" s="26">
        <v>3921148</v>
      </c>
      <c r="I2927" s="26">
        <v>0</v>
      </c>
      <c r="J2927" s="26">
        <v>203</v>
      </c>
      <c r="K2927" t="inlineStr">
        <is>
          <t>Non</t>
        </is>
      </c>
      <c r="L2927">
        <f>SUBTOTAL(103,A2927)</f>
        <v>1</v>
      </c>
    </row>
    <row r="2928">
      <c r="A2928" t="inlineStr">
        <is>
          <t>SOCIETE C1381</t>
        </is>
      </c>
      <c r="B2928" t="inlineStr">
        <is>
          <t>C1381</t>
        </is>
      </c>
      <c r="C2928" t="inlineStr">
        <is>
          <t>COMMERCIAL BANKING</t>
        </is>
      </c>
      <c r="D2928" t="inlineStr">
        <is>
          <t>V</t>
        </is>
      </c>
      <c r="E2928" t="inlineStr">
        <is>
          <t>Stage 3</t>
        </is>
      </c>
      <c r="F2928" t="inlineStr">
        <is>
          <t>N/A</t>
        </is>
      </c>
      <c r="G2928" s="26">
        <v>605177699</v>
      </c>
      <c r="H2928" s="26">
        <v>332847735</v>
      </c>
      <c r="I2928" s="26">
        <v>86831946</v>
      </c>
      <c r="J2928" s="26">
        <v>82</v>
      </c>
      <c r="K2928" t="inlineStr">
        <is>
          <t>Oui</t>
        </is>
      </c>
      <c r="L2928">
        <f>SUBTOTAL(103,A2928)</f>
        <v>1</v>
      </c>
    </row>
    <row r="2929">
      <c r="A2929" t="inlineStr">
        <is>
          <t>SOCIETE C1797</t>
        </is>
      </c>
      <c r="B2929" t="inlineStr">
        <is>
          <t>C1797</t>
        </is>
      </c>
      <c r="C2929" t="inlineStr">
        <is>
          <t>SME</t>
        </is>
      </c>
      <c r="D2929" t="inlineStr">
        <is>
          <t>I</t>
        </is>
      </c>
      <c r="E2929" t="inlineStr">
        <is>
          <t>Stage 1</t>
        </is>
      </c>
      <c r="F2929" t="inlineStr">
        <is>
          <t>N/A</t>
        </is>
      </c>
      <c r="G2929" s="26">
        <v>1395297400</v>
      </c>
      <c r="H2929" s="26">
        <v>13952974</v>
      </c>
      <c r="I2929" s="26">
        <v>49766130</v>
      </c>
      <c r="J2929" s="26">
        <v>86</v>
      </c>
      <c r="K2929" t="inlineStr">
        <is>
          <t>Non</t>
        </is>
      </c>
      <c r="L2929">
        <f>SUBTOTAL(103,A2929)</f>
        <v>1</v>
      </c>
    </row>
    <row r="2930">
      <c r="A2930" t="inlineStr">
        <is>
          <t>SOCIETE C2368</t>
        </is>
      </c>
      <c r="B2930" t="inlineStr">
        <is>
          <t>C2368</t>
        </is>
      </c>
      <c r="C2930" t="inlineStr">
        <is>
          <t>CORPORATE BANKING</t>
        </is>
      </c>
      <c r="D2930" t="inlineStr">
        <is>
          <t>I</t>
        </is>
      </c>
      <c r="E2930" t="inlineStr">
        <is>
          <t>Stage 1</t>
        </is>
      </c>
      <c r="F2930" t="inlineStr">
        <is>
          <t>N/A</t>
        </is>
      </c>
      <c r="G2930" s="26">
        <v>124543830</v>
      </c>
      <c r="H2930" s="26">
        <v>1245438</v>
      </c>
      <c r="I2930" s="26">
        <v>0</v>
      </c>
      <c r="J2930" s="26">
        <v>203</v>
      </c>
      <c r="K2930" t="inlineStr">
        <is>
          <t>Non</t>
        </is>
      </c>
      <c r="L2930">
        <f>SUBTOTAL(103,A2930)</f>
        <v>1</v>
      </c>
    </row>
    <row r="2931">
      <c r="A2931" t="inlineStr">
        <is>
          <t>SOCIETE C2106</t>
        </is>
      </c>
      <c r="B2931" t="inlineStr">
        <is>
          <t>C2106</t>
        </is>
      </c>
      <c r="C2931" t="inlineStr">
        <is>
          <t>CORPORATE BANKING</t>
        </is>
      </c>
      <c r="D2931" t="inlineStr">
        <is>
          <t>I</t>
        </is>
      </c>
      <c r="E2931" t="inlineStr">
        <is>
          <t>Stage 1</t>
        </is>
      </c>
      <c r="F2931" t="inlineStr">
        <is>
          <t>N/A</t>
        </is>
      </c>
      <c r="G2931" s="26">
        <v>13106881</v>
      </c>
      <c r="H2931" s="26">
        <v>131069</v>
      </c>
      <c r="I2931" s="26">
        <v>2565586</v>
      </c>
      <c r="J2931" s="26">
        <v>25</v>
      </c>
      <c r="K2931" t="inlineStr">
        <is>
          <t>Non</t>
        </is>
      </c>
      <c r="L2931">
        <f>SUBTOTAL(103,A2931)</f>
        <v>1</v>
      </c>
    </row>
    <row r="2932">
      <c r="A2932" t="inlineStr">
        <is>
          <t>SOCIETE C762</t>
        </is>
      </c>
      <c r="B2932" t="inlineStr">
        <is>
          <t>C762</t>
        </is>
      </c>
      <c r="C2932" t="inlineStr">
        <is>
          <t>CONSUMER BANKING</t>
        </is>
      </c>
      <c r="D2932" t="inlineStr">
        <is>
          <t>I</t>
        </is>
      </c>
      <c r="E2932" t="inlineStr">
        <is>
          <t>Stage 1</t>
        </is>
      </c>
      <c r="F2932" t="inlineStr">
        <is>
          <t>N/A</t>
        </is>
      </c>
      <c r="G2932" s="26">
        <v>9848439</v>
      </c>
      <c r="H2932" s="26">
        <v>98484</v>
      </c>
      <c r="I2932" s="26">
        <v>0</v>
      </c>
      <c r="J2932" s="26">
        <v>142</v>
      </c>
      <c r="K2932" t="inlineStr">
        <is>
          <t>Non</t>
        </is>
      </c>
      <c r="L2932">
        <f>SUBTOTAL(103,A2932)</f>
        <v>1</v>
      </c>
    </row>
    <row r="2933">
      <c r="A2933" t="inlineStr">
        <is>
          <t>SOCIETE C1407</t>
        </is>
      </c>
      <c r="B2933" t="inlineStr">
        <is>
          <t>C1407</t>
        </is>
      </c>
      <c r="C2933" t="inlineStr">
        <is>
          <t>CORPORATE BANKING</t>
        </is>
      </c>
      <c r="D2933" t="inlineStr">
        <is>
          <t>V</t>
        </is>
      </c>
      <c r="E2933" t="inlineStr">
        <is>
          <t>Stage 3</t>
        </is>
      </c>
      <c r="F2933" t="inlineStr">
        <is>
          <t>N/A</t>
        </is>
      </c>
      <c r="G2933" s="26">
        <v>95639482</v>
      </c>
      <c r="H2933" s="26">
        <v>52601715</v>
      </c>
      <c r="I2933" s="26">
        <v>0</v>
      </c>
      <c r="J2933" s="26">
        <v>204</v>
      </c>
      <c r="K2933" t="inlineStr">
        <is>
          <t>Oui</t>
        </is>
      </c>
      <c r="L2933">
        <f>SUBTOTAL(103,A2933)</f>
        <v>1</v>
      </c>
    </row>
    <row r="2934">
      <c r="A2934" t="inlineStr">
        <is>
          <t>SOCIETE C1211</t>
        </is>
      </c>
      <c r="B2934" t="inlineStr">
        <is>
          <t>C1211</t>
        </is>
      </c>
      <c r="C2934" t="inlineStr">
        <is>
          <t>CORPORATE BANKING</t>
        </is>
      </c>
      <c r="D2934" t="inlineStr">
        <is>
          <t>I</t>
        </is>
      </c>
      <c r="E2934" t="inlineStr">
        <is>
          <t>Stage 1</t>
        </is>
      </c>
      <c r="F2934" t="inlineStr">
        <is>
          <t>N/A</t>
        </is>
      </c>
      <c r="G2934" s="26">
        <v>1081616</v>
      </c>
      <c r="H2934" s="26">
        <v>10816</v>
      </c>
      <c r="I2934" s="26">
        <v>59798</v>
      </c>
      <c r="J2934" s="26">
        <v>325</v>
      </c>
      <c r="K2934" t="inlineStr">
        <is>
          <t>Non</t>
        </is>
      </c>
      <c r="L2934">
        <f>SUBTOTAL(103,A2934)</f>
        <v>1</v>
      </c>
    </row>
    <row r="2935">
      <c r="A2935" t="inlineStr">
        <is>
          <t>SOCIETE C1827</t>
        </is>
      </c>
      <c r="B2935" t="inlineStr">
        <is>
          <t>C1827</t>
        </is>
      </c>
      <c r="C2935" t="inlineStr">
        <is>
          <t>CONSUMER BANKING</t>
        </is>
      </c>
      <c r="D2935" t="inlineStr">
        <is>
          <t>IV</t>
        </is>
      </c>
      <c r="E2935" t="inlineStr">
        <is>
          <t>Stage 3</t>
        </is>
      </c>
      <c r="F2935" t="inlineStr">
        <is>
          <t>N/A</t>
        </is>
      </c>
      <c r="G2935" s="26">
        <v>449592472</v>
      </c>
      <c r="H2935" s="26">
        <v>247275860</v>
      </c>
      <c r="I2935" s="26">
        <v>28469637</v>
      </c>
      <c r="J2935" s="26">
        <v>133</v>
      </c>
      <c r="K2935" t="inlineStr">
        <is>
          <t>Oui</t>
        </is>
      </c>
      <c r="L2935">
        <f>SUBTOTAL(103,A2935)</f>
        <v>1</v>
      </c>
    </row>
    <row r="2936">
      <c r="A2936" t="inlineStr">
        <is>
          <t>SOCIETE C204</t>
        </is>
      </c>
      <c r="B2936" t="inlineStr">
        <is>
          <t>C204</t>
        </is>
      </c>
      <c r="C2936" t="inlineStr">
        <is>
          <t>PUBLIC SECTOR</t>
        </is>
      </c>
      <c r="D2936" t="inlineStr">
        <is>
          <t>I</t>
        </is>
      </c>
      <c r="E2936" t="inlineStr">
        <is>
          <t>Stage 1</t>
        </is>
      </c>
      <c r="F2936" t="inlineStr">
        <is>
          <t>N/A</t>
        </is>
      </c>
      <c r="G2936" s="26">
        <v>202250787</v>
      </c>
      <c r="H2936" s="26">
        <v>2022508</v>
      </c>
      <c r="I2936" s="26">
        <v>0</v>
      </c>
      <c r="J2936" s="26">
        <v>142</v>
      </c>
      <c r="K2936" t="inlineStr">
        <is>
          <t>Non</t>
        </is>
      </c>
      <c r="L2936">
        <f>SUBTOTAL(103,A2936)</f>
        <v>1</v>
      </c>
    </row>
    <row r="2937">
      <c r="A2937" t="inlineStr">
        <is>
          <t>SOCIETE C698</t>
        </is>
      </c>
      <c r="B2937" t="inlineStr">
        <is>
          <t>C698</t>
        </is>
      </c>
      <c r="C2937" t="inlineStr">
        <is>
          <t>COMMERCIAL BANKING</t>
        </is>
      </c>
      <c r="D2937" t="inlineStr">
        <is>
          <t>I</t>
        </is>
      </c>
      <c r="E2937" t="inlineStr">
        <is>
          <t>Stage 1</t>
        </is>
      </c>
      <c r="F2937" t="inlineStr">
        <is>
          <t>N/A</t>
        </is>
      </c>
      <c r="G2937" s="26">
        <v>2680734450</v>
      </c>
      <c r="H2937" s="26">
        <v>26807345</v>
      </c>
      <c r="I2937" s="26">
        <v>0</v>
      </c>
      <c r="J2937" s="26">
        <v>27</v>
      </c>
      <c r="K2937" t="inlineStr">
        <is>
          <t>Non</t>
        </is>
      </c>
      <c r="L2937">
        <f>SUBTOTAL(103,A2937)</f>
        <v>1</v>
      </c>
    </row>
    <row r="2938">
      <c r="A2938" t="inlineStr">
        <is>
          <t>SOCIETE C1742</t>
        </is>
      </c>
      <c r="B2938" t="inlineStr">
        <is>
          <t>C1742</t>
        </is>
      </c>
      <c r="C2938" t="inlineStr">
        <is>
          <t>PUBLIC SECTOR</t>
        </is>
      </c>
      <c r="D2938" t="inlineStr">
        <is>
          <t>I</t>
        </is>
      </c>
      <c r="E2938" t="inlineStr">
        <is>
          <t>Stage 1</t>
        </is>
      </c>
      <c r="F2938" t="inlineStr">
        <is>
          <t>N/A</t>
        </is>
      </c>
      <c r="G2938" s="26">
        <v>542726314</v>
      </c>
      <c r="H2938" s="26">
        <v>5427263</v>
      </c>
      <c r="I2938" s="26">
        <v>0</v>
      </c>
      <c r="J2938" s="26">
        <v>141</v>
      </c>
      <c r="K2938" t="inlineStr">
        <is>
          <t>Non</t>
        </is>
      </c>
      <c r="L2938">
        <f>SUBTOTAL(103,A2938)</f>
        <v>1</v>
      </c>
    </row>
    <row r="2939">
      <c r="A2939" t="inlineStr">
        <is>
          <t>SOCIETE C1546</t>
        </is>
      </c>
      <c r="B2939" t="inlineStr">
        <is>
          <t>C1546</t>
        </is>
      </c>
      <c r="C2939" t="inlineStr">
        <is>
          <t>PUBLIC SECTOR</t>
        </is>
      </c>
      <c r="D2939" t="inlineStr">
        <is>
          <t>IA</t>
        </is>
      </c>
      <c r="E2939" t="inlineStr">
        <is>
          <t>Stage 2</t>
        </is>
      </c>
      <c r="F2939" t="inlineStr">
        <is>
          <t>N/A</t>
        </is>
      </c>
      <c r="G2939" s="26">
        <v>1448953290</v>
      </c>
      <c r="H2939" s="26">
        <v>86937197</v>
      </c>
      <c r="I2939" s="26">
        <v>0</v>
      </c>
      <c r="J2939" s="26">
        <v>38</v>
      </c>
      <c r="K2939" t="inlineStr">
        <is>
          <t>Non</t>
        </is>
      </c>
      <c r="L2939">
        <f>SUBTOTAL(103,A2939)</f>
        <v>1</v>
      </c>
    </row>
    <row r="2940">
      <c r="A2940" t="inlineStr">
        <is>
          <t>SOCIETE C1084</t>
        </is>
      </c>
      <c r="B2940" t="inlineStr">
        <is>
          <t>C1084</t>
        </is>
      </c>
      <c r="C2940" t="inlineStr">
        <is>
          <t>COMMERCIAL BANKING</t>
        </is>
      </c>
      <c r="D2940" t="inlineStr">
        <is>
          <t>V</t>
        </is>
      </c>
      <c r="E2940" t="inlineStr">
        <is>
          <t>Stage 3</t>
        </is>
      </c>
      <c r="F2940" t="inlineStr">
        <is>
          <t>N/A</t>
        </is>
      </c>
      <c r="G2940" s="26">
        <v>1978270047</v>
      </c>
      <c r="H2940" s="26">
        <v>1088048526</v>
      </c>
      <c r="I2940" s="26">
        <v>0</v>
      </c>
      <c r="J2940" s="26">
        <v>53</v>
      </c>
      <c r="K2940" t="inlineStr">
        <is>
          <t>Oui</t>
        </is>
      </c>
      <c r="L2940">
        <f>SUBTOTAL(103,A2940)</f>
        <v>1</v>
      </c>
    </row>
    <row r="2941">
      <c r="A2941" t="inlineStr">
        <is>
          <t>SOCIETE C1380</t>
        </is>
      </c>
      <c r="B2941" t="inlineStr">
        <is>
          <t>C1380</t>
        </is>
      </c>
      <c r="C2941" t="inlineStr">
        <is>
          <t>COMMERCIAL BANKING</t>
        </is>
      </c>
      <c r="D2941" t="inlineStr">
        <is>
          <t>V</t>
        </is>
      </c>
      <c r="E2941" t="inlineStr">
        <is>
          <t>Stage 3</t>
        </is>
      </c>
      <c r="F2941" t="inlineStr">
        <is>
          <t>N/A</t>
        </is>
      </c>
      <c r="G2941" s="26">
        <v>1630673240</v>
      </c>
      <c r="H2941" s="26">
        <v>896870282</v>
      </c>
      <c r="I2941" s="26">
        <v>132281033</v>
      </c>
      <c r="J2941" s="26">
        <v>285</v>
      </c>
      <c r="K2941" t="inlineStr">
        <is>
          <t>Oui</t>
        </is>
      </c>
      <c r="L2941">
        <f>SUBTOTAL(103,A2941)</f>
        <v>1</v>
      </c>
    </row>
    <row r="2942">
      <c r="A2942" t="inlineStr">
        <is>
          <t>SOCIETE C1752</t>
        </is>
      </c>
      <c r="B2942" t="inlineStr">
        <is>
          <t>C1752</t>
        </is>
      </c>
      <c r="C2942" t="inlineStr">
        <is>
          <t>COMMERCIAL BANKING</t>
        </is>
      </c>
      <c r="D2942" t="inlineStr">
        <is>
          <t>II</t>
        </is>
      </c>
      <c r="E2942" t="inlineStr">
        <is>
          <t>Stage 2</t>
        </is>
      </c>
      <c r="F2942" t="inlineStr">
        <is>
          <t>N/A</t>
        </is>
      </c>
      <c r="G2942" s="26">
        <v>290238567</v>
      </c>
      <c r="H2942" s="26">
        <v>17414314</v>
      </c>
      <c r="I2942" s="26">
        <v>52277012</v>
      </c>
      <c r="J2942" s="26">
        <v>10</v>
      </c>
      <c r="K2942" t="inlineStr">
        <is>
          <t>Non</t>
        </is>
      </c>
      <c r="L2942">
        <f>SUBTOTAL(103,A2942)</f>
        <v>1</v>
      </c>
    </row>
    <row r="2943">
      <c r="A2943" t="inlineStr">
        <is>
          <t>SOCIETE C946</t>
        </is>
      </c>
      <c r="B2943" t="inlineStr">
        <is>
          <t>C946</t>
        </is>
      </c>
      <c r="C2943" t="inlineStr">
        <is>
          <t>CONSUMER BANKING</t>
        </is>
      </c>
      <c r="D2943" t="inlineStr">
        <is>
          <t>I</t>
        </is>
      </c>
      <c r="E2943" t="inlineStr">
        <is>
          <t>Stage 1</t>
        </is>
      </c>
      <c r="F2943" t="inlineStr">
        <is>
          <t>N/A</t>
        </is>
      </c>
      <c r="G2943" s="26">
        <v>858542712</v>
      </c>
      <c r="H2943" s="26">
        <v>8585427</v>
      </c>
      <c r="I2943" s="26">
        <v>140817242</v>
      </c>
      <c r="J2943" s="26">
        <v>12</v>
      </c>
      <c r="K2943" t="inlineStr">
        <is>
          <t>Non</t>
        </is>
      </c>
      <c r="L2943">
        <f>SUBTOTAL(103,A2943)</f>
        <v>1</v>
      </c>
    </row>
    <row r="2944">
      <c r="A2944" t="inlineStr">
        <is>
          <t>SOCIETE C1892</t>
        </is>
      </c>
      <c r="B2944" t="inlineStr">
        <is>
          <t>C1892</t>
        </is>
      </c>
      <c r="C2944" t="inlineStr">
        <is>
          <t>CORPORATE BANKING</t>
        </is>
      </c>
      <c r="D2944" t="inlineStr">
        <is>
          <t>V</t>
        </is>
      </c>
      <c r="E2944" t="inlineStr">
        <is>
          <t>Stage 3</t>
        </is>
      </c>
      <c r="F2944" t="inlineStr">
        <is>
          <t>N/A</t>
        </is>
      </c>
      <c r="G2944" s="26">
        <v>1019518</v>
      </c>
      <c r="H2944" s="26">
        <v>560735</v>
      </c>
      <c r="I2944" s="26">
        <v>0</v>
      </c>
      <c r="J2944" s="26">
        <v>11</v>
      </c>
      <c r="K2944" t="inlineStr">
        <is>
          <t>Oui</t>
        </is>
      </c>
      <c r="L2944">
        <f>SUBTOTAL(103,A2944)</f>
        <v>1</v>
      </c>
    </row>
    <row r="2945">
      <c r="A2945" t="inlineStr">
        <is>
          <t>SOCIETE C2147</t>
        </is>
      </c>
      <c r="B2945" t="inlineStr">
        <is>
          <t>C2147</t>
        </is>
      </c>
      <c r="C2945" t="inlineStr">
        <is>
          <t>CORPORATE BANKING</t>
        </is>
      </c>
      <c r="D2945" t="inlineStr">
        <is>
          <t>II</t>
        </is>
      </c>
      <c r="E2945" t="inlineStr">
        <is>
          <t>Stage 2</t>
        </is>
      </c>
      <c r="F2945" t="inlineStr">
        <is>
          <t>N/A</t>
        </is>
      </c>
      <c r="G2945" s="26">
        <v>51657562</v>
      </c>
      <c r="H2945" s="26">
        <v>3099454</v>
      </c>
      <c r="I2945" s="26">
        <v>3254682</v>
      </c>
      <c r="J2945" s="26">
        <v>40</v>
      </c>
      <c r="K2945" t="inlineStr">
        <is>
          <t>Non</t>
        </is>
      </c>
      <c r="L2945">
        <f>SUBTOTAL(103,A2945)</f>
        <v>1</v>
      </c>
    </row>
    <row r="2946">
      <c r="A2946" t="inlineStr">
        <is>
          <t>SOCIETE C2479</t>
        </is>
      </c>
      <c r="B2946" t="inlineStr">
        <is>
          <t>C2479</t>
        </is>
      </c>
      <c r="C2946" t="inlineStr">
        <is>
          <t>CORPORATE BANKING</t>
        </is>
      </c>
      <c r="D2946" t="inlineStr">
        <is>
          <t>V</t>
        </is>
      </c>
      <c r="E2946" t="inlineStr">
        <is>
          <t>Stage 3</t>
        </is>
      </c>
      <c r="F2946" t="inlineStr">
        <is>
          <t>N/A</t>
        </is>
      </c>
      <c r="G2946" s="26">
        <v>775541150</v>
      </c>
      <c r="H2946" s="26">
        <v>426547633</v>
      </c>
      <c r="I2946" s="26">
        <v>60612300</v>
      </c>
      <c r="J2946" s="26">
        <v>125</v>
      </c>
      <c r="K2946" t="inlineStr">
        <is>
          <t>Oui</t>
        </is>
      </c>
      <c r="L2946">
        <f>SUBTOTAL(103,A2946)</f>
        <v>1</v>
      </c>
    </row>
    <row r="2947">
      <c r="A2947" t="inlineStr">
        <is>
          <t>SOCIETE C584</t>
        </is>
      </c>
      <c r="B2947" t="inlineStr">
        <is>
          <t>C584</t>
        </is>
      </c>
      <c r="C2947" t="inlineStr">
        <is>
          <t>CORPORATE BANKING</t>
        </is>
      </c>
      <c r="D2947" t="inlineStr">
        <is>
          <t>IA</t>
        </is>
      </c>
      <c r="E2947" t="inlineStr">
        <is>
          <t>Stage 2</t>
        </is>
      </c>
      <c r="F2947" t="inlineStr">
        <is>
          <t>N/A</t>
        </is>
      </c>
      <c r="G2947" s="26">
        <v>1422953958</v>
      </c>
      <c r="H2947" s="26">
        <v>85377237</v>
      </c>
      <c r="I2947" s="26">
        <v>99426823</v>
      </c>
      <c r="J2947" s="26">
        <v>89</v>
      </c>
      <c r="K2947" t="inlineStr">
        <is>
          <t>Non</t>
        </is>
      </c>
      <c r="L2947">
        <f>SUBTOTAL(103,A2947)</f>
        <v>1</v>
      </c>
    </row>
    <row r="2948">
      <c r="A2948" t="inlineStr">
        <is>
          <t>SOCIETE C2411</t>
        </is>
      </c>
      <c r="B2948" t="inlineStr">
        <is>
          <t>C2411</t>
        </is>
      </c>
      <c r="C2948" t="inlineStr">
        <is>
          <t>CORPORATE BANKING</t>
        </is>
      </c>
      <c r="D2948" t="inlineStr">
        <is>
          <t>V</t>
        </is>
      </c>
      <c r="E2948" t="inlineStr">
        <is>
          <t>Stage 3</t>
        </is>
      </c>
      <c r="F2948" t="inlineStr">
        <is>
          <t>N/A</t>
        </is>
      </c>
      <c r="G2948" s="26">
        <v>1458975026</v>
      </c>
      <c r="H2948" s="26">
        <v>802436264</v>
      </c>
      <c r="I2948" s="26">
        <v>221282466</v>
      </c>
      <c r="J2948" s="26">
        <v>100</v>
      </c>
      <c r="K2948" t="inlineStr">
        <is>
          <t>Oui</t>
        </is>
      </c>
      <c r="L2948">
        <f>SUBTOTAL(103,A2948)</f>
        <v>1</v>
      </c>
    </row>
    <row r="2949">
      <c r="A2949" t="inlineStr">
        <is>
          <t>SOCIETE C106</t>
        </is>
      </c>
      <c r="B2949" t="inlineStr">
        <is>
          <t>C106</t>
        </is>
      </c>
      <c r="C2949" t="inlineStr">
        <is>
          <t>CORPORATE BANKING</t>
        </is>
      </c>
      <c r="D2949" t="inlineStr">
        <is>
          <t>IA</t>
        </is>
      </c>
      <c r="E2949" t="inlineStr">
        <is>
          <t>Stage 2</t>
        </is>
      </c>
      <c r="F2949" t="inlineStr">
        <is>
          <t>N/A</t>
        </is>
      </c>
      <c r="G2949" s="26">
        <v>1702466333</v>
      </c>
      <c r="H2949" s="26">
        <v>102147980</v>
      </c>
      <c r="I2949" s="26">
        <v>252301686</v>
      </c>
      <c r="J2949" s="26">
        <v>243</v>
      </c>
      <c r="K2949" t="inlineStr">
        <is>
          <t>Non</t>
        </is>
      </c>
      <c r="L2949">
        <f>SUBTOTAL(103,A2949)</f>
        <v>1</v>
      </c>
    </row>
    <row r="2950">
      <c r="A2950" t="inlineStr">
        <is>
          <t>SOCIETE C1391</t>
        </is>
      </c>
      <c r="B2950" t="inlineStr">
        <is>
          <t>C1391</t>
        </is>
      </c>
      <c r="C2950" t="inlineStr">
        <is>
          <t>CORPORATE BANKING</t>
        </is>
      </c>
      <c r="D2950" t="inlineStr">
        <is>
          <t>IA</t>
        </is>
      </c>
      <c r="E2950" t="inlineStr">
        <is>
          <t>Stage 2</t>
        </is>
      </c>
      <c r="F2950" t="inlineStr">
        <is>
          <t>N/A</t>
        </is>
      </c>
      <c r="G2950" s="26">
        <v>1221480559</v>
      </c>
      <c r="H2950" s="26">
        <v>73288834</v>
      </c>
      <c r="I2950" s="26">
        <v>5773122</v>
      </c>
      <c r="J2950" s="26">
        <v>57</v>
      </c>
      <c r="K2950" t="inlineStr">
        <is>
          <t>Non</t>
        </is>
      </c>
      <c r="L2950">
        <f>SUBTOTAL(103,A2950)</f>
        <v>1</v>
      </c>
    </row>
    <row r="2951">
      <c r="A2951" t="inlineStr">
        <is>
          <t>SOCIETE C569</t>
        </is>
      </c>
      <c r="B2951" t="inlineStr">
        <is>
          <t>C569</t>
        </is>
      </c>
      <c r="C2951" t="inlineStr">
        <is>
          <t>CORPORATE BANKING</t>
        </is>
      </c>
      <c r="D2951" t="inlineStr">
        <is>
          <t>III</t>
        </is>
      </c>
      <c r="E2951" t="inlineStr">
        <is>
          <t>Stage 3</t>
        </is>
      </c>
      <c r="F2951" t="inlineStr">
        <is>
          <t>N/A</t>
        </is>
      </c>
      <c r="G2951" s="26">
        <v>111807621</v>
      </c>
      <c r="H2951" s="26">
        <v>61494192</v>
      </c>
      <c r="I2951" s="26">
        <v>0</v>
      </c>
      <c r="J2951" s="26">
        <v>58</v>
      </c>
      <c r="K2951" t="inlineStr">
        <is>
          <t>Oui</t>
        </is>
      </c>
      <c r="L2951">
        <f>SUBTOTAL(103,A2951)</f>
        <v>1</v>
      </c>
    </row>
    <row r="2952">
      <c r="A2952" t="inlineStr">
        <is>
          <t>SOCIETE C2444</t>
        </is>
      </c>
      <c r="B2952" t="inlineStr">
        <is>
          <t>C2444</t>
        </is>
      </c>
      <c r="C2952" t="inlineStr">
        <is>
          <t>CORPORATE BANKING</t>
        </is>
      </c>
      <c r="D2952" t="inlineStr">
        <is>
          <t>I</t>
        </is>
      </c>
      <c r="E2952" t="inlineStr">
        <is>
          <t>Stage 1</t>
        </is>
      </c>
      <c r="F2952" t="inlineStr">
        <is>
          <t>N/A</t>
        </is>
      </c>
      <c r="G2952" s="26">
        <v>595556310</v>
      </c>
      <c r="H2952" s="26">
        <v>5955563</v>
      </c>
      <c r="I2952" s="26">
        <v>72167850</v>
      </c>
      <c r="J2952" s="26">
        <v>9</v>
      </c>
      <c r="K2952" t="inlineStr">
        <is>
          <t>Non</t>
        </is>
      </c>
      <c r="L2952">
        <f>SUBTOTAL(103,A2952)</f>
        <v>1</v>
      </c>
    </row>
    <row r="2953">
      <c r="A2953" t="inlineStr">
        <is>
          <t>SOCIETE C1374</t>
        </is>
      </c>
      <c r="B2953" t="inlineStr">
        <is>
          <t>C1374</t>
        </is>
      </c>
      <c r="C2953" t="inlineStr">
        <is>
          <t>CONSUMER BANKING</t>
        </is>
      </c>
      <c r="D2953" t="inlineStr">
        <is>
          <t>IA</t>
        </is>
      </c>
      <c r="E2953" t="inlineStr">
        <is>
          <t>Stage 2</t>
        </is>
      </c>
      <c r="F2953" t="inlineStr">
        <is>
          <t>N/A</t>
        </is>
      </c>
      <c r="G2953" s="26">
        <v>32275117</v>
      </c>
      <c r="H2953" s="26">
        <v>1936507</v>
      </c>
      <c r="I2953" s="26">
        <v>0</v>
      </c>
      <c r="J2953" s="26">
        <v>217</v>
      </c>
      <c r="K2953" t="inlineStr">
        <is>
          <t>Non</t>
        </is>
      </c>
      <c r="L2953">
        <f>SUBTOTAL(103,A2953)</f>
        <v>1</v>
      </c>
    </row>
    <row r="2954">
      <c r="A2954" t="inlineStr">
        <is>
          <t>SOCIETE C1622</t>
        </is>
      </c>
      <c r="B2954" t="inlineStr">
        <is>
          <t>C1622</t>
        </is>
      </c>
      <c r="C2954" t="inlineStr">
        <is>
          <t>SME</t>
        </is>
      </c>
      <c r="D2954" t="inlineStr">
        <is>
          <t>IA</t>
        </is>
      </c>
      <c r="E2954" t="inlineStr">
        <is>
          <t>Stage 2</t>
        </is>
      </c>
      <c r="F2954" t="inlineStr">
        <is>
          <t>N/A</t>
        </is>
      </c>
      <c r="G2954" s="26">
        <v>1719254391</v>
      </c>
      <c r="H2954" s="26">
        <v>103155263</v>
      </c>
      <c r="I2954" s="26">
        <v>192441080</v>
      </c>
      <c r="J2954" s="26">
        <v>45</v>
      </c>
      <c r="K2954" t="inlineStr">
        <is>
          <t>Non</t>
        </is>
      </c>
      <c r="L2954">
        <f>SUBTOTAL(103,A2954)</f>
        <v>1</v>
      </c>
    </row>
    <row r="2955">
      <c r="A2955" t="inlineStr">
        <is>
          <t>SOCIETE C2163</t>
        </is>
      </c>
      <c r="B2955" t="inlineStr">
        <is>
          <t>C2163</t>
        </is>
      </c>
      <c r="C2955" t="inlineStr">
        <is>
          <t>CONSUMER BANKING</t>
        </is>
      </c>
      <c r="D2955" t="inlineStr">
        <is>
          <t>II</t>
        </is>
      </c>
      <c r="E2955" t="inlineStr">
        <is>
          <t>Stage 2</t>
        </is>
      </c>
      <c r="F2955" t="inlineStr">
        <is>
          <t>N/A</t>
        </is>
      </c>
      <c r="G2955" s="26">
        <v>144844181</v>
      </c>
      <c r="H2955" s="26">
        <v>8690651</v>
      </c>
      <c r="I2955" s="26">
        <v>8272300</v>
      </c>
      <c r="J2955" s="26">
        <v>30</v>
      </c>
      <c r="K2955" t="inlineStr">
        <is>
          <t>Non</t>
        </is>
      </c>
      <c r="L2955">
        <f>SUBTOTAL(103,A2955)</f>
        <v>1</v>
      </c>
    </row>
    <row r="2956">
      <c r="A2956" t="inlineStr">
        <is>
          <t>SOCIETE C779</t>
        </is>
      </c>
      <c r="B2956" t="inlineStr">
        <is>
          <t>C779</t>
        </is>
      </c>
      <c r="C2956" t="inlineStr">
        <is>
          <t>CORPORATE BANKING</t>
        </is>
      </c>
      <c r="D2956" t="inlineStr">
        <is>
          <t>II</t>
        </is>
      </c>
      <c r="E2956" t="inlineStr">
        <is>
          <t>Stage 2</t>
        </is>
      </c>
      <c r="F2956" t="inlineStr">
        <is>
          <t>N/A</t>
        </is>
      </c>
      <c r="G2956" s="26">
        <v>566083685</v>
      </c>
      <c r="H2956" s="26">
        <v>33965021</v>
      </c>
      <c r="I2956" s="26">
        <v>0</v>
      </c>
      <c r="J2956" s="26">
        <v>92</v>
      </c>
      <c r="K2956" t="inlineStr">
        <is>
          <t>Non</t>
        </is>
      </c>
      <c r="L2956">
        <f>SUBTOTAL(103,A2956)</f>
        <v>1</v>
      </c>
    </row>
    <row r="2957">
      <c r="A2957" t="inlineStr">
        <is>
          <t>SOCIETE C509</t>
        </is>
      </c>
      <c r="B2957" t="inlineStr">
        <is>
          <t>C509</t>
        </is>
      </c>
      <c r="C2957" t="inlineStr">
        <is>
          <t>COMMERCIAL BANKING</t>
        </is>
      </c>
      <c r="D2957" t="inlineStr">
        <is>
          <t>IA</t>
        </is>
      </c>
      <c r="E2957" t="inlineStr">
        <is>
          <t>Stage 2</t>
        </is>
      </c>
      <c r="F2957" t="inlineStr">
        <is>
          <t>N/A</t>
        </is>
      </c>
      <c r="G2957" s="26">
        <v>46959105</v>
      </c>
      <c r="H2957" s="26">
        <v>2817546</v>
      </c>
      <c r="I2957" s="26">
        <v>0</v>
      </c>
      <c r="J2957" s="26">
        <v>43</v>
      </c>
      <c r="K2957" t="inlineStr">
        <is>
          <t>Non</t>
        </is>
      </c>
      <c r="L2957">
        <f>SUBTOTAL(103,A2957)</f>
        <v>1</v>
      </c>
    </row>
    <row r="2958">
      <c r="A2958" t="inlineStr">
        <is>
          <t>SOCIETE C2270</t>
        </is>
      </c>
      <c r="B2958" t="inlineStr">
        <is>
          <t>C2270</t>
        </is>
      </c>
      <c r="C2958" t="inlineStr">
        <is>
          <t>COMMERCIAL BANKING</t>
        </is>
      </c>
      <c r="D2958" t="inlineStr">
        <is>
          <t>IV</t>
        </is>
      </c>
      <c r="E2958" t="inlineStr">
        <is>
          <t>Stage 3</t>
        </is>
      </c>
      <c r="F2958" t="inlineStr">
        <is>
          <t>N/A</t>
        </is>
      </c>
      <c r="G2958" s="26">
        <v>1880447</v>
      </c>
      <c r="H2958" s="26">
        <v>1034246</v>
      </c>
      <c r="I2958" s="26">
        <v>0</v>
      </c>
      <c r="J2958" s="26">
        <v>154</v>
      </c>
      <c r="K2958" t="inlineStr">
        <is>
          <t>Oui</t>
        </is>
      </c>
      <c r="L2958">
        <f>SUBTOTAL(103,A2958)</f>
        <v>1</v>
      </c>
    </row>
    <row r="2959">
      <c r="A2959" t="inlineStr">
        <is>
          <t>SOCIETE C2100</t>
        </is>
      </c>
      <c r="B2959" t="inlineStr">
        <is>
          <t>C2100</t>
        </is>
      </c>
      <c r="C2959" t="inlineStr">
        <is>
          <t>CORPORATE BANKING</t>
        </is>
      </c>
      <c r="D2959" t="inlineStr">
        <is>
          <t>III</t>
        </is>
      </c>
      <c r="E2959" t="inlineStr">
        <is>
          <t>Stage 3</t>
        </is>
      </c>
      <c r="F2959" t="inlineStr">
        <is>
          <t>N/A</t>
        </is>
      </c>
      <c r="G2959" s="26">
        <v>5785960</v>
      </c>
      <c r="H2959" s="26">
        <v>3182278</v>
      </c>
      <c r="I2959" s="26">
        <v>0</v>
      </c>
      <c r="J2959" s="26">
        <v>41</v>
      </c>
      <c r="K2959" t="inlineStr">
        <is>
          <t>Oui</t>
        </is>
      </c>
      <c r="L2959">
        <f>SUBTOTAL(103,A2959)</f>
        <v>1</v>
      </c>
    </row>
    <row r="2960">
      <c r="A2960" t="inlineStr">
        <is>
          <t>SOCIETE C2479</t>
        </is>
      </c>
      <c r="B2960" t="inlineStr">
        <is>
          <t>C2479</t>
        </is>
      </c>
      <c r="C2960" t="inlineStr">
        <is>
          <t>CORPORATE BANKING</t>
        </is>
      </c>
      <c r="D2960" t="inlineStr">
        <is>
          <t>I</t>
        </is>
      </c>
      <c r="E2960" t="inlineStr">
        <is>
          <t>Stage 1</t>
        </is>
      </c>
      <c r="F2960" t="inlineStr">
        <is>
          <t>N/A</t>
        </is>
      </c>
      <c r="G2960" s="26">
        <v>2735091834</v>
      </c>
      <c r="H2960" s="26">
        <v>27350918</v>
      </c>
      <c r="I2960" s="26">
        <v>131109639</v>
      </c>
      <c r="J2960" s="26">
        <v>90</v>
      </c>
      <c r="K2960" t="inlineStr">
        <is>
          <t>Non</t>
        </is>
      </c>
      <c r="L2960">
        <f>SUBTOTAL(103,A2960)</f>
        <v>1</v>
      </c>
    </row>
    <row r="2961">
      <c r="A2961" t="inlineStr">
        <is>
          <t>SOCIETE C1799</t>
        </is>
      </c>
      <c r="B2961" t="inlineStr">
        <is>
          <t>C1799</t>
        </is>
      </c>
      <c r="C2961" t="inlineStr">
        <is>
          <t>SME</t>
        </is>
      </c>
      <c r="D2961" t="inlineStr">
        <is>
          <t>I</t>
        </is>
      </c>
      <c r="E2961" t="inlineStr">
        <is>
          <t>Stage 1</t>
        </is>
      </c>
      <c r="F2961" t="inlineStr">
        <is>
          <t>N/A</t>
        </is>
      </c>
      <c r="G2961" s="26">
        <v>1146669351</v>
      </c>
      <c r="H2961" s="26">
        <v>11466694</v>
      </c>
      <c r="I2961" s="26">
        <v>0</v>
      </c>
      <c r="J2961" s="26">
        <v>69</v>
      </c>
      <c r="K2961" t="inlineStr">
        <is>
          <t>Non</t>
        </is>
      </c>
      <c r="L2961">
        <f>SUBTOTAL(103,A2961)</f>
        <v>1</v>
      </c>
    </row>
    <row r="2962">
      <c r="A2962" t="inlineStr">
        <is>
          <t>SOCIETE C1766</t>
        </is>
      </c>
      <c r="B2962" t="inlineStr">
        <is>
          <t>C1766</t>
        </is>
      </c>
      <c r="C2962" t="inlineStr">
        <is>
          <t>CONSUMER BANKING</t>
        </is>
      </c>
      <c r="D2962" t="inlineStr">
        <is>
          <t>I</t>
        </is>
      </c>
      <c r="E2962" t="inlineStr">
        <is>
          <t>Stage 1</t>
        </is>
      </c>
      <c r="F2962" t="inlineStr">
        <is>
          <t>N/A</t>
        </is>
      </c>
      <c r="G2962" s="26">
        <v>45537281</v>
      </c>
      <c r="H2962" s="26">
        <v>455373</v>
      </c>
      <c r="I2962" s="26">
        <v>0</v>
      </c>
      <c r="J2962" s="26">
        <v>0</v>
      </c>
      <c r="K2962" t="inlineStr">
        <is>
          <t>Non</t>
        </is>
      </c>
      <c r="L2962">
        <f>SUBTOTAL(103,A2962)</f>
        <v>1</v>
      </c>
    </row>
    <row r="2963">
      <c r="A2963" t="inlineStr">
        <is>
          <t>SOCIETE C1631</t>
        </is>
      </c>
      <c r="B2963" t="inlineStr">
        <is>
          <t>C1631</t>
        </is>
      </c>
      <c r="C2963" t="inlineStr">
        <is>
          <t>COMMERCIAL BANKING</t>
        </is>
      </c>
      <c r="D2963" t="inlineStr">
        <is>
          <t>V</t>
        </is>
      </c>
      <c r="E2963" t="inlineStr">
        <is>
          <t>Stage 3</t>
        </is>
      </c>
      <c r="F2963" t="inlineStr">
        <is>
          <t>N/A</t>
        </is>
      </c>
      <c r="G2963" s="26">
        <v>13158674</v>
      </c>
      <c r="H2963" s="26">
        <v>7237271</v>
      </c>
      <c r="I2963" s="26">
        <v>0</v>
      </c>
      <c r="J2963" s="26">
        <v>128</v>
      </c>
      <c r="K2963" t="inlineStr">
        <is>
          <t>Oui</t>
        </is>
      </c>
      <c r="L2963">
        <f>SUBTOTAL(103,A2963)</f>
        <v>1</v>
      </c>
    </row>
    <row r="2964">
      <c r="A2964" t="inlineStr">
        <is>
          <t>SOCIETE C82</t>
        </is>
      </c>
      <c r="B2964" t="inlineStr">
        <is>
          <t>C82</t>
        </is>
      </c>
      <c r="C2964" t="inlineStr">
        <is>
          <t>CORPORATE BANKING</t>
        </is>
      </c>
      <c r="D2964" t="inlineStr">
        <is>
          <t>I</t>
        </is>
      </c>
      <c r="E2964" t="inlineStr">
        <is>
          <t>Stage 1</t>
        </is>
      </c>
      <c r="F2964" t="inlineStr">
        <is>
          <t>N/A</t>
        </is>
      </c>
      <c r="G2964" s="26">
        <v>1065202</v>
      </c>
      <c r="H2964" s="26">
        <v>10652</v>
      </c>
      <c r="I2964" s="26">
        <v>0</v>
      </c>
      <c r="J2964" s="26">
        <v>135</v>
      </c>
      <c r="K2964" t="inlineStr">
        <is>
          <t>Non</t>
        </is>
      </c>
      <c r="L2964">
        <f>SUBTOTAL(103,A2964)</f>
        <v>1</v>
      </c>
    </row>
    <row r="2965">
      <c r="A2965" t="inlineStr">
        <is>
          <t>SOCIETE C1907</t>
        </is>
      </c>
      <c r="B2965" t="inlineStr">
        <is>
          <t>C1907</t>
        </is>
      </c>
      <c r="C2965" t="inlineStr">
        <is>
          <t>COMMERCIAL BANKING</t>
        </is>
      </c>
      <c r="D2965" t="inlineStr">
        <is>
          <t>III</t>
        </is>
      </c>
      <c r="E2965" t="inlineStr">
        <is>
          <t>Stage 3</t>
        </is>
      </c>
      <c r="F2965" t="inlineStr">
        <is>
          <t>N/A</t>
        </is>
      </c>
      <c r="G2965" s="26">
        <v>1107671124</v>
      </c>
      <c r="H2965" s="26">
        <v>609219118</v>
      </c>
      <c r="I2965" s="26">
        <v>0</v>
      </c>
      <c r="J2965" s="26">
        <v>67</v>
      </c>
      <c r="K2965" t="inlineStr">
        <is>
          <t>Oui</t>
        </is>
      </c>
      <c r="L2965">
        <f>SUBTOTAL(103,A2965)</f>
        <v>1</v>
      </c>
    </row>
    <row r="2966">
      <c r="A2966" t="inlineStr">
        <is>
          <t>SOCIETE C375</t>
        </is>
      </c>
      <c r="B2966" t="inlineStr">
        <is>
          <t>C375</t>
        </is>
      </c>
      <c r="C2966" t="inlineStr">
        <is>
          <t>CORPORATE BANKING</t>
        </is>
      </c>
      <c r="D2966" t="inlineStr">
        <is>
          <t>IA</t>
        </is>
      </c>
      <c r="E2966" t="inlineStr">
        <is>
          <t>Stage 2</t>
        </is>
      </c>
      <c r="F2966" t="inlineStr">
        <is>
          <t>N/A</t>
        </is>
      </c>
      <c r="G2966" s="26">
        <v>328940283</v>
      </c>
      <c r="H2966" s="26">
        <v>19736417</v>
      </c>
      <c r="I2966" s="26">
        <v>0</v>
      </c>
      <c r="J2966" s="26">
        <v>135</v>
      </c>
      <c r="K2966" t="inlineStr">
        <is>
          <t>Non</t>
        </is>
      </c>
      <c r="L2966">
        <f>SUBTOTAL(103,A2966)</f>
        <v>1</v>
      </c>
    </row>
    <row r="2967">
      <c r="A2967" t="inlineStr">
        <is>
          <t>SOCIETE C518</t>
        </is>
      </c>
      <c r="B2967" t="inlineStr">
        <is>
          <t>C518</t>
        </is>
      </c>
      <c r="C2967" t="inlineStr">
        <is>
          <t>CORPORATE BANKING</t>
        </is>
      </c>
      <c r="D2967" t="inlineStr">
        <is>
          <t>V</t>
        </is>
      </c>
      <c r="E2967" t="inlineStr">
        <is>
          <t>Stage 3</t>
        </is>
      </c>
      <c r="F2967" t="inlineStr">
        <is>
          <t>N/A</t>
        </is>
      </c>
      <c r="G2967" s="26">
        <v>3488675</v>
      </c>
      <c r="H2967" s="26">
        <v>1918771</v>
      </c>
      <c r="I2967" s="26">
        <v>0</v>
      </c>
      <c r="J2967" s="26">
        <v>260</v>
      </c>
      <c r="K2967" t="inlineStr">
        <is>
          <t>Oui</t>
        </is>
      </c>
      <c r="L2967">
        <f>SUBTOTAL(103,A2967)</f>
        <v>1</v>
      </c>
    </row>
    <row r="2968">
      <c r="A2968" t="inlineStr">
        <is>
          <t>SOCIETE C1920</t>
        </is>
      </c>
      <c r="B2968" t="inlineStr">
        <is>
          <t>C1920</t>
        </is>
      </c>
      <c r="C2968" t="inlineStr">
        <is>
          <t>CORPORATE BANKING</t>
        </is>
      </c>
      <c r="D2968" t="inlineStr">
        <is>
          <t>III</t>
        </is>
      </c>
      <c r="E2968" t="inlineStr">
        <is>
          <t>Stage 3</t>
        </is>
      </c>
      <c r="F2968" t="inlineStr">
        <is>
          <t>N/A</t>
        </is>
      </c>
      <c r="G2968" s="26">
        <v>223720404</v>
      </c>
      <c r="H2968" s="26">
        <v>123046222</v>
      </c>
      <c r="I2968" s="26">
        <v>0</v>
      </c>
      <c r="J2968" s="26">
        <v>71</v>
      </c>
      <c r="K2968" t="inlineStr">
        <is>
          <t>Oui</t>
        </is>
      </c>
      <c r="L2968">
        <f>SUBTOTAL(103,A2968)</f>
        <v>1</v>
      </c>
    </row>
    <row r="2969">
      <c r="A2969" t="inlineStr">
        <is>
          <t>SOCIETE C2308</t>
        </is>
      </c>
      <c r="B2969" t="inlineStr">
        <is>
          <t>C2308</t>
        </is>
      </c>
      <c r="C2969" t="inlineStr">
        <is>
          <t>CONSUMER BANKING</t>
        </is>
      </c>
      <c r="D2969" t="inlineStr">
        <is>
          <t>I</t>
        </is>
      </c>
      <c r="E2969" t="inlineStr">
        <is>
          <t>Stage 1</t>
        </is>
      </c>
      <c r="F2969" t="inlineStr">
        <is>
          <t>N/A</t>
        </is>
      </c>
      <c r="G2969" s="26">
        <v>1022676629</v>
      </c>
      <c r="H2969" s="26">
        <v>10226766</v>
      </c>
      <c r="I2969" s="26">
        <v>0</v>
      </c>
      <c r="J2969" s="26">
        <v>22</v>
      </c>
      <c r="K2969" t="inlineStr">
        <is>
          <t>Non</t>
        </is>
      </c>
      <c r="L2969">
        <f>SUBTOTAL(103,A2969)</f>
        <v>1</v>
      </c>
    </row>
    <row r="2970">
      <c r="A2970" t="inlineStr">
        <is>
          <t>SOCIETE C1005</t>
        </is>
      </c>
      <c r="B2970" t="inlineStr">
        <is>
          <t>C1005</t>
        </is>
      </c>
      <c r="C2970" t="inlineStr">
        <is>
          <t>CORPORATE BANKING</t>
        </is>
      </c>
      <c r="D2970" t="inlineStr">
        <is>
          <t>I</t>
        </is>
      </c>
      <c r="E2970" t="inlineStr">
        <is>
          <t>Stage 1</t>
        </is>
      </c>
      <c r="F2970" t="inlineStr">
        <is>
          <t>N/A</t>
        </is>
      </c>
      <c r="G2970" s="26">
        <v>1290063</v>
      </c>
      <c r="H2970" s="26">
        <v>12901</v>
      </c>
      <c r="I2970" s="26">
        <v>0</v>
      </c>
      <c r="J2970" s="26">
        <v>239</v>
      </c>
      <c r="K2970" t="inlineStr">
        <is>
          <t>Non</t>
        </is>
      </c>
      <c r="L2970">
        <f>SUBTOTAL(103,A2970)</f>
        <v>1</v>
      </c>
    </row>
    <row r="2971">
      <c r="A2971" t="inlineStr">
        <is>
          <t>SOCIETE C207</t>
        </is>
      </c>
      <c r="B2971" t="inlineStr">
        <is>
          <t>C207</t>
        </is>
      </c>
      <c r="C2971" t="inlineStr">
        <is>
          <t>CORPORATE BANKING</t>
        </is>
      </c>
      <c r="D2971" t="inlineStr">
        <is>
          <t>IA</t>
        </is>
      </c>
      <c r="E2971" t="inlineStr">
        <is>
          <t>Stage 2</t>
        </is>
      </c>
      <c r="F2971" t="inlineStr">
        <is>
          <t>N/A</t>
        </is>
      </c>
      <c r="G2971" s="26">
        <v>2057017078</v>
      </c>
      <c r="H2971" s="26">
        <v>123421025</v>
      </c>
      <c r="I2971" s="26">
        <v>0</v>
      </c>
      <c r="J2971" s="26">
        <v>27</v>
      </c>
      <c r="K2971" t="inlineStr">
        <is>
          <t>Non</t>
        </is>
      </c>
      <c r="L2971">
        <f>SUBTOTAL(103,A2971)</f>
        <v>1</v>
      </c>
    </row>
    <row r="2972">
      <c r="A2972" t="inlineStr">
        <is>
          <t>SOCIETE C1582</t>
        </is>
      </c>
      <c r="B2972" t="inlineStr">
        <is>
          <t>C1582</t>
        </is>
      </c>
      <c r="C2972" t="inlineStr">
        <is>
          <t>CORPORATE BANKING</t>
        </is>
      </c>
      <c r="D2972" t="inlineStr">
        <is>
          <t>I</t>
        </is>
      </c>
      <c r="E2972" t="inlineStr">
        <is>
          <t>Stage 1</t>
        </is>
      </c>
      <c r="F2972" t="inlineStr">
        <is>
          <t>N/A</t>
        </is>
      </c>
      <c r="G2972" s="26">
        <v>1899131224</v>
      </c>
      <c r="H2972" s="26">
        <v>18991312</v>
      </c>
      <c r="I2972" s="26">
        <v>0</v>
      </c>
      <c r="J2972" s="26">
        <v>166</v>
      </c>
      <c r="K2972" t="inlineStr">
        <is>
          <t>Non</t>
        </is>
      </c>
      <c r="L2972">
        <f>SUBTOTAL(103,A2972)</f>
        <v>1</v>
      </c>
    </row>
    <row r="2973">
      <c r="A2973" t="inlineStr">
        <is>
          <t>SOCIETE C1049</t>
        </is>
      </c>
      <c r="B2973" t="inlineStr">
        <is>
          <t>C1049</t>
        </is>
      </c>
      <c r="C2973" t="inlineStr">
        <is>
          <t>COMMERCIAL BANKING</t>
        </is>
      </c>
      <c r="D2973" t="inlineStr">
        <is>
          <t>III</t>
        </is>
      </c>
      <c r="E2973" t="inlineStr">
        <is>
          <t>Stage 3</t>
        </is>
      </c>
      <c r="F2973" t="inlineStr">
        <is>
          <t>N/A</t>
        </is>
      </c>
      <c r="G2973" s="26">
        <v>1004936</v>
      </c>
      <c r="H2973" s="26">
        <v>552715</v>
      </c>
      <c r="I2973" s="26">
        <v>0</v>
      </c>
      <c r="J2973" s="26">
        <v>80</v>
      </c>
      <c r="K2973" t="inlineStr">
        <is>
          <t>Oui</t>
        </is>
      </c>
      <c r="L2973">
        <f>SUBTOTAL(103,A2973)</f>
        <v>1</v>
      </c>
    </row>
    <row r="2974">
      <c r="A2974" t="inlineStr">
        <is>
          <t>SOCIETE C1953</t>
        </is>
      </c>
      <c r="B2974" t="inlineStr">
        <is>
          <t>C1953</t>
        </is>
      </c>
      <c r="C2974" t="inlineStr">
        <is>
          <t>INSTITUTIONAL</t>
        </is>
      </c>
      <c r="D2974" t="inlineStr">
        <is>
          <t>IA</t>
        </is>
      </c>
      <c r="E2974" t="inlineStr">
        <is>
          <t>Stage 2</t>
        </is>
      </c>
      <c r="F2974" t="inlineStr">
        <is>
          <t>N/A</t>
        </is>
      </c>
      <c r="G2974" s="26">
        <v>78798749</v>
      </c>
      <c r="H2974" s="26">
        <v>4727925</v>
      </c>
      <c r="I2974" s="26">
        <v>0</v>
      </c>
      <c r="J2974" s="26">
        <v>121</v>
      </c>
      <c r="K2974" t="inlineStr">
        <is>
          <t>Non</t>
        </is>
      </c>
      <c r="L2974">
        <f>SUBTOTAL(103,A2974)</f>
        <v>1</v>
      </c>
    </row>
    <row r="2975">
      <c r="A2975" t="inlineStr">
        <is>
          <t>SOCIETE C1752</t>
        </is>
      </c>
      <c r="B2975" t="inlineStr">
        <is>
          <t>C1752</t>
        </is>
      </c>
      <c r="C2975" t="inlineStr">
        <is>
          <t>SME</t>
        </is>
      </c>
      <c r="D2975" t="inlineStr">
        <is>
          <t>I</t>
        </is>
      </c>
      <c r="E2975" t="inlineStr">
        <is>
          <t>Stage 1</t>
        </is>
      </c>
      <c r="F2975" t="inlineStr">
        <is>
          <t>N/A</t>
        </is>
      </c>
      <c r="G2975" s="26">
        <v>177007062</v>
      </c>
      <c r="H2975" s="26">
        <v>1770071</v>
      </c>
      <c r="I2975" s="26">
        <v>0</v>
      </c>
      <c r="J2975" s="26">
        <v>138</v>
      </c>
      <c r="K2975" t="inlineStr">
        <is>
          <t>Non</t>
        </is>
      </c>
      <c r="L2975">
        <f>SUBTOTAL(103,A2975)</f>
        <v>1</v>
      </c>
    </row>
    <row r="2976">
      <c r="A2976" t="inlineStr">
        <is>
          <t>SOCIETE C1966</t>
        </is>
      </c>
      <c r="B2976" t="inlineStr">
        <is>
          <t>C1966</t>
        </is>
      </c>
      <c r="C2976" t="inlineStr">
        <is>
          <t>CORPORATE BANKING</t>
        </is>
      </c>
      <c r="D2976" t="inlineStr">
        <is>
          <t>I</t>
        </is>
      </c>
      <c r="E2976" t="inlineStr">
        <is>
          <t>Stage 1</t>
        </is>
      </c>
      <c r="F2976" t="inlineStr">
        <is>
          <t>N/A</t>
        </is>
      </c>
      <c r="G2976" s="26">
        <v>730791849</v>
      </c>
      <c r="H2976" s="26">
        <v>7307918</v>
      </c>
      <c r="I2976" s="26">
        <v>0</v>
      </c>
      <c r="J2976" s="26">
        <v>17</v>
      </c>
      <c r="K2976" t="inlineStr">
        <is>
          <t>Non</t>
        </is>
      </c>
      <c r="L2976">
        <f>SUBTOTAL(103,A2976)</f>
        <v>1</v>
      </c>
    </row>
    <row r="2977">
      <c r="A2977" t="inlineStr">
        <is>
          <t>SOCIETE C1592</t>
        </is>
      </c>
      <c r="B2977" t="inlineStr">
        <is>
          <t>C1592</t>
        </is>
      </c>
      <c r="C2977" t="inlineStr">
        <is>
          <t>CORPORATE BANKING</t>
        </is>
      </c>
      <c r="D2977" t="inlineStr">
        <is>
          <t>I</t>
        </is>
      </c>
      <c r="E2977" t="inlineStr">
        <is>
          <t>Stage 1</t>
        </is>
      </c>
      <c r="F2977" t="inlineStr">
        <is>
          <t>N/A</t>
        </is>
      </c>
      <c r="G2977" s="26">
        <v>1927291657</v>
      </c>
      <c r="H2977" s="26">
        <v>19272917</v>
      </c>
      <c r="I2977" s="26">
        <v>56457394</v>
      </c>
      <c r="J2977" s="26">
        <v>120</v>
      </c>
      <c r="K2977" t="inlineStr">
        <is>
          <t>Non</t>
        </is>
      </c>
      <c r="L2977">
        <f>SUBTOTAL(103,A2977)</f>
        <v>1</v>
      </c>
    </row>
    <row r="2978">
      <c r="A2978" t="inlineStr">
        <is>
          <t>SOCIETE C1167</t>
        </is>
      </c>
      <c r="B2978" t="inlineStr">
        <is>
          <t>C1167</t>
        </is>
      </c>
      <c r="C2978" t="inlineStr">
        <is>
          <t>CORPORATE BANKING</t>
        </is>
      </c>
      <c r="D2978" t="inlineStr">
        <is>
          <t>I</t>
        </is>
      </c>
      <c r="E2978" t="inlineStr">
        <is>
          <t>Stage 1</t>
        </is>
      </c>
      <c r="F2978" t="inlineStr">
        <is>
          <t>N/A</t>
        </is>
      </c>
      <c r="G2978" s="26">
        <v>35331846</v>
      </c>
      <c r="H2978" s="26">
        <v>353318</v>
      </c>
      <c r="I2978" s="26">
        <v>0</v>
      </c>
      <c r="J2978" s="26">
        <v>37</v>
      </c>
      <c r="K2978" t="inlineStr">
        <is>
          <t>Non</t>
        </is>
      </c>
      <c r="L2978">
        <f>SUBTOTAL(103,A2978)</f>
        <v>1</v>
      </c>
    </row>
    <row r="2979">
      <c r="A2979" t="inlineStr">
        <is>
          <t>SOCIETE C2020</t>
        </is>
      </c>
      <c r="B2979" t="inlineStr">
        <is>
          <t>C2020</t>
        </is>
      </c>
      <c r="C2979" t="inlineStr">
        <is>
          <t>SME</t>
        </is>
      </c>
      <c r="D2979" t="inlineStr">
        <is>
          <t>I</t>
        </is>
      </c>
      <c r="E2979" t="inlineStr">
        <is>
          <t>Stage 1</t>
        </is>
      </c>
      <c r="F2979" t="inlineStr">
        <is>
          <t>N/A</t>
        </is>
      </c>
      <c r="G2979" s="26">
        <v>1036549517</v>
      </c>
      <c r="H2979" s="26">
        <v>10365495</v>
      </c>
      <c r="I2979" s="26">
        <v>82764023</v>
      </c>
      <c r="J2979" s="26">
        <v>255</v>
      </c>
      <c r="K2979" t="inlineStr">
        <is>
          <t>Non</t>
        </is>
      </c>
      <c r="L2979">
        <f>SUBTOTAL(103,A2979)</f>
        <v>1</v>
      </c>
    </row>
    <row r="2980">
      <c r="A2980" t="inlineStr">
        <is>
          <t>SOCIETE C826</t>
        </is>
      </c>
      <c r="B2980" t="inlineStr">
        <is>
          <t>C826</t>
        </is>
      </c>
      <c r="C2980" t="inlineStr">
        <is>
          <t>CONSUMER BANKING</t>
        </is>
      </c>
      <c r="D2980" t="inlineStr">
        <is>
          <t>I</t>
        </is>
      </c>
      <c r="E2980" t="inlineStr">
        <is>
          <t>Stage 1</t>
        </is>
      </c>
      <c r="F2980" t="inlineStr">
        <is>
          <t>N/A</t>
        </is>
      </c>
      <c r="G2980" s="26">
        <v>405219928</v>
      </c>
      <c r="H2980" s="26">
        <v>4052199</v>
      </c>
      <c r="I2980" s="26">
        <v>0</v>
      </c>
      <c r="J2980" s="26">
        <v>109</v>
      </c>
      <c r="K2980" t="inlineStr">
        <is>
          <t>Non</t>
        </is>
      </c>
      <c r="L2980">
        <f>SUBTOTAL(103,A2980)</f>
        <v>1</v>
      </c>
    </row>
    <row r="2981">
      <c r="A2981" t="inlineStr">
        <is>
          <t>SOCIETE C113</t>
        </is>
      </c>
      <c r="B2981" t="inlineStr">
        <is>
          <t>C113</t>
        </is>
      </c>
      <c r="C2981" t="inlineStr">
        <is>
          <t>COMMERCIAL BANKING</t>
        </is>
      </c>
      <c r="D2981" t="inlineStr">
        <is>
          <t>IA</t>
        </is>
      </c>
      <c r="E2981" t="inlineStr">
        <is>
          <t>Stage 2</t>
        </is>
      </c>
      <c r="F2981" t="inlineStr">
        <is>
          <t>N/A</t>
        </is>
      </c>
      <c r="G2981" s="26">
        <v>647429291</v>
      </c>
      <c r="H2981" s="26">
        <v>38845757</v>
      </c>
      <c r="I2981" s="26">
        <v>0</v>
      </c>
      <c r="J2981" s="26">
        <v>51</v>
      </c>
      <c r="K2981" t="inlineStr">
        <is>
          <t>Non</t>
        </is>
      </c>
      <c r="L2981">
        <f>SUBTOTAL(103,A2981)</f>
        <v>1</v>
      </c>
    </row>
    <row r="2982">
      <c r="A2982" t="inlineStr">
        <is>
          <t>SOCIETE C571</t>
        </is>
      </c>
      <c r="B2982" t="inlineStr">
        <is>
          <t>C571</t>
        </is>
      </c>
      <c r="C2982" t="inlineStr">
        <is>
          <t>CONSUMER BANKING</t>
        </is>
      </c>
      <c r="D2982" t="inlineStr">
        <is>
          <t>V</t>
        </is>
      </c>
      <c r="E2982" t="inlineStr">
        <is>
          <t>Stage 3</t>
        </is>
      </c>
      <c r="F2982" t="inlineStr">
        <is>
          <t>N/A</t>
        </is>
      </c>
      <c r="G2982" s="26">
        <v>1004702</v>
      </c>
      <c r="H2982" s="26">
        <v>552586</v>
      </c>
      <c r="I2982" s="26">
        <v>0</v>
      </c>
      <c r="J2982" s="26">
        <v>6</v>
      </c>
      <c r="K2982" t="inlineStr">
        <is>
          <t>Oui</t>
        </is>
      </c>
      <c r="L2982">
        <f>SUBTOTAL(103,A2982)</f>
        <v>1</v>
      </c>
    </row>
    <row r="2983">
      <c r="A2983" t="inlineStr">
        <is>
          <t>SOCIETE C316</t>
        </is>
      </c>
      <c r="B2983" t="inlineStr">
        <is>
          <t>C316</t>
        </is>
      </c>
      <c r="C2983" t="inlineStr">
        <is>
          <t>CONSUMER BANKING</t>
        </is>
      </c>
      <c r="D2983" t="inlineStr">
        <is>
          <t>III</t>
        </is>
      </c>
      <c r="E2983" t="inlineStr">
        <is>
          <t>Stage 3</t>
        </is>
      </c>
      <c r="F2983" t="inlineStr">
        <is>
          <t>N/A</t>
        </is>
      </c>
      <c r="G2983" s="26">
        <v>812847190</v>
      </c>
      <c r="H2983" s="26">
        <v>447065954</v>
      </c>
      <c r="I2983" s="26">
        <v>0</v>
      </c>
      <c r="J2983" s="26">
        <v>14</v>
      </c>
      <c r="K2983" t="inlineStr">
        <is>
          <t>Oui</t>
        </is>
      </c>
      <c r="L2983">
        <f>SUBTOTAL(103,A2983)</f>
        <v>1</v>
      </c>
    </row>
    <row r="2984">
      <c r="A2984" t="inlineStr">
        <is>
          <t>SOCIETE C1753</t>
        </is>
      </c>
      <c r="B2984" t="inlineStr">
        <is>
          <t>C1753</t>
        </is>
      </c>
      <c r="C2984" t="inlineStr">
        <is>
          <t>COMMERCIAL BANKING</t>
        </is>
      </c>
      <c r="D2984" t="inlineStr">
        <is>
          <t>I</t>
        </is>
      </c>
      <c r="E2984" t="inlineStr">
        <is>
          <t>Stage 1</t>
        </is>
      </c>
      <c r="F2984" t="inlineStr">
        <is>
          <t>N/A</t>
        </is>
      </c>
      <c r="G2984" s="26">
        <v>26448344</v>
      </c>
      <c r="H2984" s="26">
        <v>264483</v>
      </c>
      <c r="I2984" s="26">
        <v>0</v>
      </c>
      <c r="J2984" s="26">
        <v>216</v>
      </c>
      <c r="K2984" t="inlineStr">
        <is>
          <t>Non</t>
        </is>
      </c>
      <c r="L2984">
        <f>SUBTOTAL(103,A2984)</f>
        <v>1</v>
      </c>
    </row>
    <row r="2985">
      <c r="A2985" t="inlineStr">
        <is>
          <t>SOCIETE C1747</t>
        </is>
      </c>
      <c r="B2985" t="inlineStr">
        <is>
          <t>C1747</t>
        </is>
      </c>
      <c r="C2985" t="inlineStr">
        <is>
          <t>COMMERCIAL BANKING</t>
        </is>
      </c>
      <c r="D2985" t="inlineStr">
        <is>
          <t>I</t>
        </is>
      </c>
      <c r="E2985" t="inlineStr">
        <is>
          <t>Stage 1</t>
        </is>
      </c>
      <c r="F2985" t="inlineStr">
        <is>
          <t>N/A</t>
        </is>
      </c>
      <c r="G2985" s="26">
        <v>784631996</v>
      </c>
      <c r="H2985" s="26">
        <v>7846320</v>
      </c>
      <c r="I2985" s="26">
        <v>0</v>
      </c>
      <c r="J2985" s="26">
        <v>67</v>
      </c>
      <c r="K2985" t="inlineStr">
        <is>
          <t>Non</t>
        </is>
      </c>
      <c r="L2985">
        <f>SUBTOTAL(103,A2985)</f>
        <v>1</v>
      </c>
    </row>
    <row r="2986">
      <c r="A2986" t="inlineStr">
        <is>
          <t>SOCIETE C2192</t>
        </is>
      </c>
      <c r="B2986" t="inlineStr">
        <is>
          <t>C2192</t>
        </is>
      </c>
      <c r="C2986" t="inlineStr">
        <is>
          <t>CORPORATE BANKING</t>
        </is>
      </c>
      <c r="D2986" t="inlineStr">
        <is>
          <t>IA</t>
        </is>
      </c>
      <c r="E2986" t="inlineStr">
        <is>
          <t>Stage 2</t>
        </is>
      </c>
      <c r="F2986" t="inlineStr">
        <is>
          <t>N/A</t>
        </is>
      </c>
      <c r="G2986" s="26">
        <v>1401754</v>
      </c>
      <c r="H2986" s="26">
        <v>84105</v>
      </c>
      <c r="I2986" s="26">
        <v>0</v>
      </c>
      <c r="J2986" s="26">
        <v>119</v>
      </c>
      <c r="K2986" t="inlineStr">
        <is>
          <t>Non</t>
        </is>
      </c>
      <c r="L2986">
        <f>SUBTOTAL(103,A2986)</f>
        <v>1</v>
      </c>
    </row>
    <row r="2987">
      <c r="A2987" t="inlineStr">
        <is>
          <t>SOCIETE C32</t>
        </is>
      </c>
      <c r="B2987" t="inlineStr">
        <is>
          <t>C32</t>
        </is>
      </c>
      <c r="C2987" t="inlineStr">
        <is>
          <t>SME</t>
        </is>
      </c>
      <c r="D2987" t="inlineStr">
        <is>
          <t>II</t>
        </is>
      </c>
      <c r="E2987" t="inlineStr">
        <is>
          <t>Stage 2</t>
        </is>
      </c>
      <c r="F2987" t="inlineStr">
        <is>
          <t>N/A</t>
        </is>
      </c>
      <c r="G2987" s="26">
        <v>943863526</v>
      </c>
      <c r="H2987" s="26">
        <v>56631812</v>
      </c>
      <c r="I2987" s="26">
        <v>45523115</v>
      </c>
      <c r="J2987" s="26">
        <v>12</v>
      </c>
      <c r="K2987" t="inlineStr">
        <is>
          <t>Non</t>
        </is>
      </c>
      <c r="L2987">
        <f>SUBTOTAL(103,A2987)</f>
        <v>1</v>
      </c>
    </row>
    <row r="2988">
      <c r="A2988" t="inlineStr">
        <is>
          <t>SOCIETE C1920</t>
        </is>
      </c>
      <c r="B2988" t="inlineStr">
        <is>
          <t>C1920</t>
        </is>
      </c>
      <c r="C2988" t="inlineStr">
        <is>
          <t>CORPORATE BANKING</t>
        </is>
      </c>
      <c r="D2988" t="inlineStr">
        <is>
          <t>III</t>
        </is>
      </c>
      <c r="E2988" t="inlineStr">
        <is>
          <t>Stage 3</t>
        </is>
      </c>
      <c r="F2988" t="inlineStr">
        <is>
          <t>N/A</t>
        </is>
      </c>
      <c r="G2988" s="26">
        <v>1081753</v>
      </c>
      <c r="H2988" s="26">
        <v>594964</v>
      </c>
      <c r="I2988" s="26">
        <v>6867</v>
      </c>
      <c r="J2988" s="26">
        <v>84</v>
      </c>
      <c r="K2988" t="inlineStr">
        <is>
          <t>Oui</t>
        </is>
      </c>
      <c r="L2988">
        <f>SUBTOTAL(103,A2988)</f>
        <v>1</v>
      </c>
    </row>
    <row r="2989">
      <c r="A2989" t="inlineStr">
        <is>
          <t>SOCIETE C1146</t>
        </is>
      </c>
      <c r="B2989" t="inlineStr">
        <is>
          <t>C1146</t>
        </is>
      </c>
      <c r="C2989" t="inlineStr">
        <is>
          <t>SME</t>
        </is>
      </c>
      <c r="D2989" t="inlineStr">
        <is>
          <t>I</t>
        </is>
      </c>
      <c r="E2989" t="inlineStr">
        <is>
          <t>Stage 1</t>
        </is>
      </c>
      <c r="F2989" t="inlineStr">
        <is>
          <t>N/A</t>
        </is>
      </c>
      <c r="G2989" s="26">
        <v>327511054</v>
      </c>
      <c r="H2989" s="26">
        <v>3275111</v>
      </c>
      <c r="I2989" s="26">
        <v>0</v>
      </c>
      <c r="J2989" s="26">
        <v>170</v>
      </c>
      <c r="K2989" t="inlineStr">
        <is>
          <t>Non</t>
        </is>
      </c>
      <c r="L2989">
        <f>SUBTOTAL(103,A2989)</f>
        <v>1</v>
      </c>
    </row>
    <row r="2990">
      <c r="A2990" t="inlineStr">
        <is>
          <t>SOCIETE C1541</t>
        </is>
      </c>
      <c r="B2990" t="inlineStr">
        <is>
          <t>C1541</t>
        </is>
      </c>
      <c r="C2990" t="inlineStr">
        <is>
          <t>CORPORATE BANKING</t>
        </is>
      </c>
      <c r="D2990" t="inlineStr">
        <is>
          <t>I</t>
        </is>
      </c>
      <c r="E2990" t="inlineStr">
        <is>
          <t>Stage 1</t>
        </is>
      </c>
      <c r="F2990" t="inlineStr">
        <is>
          <t>N/A</t>
        </is>
      </c>
      <c r="G2990" s="26">
        <v>247895231</v>
      </c>
      <c r="H2990" s="26">
        <v>2478952</v>
      </c>
      <c r="I2990" s="26">
        <v>0</v>
      </c>
      <c r="J2990" s="26">
        <v>30</v>
      </c>
      <c r="K2990" t="inlineStr">
        <is>
          <t>Non</t>
        </is>
      </c>
      <c r="L2990">
        <f>SUBTOTAL(103,A2990)</f>
        <v>1</v>
      </c>
    </row>
    <row r="2991">
      <c r="A2991" t="inlineStr">
        <is>
          <t>SOCIETE C1861</t>
        </is>
      </c>
      <c r="B2991" t="inlineStr">
        <is>
          <t>C1861</t>
        </is>
      </c>
      <c r="C2991" t="inlineStr">
        <is>
          <t>COMMERCIAL BANKING</t>
        </is>
      </c>
      <c r="D2991" t="inlineStr">
        <is>
          <t>I</t>
        </is>
      </c>
      <c r="E2991" t="inlineStr">
        <is>
          <t>Stage 1</t>
        </is>
      </c>
      <c r="F2991" t="inlineStr">
        <is>
          <t>N/A</t>
        </is>
      </c>
      <c r="G2991" s="26">
        <v>1496288969</v>
      </c>
      <c r="H2991" s="26">
        <v>14962890</v>
      </c>
      <c r="I2991" s="26">
        <v>168946125</v>
      </c>
      <c r="J2991" s="26">
        <v>126</v>
      </c>
      <c r="K2991" t="inlineStr">
        <is>
          <t>Non</t>
        </is>
      </c>
      <c r="L2991">
        <f>SUBTOTAL(103,A2991)</f>
        <v>1</v>
      </c>
    </row>
    <row r="2992">
      <c r="A2992" t="inlineStr">
        <is>
          <t>SOCIETE C2128</t>
        </is>
      </c>
      <c r="B2992" t="inlineStr">
        <is>
          <t>C2128</t>
        </is>
      </c>
      <c r="C2992" t="inlineStr">
        <is>
          <t>CONSUMER BANKING</t>
        </is>
      </c>
      <c r="D2992" t="inlineStr">
        <is>
          <t>I</t>
        </is>
      </c>
      <c r="E2992" t="inlineStr">
        <is>
          <t>Stage 1</t>
        </is>
      </c>
      <c r="F2992" t="inlineStr">
        <is>
          <t>N/A</t>
        </is>
      </c>
      <c r="G2992" s="26">
        <v>90150947</v>
      </c>
      <c r="H2992" s="26">
        <v>901509</v>
      </c>
      <c r="I2992" s="26">
        <v>0</v>
      </c>
      <c r="J2992" s="26">
        <v>43</v>
      </c>
      <c r="K2992" t="inlineStr">
        <is>
          <t>Non</t>
        </is>
      </c>
      <c r="L2992">
        <f>SUBTOTAL(103,A2992)</f>
        <v>1</v>
      </c>
    </row>
    <row r="2993">
      <c r="A2993" t="inlineStr">
        <is>
          <t>SOCIETE C59</t>
        </is>
      </c>
      <c r="B2993" t="inlineStr">
        <is>
          <t>C59</t>
        </is>
      </c>
      <c r="C2993" t="inlineStr">
        <is>
          <t>CONSUMER BANKING</t>
        </is>
      </c>
      <c r="D2993" t="inlineStr">
        <is>
          <t>IA</t>
        </is>
      </c>
      <c r="E2993" t="inlineStr">
        <is>
          <t>Stage 2</t>
        </is>
      </c>
      <c r="F2993" t="inlineStr">
        <is>
          <t>N/A</t>
        </is>
      </c>
      <c r="G2993" s="26">
        <v>66064212</v>
      </c>
      <c r="H2993" s="26">
        <v>3963853</v>
      </c>
      <c r="I2993" s="26">
        <v>0</v>
      </c>
      <c r="J2993" s="26">
        <v>73</v>
      </c>
      <c r="K2993" t="inlineStr">
        <is>
          <t>Non</t>
        </is>
      </c>
      <c r="L2993">
        <f>SUBTOTAL(103,A2993)</f>
        <v>1</v>
      </c>
    </row>
    <row r="2994">
      <c r="A2994" t="inlineStr">
        <is>
          <t>SOCIETE C1926</t>
        </is>
      </c>
      <c r="B2994" t="inlineStr">
        <is>
          <t>C1926</t>
        </is>
      </c>
      <c r="C2994" t="inlineStr">
        <is>
          <t>CORPORATE BANKING</t>
        </is>
      </c>
      <c r="D2994" t="inlineStr">
        <is>
          <t>V</t>
        </is>
      </c>
      <c r="E2994" t="inlineStr">
        <is>
          <t>Stage 3</t>
        </is>
      </c>
      <c r="F2994" t="inlineStr">
        <is>
          <t>N/A</t>
        </is>
      </c>
      <c r="G2994" s="26">
        <v>826736306</v>
      </c>
      <c r="H2994" s="26">
        <v>454704968</v>
      </c>
      <c r="I2994" s="26">
        <v>0</v>
      </c>
      <c r="J2994" s="26">
        <v>64</v>
      </c>
      <c r="K2994" t="inlineStr">
        <is>
          <t>Oui</t>
        </is>
      </c>
      <c r="L2994">
        <f>SUBTOTAL(103,A2994)</f>
        <v>1</v>
      </c>
    </row>
    <row r="2995">
      <c r="A2995" t="inlineStr">
        <is>
          <t>SOCIETE C1915</t>
        </is>
      </c>
      <c r="B2995" t="inlineStr">
        <is>
          <t>C1915</t>
        </is>
      </c>
      <c r="C2995" t="inlineStr">
        <is>
          <t>CORPORATE BANKING</t>
        </is>
      </c>
      <c r="D2995" t="inlineStr">
        <is>
          <t>V</t>
        </is>
      </c>
      <c r="E2995" t="inlineStr">
        <is>
          <t>Stage 3</t>
        </is>
      </c>
      <c r="F2995" t="inlineStr">
        <is>
          <t>N/A</t>
        </is>
      </c>
      <c r="G2995" s="26">
        <v>2175217</v>
      </c>
      <c r="H2995" s="26">
        <v>1196369</v>
      </c>
      <c r="I2995" s="26">
        <v>228732</v>
      </c>
      <c r="J2995" s="26">
        <v>57</v>
      </c>
      <c r="K2995" t="inlineStr">
        <is>
          <t>Oui</t>
        </is>
      </c>
      <c r="L2995">
        <f>SUBTOTAL(103,A2995)</f>
        <v>1</v>
      </c>
    </row>
    <row r="2996">
      <c r="A2996" t="inlineStr">
        <is>
          <t>SOCIETE C2416</t>
        </is>
      </c>
      <c r="B2996" t="inlineStr">
        <is>
          <t>C2416</t>
        </is>
      </c>
      <c r="C2996" t="inlineStr">
        <is>
          <t>CONSUMER BANKING</t>
        </is>
      </c>
      <c r="D2996" t="inlineStr">
        <is>
          <t>I</t>
        </is>
      </c>
      <c r="E2996" t="inlineStr">
        <is>
          <t>Stage 1</t>
        </is>
      </c>
      <c r="F2996" t="inlineStr">
        <is>
          <t>N/A</t>
        </is>
      </c>
      <c r="G2996" s="26">
        <v>1513259038</v>
      </c>
      <c r="H2996" s="26">
        <v>15132590</v>
      </c>
      <c r="I2996" s="26">
        <v>218493264</v>
      </c>
      <c r="J2996" s="26">
        <v>97</v>
      </c>
      <c r="K2996" t="inlineStr">
        <is>
          <t>Non</t>
        </is>
      </c>
      <c r="L2996">
        <f>SUBTOTAL(103,A2996)</f>
        <v>1</v>
      </c>
    </row>
    <row r="2997">
      <c r="A2997" t="inlineStr">
        <is>
          <t>SOCIETE C1442</t>
        </is>
      </c>
      <c r="B2997" t="inlineStr">
        <is>
          <t>C1442</t>
        </is>
      </c>
      <c r="C2997" t="inlineStr">
        <is>
          <t>COMMERCIAL BANKING</t>
        </is>
      </c>
      <c r="D2997" t="inlineStr">
        <is>
          <t>I</t>
        </is>
      </c>
      <c r="E2997" t="inlineStr">
        <is>
          <t>Stage 1</t>
        </is>
      </c>
      <c r="F2997" t="inlineStr">
        <is>
          <t>N/A</t>
        </is>
      </c>
      <c r="G2997" s="26">
        <v>292369049</v>
      </c>
      <c r="H2997" s="26">
        <v>2923690</v>
      </c>
      <c r="I2997" s="26">
        <v>10374661</v>
      </c>
      <c r="J2997" s="26">
        <v>171</v>
      </c>
      <c r="K2997" t="inlineStr">
        <is>
          <t>Non</t>
        </is>
      </c>
      <c r="L2997">
        <f>SUBTOTAL(103,A2997)</f>
        <v>1</v>
      </c>
    </row>
    <row r="2998">
      <c r="A2998" t="inlineStr">
        <is>
          <t>SOCIETE C507</t>
        </is>
      </c>
      <c r="B2998" t="inlineStr">
        <is>
          <t>C507</t>
        </is>
      </c>
      <c r="C2998" t="inlineStr">
        <is>
          <t>CORPORATE BANKING</t>
        </is>
      </c>
      <c r="D2998" t="inlineStr">
        <is>
          <t>V</t>
        </is>
      </c>
      <c r="E2998" t="inlineStr">
        <is>
          <t>Stage 3</t>
        </is>
      </c>
      <c r="F2998" t="inlineStr">
        <is>
          <t>N/A</t>
        </is>
      </c>
      <c r="G2998" s="26">
        <v>134255103</v>
      </c>
      <c r="H2998" s="26">
        <v>73840307</v>
      </c>
      <c r="I2998" s="26">
        <v>0</v>
      </c>
      <c r="J2998" s="26">
        <v>83</v>
      </c>
      <c r="K2998" t="inlineStr">
        <is>
          <t>Oui</t>
        </is>
      </c>
      <c r="L2998">
        <f>SUBTOTAL(103,A2998)</f>
        <v>1</v>
      </c>
    </row>
    <row r="2999">
      <c r="A2999" t="inlineStr">
        <is>
          <t>SOCIETE C722</t>
        </is>
      </c>
      <c r="B2999" t="inlineStr">
        <is>
          <t>C722</t>
        </is>
      </c>
      <c r="C2999" t="inlineStr">
        <is>
          <t>CONSUMER BANKING</t>
        </is>
      </c>
      <c r="D2999" t="inlineStr">
        <is>
          <t>I</t>
        </is>
      </c>
      <c r="E2999" t="inlineStr">
        <is>
          <t>Stage 1</t>
        </is>
      </c>
      <c r="F2999" t="inlineStr">
        <is>
          <t>N/A</t>
        </is>
      </c>
      <c r="G2999" s="26">
        <v>2804274097</v>
      </c>
      <c r="H2999" s="26">
        <v>28042741</v>
      </c>
      <c r="I2999" s="26">
        <v>0</v>
      </c>
      <c r="J2999" s="26">
        <v>127</v>
      </c>
      <c r="K2999" t="inlineStr">
        <is>
          <t>Non</t>
        </is>
      </c>
      <c r="L2999">
        <f>SUBTOTAL(103,A2999)</f>
        <v>1</v>
      </c>
    </row>
    <row r="3000">
      <c r="A3000" t="inlineStr">
        <is>
          <t>SOCIETE C655</t>
        </is>
      </c>
      <c r="B3000" t="inlineStr">
        <is>
          <t>C655</t>
        </is>
      </c>
      <c r="C3000" t="inlineStr">
        <is>
          <t>CORPORATE BANKING</t>
        </is>
      </c>
      <c r="D3000" t="inlineStr">
        <is>
          <t>III</t>
        </is>
      </c>
      <c r="E3000" t="inlineStr">
        <is>
          <t>Stage 3</t>
        </is>
      </c>
      <c r="F3000" t="inlineStr">
        <is>
          <t>N/A</t>
        </is>
      </c>
      <c r="G3000" s="26">
        <v>1688277270</v>
      </c>
      <c r="H3000" s="26">
        <v>928552498</v>
      </c>
      <c r="I3000" s="26">
        <v>132596622</v>
      </c>
      <c r="J3000" s="26">
        <v>25</v>
      </c>
      <c r="K3000" t="inlineStr">
        <is>
          <t>Oui</t>
        </is>
      </c>
      <c r="L3000">
        <f>SUBTOTAL(103,A3000)</f>
        <v>1</v>
      </c>
    </row>
    <row r="3001">
      <c r="A3001" t="inlineStr">
        <is>
          <t>SOCIETE C1531</t>
        </is>
      </c>
      <c r="B3001" t="inlineStr">
        <is>
          <t>C1531</t>
        </is>
      </c>
      <c r="C3001" t="inlineStr">
        <is>
          <t>PUBLIC SECTOR</t>
        </is>
      </c>
      <c r="D3001" t="inlineStr">
        <is>
          <t>I</t>
        </is>
      </c>
      <c r="E3001" t="inlineStr">
        <is>
          <t>Stage 1</t>
        </is>
      </c>
      <c r="F3001" t="inlineStr">
        <is>
          <t>N/A</t>
        </is>
      </c>
      <c r="G3001" s="26">
        <v>127158882</v>
      </c>
      <c r="H3001" s="26">
        <v>1271589</v>
      </c>
      <c r="I3001" s="26">
        <v>0</v>
      </c>
      <c r="J3001" s="26">
        <v>59</v>
      </c>
      <c r="K3001" t="inlineStr">
        <is>
          <t>Non</t>
        </is>
      </c>
      <c r="L3001">
        <f>SUBTOTAL(103,A3001)</f>
        <v>1</v>
      </c>
    </row>
    <row r="3002">
      <c r="A3002" t="inlineStr">
        <is>
          <t>SOCIETE C472</t>
        </is>
      </c>
      <c r="B3002" t="inlineStr">
        <is>
          <t>C472</t>
        </is>
      </c>
      <c r="C3002" t="inlineStr">
        <is>
          <t>CORPORATE BANKING</t>
        </is>
      </c>
      <c r="D3002" t="inlineStr">
        <is>
          <t>V</t>
        </is>
      </c>
      <c r="E3002" t="inlineStr">
        <is>
          <t>Stage 3</t>
        </is>
      </c>
      <c r="F3002" t="inlineStr">
        <is>
          <t>N/A</t>
        </is>
      </c>
      <c r="G3002" s="26">
        <v>349562878</v>
      </c>
      <c r="H3002" s="26">
        <v>192259583</v>
      </c>
      <c r="I3002" s="26">
        <v>0</v>
      </c>
      <c r="J3002" s="26">
        <v>299</v>
      </c>
      <c r="K3002" t="inlineStr">
        <is>
          <t>Oui</t>
        </is>
      </c>
      <c r="L3002">
        <f>SUBTOTAL(103,A3002)</f>
        <v>1</v>
      </c>
    </row>
    <row r="3003">
      <c r="A3003" t="inlineStr">
        <is>
          <t>SOCIETE C704</t>
        </is>
      </c>
      <c r="B3003" t="inlineStr">
        <is>
          <t>C704</t>
        </is>
      </c>
      <c r="C3003" t="inlineStr">
        <is>
          <t>CONSUMER BANKING</t>
        </is>
      </c>
      <c r="D3003" t="inlineStr">
        <is>
          <t>I</t>
        </is>
      </c>
      <c r="E3003" t="inlineStr">
        <is>
          <t>Stage 1</t>
        </is>
      </c>
      <c r="F3003" t="inlineStr">
        <is>
          <t>N/A</t>
        </is>
      </c>
      <c r="G3003" s="26">
        <v>2191898207</v>
      </c>
      <c r="H3003" s="26">
        <v>21918982</v>
      </c>
      <c r="I3003" s="26">
        <v>0</v>
      </c>
      <c r="J3003" s="26">
        <v>15</v>
      </c>
      <c r="K3003" t="inlineStr">
        <is>
          <t>Non</t>
        </is>
      </c>
      <c r="L3003">
        <f>SUBTOTAL(103,A3003)</f>
        <v>1</v>
      </c>
    </row>
    <row r="3004">
      <c r="A3004" t="inlineStr">
        <is>
          <t>SOCIETE C40</t>
        </is>
      </c>
      <c r="B3004" t="inlineStr">
        <is>
          <t>C40</t>
        </is>
      </c>
      <c r="C3004" t="inlineStr">
        <is>
          <t>CORPORATE BANKING</t>
        </is>
      </c>
      <c r="D3004" t="inlineStr">
        <is>
          <t>I</t>
        </is>
      </c>
      <c r="E3004" t="inlineStr">
        <is>
          <t>Stage 1</t>
        </is>
      </c>
      <c r="F3004" t="inlineStr">
        <is>
          <t>N/A</t>
        </is>
      </c>
      <c r="G3004" s="26">
        <v>3090373</v>
      </c>
      <c r="H3004" s="26">
        <v>30904</v>
      </c>
      <c r="I3004" s="26">
        <v>0</v>
      </c>
      <c r="J3004" s="26">
        <v>175</v>
      </c>
      <c r="K3004" t="inlineStr">
        <is>
          <t>Non</t>
        </is>
      </c>
      <c r="L3004">
        <f>SUBTOTAL(103,A3004)</f>
        <v>1</v>
      </c>
    </row>
    <row r="3005">
      <c r="A3005" t="inlineStr">
        <is>
          <t>SOCIETE C1723</t>
        </is>
      </c>
      <c r="B3005" t="inlineStr">
        <is>
          <t>C1723</t>
        </is>
      </c>
      <c r="C3005" t="inlineStr">
        <is>
          <t>SME</t>
        </is>
      </c>
      <c r="D3005" t="inlineStr">
        <is>
          <t>IA</t>
        </is>
      </c>
      <c r="E3005" t="inlineStr">
        <is>
          <t>Stage 2</t>
        </is>
      </c>
      <c r="F3005" t="inlineStr">
        <is>
          <t>N/A</t>
        </is>
      </c>
      <c r="G3005" s="26">
        <v>2721873488</v>
      </c>
      <c r="H3005" s="26">
        <v>163312409</v>
      </c>
      <c r="I3005" s="26">
        <v>192349742</v>
      </c>
      <c r="J3005" s="26">
        <v>231</v>
      </c>
      <c r="K3005" t="inlineStr">
        <is>
          <t>Non</t>
        </is>
      </c>
      <c r="L3005">
        <f>SUBTOTAL(103,A3005)</f>
        <v>1</v>
      </c>
    </row>
    <row r="3006">
      <c r="A3006" t="inlineStr">
        <is>
          <t>SOCIETE C883</t>
        </is>
      </c>
      <c r="B3006" t="inlineStr">
        <is>
          <t>C883</t>
        </is>
      </c>
      <c r="C3006" t="inlineStr">
        <is>
          <t>CORPORATE BANKING</t>
        </is>
      </c>
      <c r="D3006" t="inlineStr">
        <is>
          <t>IA</t>
        </is>
      </c>
      <c r="E3006" t="inlineStr">
        <is>
          <t>Stage 2</t>
        </is>
      </c>
      <c r="F3006" t="inlineStr">
        <is>
          <t>N/A</t>
        </is>
      </c>
      <c r="G3006" s="26">
        <v>17931263</v>
      </c>
      <c r="H3006" s="26">
        <v>1075876</v>
      </c>
      <c r="I3006" s="26">
        <v>0</v>
      </c>
      <c r="J3006" s="26">
        <v>196</v>
      </c>
      <c r="K3006" t="inlineStr">
        <is>
          <t>Non</t>
        </is>
      </c>
      <c r="L3006">
        <f>SUBTOTAL(103,A3006)</f>
        <v>1</v>
      </c>
    </row>
    <row r="3007">
      <c r="A3007" t="inlineStr">
        <is>
          <t>SOCIETE C2337</t>
        </is>
      </c>
      <c r="B3007" t="inlineStr">
        <is>
          <t>C2337</t>
        </is>
      </c>
      <c r="C3007" t="inlineStr">
        <is>
          <t>CORPORATE BANKING</t>
        </is>
      </c>
      <c r="D3007" t="inlineStr">
        <is>
          <t>III</t>
        </is>
      </c>
      <c r="E3007" t="inlineStr">
        <is>
          <t>Stage 3</t>
        </is>
      </c>
      <c r="F3007" t="inlineStr">
        <is>
          <t>N/A</t>
        </is>
      </c>
      <c r="G3007" s="26">
        <v>2183940430</v>
      </c>
      <c r="H3007" s="26">
        <v>1201167236</v>
      </c>
      <c r="I3007" s="26">
        <v>0</v>
      </c>
      <c r="J3007" s="26">
        <v>126</v>
      </c>
      <c r="K3007" t="inlineStr">
        <is>
          <t>Oui</t>
        </is>
      </c>
      <c r="L3007">
        <f>SUBTOTAL(103,A3007)</f>
        <v>1</v>
      </c>
    </row>
    <row r="3008">
      <c r="A3008" t="inlineStr">
        <is>
          <t>SOCIETE C1796</t>
        </is>
      </c>
      <c r="B3008" t="inlineStr">
        <is>
          <t>C1796</t>
        </is>
      </c>
      <c r="C3008" t="inlineStr">
        <is>
          <t>COMMERCIAL BANKING</t>
        </is>
      </c>
      <c r="D3008" t="inlineStr">
        <is>
          <t>III</t>
        </is>
      </c>
      <c r="E3008" t="inlineStr">
        <is>
          <t>Stage 3</t>
        </is>
      </c>
      <c r="F3008" t="inlineStr">
        <is>
          <t>N/A</t>
        </is>
      </c>
      <c r="G3008" s="26">
        <v>5163505</v>
      </c>
      <c r="H3008" s="26">
        <v>2839927</v>
      </c>
      <c r="I3008" s="26">
        <v>0</v>
      </c>
      <c r="J3008" s="26">
        <v>77</v>
      </c>
      <c r="K3008" t="inlineStr">
        <is>
          <t>Oui</t>
        </is>
      </c>
      <c r="L3008">
        <f>SUBTOTAL(103,A3008)</f>
        <v>1</v>
      </c>
    </row>
    <row r="3009">
      <c r="A3009" t="inlineStr">
        <is>
          <t>SOCIETE C919</t>
        </is>
      </c>
      <c r="B3009" t="inlineStr">
        <is>
          <t>C919</t>
        </is>
      </c>
      <c r="C3009" t="inlineStr">
        <is>
          <t>CORPORATE BANKING</t>
        </is>
      </c>
      <c r="D3009" t="inlineStr">
        <is>
          <t>V</t>
        </is>
      </c>
      <c r="E3009" t="inlineStr">
        <is>
          <t>Stage 3</t>
        </is>
      </c>
      <c r="F3009" t="inlineStr">
        <is>
          <t>N/A</t>
        </is>
      </c>
      <c r="G3009" s="26">
        <v>7389097</v>
      </c>
      <c r="H3009" s="26">
        <v>4064003</v>
      </c>
      <c r="I3009" s="26">
        <v>0</v>
      </c>
      <c r="J3009" s="26">
        <v>158</v>
      </c>
      <c r="K3009" t="inlineStr">
        <is>
          <t>Oui</t>
        </is>
      </c>
      <c r="L3009">
        <f>SUBTOTAL(103,A3009)</f>
        <v>1</v>
      </c>
    </row>
    <row r="3010">
      <c r="A3010" t="inlineStr">
        <is>
          <t>SOCIETE C2235</t>
        </is>
      </c>
      <c r="B3010" t="inlineStr">
        <is>
          <t>C2235</t>
        </is>
      </c>
      <c r="C3010" t="inlineStr">
        <is>
          <t>SME</t>
        </is>
      </c>
      <c r="D3010" t="inlineStr">
        <is>
          <t>II</t>
        </is>
      </c>
      <c r="E3010" t="inlineStr">
        <is>
          <t>Stage 2</t>
        </is>
      </c>
      <c r="F3010" t="inlineStr">
        <is>
          <t>N/A</t>
        </is>
      </c>
      <c r="G3010" s="26">
        <v>229456259</v>
      </c>
      <c r="H3010" s="26">
        <v>13767376</v>
      </c>
      <c r="I3010" s="26">
        <v>0</v>
      </c>
      <c r="J3010" s="26">
        <v>175</v>
      </c>
      <c r="K3010" t="inlineStr">
        <is>
          <t>Non</t>
        </is>
      </c>
      <c r="L3010">
        <f>SUBTOTAL(103,A3010)</f>
        <v>1</v>
      </c>
    </row>
    <row r="3011">
      <c r="A3011" t="inlineStr">
        <is>
          <t>SOCIETE C32</t>
        </is>
      </c>
      <c r="B3011" t="inlineStr">
        <is>
          <t>C32</t>
        </is>
      </c>
      <c r="C3011" t="inlineStr">
        <is>
          <t>SME</t>
        </is>
      </c>
      <c r="D3011" t="inlineStr">
        <is>
          <t>IA</t>
        </is>
      </c>
      <c r="E3011" t="inlineStr">
        <is>
          <t>Stage 2</t>
        </is>
      </c>
      <c r="F3011" t="inlineStr">
        <is>
          <t>N/A</t>
        </is>
      </c>
      <c r="G3011" s="26">
        <v>124165264</v>
      </c>
      <c r="H3011" s="26">
        <v>7449916</v>
      </c>
      <c r="I3011" s="26">
        <v>6677183</v>
      </c>
      <c r="J3011" s="26">
        <v>5</v>
      </c>
      <c r="K3011" t="inlineStr">
        <is>
          <t>Non</t>
        </is>
      </c>
      <c r="L3011">
        <f>SUBTOTAL(103,A3011)</f>
        <v>1</v>
      </c>
    </row>
    <row r="3012">
      <c r="A3012" t="inlineStr">
        <is>
          <t>SOCIETE C1656</t>
        </is>
      </c>
      <c r="B3012" t="inlineStr">
        <is>
          <t>C1656</t>
        </is>
      </c>
      <c r="C3012" t="inlineStr">
        <is>
          <t>CONSUMER BANKING</t>
        </is>
      </c>
      <c r="D3012" t="inlineStr">
        <is>
          <t>III</t>
        </is>
      </c>
      <c r="E3012" t="inlineStr">
        <is>
          <t>Stage 3</t>
        </is>
      </c>
      <c r="F3012" t="inlineStr">
        <is>
          <t>N/A</t>
        </is>
      </c>
      <c r="G3012" s="26">
        <v>8496073</v>
      </c>
      <c r="H3012" s="26">
        <v>4672840</v>
      </c>
      <c r="I3012" s="26">
        <v>0</v>
      </c>
      <c r="J3012" s="26">
        <v>63</v>
      </c>
      <c r="K3012" t="inlineStr">
        <is>
          <t>Oui</t>
        </is>
      </c>
      <c r="L3012">
        <f>SUBTOTAL(103,A3012)</f>
        <v>1</v>
      </c>
    </row>
    <row r="3013">
      <c r="A3013" t="inlineStr">
        <is>
          <t>SOCIETE C580</t>
        </is>
      </c>
      <c r="B3013" t="inlineStr">
        <is>
          <t>C580</t>
        </is>
      </c>
      <c r="C3013" t="inlineStr">
        <is>
          <t>CORPORATE BANKING</t>
        </is>
      </c>
      <c r="D3013" t="inlineStr">
        <is>
          <t>IA</t>
        </is>
      </c>
      <c r="E3013" t="inlineStr">
        <is>
          <t>Stage 2</t>
        </is>
      </c>
      <c r="F3013" t="inlineStr">
        <is>
          <t>N/A</t>
        </is>
      </c>
      <c r="G3013" s="26">
        <v>1743962097</v>
      </c>
      <c r="H3013" s="26">
        <v>104637726</v>
      </c>
      <c r="I3013" s="26">
        <v>43827513</v>
      </c>
      <c r="J3013" s="26">
        <v>273</v>
      </c>
      <c r="K3013" t="inlineStr">
        <is>
          <t>Non</t>
        </is>
      </c>
      <c r="L3013">
        <f>SUBTOTAL(103,A3013)</f>
        <v>1</v>
      </c>
    </row>
    <row r="3014">
      <c r="A3014" t="inlineStr">
        <is>
          <t>SOCIETE C264</t>
        </is>
      </c>
      <c r="B3014" t="inlineStr">
        <is>
          <t>C264</t>
        </is>
      </c>
      <c r="C3014" t="inlineStr">
        <is>
          <t>CONSUMER BANKING</t>
        </is>
      </c>
      <c r="D3014" t="inlineStr">
        <is>
          <t>III</t>
        </is>
      </c>
      <c r="E3014" t="inlineStr">
        <is>
          <t>Stage 3</t>
        </is>
      </c>
      <c r="F3014" t="inlineStr">
        <is>
          <t>N/A</t>
        </is>
      </c>
      <c r="G3014" s="26">
        <v>2954898</v>
      </c>
      <c r="H3014" s="26">
        <v>1625194</v>
      </c>
      <c r="I3014" s="26">
        <v>553109</v>
      </c>
      <c r="J3014" s="26">
        <v>264</v>
      </c>
      <c r="K3014" t="inlineStr">
        <is>
          <t>Oui</t>
        </is>
      </c>
      <c r="L3014">
        <f>SUBTOTAL(103,A3014)</f>
        <v>1</v>
      </c>
    </row>
    <row r="3015">
      <c r="A3015" t="inlineStr">
        <is>
          <t>SOCIETE C1999</t>
        </is>
      </c>
      <c r="B3015" t="inlineStr">
        <is>
          <t>C1999</t>
        </is>
      </c>
      <c r="C3015" t="inlineStr">
        <is>
          <t>CORPORATE BANKING</t>
        </is>
      </c>
      <c r="D3015" t="inlineStr">
        <is>
          <t>V</t>
        </is>
      </c>
      <c r="E3015" t="inlineStr">
        <is>
          <t>Stage 3</t>
        </is>
      </c>
      <c r="F3015" t="inlineStr">
        <is>
          <t>N/A</t>
        </is>
      </c>
      <c r="G3015" s="26">
        <v>241684975</v>
      </c>
      <c r="H3015" s="26">
        <v>132926736</v>
      </c>
      <c r="I3015" s="26">
        <v>0</v>
      </c>
      <c r="J3015" s="26">
        <v>20</v>
      </c>
      <c r="K3015" t="inlineStr">
        <is>
          <t>Oui</t>
        </is>
      </c>
      <c r="L3015">
        <f>SUBTOTAL(103,A3015)</f>
        <v>1</v>
      </c>
    </row>
    <row r="3016">
      <c r="A3016" t="inlineStr">
        <is>
          <t>SOCIETE C2373</t>
        </is>
      </c>
      <c r="B3016" t="inlineStr">
        <is>
          <t>C2373</t>
        </is>
      </c>
      <c r="C3016" t="inlineStr">
        <is>
          <t>COMMERCIAL BANKING</t>
        </is>
      </c>
      <c r="D3016" t="inlineStr">
        <is>
          <t>II</t>
        </is>
      </c>
      <c r="E3016" t="inlineStr">
        <is>
          <t>Stage 2</t>
        </is>
      </c>
      <c r="F3016" t="inlineStr">
        <is>
          <t>N/A</t>
        </is>
      </c>
      <c r="G3016" s="26">
        <v>1068799678</v>
      </c>
      <c r="H3016" s="26">
        <v>64127981</v>
      </c>
      <c r="I3016" s="26">
        <v>0</v>
      </c>
      <c r="J3016" s="26">
        <v>3</v>
      </c>
      <c r="K3016" t="inlineStr">
        <is>
          <t>Non</t>
        </is>
      </c>
      <c r="L3016">
        <f>SUBTOTAL(103,A3016)</f>
        <v>1</v>
      </c>
    </row>
    <row r="3017">
      <c r="A3017" t="inlineStr">
        <is>
          <t>SOCIETE C1965</t>
        </is>
      </c>
      <c r="B3017" t="inlineStr">
        <is>
          <t>C1965</t>
        </is>
      </c>
      <c r="C3017" t="inlineStr">
        <is>
          <t>COMMERCIAL BANKING</t>
        </is>
      </c>
      <c r="D3017" t="inlineStr">
        <is>
          <t>I</t>
        </is>
      </c>
      <c r="E3017" t="inlineStr">
        <is>
          <t>Stage 1</t>
        </is>
      </c>
      <c r="F3017" t="inlineStr">
        <is>
          <t>N/A</t>
        </is>
      </c>
      <c r="G3017" s="26">
        <v>284210509</v>
      </c>
      <c r="H3017" s="26">
        <v>2842105</v>
      </c>
      <c r="I3017" s="26">
        <v>0</v>
      </c>
      <c r="J3017" s="26">
        <v>0</v>
      </c>
      <c r="K3017" t="inlineStr">
        <is>
          <t>Non</t>
        </is>
      </c>
      <c r="L3017">
        <f>SUBTOTAL(103,A3017)</f>
        <v>1</v>
      </c>
    </row>
    <row r="3018">
      <c r="A3018" t="inlineStr">
        <is>
          <t>SOCIETE C2423</t>
        </is>
      </c>
      <c r="B3018" t="inlineStr">
        <is>
          <t>C2423</t>
        </is>
      </c>
      <c r="C3018" t="inlineStr">
        <is>
          <t>CORPORATE BANKING</t>
        </is>
      </c>
      <c r="D3018" t="inlineStr">
        <is>
          <t>IA</t>
        </is>
      </c>
      <c r="E3018" t="inlineStr">
        <is>
          <t>Stage 2</t>
        </is>
      </c>
      <c r="F3018" t="inlineStr">
        <is>
          <t>N/A</t>
        </is>
      </c>
      <c r="G3018" s="26">
        <v>505345974</v>
      </c>
      <c r="H3018" s="26">
        <v>30320758</v>
      </c>
      <c r="I3018" s="26">
        <v>0</v>
      </c>
      <c r="J3018" s="26">
        <v>77</v>
      </c>
      <c r="K3018" t="inlineStr">
        <is>
          <t>Non</t>
        </is>
      </c>
      <c r="L3018">
        <f>SUBTOTAL(103,A3018)</f>
        <v>1</v>
      </c>
    </row>
    <row r="3019">
      <c r="A3019" t="inlineStr">
        <is>
          <t>SOCIETE C737</t>
        </is>
      </c>
      <c r="B3019" t="inlineStr">
        <is>
          <t>C737</t>
        </is>
      </c>
      <c r="C3019" t="inlineStr">
        <is>
          <t>COMMERCIAL BANKING</t>
        </is>
      </c>
      <c r="D3019" t="inlineStr">
        <is>
          <t>IA</t>
        </is>
      </c>
      <c r="E3019" t="inlineStr">
        <is>
          <t>Stage 2</t>
        </is>
      </c>
      <c r="F3019" t="inlineStr">
        <is>
          <t>N/A</t>
        </is>
      </c>
      <c r="G3019" s="26">
        <v>2198424218</v>
      </c>
      <c r="H3019" s="26">
        <v>131905453</v>
      </c>
      <c r="I3019" s="26">
        <v>0</v>
      </c>
      <c r="J3019" s="26">
        <v>111</v>
      </c>
      <c r="K3019" t="inlineStr">
        <is>
          <t>Non</t>
        </is>
      </c>
      <c r="L3019">
        <f>SUBTOTAL(103,A3019)</f>
        <v>1</v>
      </c>
    </row>
    <row r="3020">
      <c r="A3020" t="inlineStr">
        <is>
          <t>SOCIETE C677</t>
        </is>
      </c>
      <c r="B3020" t="inlineStr">
        <is>
          <t>C677</t>
        </is>
      </c>
      <c r="C3020" t="inlineStr">
        <is>
          <t>CORPORATE BANKING</t>
        </is>
      </c>
      <c r="D3020" t="inlineStr">
        <is>
          <t>I</t>
        </is>
      </c>
      <c r="E3020" t="inlineStr">
        <is>
          <t>Stage 1</t>
        </is>
      </c>
      <c r="F3020" t="inlineStr">
        <is>
          <t>N/A</t>
        </is>
      </c>
      <c r="G3020" s="26">
        <v>52880134</v>
      </c>
      <c r="H3020" s="26">
        <v>528801</v>
      </c>
      <c r="I3020" s="26">
        <v>0</v>
      </c>
      <c r="J3020" s="26">
        <v>18</v>
      </c>
      <c r="K3020" t="inlineStr">
        <is>
          <t>Non</t>
        </is>
      </c>
      <c r="L3020">
        <f>SUBTOTAL(103,A3020)</f>
        <v>1</v>
      </c>
    </row>
    <row r="3021">
      <c r="A3021" t="inlineStr">
        <is>
          <t>SOCIETE C2421</t>
        </is>
      </c>
      <c r="B3021" t="inlineStr">
        <is>
          <t>C2421</t>
        </is>
      </c>
      <c r="C3021" t="inlineStr">
        <is>
          <t>PUBLIC SECTOR</t>
        </is>
      </c>
      <c r="D3021" t="inlineStr">
        <is>
          <t>V</t>
        </is>
      </c>
      <c r="E3021" t="inlineStr">
        <is>
          <t>Stage 3</t>
        </is>
      </c>
      <c r="F3021" t="inlineStr">
        <is>
          <t>N/A</t>
        </is>
      </c>
      <c r="G3021" s="26">
        <v>20191161</v>
      </c>
      <c r="H3021" s="26">
        <v>11105138</v>
      </c>
      <c r="I3021" s="26">
        <v>0</v>
      </c>
      <c r="J3021" s="26">
        <v>29</v>
      </c>
      <c r="K3021" t="inlineStr">
        <is>
          <t>Oui</t>
        </is>
      </c>
      <c r="L3021">
        <f>SUBTOTAL(103,A3021)</f>
        <v>1</v>
      </c>
    </row>
    <row r="3022">
      <c r="A3022" t="inlineStr">
        <is>
          <t>SOCIETE C1846</t>
        </is>
      </c>
      <c r="B3022" t="inlineStr">
        <is>
          <t>C1846</t>
        </is>
      </c>
      <c r="C3022" t="inlineStr">
        <is>
          <t>COMMERCIAL BANKING</t>
        </is>
      </c>
      <c r="D3022" t="inlineStr">
        <is>
          <t>IV</t>
        </is>
      </c>
      <c r="E3022" t="inlineStr">
        <is>
          <t>Stage 3</t>
        </is>
      </c>
      <c r="F3022" t="inlineStr">
        <is>
          <t>N/A</t>
        </is>
      </c>
      <c r="G3022" s="26">
        <v>975581774</v>
      </c>
      <c r="H3022" s="26">
        <v>536569975</v>
      </c>
      <c r="I3022" s="26">
        <v>40461957</v>
      </c>
      <c r="J3022" s="26">
        <v>25</v>
      </c>
      <c r="K3022" t="inlineStr">
        <is>
          <t>Oui</t>
        </is>
      </c>
      <c r="L3022">
        <f>SUBTOTAL(103,A3022)</f>
        <v>1</v>
      </c>
    </row>
    <row r="3023">
      <c r="A3023" t="inlineStr">
        <is>
          <t>SOCIETE C1133</t>
        </is>
      </c>
      <c r="B3023" t="inlineStr">
        <is>
          <t>C1133</t>
        </is>
      </c>
      <c r="C3023" t="inlineStr">
        <is>
          <t>SME</t>
        </is>
      </c>
      <c r="D3023" t="inlineStr">
        <is>
          <t>IA</t>
        </is>
      </c>
      <c r="E3023" t="inlineStr">
        <is>
          <t>Stage 2</t>
        </is>
      </c>
      <c r="F3023" t="inlineStr">
        <is>
          <t>N/A</t>
        </is>
      </c>
      <c r="G3023" s="26">
        <v>1423676745</v>
      </c>
      <c r="H3023" s="26">
        <v>85420605</v>
      </c>
      <c r="I3023" s="26">
        <v>0</v>
      </c>
      <c r="J3023" s="26">
        <v>36</v>
      </c>
      <c r="K3023" t="inlineStr">
        <is>
          <t>Non</t>
        </is>
      </c>
      <c r="L3023">
        <f>SUBTOTAL(103,A3023)</f>
        <v>1</v>
      </c>
    </row>
    <row r="3024">
      <c r="A3024" t="inlineStr">
        <is>
          <t>SOCIETE C1331</t>
        </is>
      </c>
      <c r="B3024" t="inlineStr">
        <is>
          <t>C1331</t>
        </is>
      </c>
      <c r="C3024" t="inlineStr">
        <is>
          <t>COMMERCIAL BANKING</t>
        </is>
      </c>
      <c r="D3024" t="inlineStr">
        <is>
          <t>IA</t>
        </is>
      </c>
      <c r="E3024" t="inlineStr">
        <is>
          <t>Stage 2</t>
        </is>
      </c>
      <c r="F3024" t="inlineStr">
        <is>
          <t>N/A</t>
        </is>
      </c>
      <c r="G3024" s="26">
        <v>55585136</v>
      </c>
      <c r="H3024" s="26">
        <v>3335108</v>
      </c>
      <c r="I3024" s="26">
        <v>7677544</v>
      </c>
      <c r="J3024" s="26">
        <v>37</v>
      </c>
      <c r="K3024" t="inlineStr">
        <is>
          <t>Non</t>
        </is>
      </c>
      <c r="L3024">
        <f>SUBTOTAL(103,A3024)</f>
        <v>1</v>
      </c>
    </row>
    <row r="3025">
      <c r="A3025" t="inlineStr">
        <is>
          <t>SOCIETE C1026</t>
        </is>
      </c>
      <c r="B3025" t="inlineStr">
        <is>
          <t>C1026</t>
        </is>
      </c>
      <c r="C3025" t="inlineStr">
        <is>
          <t>COMMERCIAL BANKING</t>
        </is>
      </c>
      <c r="D3025" t="inlineStr">
        <is>
          <t>I</t>
        </is>
      </c>
      <c r="E3025" t="inlineStr">
        <is>
          <t>Stage 1</t>
        </is>
      </c>
      <c r="F3025" t="inlineStr">
        <is>
          <t>N/A</t>
        </is>
      </c>
      <c r="G3025" s="26">
        <v>66288797</v>
      </c>
      <c r="H3025" s="26">
        <v>662888</v>
      </c>
      <c r="I3025" s="26">
        <v>0</v>
      </c>
      <c r="J3025" s="26">
        <v>65</v>
      </c>
      <c r="K3025" t="inlineStr">
        <is>
          <t>Non</t>
        </is>
      </c>
      <c r="L3025">
        <f>SUBTOTAL(103,A3025)</f>
        <v>1</v>
      </c>
    </row>
    <row r="3026">
      <c r="A3026" t="inlineStr">
        <is>
          <t>SOCIETE C169</t>
        </is>
      </c>
      <c r="B3026" t="inlineStr">
        <is>
          <t>C169</t>
        </is>
      </c>
      <c r="C3026" t="inlineStr">
        <is>
          <t>CONSUMER BANKING</t>
        </is>
      </c>
      <c r="D3026" t="inlineStr">
        <is>
          <t>III</t>
        </is>
      </c>
      <c r="E3026" t="inlineStr">
        <is>
          <t>Stage 3</t>
        </is>
      </c>
      <c r="F3026" t="inlineStr">
        <is>
          <t>N/A</t>
        </is>
      </c>
      <c r="G3026" s="26">
        <v>1058644020</v>
      </c>
      <c r="H3026" s="26">
        <v>582254211</v>
      </c>
      <c r="I3026" s="26">
        <v>0</v>
      </c>
      <c r="J3026" s="26">
        <v>330</v>
      </c>
      <c r="K3026" t="inlineStr">
        <is>
          <t>Oui</t>
        </is>
      </c>
      <c r="L3026">
        <f>SUBTOTAL(103,A3026)</f>
        <v>1</v>
      </c>
    </row>
    <row r="3027">
      <c r="A3027" t="inlineStr">
        <is>
          <t>SOCIETE C1742</t>
        </is>
      </c>
      <c r="B3027" t="inlineStr">
        <is>
          <t>C1742</t>
        </is>
      </c>
      <c r="C3027" t="inlineStr">
        <is>
          <t>CORPORATE BANKING</t>
        </is>
      </c>
      <c r="D3027" t="inlineStr">
        <is>
          <t>IV</t>
        </is>
      </c>
      <c r="E3027" t="inlineStr">
        <is>
          <t>Stage 3</t>
        </is>
      </c>
      <c r="F3027" t="inlineStr">
        <is>
          <t>N/A</t>
        </is>
      </c>
      <c r="G3027" s="26">
        <v>1768484476</v>
      </c>
      <c r="H3027" s="26">
        <v>972666462</v>
      </c>
      <c r="I3027" s="26">
        <v>0</v>
      </c>
      <c r="J3027" s="26">
        <v>41</v>
      </c>
      <c r="K3027" t="inlineStr">
        <is>
          <t>Oui</t>
        </is>
      </c>
      <c r="L3027">
        <f>SUBTOTAL(103,A3027)</f>
        <v>1</v>
      </c>
    </row>
    <row r="3028">
      <c r="A3028" t="inlineStr">
        <is>
          <t>SOCIETE C1963</t>
        </is>
      </c>
      <c r="B3028" t="inlineStr">
        <is>
          <t>C1963</t>
        </is>
      </c>
      <c r="C3028" t="inlineStr">
        <is>
          <t>CONSUMER BANKING</t>
        </is>
      </c>
      <c r="D3028" t="inlineStr">
        <is>
          <t>I</t>
        </is>
      </c>
      <c r="E3028" t="inlineStr">
        <is>
          <t>Stage 1</t>
        </is>
      </c>
      <c r="F3028" t="inlineStr">
        <is>
          <t>N/A</t>
        </is>
      </c>
      <c r="G3028" s="26">
        <v>411366631</v>
      </c>
      <c r="H3028" s="26">
        <v>4113666</v>
      </c>
      <c r="I3028" s="26">
        <v>0</v>
      </c>
      <c r="J3028" s="26">
        <v>162</v>
      </c>
      <c r="K3028" t="inlineStr">
        <is>
          <t>Non</t>
        </is>
      </c>
      <c r="L3028">
        <f>SUBTOTAL(103,A3028)</f>
        <v>1</v>
      </c>
    </row>
    <row r="3029">
      <c r="A3029" t="inlineStr">
        <is>
          <t>SOCIETE C2271</t>
        </is>
      </c>
      <c r="B3029" t="inlineStr">
        <is>
          <t>C2271</t>
        </is>
      </c>
      <c r="C3029" t="inlineStr">
        <is>
          <t>SME</t>
        </is>
      </c>
      <c r="D3029" t="inlineStr">
        <is>
          <t>IA</t>
        </is>
      </c>
      <c r="E3029" t="inlineStr">
        <is>
          <t>Stage 2</t>
        </is>
      </c>
      <c r="F3029" t="inlineStr">
        <is>
          <t>N/A</t>
        </is>
      </c>
      <c r="G3029" s="26">
        <v>11501372</v>
      </c>
      <c r="H3029" s="26">
        <v>690082</v>
      </c>
      <c r="I3029" s="26">
        <v>0</v>
      </c>
      <c r="J3029" s="26">
        <v>78</v>
      </c>
      <c r="K3029" t="inlineStr">
        <is>
          <t>Non</t>
        </is>
      </c>
      <c r="L3029">
        <f>SUBTOTAL(103,A3029)</f>
        <v>1</v>
      </c>
    </row>
    <row r="3030">
      <c r="A3030" t="inlineStr">
        <is>
          <t>SOCIETE C820</t>
        </is>
      </c>
      <c r="B3030" t="inlineStr">
        <is>
          <t>C820</t>
        </is>
      </c>
      <c r="C3030" t="inlineStr">
        <is>
          <t>COMMERCIAL BANKING</t>
        </is>
      </c>
      <c r="D3030" t="inlineStr">
        <is>
          <t>I</t>
        </is>
      </c>
      <c r="E3030" t="inlineStr">
        <is>
          <t>Stage 1</t>
        </is>
      </c>
      <c r="F3030" t="inlineStr">
        <is>
          <t>N/A</t>
        </is>
      </c>
      <c r="G3030" s="26">
        <v>308468915</v>
      </c>
      <c r="H3030" s="26">
        <v>3084689</v>
      </c>
      <c r="I3030" s="26">
        <v>30867022</v>
      </c>
      <c r="J3030" s="26">
        <v>161</v>
      </c>
      <c r="K3030" t="inlineStr">
        <is>
          <t>Non</t>
        </is>
      </c>
      <c r="L3030">
        <f>SUBTOTAL(103,A3030)</f>
        <v>1</v>
      </c>
    </row>
    <row r="3031">
      <c r="A3031" t="inlineStr">
        <is>
          <t>SOCIETE C1493</t>
        </is>
      </c>
      <c r="B3031" t="inlineStr">
        <is>
          <t>C1493</t>
        </is>
      </c>
      <c r="C3031" t="inlineStr">
        <is>
          <t>CORPORATE BANKING</t>
        </is>
      </c>
      <c r="D3031" t="inlineStr">
        <is>
          <t>I</t>
        </is>
      </c>
      <c r="E3031" t="inlineStr">
        <is>
          <t>Stage 1</t>
        </is>
      </c>
      <c r="F3031" t="inlineStr">
        <is>
          <t>N/A</t>
        </is>
      </c>
      <c r="G3031" s="26">
        <v>2682382645</v>
      </c>
      <c r="H3031" s="26">
        <v>26823826</v>
      </c>
      <c r="I3031" s="26">
        <v>0</v>
      </c>
      <c r="J3031" s="26">
        <v>156</v>
      </c>
      <c r="K3031" t="inlineStr">
        <is>
          <t>Non</t>
        </is>
      </c>
      <c r="L3031">
        <f>SUBTOTAL(103,A3031)</f>
        <v>1</v>
      </c>
    </row>
    <row r="3032">
      <c r="A3032" t="inlineStr">
        <is>
          <t>SOCIETE C357</t>
        </is>
      </c>
      <c r="B3032" t="inlineStr">
        <is>
          <t>C357</t>
        </is>
      </c>
      <c r="C3032" t="inlineStr">
        <is>
          <t>CORPORATE BANKING</t>
        </is>
      </c>
      <c r="D3032" t="inlineStr">
        <is>
          <t>V</t>
        </is>
      </c>
      <c r="E3032" t="inlineStr">
        <is>
          <t>Stage 3</t>
        </is>
      </c>
      <c r="F3032" t="inlineStr">
        <is>
          <t>N/A</t>
        </is>
      </c>
      <c r="G3032" s="26">
        <v>1000579</v>
      </c>
      <c r="H3032" s="26">
        <v>550319</v>
      </c>
      <c r="I3032" s="26">
        <v>0</v>
      </c>
      <c r="J3032" s="26">
        <v>257</v>
      </c>
      <c r="K3032" t="inlineStr">
        <is>
          <t>Oui</t>
        </is>
      </c>
      <c r="L3032">
        <f>SUBTOTAL(103,A3032)</f>
        <v>1</v>
      </c>
    </row>
    <row r="3033">
      <c r="A3033" t="inlineStr">
        <is>
          <t>SOCIETE C764</t>
        </is>
      </c>
      <c r="B3033" t="inlineStr">
        <is>
          <t>C764</t>
        </is>
      </c>
      <c r="C3033" t="inlineStr">
        <is>
          <t>COMMERCIAL BANKING</t>
        </is>
      </c>
      <c r="D3033" t="inlineStr">
        <is>
          <t>I</t>
        </is>
      </c>
      <c r="E3033" t="inlineStr">
        <is>
          <t>Stage 1</t>
        </is>
      </c>
      <c r="F3033" t="inlineStr">
        <is>
          <t>N/A</t>
        </is>
      </c>
      <c r="G3033" s="26">
        <v>1575484</v>
      </c>
      <c r="H3033" s="26">
        <v>15755</v>
      </c>
      <c r="I3033" s="26">
        <v>7856</v>
      </c>
      <c r="J3033" s="26">
        <v>2</v>
      </c>
      <c r="K3033" t="inlineStr">
        <is>
          <t>Non</t>
        </is>
      </c>
      <c r="L3033">
        <f>SUBTOTAL(103,A3033)</f>
        <v>1</v>
      </c>
    </row>
    <row r="3034">
      <c r="A3034" t="inlineStr">
        <is>
          <t>SOCIETE C280</t>
        </is>
      </c>
      <c r="B3034" t="inlineStr">
        <is>
          <t>C280</t>
        </is>
      </c>
      <c r="C3034" t="inlineStr">
        <is>
          <t>CORPORATE BANKING</t>
        </is>
      </c>
      <c r="D3034" t="inlineStr">
        <is>
          <t>IV</t>
        </is>
      </c>
      <c r="E3034" t="inlineStr">
        <is>
          <t>Stage 3</t>
        </is>
      </c>
      <c r="F3034" t="inlineStr">
        <is>
          <t>N/A</t>
        </is>
      </c>
      <c r="G3034" s="26">
        <v>5846692</v>
      </c>
      <c r="H3034" s="26">
        <v>3215680</v>
      </c>
      <c r="I3034" s="26">
        <v>0</v>
      </c>
      <c r="J3034" s="26">
        <v>46</v>
      </c>
      <c r="K3034" t="inlineStr">
        <is>
          <t>Oui</t>
        </is>
      </c>
      <c r="L3034">
        <f>SUBTOTAL(103,A3034)</f>
        <v>1</v>
      </c>
    </row>
    <row r="3035">
      <c r="A3035" t="inlineStr">
        <is>
          <t>SOCIETE C197</t>
        </is>
      </c>
      <c r="B3035" t="inlineStr">
        <is>
          <t>C197</t>
        </is>
      </c>
      <c r="C3035" t="inlineStr">
        <is>
          <t>CORPORATE BANKING</t>
        </is>
      </c>
      <c r="D3035" t="inlineStr">
        <is>
          <t>IA</t>
        </is>
      </c>
      <c r="E3035" t="inlineStr">
        <is>
          <t>Stage 2</t>
        </is>
      </c>
      <c r="F3035" t="inlineStr">
        <is>
          <t>N/A</t>
        </is>
      </c>
      <c r="G3035" s="26">
        <v>54574452</v>
      </c>
      <c r="H3035" s="26">
        <v>3274467</v>
      </c>
      <c r="I3035" s="26">
        <v>0</v>
      </c>
      <c r="J3035" s="26">
        <v>28</v>
      </c>
      <c r="K3035" t="inlineStr">
        <is>
          <t>Non</t>
        </is>
      </c>
      <c r="L3035">
        <f>SUBTOTAL(103,A3035)</f>
        <v>1</v>
      </c>
    </row>
    <row r="3036">
      <c r="A3036" t="inlineStr">
        <is>
          <t>SOCIETE C1858</t>
        </is>
      </c>
      <c r="B3036" t="inlineStr">
        <is>
          <t>C1858</t>
        </is>
      </c>
      <c r="C3036" t="inlineStr">
        <is>
          <t>COMMERCIAL BANKING</t>
        </is>
      </c>
      <c r="D3036" t="inlineStr">
        <is>
          <t>I</t>
        </is>
      </c>
      <c r="E3036" t="inlineStr">
        <is>
          <t>Stage 1</t>
        </is>
      </c>
      <c r="F3036" t="inlineStr">
        <is>
          <t>N/A</t>
        </is>
      </c>
      <c r="G3036" s="26">
        <v>4941217</v>
      </c>
      <c r="H3036" s="26">
        <v>49412</v>
      </c>
      <c r="I3036" s="26">
        <v>655706</v>
      </c>
      <c r="J3036" s="26">
        <v>206</v>
      </c>
      <c r="K3036" t="inlineStr">
        <is>
          <t>Non</t>
        </is>
      </c>
      <c r="L3036">
        <f>SUBTOTAL(103,A3036)</f>
        <v>1</v>
      </c>
    </row>
    <row r="3037">
      <c r="A3037" t="inlineStr">
        <is>
          <t>SOCIETE C1829</t>
        </is>
      </c>
      <c r="B3037" t="inlineStr">
        <is>
          <t>C1829</t>
        </is>
      </c>
      <c r="C3037" t="inlineStr">
        <is>
          <t>CORPORATE BANKING</t>
        </is>
      </c>
      <c r="D3037" t="inlineStr">
        <is>
          <t>IA</t>
        </is>
      </c>
      <c r="E3037" t="inlineStr">
        <is>
          <t>Stage 2</t>
        </is>
      </c>
      <c r="F3037" t="inlineStr">
        <is>
          <t>N/A</t>
        </is>
      </c>
      <c r="G3037" s="26">
        <v>1029955845</v>
      </c>
      <c r="H3037" s="26">
        <v>61797351</v>
      </c>
      <c r="I3037" s="26">
        <v>0</v>
      </c>
      <c r="J3037" s="26">
        <v>71</v>
      </c>
      <c r="K3037" t="inlineStr">
        <is>
          <t>Non</t>
        </is>
      </c>
      <c r="L3037">
        <f>SUBTOTAL(103,A3037)</f>
        <v>1</v>
      </c>
    </row>
    <row r="3038">
      <c r="A3038" t="inlineStr">
        <is>
          <t>SOCIETE C2341</t>
        </is>
      </c>
      <c r="B3038" t="inlineStr">
        <is>
          <t>C2341</t>
        </is>
      </c>
      <c r="C3038" t="inlineStr">
        <is>
          <t>PUBLIC SECTOR</t>
        </is>
      </c>
      <c r="D3038" t="inlineStr">
        <is>
          <t>I</t>
        </is>
      </c>
      <c r="E3038" t="inlineStr">
        <is>
          <t>Stage 1</t>
        </is>
      </c>
      <c r="F3038" t="inlineStr">
        <is>
          <t>N/A</t>
        </is>
      </c>
      <c r="G3038" s="26">
        <v>1114895939</v>
      </c>
      <c r="H3038" s="26">
        <v>11148959</v>
      </c>
      <c r="I3038" s="26">
        <v>14766669</v>
      </c>
      <c r="J3038" s="26">
        <v>5</v>
      </c>
      <c r="K3038" t="inlineStr">
        <is>
          <t>Non</t>
        </is>
      </c>
      <c r="L3038">
        <f>SUBTOTAL(103,A3038)</f>
        <v>1</v>
      </c>
    </row>
    <row r="3039">
      <c r="A3039" t="inlineStr">
        <is>
          <t>SOCIETE C1935</t>
        </is>
      </c>
      <c r="B3039" t="inlineStr">
        <is>
          <t>C1935</t>
        </is>
      </c>
      <c r="C3039" t="inlineStr">
        <is>
          <t>CORPORATE BANKING</t>
        </is>
      </c>
      <c r="D3039" t="inlineStr">
        <is>
          <t>IA</t>
        </is>
      </c>
      <c r="E3039" t="inlineStr">
        <is>
          <t>Stage 2</t>
        </is>
      </c>
      <c r="F3039" t="inlineStr">
        <is>
          <t>N/A</t>
        </is>
      </c>
      <c r="G3039" s="26">
        <v>2284584465</v>
      </c>
      <c r="H3039" s="26">
        <v>137075068</v>
      </c>
      <c r="I3039" s="26">
        <v>0</v>
      </c>
      <c r="J3039" s="26">
        <v>27</v>
      </c>
      <c r="K3039" t="inlineStr">
        <is>
          <t>Non</t>
        </is>
      </c>
      <c r="L3039">
        <f>SUBTOTAL(103,A3039)</f>
        <v>1</v>
      </c>
    </row>
    <row r="3040">
      <c r="A3040" t="inlineStr">
        <is>
          <t>SOCIETE C325</t>
        </is>
      </c>
      <c r="B3040" t="inlineStr">
        <is>
          <t>C325</t>
        </is>
      </c>
      <c r="C3040" t="inlineStr">
        <is>
          <t>CORPORATE BANKING</t>
        </is>
      </c>
      <c r="D3040" t="inlineStr">
        <is>
          <t>III</t>
        </is>
      </c>
      <c r="E3040" t="inlineStr">
        <is>
          <t>Stage 3</t>
        </is>
      </c>
      <c r="F3040" t="inlineStr">
        <is>
          <t>N/A</t>
        </is>
      </c>
      <c r="G3040" s="26">
        <v>1560952406</v>
      </c>
      <c r="H3040" s="26">
        <v>858523823</v>
      </c>
      <c r="I3040" s="26">
        <v>0</v>
      </c>
      <c r="J3040" s="26">
        <v>62</v>
      </c>
      <c r="K3040" t="inlineStr">
        <is>
          <t>Oui</t>
        </is>
      </c>
      <c r="L3040">
        <f>SUBTOTAL(103,A3040)</f>
        <v>1</v>
      </c>
    </row>
    <row r="3041">
      <c r="A3041" t="inlineStr">
        <is>
          <t>SOCIETE C806</t>
        </is>
      </c>
      <c r="B3041" t="inlineStr">
        <is>
          <t>C806</t>
        </is>
      </c>
      <c r="C3041" t="inlineStr">
        <is>
          <t>CONSUMER BANKING</t>
        </is>
      </c>
      <c r="D3041" t="inlineStr">
        <is>
          <t>IA</t>
        </is>
      </c>
      <c r="E3041" t="inlineStr">
        <is>
          <t>Stage 2</t>
        </is>
      </c>
      <c r="F3041" t="inlineStr">
        <is>
          <t>N/A</t>
        </is>
      </c>
      <c r="G3041" s="26">
        <v>13748806</v>
      </c>
      <c r="H3041" s="26">
        <v>824928</v>
      </c>
      <c r="I3041" s="26">
        <v>0</v>
      </c>
      <c r="J3041" s="26">
        <v>1</v>
      </c>
      <c r="K3041" t="inlineStr">
        <is>
          <t>Non</t>
        </is>
      </c>
      <c r="L3041">
        <f>SUBTOTAL(103,A3041)</f>
        <v>1</v>
      </c>
    </row>
    <row r="3042">
      <c r="A3042" t="inlineStr">
        <is>
          <t>SOCIETE C1755</t>
        </is>
      </c>
      <c r="B3042" t="inlineStr">
        <is>
          <t>C1755</t>
        </is>
      </c>
      <c r="C3042" t="inlineStr">
        <is>
          <t>COMMERCIAL BANKING</t>
        </is>
      </c>
      <c r="D3042" t="inlineStr">
        <is>
          <t>I</t>
        </is>
      </c>
      <c r="E3042" t="inlineStr">
        <is>
          <t>Stage 1</t>
        </is>
      </c>
      <c r="F3042" t="inlineStr">
        <is>
          <t>N/A</t>
        </is>
      </c>
      <c r="G3042" s="26">
        <v>3538621</v>
      </c>
      <c r="H3042" s="26">
        <v>35386</v>
      </c>
      <c r="I3042" s="26">
        <v>0</v>
      </c>
      <c r="J3042" s="26">
        <v>62</v>
      </c>
      <c r="K3042" t="inlineStr">
        <is>
          <t>Non</t>
        </is>
      </c>
      <c r="L3042">
        <f>SUBTOTAL(103,A3042)</f>
        <v>1</v>
      </c>
    </row>
    <row r="3043">
      <c r="A3043" t="inlineStr">
        <is>
          <t>SOCIETE C563</t>
        </is>
      </c>
      <c r="B3043" t="inlineStr">
        <is>
          <t>C563</t>
        </is>
      </c>
      <c r="C3043" t="inlineStr">
        <is>
          <t>PUBLIC SECTOR</t>
        </is>
      </c>
      <c r="D3043" t="inlineStr">
        <is>
          <t>IV</t>
        </is>
      </c>
      <c r="E3043" t="inlineStr">
        <is>
          <t>Stage 3</t>
        </is>
      </c>
      <c r="F3043" t="inlineStr">
        <is>
          <t>N/A</t>
        </is>
      </c>
      <c r="G3043" s="26">
        <v>1016260</v>
      </c>
      <c r="H3043" s="26">
        <v>558943</v>
      </c>
      <c r="I3043" s="26">
        <v>0</v>
      </c>
      <c r="J3043" s="26">
        <v>224</v>
      </c>
      <c r="K3043" t="inlineStr">
        <is>
          <t>Oui</t>
        </is>
      </c>
      <c r="L3043">
        <f>SUBTOTAL(103,A3043)</f>
        <v>1</v>
      </c>
    </row>
    <row r="3044">
      <c r="A3044" t="inlineStr">
        <is>
          <t>SOCIETE C1656</t>
        </is>
      </c>
      <c r="B3044" t="inlineStr">
        <is>
          <t>C1656</t>
        </is>
      </c>
      <c r="C3044" t="inlineStr">
        <is>
          <t>COMMERCIAL BANKING</t>
        </is>
      </c>
      <c r="D3044" t="inlineStr">
        <is>
          <t>V</t>
        </is>
      </c>
      <c r="E3044" t="inlineStr">
        <is>
          <t>Stage 3</t>
        </is>
      </c>
      <c r="F3044" t="inlineStr">
        <is>
          <t>N/A</t>
        </is>
      </c>
      <c r="G3044" s="26">
        <v>1023898</v>
      </c>
      <c r="H3044" s="26">
        <v>563144</v>
      </c>
      <c r="I3044" s="26">
        <v>0</v>
      </c>
      <c r="J3044" s="26">
        <v>63</v>
      </c>
      <c r="K3044" t="inlineStr">
        <is>
          <t>Oui</t>
        </is>
      </c>
      <c r="L3044">
        <f>SUBTOTAL(103,A3044)</f>
        <v>1</v>
      </c>
    </row>
    <row r="3045">
      <c r="A3045" t="inlineStr">
        <is>
          <t>SOCIETE C721</t>
        </is>
      </c>
      <c r="B3045" t="inlineStr">
        <is>
          <t>C721</t>
        </is>
      </c>
      <c r="C3045" t="inlineStr">
        <is>
          <t>COMMERCIAL BANKING</t>
        </is>
      </c>
      <c r="D3045" t="inlineStr">
        <is>
          <t>V</t>
        </is>
      </c>
      <c r="E3045" t="inlineStr">
        <is>
          <t>Stage 3</t>
        </is>
      </c>
      <c r="F3045" t="inlineStr">
        <is>
          <t>N/A</t>
        </is>
      </c>
      <c r="G3045" s="26">
        <v>1096834200</v>
      </c>
      <c r="H3045" s="26">
        <v>603258810</v>
      </c>
      <c r="I3045" s="26">
        <v>65632497</v>
      </c>
      <c r="J3045" s="26">
        <v>87</v>
      </c>
      <c r="K3045" t="inlineStr">
        <is>
          <t>Oui</t>
        </is>
      </c>
      <c r="L3045">
        <f>SUBTOTAL(103,A3045)</f>
        <v>1</v>
      </c>
    </row>
    <row r="3046">
      <c r="A3046" t="inlineStr">
        <is>
          <t>SOCIETE C285</t>
        </is>
      </c>
      <c r="B3046" t="inlineStr">
        <is>
          <t>C285</t>
        </is>
      </c>
      <c r="C3046" t="inlineStr">
        <is>
          <t>PUBLIC SECTOR</t>
        </is>
      </c>
      <c r="D3046" t="inlineStr">
        <is>
          <t>IV</t>
        </is>
      </c>
      <c r="E3046" t="inlineStr">
        <is>
          <t>Stage 3</t>
        </is>
      </c>
      <c r="F3046" t="inlineStr">
        <is>
          <t>N/A</t>
        </is>
      </c>
      <c r="G3046" s="26">
        <v>27313540</v>
      </c>
      <c r="H3046" s="26">
        <v>15022447</v>
      </c>
      <c r="I3046" s="26">
        <v>1497414</v>
      </c>
      <c r="J3046" s="26">
        <v>11</v>
      </c>
      <c r="K3046" t="inlineStr">
        <is>
          <t>Oui</t>
        </is>
      </c>
      <c r="L3046">
        <f>SUBTOTAL(103,A3046)</f>
        <v>1</v>
      </c>
    </row>
    <row r="3047">
      <c r="A3047" t="inlineStr">
        <is>
          <t>SOCIETE C1496</t>
        </is>
      </c>
      <c r="B3047" t="inlineStr">
        <is>
          <t>C1496</t>
        </is>
      </c>
      <c r="C3047" t="inlineStr">
        <is>
          <t>CORPORATE BANKING</t>
        </is>
      </c>
      <c r="D3047" t="inlineStr">
        <is>
          <t>II</t>
        </is>
      </c>
      <c r="E3047" t="inlineStr">
        <is>
          <t>Stage 2</t>
        </is>
      </c>
      <c r="F3047" t="inlineStr">
        <is>
          <t>N/A</t>
        </is>
      </c>
      <c r="G3047" s="26">
        <v>306627905</v>
      </c>
      <c r="H3047" s="26">
        <v>18397674</v>
      </c>
      <c r="I3047" s="26">
        <v>0</v>
      </c>
      <c r="J3047" s="26">
        <v>269</v>
      </c>
      <c r="K3047" t="inlineStr">
        <is>
          <t>Non</t>
        </is>
      </c>
      <c r="L3047">
        <f>SUBTOTAL(103,A3047)</f>
        <v>1</v>
      </c>
    </row>
    <row r="3048">
      <c r="A3048" t="inlineStr">
        <is>
          <t>SOCIETE C66</t>
        </is>
      </c>
      <c r="B3048" t="inlineStr">
        <is>
          <t>C66</t>
        </is>
      </c>
      <c r="C3048" t="inlineStr">
        <is>
          <t>PUBLIC SECTOR</t>
        </is>
      </c>
      <c r="D3048" t="inlineStr">
        <is>
          <t>IV</t>
        </is>
      </c>
      <c r="E3048" t="inlineStr">
        <is>
          <t>Stage 3</t>
        </is>
      </c>
      <c r="F3048" t="inlineStr">
        <is>
          <t>N/A</t>
        </is>
      </c>
      <c r="G3048" s="26">
        <v>1354356106</v>
      </c>
      <c r="H3048" s="26">
        <v>744895858</v>
      </c>
      <c r="I3048" s="26">
        <v>58384351</v>
      </c>
      <c r="J3048" s="26">
        <v>235</v>
      </c>
      <c r="K3048" t="inlineStr">
        <is>
          <t>Oui</t>
        </is>
      </c>
      <c r="L3048">
        <f>SUBTOTAL(103,A3048)</f>
        <v>1</v>
      </c>
    </row>
    <row r="3049">
      <c r="A3049" t="inlineStr">
        <is>
          <t>SOCIETE C282</t>
        </is>
      </c>
      <c r="B3049" t="inlineStr">
        <is>
          <t>C282</t>
        </is>
      </c>
      <c r="C3049" t="inlineStr">
        <is>
          <t>CORPORATE BANKING</t>
        </is>
      </c>
      <c r="D3049" t="inlineStr">
        <is>
          <t>II</t>
        </is>
      </c>
      <c r="E3049" t="inlineStr">
        <is>
          <t>Stage 2</t>
        </is>
      </c>
      <c r="F3049" t="inlineStr">
        <is>
          <t>N/A</t>
        </is>
      </c>
      <c r="G3049" s="26">
        <v>18930749</v>
      </c>
      <c r="H3049" s="26">
        <v>1135845</v>
      </c>
      <c r="I3049" s="26">
        <v>0</v>
      </c>
      <c r="J3049" s="26">
        <v>340</v>
      </c>
      <c r="K3049" t="inlineStr">
        <is>
          <t>Non</t>
        </is>
      </c>
      <c r="L3049">
        <f>SUBTOTAL(103,A3049)</f>
        <v>1</v>
      </c>
    </row>
    <row r="3050">
      <c r="A3050" t="inlineStr">
        <is>
          <t>SOCIETE C236</t>
        </is>
      </c>
      <c r="B3050" t="inlineStr">
        <is>
          <t>C236</t>
        </is>
      </c>
      <c r="C3050" t="inlineStr">
        <is>
          <t>SME</t>
        </is>
      </c>
      <c r="D3050" t="inlineStr">
        <is>
          <t>I</t>
        </is>
      </c>
      <c r="E3050" t="inlineStr">
        <is>
          <t>Stage 1</t>
        </is>
      </c>
      <c r="F3050" t="inlineStr">
        <is>
          <t>N/A</t>
        </is>
      </c>
      <c r="G3050" s="26">
        <v>10815485</v>
      </c>
      <c r="H3050" s="26">
        <v>108155</v>
      </c>
      <c r="I3050" s="26">
        <v>0</v>
      </c>
      <c r="J3050" s="26">
        <v>156</v>
      </c>
      <c r="K3050" t="inlineStr">
        <is>
          <t>Non</t>
        </is>
      </c>
      <c r="L3050">
        <f>SUBTOTAL(103,A3050)</f>
        <v>1</v>
      </c>
    </row>
    <row r="3051">
      <c r="A3051" t="inlineStr">
        <is>
          <t>SOCIETE C1521</t>
        </is>
      </c>
      <c r="B3051" t="inlineStr">
        <is>
          <t>C1521</t>
        </is>
      </c>
      <c r="C3051" t="inlineStr">
        <is>
          <t>CORPORATE BANKING</t>
        </is>
      </c>
      <c r="D3051" t="inlineStr">
        <is>
          <t>I</t>
        </is>
      </c>
      <c r="E3051" t="inlineStr">
        <is>
          <t>Stage 1</t>
        </is>
      </c>
      <c r="F3051" t="inlineStr">
        <is>
          <t>N/A</t>
        </is>
      </c>
      <c r="G3051" s="26">
        <v>393551048</v>
      </c>
      <c r="H3051" s="26">
        <v>3935510</v>
      </c>
      <c r="I3051" s="26">
        <v>0</v>
      </c>
      <c r="J3051" s="26">
        <v>165</v>
      </c>
      <c r="K3051" t="inlineStr">
        <is>
          <t>Non</t>
        </is>
      </c>
      <c r="L3051">
        <f>SUBTOTAL(103,A3051)</f>
        <v>1</v>
      </c>
    </row>
    <row r="3052">
      <c r="A3052" t="inlineStr">
        <is>
          <t>SOCIETE C2276</t>
        </is>
      </c>
      <c r="B3052" t="inlineStr">
        <is>
          <t>C2276</t>
        </is>
      </c>
      <c r="C3052" t="inlineStr">
        <is>
          <t>CORPORATE BANKING</t>
        </is>
      </c>
      <c r="D3052" t="inlineStr">
        <is>
          <t>IA</t>
        </is>
      </c>
      <c r="E3052" t="inlineStr">
        <is>
          <t>Stage 2</t>
        </is>
      </c>
      <c r="F3052" t="inlineStr">
        <is>
          <t>N/A</t>
        </is>
      </c>
      <c r="G3052" s="26">
        <v>2995065632</v>
      </c>
      <c r="H3052" s="26">
        <v>179703938</v>
      </c>
      <c r="I3052" s="26">
        <v>0</v>
      </c>
      <c r="J3052" s="26">
        <v>7</v>
      </c>
      <c r="K3052" t="inlineStr">
        <is>
          <t>Non</t>
        </is>
      </c>
      <c r="L3052">
        <f>SUBTOTAL(103,A3052)</f>
        <v>1</v>
      </c>
    </row>
    <row r="3053">
      <c r="A3053" t="inlineStr">
        <is>
          <t>SOCIETE C758</t>
        </is>
      </c>
      <c r="B3053" t="inlineStr">
        <is>
          <t>C758</t>
        </is>
      </c>
      <c r="C3053" t="inlineStr">
        <is>
          <t>COMMERCIAL BANKING</t>
        </is>
      </c>
      <c r="D3053" t="inlineStr">
        <is>
          <t>II</t>
        </is>
      </c>
      <c r="E3053" t="inlineStr">
        <is>
          <t>Stage 2</t>
        </is>
      </c>
      <c r="F3053" t="inlineStr">
        <is>
          <t>N/A</t>
        </is>
      </c>
      <c r="G3053" s="26">
        <v>2225077544</v>
      </c>
      <c r="H3053" s="26">
        <v>133504653</v>
      </c>
      <c r="I3053" s="26">
        <v>266213395</v>
      </c>
      <c r="J3053" s="26">
        <v>18</v>
      </c>
      <c r="K3053" t="inlineStr">
        <is>
          <t>Non</t>
        </is>
      </c>
      <c r="L3053">
        <f>SUBTOTAL(103,A3053)</f>
        <v>1</v>
      </c>
    </row>
    <row r="3054">
      <c r="A3054" t="inlineStr">
        <is>
          <t>SOCIETE C2017</t>
        </is>
      </c>
      <c r="B3054" t="inlineStr">
        <is>
          <t>C2017</t>
        </is>
      </c>
      <c r="C3054" t="inlineStr">
        <is>
          <t>CORPORATE BANKING</t>
        </is>
      </c>
      <c r="D3054" t="inlineStr">
        <is>
          <t>II</t>
        </is>
      </c>
      <c r="E3054" t="inlineStr">
        <is>
          <t>Stage 2</t>
        </is>
      </c>
      <c r="F3054" t="inlineStr">
        <is>
          <t>N/A</t>
        </is>
      </c>
      <c r="G3054" s="26">
        <v>1255679624</v>
      </c>
      <c r="H3054" s="26">
        <v>75340777</v>
      </c>
      <c r="I3054" s="26">
        <v>2765912</v>
      </c>
      <c r="J3054" s="26">
        <v>30</v>
      </c>
      <c r="K3054" t="inlineStr">
        <is>
          <t>Non</t>
        </is>
      </c>
      <c r="L3054">
        <f>SUBTOTAL(103,A3054)</f>
        <v>1</v>
      </c>
    </row>
    <row r="3055">
      <c r="A3055" t="inlineStr">
        <is>
          <t>SOCIETE C1238</t>
        </is>
      </c>
      <c r="B3055" t="inlineStr">
        <is>
          <t>C1238</t>
        </is>
      </c>
      <c r="C3055" t="inlineStr">
        <is>
          <t>CORPORATE BANKING</t>
        </is>
      </c>
      <c r="D3055" t="inlineStr">
        <is>
          <t>IA</t>
        </is>
      </c>
      <c r="E3055" t="inlineStr">
        <is>
          <t>Stage 2</t>
        </is>
      </c>
      <c r="F3055" t="inlineStr">
        <is>
          <t>N/A</t>
        </is>
      </c>
      <c r="G3055" s="26">
        <v>4633270</v>
      </c>
      <c r="H3055" s="26">
        <v>277996</v>
      </c>
      <c r="I3055" s="26">
        <v>368174</v>
      </c>
      <c r="J3055" s="26">
        <v>51</v>
      </c>
      <c r="K3055" t="inlineStr">
        <is>
          <t>Non</t>
        </is>
      </c>
      <c r="L3055">
        <f>SUBTOTAL(103,A3055)</f>
        <v>1</v>
      </c>
    </row>
    <row r="3056">
      <c r="A3056" t="inlineStr">
        <is>
          <t>SOCIETE C1291</t>
        </is>
      </c>
      <c r="B3056" t="inlineStr">
        <is>
          <t>C1291</t>
        </is>
      </c>
      <c r="C3056" t="inlineStr">
        <is>
          <t>CORPORATE BANKING</t>
        </is>
      </c>
      <c r="D3056" t="inlineStr">
        <is>
          <t>I</t>
        </is>
      </c>
      <c r="E3056" t="inlineStr">
        <is>
          <t>Stage 1</t>
        </is>
      </c>
      <c r="F3056" t="inlineStr">
        <is>
          <t>N/A</t>
        </is>
      </c>
      <c r="G3056" s="26">
        <v>1527395551</v>
      </c>
      <c r="H3056" s="26">
        <v>15273956</v>
      </c>
      <c r="I3056" s="26">
        <v>0</v>
      </c>
      <c r="J3056" s="26">
        <v>24</v>
      </c>
      <c r="K3056" t="inlineStr">
        <is>
          <t>Non</t>
        </is>
      </c>
      <c r="L3056">
        <f>SUBTOTAL(103,A3056)</f>
        <v>1</v>
      </c>
    </row>
    <row r="3057">
      <c r="A3057" t="inlineStr">
        <is>
          <t>SOCIETE C1325</t>
        </is>
      </c>
      <c r="B3057" t="inlineStr">
        <is>
          <t>C1325</t>
        </is>
      </c>
      <c r="C3057" t="inlineStr">
        <is>
          <t>CORPORATE BANKING</t>
        </is>
      </c>
      <c r="D3057" t="inlineStr">
        <is>
          <t>IA</t>
        </is>
      </c>
      <c r="E3057" t="inlineStr">
        <is>
          <t>Stage 2</t>
        </is>
      </c>
      <c r="F3057" t="inlineStr">
        <is>
          <t>N/A</t>
        </is>
      </c>
      <c r="G3057" s="26">
        <v>512155553</v>
      </c>
      <c r="H3057" s="26">
        <v>30729333</v>
      </c>
      <c r="I3057" s="26">
        <v>0</v>
      </c>
      <c r="J3057" s="26">
        <v>352</v>
      </c>
      <c r="K3057" t="inlineStr">
        <is>
          <t>Non</t>
        </is>
      </c>
      <c r="L3057">
        <f>SUBTOTAL(103,A3057)</f>
        <v>1</v>
      </c>
    </row>
    <row r="3058">
      <c r="A3058" t="inlineStr">
        <is>
          <t>SOCIETE C1468</t>
        </is>
      </c>
      <c r="B3058" t="inlineStr">
        <is>
          <t>C1468</t>
        </is>
      </c>
      <c r="C3058" t="inlineStr">
        <is>
          <t>CONSUMER BANKING</t>
        </is>
      </c>
      <c r="D3058" t="inlineStr">
        <is>
          <t>IV</t>
        </is>
      </c>
      <c r="E3058" t="inlineStr">
        <is>
          <t>Stage 3</t>
        </is>
      </c>
      <c r="F3058" t="inlineStr">
        <is>
          <t>N/A</t>
        </is>
      </c>
      <c r="G3058" s="26">
        <v>1341658603</v>
      </c>
      <c r="H3058" s="26">
        <v>737912232</v>
      </c>
      <c r="I3058" s="26">
        <v>0</v>
      </c>
      <c r="J3058" s="26">
        <v>50</v>
      </c>
      <c r="K3058" t="inlineStr">
        <is>
          <t>Oui</t>
        </is>
      </c>
      <c r="L3058">
        <f>SUBTOTAL(103,A3058)</f>
        <v>1</v>
      </c>
    </row>
    <row r="3059">
      <c r="A3059" t="inlineStr">
        <is>
          <t>SOCIETE C2098</t>
        </is>
      </c>
      <c r="B3059" t="inlineStr">
        <is>
          <t>C2098</t>
        </is>
      </c>
      <c r="C3059" t="inlineStr">
        <is>
          <t>COMMERCIAL BANKING</t>
        </is>
      </c>
      <c r="D3059" t="inlineStr">
        <is>
          <t>II</t>
        </is>
      </c>
      <c r="E3059" t="inlineStr">
        <is>
          <t>Stage 2</t>
        </is>
      </c>
      <c r="F3059" t="inlineStr">
        <is>
          <t>N/A</t>
        </is>
      </c>
      <c r="G3059" s="26">
        <v>1931759802</v>
      </c>
      <c r="H3059" s="26">
        <v>115905588</v>
      </c>
      <c r="I3059" s="26">
        <v>180118693</v>
      </c>
      <c r="J3059" s="26">
        <v>126</v>
      </c>
      <c r="K3059" t="inlineStr">
        <is>
          <t>Non</t>
        </is>
      </c>
      <c r="L3059">
        <f>SUBTOTAL(103,A3059)</f>
        <v>1</v>
      </c>
    </row>
    <row r="3060">
      <c r="A3060" t="inlineStr">
        <is>
          <t>SOCIETE C685</t>
        </is>
      </c>
      <c r="B3060" t="inlineStr">
        <is>
          <t>C685</t>
        </is>
      </c>
      <c r="C3060" t="inlineStr">
        <is>
          <t>COMMERCIAL BANKING</t>
        </is>
      </c>
      <c r="D3060" t="inlineStr">
        <is>
          <t>I</t>
        </is>
      </c>
      <c r="E3060" t="inlineStr">
        <is>
          <t>Stage 1</t>
        </is>
      </c>
      <c r="F3060" t="inlineStr">
        <is>
          <t>N/A</t>
        </is>
      </c>
      <c r="G3060" s="26">
        <v>1409661890</v>
      </c>
      <c r="H3060" s="26">
        <v>14096619</v>
      </c>
      <c r="I3060" s="26">
        <v>234779340</v>
      </c>
      <c r="J3060" s="26">
        <v>8</v>
      </c>
      <c r="K3060" t="inlineStr">
        <is>
          <t>Non</t>
        </is>
      </c>
      <c r="L3060">
        <f>SUBTOTAL(103,A3060)</f>
        <v>1</v>
      </c>
    </row>
    <row r="3061">
      <c r="A3061" t="inlineStr">
        <is>
          <t>SOCIETE C112</t>
        </is>
      </c>
      <c r="B3061" t="inlineStr">
        <is>
          <t>C112</t>
        </is>
      </c>
      <c r="C3061" t="inlineStr">
        <is>
          <t>CONSUMER BANKING</t>
        </is>
      </c>
      <c r="D3061" t="inlineStr">
        <is>
          <t>I</t>
        </is>
      </c>
      <c r="E3061" t="inlineStr">
        <is>
          <t>Stage 1</t>
        </is>
      </c>
      <c r="F3061" t="inlineStr">
        <is>
          <t>N/A</t>
        </is>
      </c>
      <c r="G3061" s="26">
        <v>622167685</v>
      </c>
      <c r="H3061" s="26">
        <v>6221677</v>
      </c>
      <c r="I3061" s="26">
        <v>46451986</v>
      </c>
      <c r="J3061" s="26">
        <v>29</v>
      </c>
      <c r="K3061" t="inlineStr">
        <is>
          <t>Non</t>
        </is>
      </c>
      <c r="L3061">
        <f>SUBTOTAL(103,A3061)</f>
        <v>1</v>
      </c>
    </row>
    <row r="3062">
      <c r="A3062" t="inlineStr">
        <is>
          <t>SOCIETE C436</t>
        </is>
      </c>
      <c r="B3062" t="inlineStr">
        <is>
          <t>C436</t>
        </is>
      </c>
      <c r="C3062" t="inlineStr">
        <is>
          <t>CORPORATE BANKING</t>
        </is>
      </c>
      <c r="D3062" t="inlineStr">
        <is>
          <t>IV</t>
        </is>
      </c>
      <c r="E3062" t="inlineStr">
        <is>
          <t>Stage 3</t>
        </is>
      </c>
      <c r="F3062" t="inlineStr">
        <is>
          <t>N/A</t>
        </is>
      </c>
      <c r="G3062" s="26">
        <v>1798563733</v>
      </c>
      <c r="H3062" s="26">
        <v>989210053</v>
      </c>
      <c r="I3062" s="26">
        <v>91092353</v>
      </c>
      <c r="J3062" s="26">
        <v>56</v>
      </c>
      <c r="K3062" t="inlineStr">
        <is>
          <t>Oui</t>
        </is>
      </c>
      <c r="L3062">
        <f>SUBTOTAL(103,A3062)</f>
        <v>1</v>
      </c>
    </row>
    <row r="3063">
      <c r="A3063" t="inlineStr">
        <is>
          <t>SOCIETE C1735</t>
        </is>
      </c>
      <c r="B3063" t="inlineStr">
        <is>
          <t>C1735</t>
        </is>
      </c>
      <c r="C3063" t="inlineStr">
        <is>
          <t>COMMERCIAL BANKING</t>
        </is>
      </c>
      <c r="D3063" t="inlineStr">
        <is>
          <t>IA</t>
        </is>
      </c>
      <c r="E3063" t="inlineStr">
        <is>
          <t>Stage 2</t>
        </is>
      </c>
      <c r="F3063" t="inlineStr">
        <is>
          <t>N/A</t>
        </is>
      </c>
      <c r="G3063" s="26">
        <v>937610053</v>
      </c>
      <c r="H3063" s="26">
        <v>56256603</v>
      </c>
      <c r="I3063" s="26">
        <v>152237974</v>
      </c>
      <c r="J3063" s="26">
        <v>240</v>
      </c>
      <c r="K3063" t="inlineStr">
        <is>
          <t>Non</t>
        </is>
      </c>
      <c r="L3063">
        <f>SUBTOTAL(103,A3063)</f>
        <v>1</v>
      </c>
    </row>
    <row r="3064">
      <c r="A3064" t="inlineStr">
        <is>
          <t>SOCIETE C155</t>
        </is>
      </c>
      <c r="B3064" t="inlineStr">
        <is>
          <t>C155</t>
        </is>
      </c>
      <c r="C3064" t="inlineStr">
        <is>
          <t>PUBLIC SECTOR</t>
        </is>
      </c>
      <c r="D3064" t="inlineStr">
        <is>
          <t>I</t>
        </is>
      </c>
      <c r="E3064" t="inlineStr">
        <is>
          <t>Stage 1</t>
        </is>
      </c>
      <c r="F3064" t="inlineStr">
        <is>
          <t>N/A</t>
        </is>
      </c>
      <c r="G3064" s="26">
        <v>1029255590</v>
      </c>
      <c r="H3064" s="26">
        <v>10292556</v>
      </c>
      <c r="I3064" s="26">
        <v>0</v>
      </c>
      <c r="J3064" s="26">
        <v>22</v>
      </c>
      <c r="K3064" t="inlineStr">
        <is>
          <t>Non</t>
        </is>
      </c>
      <c r="L3064">
        <f>SUBTOTAL(103,A3064)</f>
        <v>1</v>
      </c>
    </row>
    <row r="3065">
      <c r="A3065" t="inlineStr">
        <is>
          <t>SOCIETE C399</t>
        </is>
      </c>
      <c r="B3065" t="inlineStr">
        <is>
          <t>C399</t>
        </is>
      </c>
      <c r="C3065" t="inlineStr">
        <is>
          <t>COMMERCIAL BANKING</t>
        </is>
      </c>
      <c r="D3065" t="inlineStr">
        <is>
          <t>I</t>
        </is>
      </c>
      <c r="E3065" t="inlineStr">
        <is>
          <t>Stage 1</t>
        </is>
      </c>
      <c r="F3065" t="inlineStr">
        <is>
          <t>N/A</t>
        </is>
      </c>
      <c r="G3065" s="26">
        <v>19501893</v>
      </c>
      <c r="H3065" s="26">
        <v>195019</v>
      </c>
      <c r="I3065" s="26">
        <v>0</v>
      </c>
      <c r="J3065" s="26">
        <v>32</v>
      </c>
      <c r="K3065" t="inlineStr">
        <is>
          <t>Non</t>
        </is>
      </c>
      <c r="L3065">
        <f>SUBTOTAL(103,A3065)</f>
        <v>1</v>
      </c>
    </row>
    <row r="3066">
      <c r="A3066" t="inlineStr">
        <is>
          <t>SOCIETE C2347</t>
        </is>
      </c>
      <c r="B3066" t="inlineStr">
        <is>
          <t>C2347</t>
        </is>
      </c>
      <c r="C3066" t="inlineStr">
        <is>
          <t>CORPORATE BANKING</t>
        </is>
      </c>
      <c r="D3066" t="inlineStr">
        <is>
          <t>IA</t>
        </is>
      </c>
      <c r="E3066" t="inlineStr">
        <is>
          <t>Stage 2</t>
        </is>
      </c>
      <c r="F3066" t="inlineStr">
        <is>
          <t>N/A</t>
        </is>
      </c>
      <c r="G3066" s="26">
        <v>116915181</v>
      </c>
      <c r="H3066" s="26">
        <v>7014911</v>
      </c>
      <c r="I3066" s="26">
        <v>0</v>
      </c>
      <c r="J3066" s="26">
        <v>93</v>
      </c>
      <c r="K3066" t="inlineStr">
        <is>
          <t>Non</t>
        </is>
      </c>
      <c r="L3066">
        <f>SUBTOTAL(103,A3066)</f>
        <v>1</v>
      </c>
    </row>
    <row r="3067">
      <c r="A3067" t="inlineStr">
        <is>
          <t>SOCIETE C1271</t>
        </is>
      </c>
      <c r="B3067" t="inlineStr">
        <is>
          <t>C1271</t>
        </is>
      </c>
      <c r="C3067" t="inlineStr">
        <is>
          <t>CORPORATE BANKING</t>
        </is>
      </c>
      <c r="D3067" t="inlineStr">
        <is>
          <t>IV</t>
        </is>
      </c>
      <c r="E3067" t="inlineStr">
        <is>
          <t>Stage 3</t>
        </is>
      </c>
      <c r="F3067" t="inlineStr">
        <is>
          <t>N/A</t>
        </is>
      </c>
      <c r="G3067" s="26">
        <v>672075814</v>
      </c>
      <c r="H3067" s="26">
        <v>369641698</v>
      </c>
      <c r="I3067" s="26">
        <v>71346961</v>
      </c>
      <c r="J3067" s="26">
        <v>7</v>
      </c>
      <c r="K3067" t="inlineStr">
        <is>
          <t>Oui</t>
        </is>
      </c>
      <c r="L3067">
        <f>SUBTOTAL(103,A3067)</f>
        <v>1</v>
      </c>
    </row>
    <row r="3068">
      <c r="A3068" t="inlineStr">
        <is>
          <t>SOCIETE C78</t>
        </is>
      </c>
      <c r="B3068" t="inlineStr">
        <is>
          <t>C78</t>
        </is>
      </c>
      <c r="C3068" t="inlineStr">
        <is>
          <t>CONSUMER BANKING</t>
        </is>
      </c>
      <c r="D3068" t="inlineStr">
        <is>
          <t>IA</t>
        </is>
      </c>
      <c r="E3068" t="inlineStr">
        <is>
          <t>Stage 2</t>
        </is>
      </c>
      <c r="F3068" t="inlineStr">
        <is>
          <t>N/A</t>
        </is>
      </c>
      <c r="G3068" s="26">
        <v>15736547</v>
      </c>
      <c r="H3068" s="26">
        <v>944193</v>
      </c>
      <c r="I3068" s="26">
        <v>0</v>
      </c>
      <c r="J3068" s="26">
        <v>1</v>
      </c>
      <c r="K3068" t="inlineStr">
        <is>
          <t>Non</t>
        </is>
      </c>
      <c r="L3068">
        <f>SUBTOTAL(103,A3068)</f>
        <v>1</v>
      </c>
    </row>
    <row r="3069">
      <c r="A3069" t="inlineStr">
        <is>
          <t>SOCIETE C1213</t>
        </is>
      </c>
      <c r="B3069" t="inlineStr">
        <is>
          <t>C1213</t>
        </is>
      </c>
      <c r="C3069" t="inlineStr">
        <is>
          <t>CORPORATE BANKING</t>
        </is>
      </c>
      <c r="D3069" t="inlineStr">
        <is>
          <t>III</t>
        </is>
      </c>
      <c r="E3069" t="inlineStr">
        <is>
          <t>Stage 3</t>
        </is>
      </c>
      <c r="F3069" t="inlineStr">
        <is>
          <t>N/A</t>
        </is>
      </c>
      <c r="G3069" s="26">
        <v>578521519</v>
      </c>
      <c r="H3069" s="26">
        <v>318186835</v>
      </c>
      <c r="I3069" s="26">
        <v>0</v>
      </c>
      <c r="J3069" s="26">
        <v>6</v>
      </c>
      <c r="K3069" t="inlineStr">
        <is>
          <t>Oui</t>
        </is>
      </c>
      <c r="L3069">
        <f>SUBTOTAL(103,A3069)</f>
        <v>1</v>
      </c>
    </row>
    <row r="3070">
      <c r="A3070" t="inlineStr">
        <is>
          <t>SOCIETE C376</t>
        </is>
      </c>
      <c r="B3070" t="inlineStr">
        <is>
          <t>C376</t>
        </is>
      </c>
      <c r="C3070" t="inlineStr">
        <is>
          <t>CORPORATE BANKING</t>
        </is>
      </c>
      <c r="D3070" t="inlineStr">
        <is>
          <t>I</t>
        </is>
      </c>
      <c r="E3070" t="inlineStr">
        <is>
          <t>Stage 1</t>
        </is>
      </c>
      <c r="F3070" t="inlineStr">
        <is>
          <t>N/A</t>
        </is>
      </c>
      <c r="G3070" s="26">
        <v>518538016</v>
      </c>
      <c r="H3070" s="26">
        <v>5185380</v>
      </c>
      <c r="I3070" s="26">
        <v>0</v>
      </c>
      <c r="J3070" s="26">
        <v>2</v>
      </c>
      <c r="K3070" t="inlineStr">
        <is>
          <t>Non</t>
        </is>
      </c>
      <c r="L3070">
        <f>SUBTOTAL(103,A3070)</f>
        <v>1</v>
      </c>
    </row>
    <row r="3071">
      <c r="A3071" t="inlineStr">
        <is>
          <t>SOCIETE C267</t>
        </is>
      </c>
      <c r="B3071" t="inlineStr">
        <is>
          <t>C267</t>
        </is>
      </c>
      <c r="C3071" t="inlineStr">
        <is>
          <t>CORPORATE BANKING</t>
        </is>
      </c>
      <c r="D3071" t="inlineStr">
        <is>
          <t>IA</t>
        </is>
      </c>
      <c r="E3071" t="inlineStr">
        <is>
          <t>Stage 2</t>
        </is>
      </c>
      <c r="F3071" t="inlineStr">
        <is>
          <t>N/A</t>
        </is>
      </c>
      <c r="G3071" s="26">
        <v>12197659</v>
      </c>
      <c r="H3071" s="26">
        <v>731860</v>
      </c>
      <c r="I3071" s="26">
        <v>0</v>
      </c>
      <c r="J3071" s="26">
        <v>93</v>
      </c>
      <c r="K3071" t="inlineStr">
        <is>
          <t>Non</t>
        </is>
      </c>
      <c r="L3071">
        <f>SUBTOTAL(103,A3071)</f>
        <v>1</v>
      </c>
    </row>
    <row r="3072">
      <c r="A3072" t="inlineStr">
        <is>
          <t>SOCIETE C1519</t>
        </is>
      </c>
      <c r="B3072" t="inlineStr">
        <is>
          <t>C1519</t>
        </is>
      </c>
      <c r="C3072" t="inlineStr">
        <is>
          <t>CORPORATE BANKING</t>
        </is>
      </c>
      <c r="D3072" t="inlineStr">
        <is>
          <t>V</t>
        </is>
      </c>
      <c r="E3072" t="inlineStr">
        <is>
          <t>Stage 3</t>
        </is>
      </c>
      <c r="F3072" t="inlineStr">
        <is>
          <t>N/A</t>
        </is>
      </c>
      <c r="G3072" s="26">
        <v>4020976</v>
      </c>
      <c r="H3072" s="26">
        <v>2211537</v>
      </c>
      <c r="I3072" s="26">
        <v>0</v>
      </c>
      <c r="J3072" s="26">
        <v>152</v>
      </c>
      <c r="K3072" t="inlineStr">
        <is>
          <t>Oui</t>
        </is>
      </c>
      <c r="L3072">
        <f>SUBTOTAL(103,A3072)</f>
        <v>1</v>
      </c>
    </row>
    <row r="3073">
      <c r="A3073" t="inlineStr">
        <is>
          <t>SOCIETE C832</t>
        </is>
      </c>
      <c r="B3073" t="inlineStr">
        <is>
          <t>C832</t>
        </is>
      </c>
      <c r="C3073" t="inlineStr">
        <is>
          <t>SME</t>
        </is>
      </c>
      <c r="D3073" t="inlineStr">
        <is>
          <t>IA</t>
        </is>
      </c>
      <c r="E3073" t="inlineStr">
        <is>
          <t>Stage 2</t>
        </is>
      </c>
      <c r="F3073" t="inlineStr">
        <is>
          <t>N/A</t>
        </is>
      </c>
      <c r="G3073" s="26">
        <v>63245282</v>
      </c>
      <c r="H3073" s="26">
        <v>3794717</v>
      </c>
      <c r="I3073" s="26">
        <v>0</v>
      </c>
      <c r="J3073" s="26">
        <v>26</v>
      </c>
      <c r="K3073" t="inlineStr">
        <is>
          <t>Non</t>
        </is>
      </c>
      <c r="L3073">
        <f>SUBTOTAL(103,A3073)</f>
        <v>1</v>
      </c>
    </row>
    <row r="3074">
      <c r="A3074" t="inlineStr">
        <is>
          <t>SOCIETE C1553</t>
        </is>
      </c>
      <c r="B3074" t="inlineStr">
        <is>
          <t>C1553</t>
        </is>
      </c>
      <c r="C3074" t="inlineStr">
        <is>
          <t>PUBLIC SECTOR</t>
        </is>
      </c>
      <c r="D3074" t="inlineStr">
        <is>
          <t>I</t>
        </is>
      </c>
      <c r="E3074" t="inlineStr">
        <is>
          <t>Stage 1</t>
        </is>
      </c>
      <c r="F3074" t="inlineStr">
        <is>
          <t>N/A</t>
        </is>
      </c>
      <c r="G3074" s="26">
        <v>146102748</v>
      </c>
      <c r="H3074" s="26">
        <v>1461027</v>
      </c>
      <c r="I3074" s="26">
        <v>18095516</v>
      </c>
      <c r="J3074" s="26">
        <v>47</v>
      </c>
      <c r="K3074" t="inlineStr">
        <is>
          <t>Non</t>
        </is>
      </c>
      <c r="L3074">
        <f>SUBTOTAL(103,A3074)</f>
        <v>1</v>
      </c>
    </row>
    <row r="3075">
      <c r="A3075" t="inlineStr">
        <is>
          <t>SOCIETE C1232</t>
        </is>
      </c>
      <c r="B3075" t="inlineStr">
        <is>
          <t>C1232</t>
        </is>
      </c>
      <c r="C3075" t="inlineStr">
        <is>
          <t>CONSUMER BANKING</t>
        </is>
      </c>
      <c r="D3075" t="inlineStr">
        <is>
          <t>I</t>
        </is>
      </c>
      <c r="E3075" t="inlineStr">
        <is>
          <t>Stage 1</t>
        </is>
      </c>
      <c r="F3075" t="inlineStr">
        <is>
          <t>N/A</t>
        </is>
      </c>
      <c r="G3075" s="26">
        <v>988481976</v>
      </c>
      <c r="H3075" s="26">
        <v>9884820</v>
      </c>
      <c r="I3075" s="26">
        <v>0</v>
      </c>
      <c r="J3075" s="26">
        <v>39</v>
      </c>
      <c r="K3075" t="inlineStr">
        <is>
          <t>Non</t>
        </is>
      </c>
      <c r="L3075">
        <f>SUBTOTAL(103,A3075)</f>
        <v>1</v>
      </c>
    </row>
    <row r="3076">
      <c r="A3076" t="inlineStr">
        <is>
          <t>SOCIETE C1255</t>
        </is>
      </c>
      <c r="B3076" t="inlineStr">
        <is>
          <t>C1255</t>
        </is>
      </c>
      <c r="C3076" t="inlineStr">
        <is>
          <t>CORPORATE BANKING</t>
        </is>
      </c>
      <c r="D3076" t="inlineStr">
        <is>
          <t>IA</t>
        </is>
      </c>
      <c r="E3076" t="inlineStr">
        <is>
          <t>Stage 2</t>
        </is>
      </c>
      <c r="F3076" t="inlineStr">
        <is>
          <t>N/A</t>
        </is>
      </c>
      <c r="G3076" s="26">
        <v>1366511266</v>
      </c>
      <c r="H3076" s="26">
        <v>81990676</v>
      </c>
      <c r="I3076" s="26">
        <v>0</v>
      </c>
      <c r="J3076" s="26">
        <v>289</v>
      </c>
      <c r="K3076" t="inlineStr">
        <is>
          <t>Non</t>
        </is>
      </c>
      <c r="L3076">
        <f>SUBTOTAL(103,A3076)</f>
        <v>1</v>
      </c>
    </row>
    <row r="3077">
      <c r="A3077" t="inlineStr">
        <is>
          <t>SOCIETE C517</t>
        </is>
      </c>
      <c r="B3077" t="inlineStr">
        <is>
          <t>C517</t>
        </is>
      </c>
      <c r="C3077" t="inlineStr">
        <is>
          <t>CORPORATE BANKING</t>
        </is>
      </c>
      <c r="D3077" t="inlineStr">
        <is>
          <t>I</t>
        </is>
      </c>
      <c r="E3077" t="inlineStr">
        <is>
          <t>Stage 1</t>
        </is>
      </c>
      <c r="F3077" t="inlineStr">
        <is>
          <t>N/A</t>
        </is>
      </c>
      <c r="G3077" s="26">
        <v>239738599</v>
      </c>
      <c r="H3077" s="26">
        <v>2397386</v>
      </c>
      <c r="I3077" s="26">
        <v>13067657</v>
      </c>
      <c r="J3077" s="26">
        <v>84</v>
      </c>
      <c r="K3077" t="inlineStr">
        <is>
          <t>Non</t>
        </is>
      </c>
      <c r="L3077">
        <f>SUBTOTAL(103,A3077)</f>
        <v>1</v>
      </c>
    </row>
    <row r="3078">
      <c r="A3078" t="inlineStr">
        <is>
          <t>SOCIETE C1332</t>
        </is>
      </c>
      <c r="B3078" t="inlineStr">
        <is>
          <t>C1332</t>
        </is>
      </c>
      <c r="C3078" t="inlineStr">
        <is>
          <t>COMMERCIAL BANKING</t>
        </is>
      </c>
      <c r="D3078" t="inlineStr">
        <is>
          <t>II</t>
        </is>
      </c>
      <c r="E3078" t="inlineStr">
        <is>
          <t>Stage 2</t>
        </is>
      </c>
      <c r="F3078" t="inlineStr">
        <is>
          <t>N/A</t>
        </is>
      </c>
      <c r="G3078" s="26">
        <v>22562820</v>
      </c>
      <c r="H3078" s="26">
        <v>1353769</v>
      </c>
      <c r="I3078" s="26">
        <v>0</v>
      </c>
      <c r="J3078" s="26">
        <v>20</v>
      </c>
      <c r="K3078" t="inlineStr">
        <is>
          <t>Non</t>
        </is>
      </c>
      <c r="L3078">
        <f>SUBTOTAL(103,A3078)</f>
        <v>1</v>
      </c>
    </row>
    <row r="3079">
      <c r="A3079" t="inlineStr">
        <is>
          <t>SOCIETE C1296</t>
        </is>
      </c>
      <c r="B3079" t="inlineStr">
        <is>
          <t>C1296</t>
        </is>
      </c>
      <c r="C3079" t="inlineStr">
        <is>
          <t>CORPORATE BANKING</t>
        </is>
      </c>
      <c r="D3079" t="inlineStr">
        <is>
          <t>II</t>
        </is>
      </c>
      <c r="E3079" t="inlineStr">
        <is>
          <t>Stage 2</t>
        </is>
      </c>
      <c r="F3079" t="inlineStr">
        <is>
          <t>N/A</t>
        </is>
      </c>
      <c r="G3079" s="26">
        <v>1952462162</v>
      </c>
      <c r="H3079" s="26">
        <v>117147730</v>
      </c>
      <c r="I3079" s="26">
        <v>0</v>
      </c>
      <c r="J3079" s="26">
        <v>131</v>
      </c>
      <c r="K3079" t="inlineStr">
        <is>
          <t>Non</t>
        </is>
      </c>
      <c r="L3079">
        <f>SUBTOTAL(103,A3079)</f>
        <v>1</v>
      </c>
    </row>
    <row r="3080">
      <c r="A3080" t="inlineStr">
        <is>
          <t>SOCIETE C333</t>
        </is>
      </c>
      <c r="B3080" t="inlineStr">
        <is>
          <t>C333</t>
        </is>
      </c>
      <c r="C3080" t="inlineStr">
        <is>
          <t>CONSUMER BANKING</t>
        </is>
      </c>
      <c r="D3080" t="inlineStr">
        <is>
          <t>III</t>
        </is>
      </c>
      <c r="E3080" t="inlineStr">
        <is>
          <t>Stage 3</t>
        </is>
      </c>
      <c r="F3080" t="inlineStr">
        <is>
          <t>N/A</t>
        </is>
      </c>
      <c r="G3080" s="26">
        <v>246531651</v>
      </c>
      <c r="H3080" s="26">
        <v>135592408</v>
      </c>
      <c r="I3080" s="26">
        <v>0</v>
      </c>
      <c r="J3080" s="26">
        <v>296</v>
      </c>
      <c r="K3080" t="inlineStr">
        <is>
          <t>Oui</t>
        </is>
      </c>
      <c r="L3080">
        <f>SUBTOTAL(103,A3080)</f>
        <v>1</v>
      </c>
    </row>
    <row r="3081">
      <c r="A3081" t="inlineStr">
        <is>
          <t>SOCIETE C587</t>
        </is>
      </c>
      <c r="B3081" t="inlineStr">
        <is>
          <t>C587</t>
        </is>
      </c>
      <c r="C3081" t="inlineStr">
        <is>
          <t>CONSUMER BANKING</t>
        </is>
      </c>
      <c r="D3081" t="inlineStr">
        <is>
          <t>IA</t>
        </is>
      </c>
      <c r="E3081" t="inlineStr">
        <is>
          <t>Stage 2</t>
        </is>
      </c>
      <c r="F3081" t="inlineStr">
        <is>
          <t>N/A</t>
        </is>
      </c>
      <c r="G3081" s="26">
        <v>1001633</v>
      </c>
      <c r="H3081" s="26">
        <v>60098</v>
      </c>
      <c r="I3081" s="26">
        <v>172515</v>
      </c>
      <c r="J3081" s="26">
        <v>186</v>
      </c>
      <c r="K3081" t="inlineStr">
        <is>
          <t>Non</t>
        </is>
      </c>
      <c r="L3081">
        <f>SUBTOTAL(103,A3081)</f>
        <v>1</v>
      </c>
    </row>
    <row r="3082">
      <c r="A3082" t="inlineStr">
        <is>
          <t>SOCIETE C540</t>
        </is>
      </c>
      <c r="B3082" t="inlineStr">
        <is>
          <t>C540</t>
        </is>
      </c>
      <c r="C3082" t="inlineStr">
        <is>
          <t>CONSUMER BANKING</t>
        </is>
      </c>
      <c r="D3082" t="inlineStr">
        <is>
          <t>I</t>
        </is>
      </c>
      <c r="E3082" t="inlineStr">
        <is>
          <t>Stage 1</t>
        </is>
      </c>
      <c r="F3082" t="inlineStr">
        <is>
          <t>N/A</t>
        </is>
      </c>
      <c r="G3082" s="26">
        <v>1034287125</v>
      </c>
      <c r="H3082" s="26">
        <v>10342871</v>
      </c>
      <c r="I3082" s="26">
        <v>154744903</v>
      </c>
      <c r="J3082" s="26">
        <v>126</v>
      </c>
      <c r="K3082" t="inlineStr">
        <is>
          <t>Non</t>
        </is>
      </c>
      <c r="L3082">
        <f>SUBTOTAL(103,A3082)</f>
        <v>1</v>
      </c>
    </row>
    <row r="3083">
      <c r="A3083" t="inlineStr">
        <is>
          <t>SOCIETE C41</t>
        </is>
      </c>
      <c r="B3083" t="inlineStr">
        <is>
          <t>C41</t>
        </is>
      </c>
      <c r="C3083" t="inlineStr">
        <is>
          <t>COMMERCIAL BANKING</t>
        </is>
      </c>
      <c r="D3083" t="inlineStr">
        <is>
          <t>V</t>
        </is>
      </c>
      <c r="E3083" t="inlineStr">
        <is>
          <t>Stage 3</t>
        </is>
      </c>
      <c r="F3083" t="inlineStr">
        <is>
          <t>N/A</t>
        </is>
      </c>
      <c r="G3083" s="26">
        <v>232560588</v>
      </c>
      <c r="H3083" s="26">
        <v>127908323</v>
      </c>
      <c r="I3083" s="26">
        <v>0</v>
      </c>
      <c r="J3083" s="26">
        <v>121</v>
      </c>
      <c r="K3083" t="inlineStr">
        <is>
          <t>Oui</t>
        </is>
      </c>
      <c r="L3083">
        <f>SUBTOTAL(103,A3083)</f>
        <v>1</v>
      </c>
    </row>
    <row r="3084">
      <c r="A3084" t="inlineStr">
        <is>
          <t>SOCIETE C351</t>
        </is>
      </c>
      <c r="B3084" t="inlineStr">
        <is>
          <t>C351</t>
        </is>
      </c>
      <c r="C3084" t="inlineStr">
        <is>
          <t>CORPORATE BANKING</t>
        </is>
      </c>
      <c r="D3084" t="inlineStr">
        <is>
          <t>IV</t>
        </is>
      </c>
      <c r="E3084" t="inlineStr">
        <is>
          <t>Stage 3</t>
        </is>
      </c>
      <c r="F3084" t="inlineStr">
        <is>
          <t>N/A</t>
        </is>
      </c>
      <c r="G3084" s="26">
        <v>913289715</v>
      </c>
      <c r="H3084" s="26">
        <v>502309343</v>
      </c>
      <c r="I3084" s="26">
        <v>0</v>
      </c>
      <c r="J3084" s="26">
        <v>342</v>
      </c>
      <c r="K3084" t="inlineStr">
        <is>
          <t>Oui</t>
        </is>
      </c>
      <c r="L3084">
        <f>SUBTOTAL(103,A3084)</f>
        <v>1</v>
      </c>
    </row>
    <row r="3085">
      <c r="A3085" t="inlineStr">
        <is>
          <t>SOCIETE C208</t>
        </is>
      </c>
      <c r="B3085" t="inlineStr">
        <is>
          <t>C208</t>
        </is>
      </c>
      <c r="C3085" t="inlineStr">
        <is>
          <t>CORPORATE BANKING</t>
        </is>
      </c>
      <c r="D3085" t="inlineStr">
        <is>
          <t>I</t>
        </is>
      </c>
      <c r="E3085" t="inlineStr">
        <is>
          <t>Stage 1</t>
        </is>
      </c>
      <c r="F3085" t="inlineStr">
        <is>
          <t>N/A</t>
        </is>
      </c>
      <c r="G3085" s="26">
        <v>606564305</v>
      </c>
      <c r="H3085" s="26">
        <v>6065643</v>
      </c>
      <c r="I3085" s="26">
        <v>0</v>
      </c>
      <c r="J3085" s="26">
        <v>279</v>
      </c>
      <c r="K3085" t="inlineStr">
        <is>
          <t>Non</t>
        </is>
      </c>
      <c r="L3085">
        <f>SUBTOTAL(103,A3085)</f>
        <v>1</v>
      </c>
    </row>
    <row r="3086">
      <c r="A3086" t="inlineStr">
        <is>
          <t>SOCIETE C2086</t>
        </is>
      </c>
      <c r="B3086" t="inlineStr">
        <is>
          <t>C2086</t>
        </is>
      </c>
      <c r="C3086" t="inlineStr">
        <is>
          <t>CORPORATE BANKING</t>
        </is>
      </c>
      <c r="D3086" t="inlineStr">
        <is>
          <t>I</t>
        </is>
      </c>
      <c r="E3086" t="inlineStr">
        <is>
          <t>Stage 1</t>
        </is>
      </c>
      <c r="F3086" t="inlineStr">
        <is>
          <t>N/A</t>
        </is>
      </c>
      <c r="G3086" s="26">
        <v>2041965482</v>
      </c>
      <c r="H3086" s="26">
        <v>20419655</v>
      </c>
      <c r="I3086" s="26">
        <v>0</v>
      </c>
      <c r="J3086" s="26">
        <v>144</v>
      </c>
      <c r="K3086" t="inlineStr">
        <is>
          <t>Non</t>
        </is>
      </c>
      <c r="L3086">
        <f>SUBTOTAL(103,A3086)</f>
        <v>1</v>
      </c>
    </row>
    <row r="3087">
      <c r="A3087" t="inlineStr">
        <is>
          <t>SOCIETE C256</t>
        </is>
      </c>
      <c r="B3087" t="inlineStr">
        <is>
          <t>C256</t>
        </is>
      </c>
      <c r="C3087" t="inlineStr">
        <is>
          <t>COMMERCIAL BANKING</t>
        </is>
      </c>
      <c r="D3087" t="inlineStr">
        <is>
          <t>III</t>
        </is>
      </c>
      <c r="E3087" t="inlineStr">
        <is>
          <t>Stage 3</t>
        </is>
      </c>
      <c r="F3087" t="inlineStr">
        <is>
          <t>N/A</t>
        </is>
      </c>
      <c r="G3087" s="26">
        <v>1138061043</v>
      </c>
      <c r="H3087" s="26">
        <v>625933573</v>
      </c>
      <c r="I3087" s="26">
        <v>0</v>
      </c>
      <c r="J3087" s="26">
        <v>312</v>
      </c>
      <c r="K3087" t="inlineStr">
        <is>
          <t>Oui</t>
        </is>
      </c>
      <c r="L3087">
        <f>SUBTOTAL(103,A3087)</f>
        <v>1</v>
      </c>
    </row>
    <row r="3088">
      <c r="A3088" t="inlineStr">
        <is>
          <t>SOCIETE C600</t>
        </is>
      </c>
      <c r="B3088" t="inlineStr">
        <is>
          <t>C600</t>
        </is>
      </c>
      <c r="C3088" t="inlineStr">
        <is>
          <t>CORPORATE BANKING</t>
        </is>
      </c>
      <c r="D3088" t="inlineStr">
        <is>
          <t>I</t>
        </is>
      </c>
      <c r="E3088" t="inlineStr">
        <is>
          <t>Stage 1</t>
        </is>
      </c>
      <c r="F3088" t="inlineStr">
        <is>
          <t>N/A</t>
        </is>
      </c>
      <c r="G3088" s="26">
        <v>547107878</v>
      </c>
      <c r="H3088" s="26">
        <v>5471079</v>
      </c>
      <c r="I3088" s="26">
        <v>0</v>
      </c>
      <c r="J3088" s="26">
        <v>93</v>
      </c>
      <c r="K3088" t="inlineStr">
        <is>
          <t>Non</t>
        </is>
      </c>
      <c r="L3088">
        <f>SUBTOTAL(103,A3088)</f>
        <v>1</v>
      </c>
    </row>
    <row r="3089">
      <c r="A3089" t="inlineStr">
        <is>
          <t>SOCIETE C18</t>
        </is>
      </c>
      <c r="B3089" t="inlineStr">
        <is>
          <t>C18</t>
        </is>
      </c>
      <c r="C3089" t="inlineStr">
        <is>
          <t>CORPORATE BANKING</t>
        </is>
      </c>
      <c r="D3089" t="inlineStr">
        <is>
          <t>II</t>
        </is>
      </c>
      <c r="E3089" t="inlineStr">
        <is>
          <t>Stage 2</t>
        </is>
      </c>
      <c r="F3089" t="inlineStr">
        <is>
          <t>N/A</t>
        </is>
      </c>
      <c r="G3089" s="26">
        <v>1919478757</v>
      </c>
      <c r="H3089" s="26">
        <v>115168725</v>
      </c>
      <c r="I3089" s="26">
        <v>0</v>
      </c>
      <c r="J3089" s="26">
        <v>287</v>
      </c>
      <c r="K3089" t="inlineStr">
        <is>
          <t>Non</t>
        </is>
      </c>
      <c r="L3089">
        <f>SUBTOTAL(103,A3089)</f>
        <v>1</v>
      </c>
    </row>
    <row r="3090">
      <c r="A3090" t="inlineStr">
        <is>
          <t>SOCIETE C1466</t>
        </is>
      </c>
      <c r="B3090" t="inlineStr">
        <is>
          <t>C1466</t>
        </is>
      </c>
      <c r="C3090" t="inlineStr">
        <is>
          <t>CORPORATE BANKING</t>
        </is>
      </c>
      <c r="D3090" t="inlineStr">
        <is>
          <t>I</t>
        </is>
      </c>
      <c r="E3090" t="inlineStr">
        <is>
          <t>Stage 1</t>
        </is>
      </c>
      <c r="F3090" t="inlineStr">
        <is>
          <t>N/A</t>
        </is>
      </c>
      <c r="G3090" s="26">
        <v>319175880</v>
      </c>
      <c r="H3090" s="26">
        <v>3191759</v>
      </c>
      <c r="I3090" s="26">
        <v>0</v>
      </c>
      <c r="J3090" s="26">
        <v>0</v>
      </c>
      <c r="K3090" t="inlineStr">
        <is>
          <t>Non</t>
        </is>
      </c>
      <c r="L3090">
        <f>SUBTOTAL(103,A3090)</f>
        <v>1</v>
      </c>
    </row>
    <row r="3091">
      <c r="A3091" t="inlineStr">
        <is>
          <t>SOCIETE C78</t>
        </is>
      </c>
      <c r="B3091" t="inlineStr">
        <is>
          <t>C78</t>
        </is>
      </c>
      <c r="C3091" t="inlineStr">
        <is>
          <t>CORPORATE BANKING</t>
        </is>
      </c>
      <c r="D3091" t="inlineStr">
        <is>
          <t>V</t>
        </is>
      </c>
      <c r="E3091" t="inlineStr">
        <is>
          <t>Stage 3</t>
        </is>
      </c>
      <c r="F3091" t="inlineStr">
        <is>
          <t>N/A</t>
        </is>
      </c>
      <c r="G3091" s="26">
        <v>888786196</v>
      </c>
      <c r="H3091" s="26">
        <v>488832408</v>
      </c>
      <c r="I3091" s="26">
        <v>0</v>
      </c>
      <c r="J3091" s="26">
        <v>18</v>
      </c>
      <c r="K3091" t="inlineStr">
        <is>
          <t>Oui</t>
        </is>
      </c>
      <c r="L3091">
        <f>SUBTOTAL(103,A3091)</f>
        <v>1</v>
      </c>
    </row>
    <row r="3092">
      <c r="A3092" t="inlineStr">
        <is>
          <t>SOCIETE C2356</t>
        </is>
      </c>
      <c r="B3092" t="inlineStr">
        <is>
          <t>C2356</t>
        </is>
      </c>
      <c r="C3092" t="inlineStr">
        <is>
          <t>CORPORATE BANKING</t>
        </is>
      </c>
      <c r="D3092" t="inlineStr">
        <is>
          <t>IV</t>
        </is>
      </c>
      <c r="E3092" t="inlineStr">
        <is>
          <t>Stage 3</t>
        </is>
      </c>
      <c r="F3092" t="inlineStr">
        <is>
          <t>N/A</t>
        </is>
      </c>
      <c r="G3092" s="26">
        <v>681678562</v>
      </c>
      <c r="H3092" s="26">
        <v>374923209</v>
      </c>
      <c r="I3092" s="26">
        <v>0</v>
      </c>
      <c r="J3092" s="26">
        <v>16</v>
      </c>
      <c r="K3092" t="inlineStr">
        <is>
          <t>Oui</t>
        </is>
      </c>
      <c r="L3092">
        <f>SUBTOTAL(103,A3092)</f>
        <v>1</v>
      </c>
    </row>
    <row r="3093">
      <c r="A3093" t="inlineStr">
        <is>
          <t>SOCIETE C847</t>
        </is>
      </c>
      <c r="B3093" t="inlineStr">
        <is>
          <t>C847</t>
        </is>
      </c>
      <c r="C3093" t="inlineStr">
        <is>
          <t>CORPORATE BANKING</t>
        </is>
      </c>
      <c r="D3093" t="inlineStr">
        <is>
          <t>IA</t>
        </is>
      </c>
      <c r="E3093" t="inlineStr">
        <is>
          <t>Stage 2</t>
        </is>
      </c>
      <c r="F3093" t="inlineStr">
        <is>
          <t>N/A</t>
        </is>
      </c>
      <c r="G3093" s="26">
        <v>4008784</v>
      </c>
      <c r="H3093" s="26">
        <v>240527</v>
      </c>
      <c r="I3093" s="26">
        <v>0</v>
      </c>
      <c r="J3093" s="26">
        <v>86</v>
      </c>
      <c r="K3093" t="inlineStr">
        <is>
          <t>Non</t>
        </is>
      </c>
      <c r="L3093">
        <f>SUBTOTAL(103,A3093)</f>
        <v>1</v>
      </c>
    </row>
    <row r="3094">
      <c r="A3094" t="inlineStr">
        <is>
          <t>SOCIETE C1134</t>
        </is>
      </c>
      <c r="B3094" t="inlineStr">
        <is>
          <t>C1134</t>
        </is>
      </c>
      <c r="C3094" t="inlineStr">
        <is>
          <t>CORPORATE BANKING</t>
        </is>
      </c>
      <c r="D3094" t="inlineStr">
        <is>
          <t>I</t>
        </is>
      </c>
      <c r="E3094" t="inlineStr">
        <is>
          <t>Stage 1</t>
        </is>
      </c>
      <c r="F3094" t="inlineStr">
        <is>
          <t>N/A</t>
        </is>
      </c>
      <c r="G3094" s="26">
        <v>527601850</v>
      </c>
      <c r="H3094" s="26">
        <v>5276019</v>
      </c>
      <c r="I3094" s="26">
        <v>0</v>
      </c>
      <c r="J3094" s="26">
        <v>50</v>
      </c>
      <c r="K3094" t="inlineStr">
        <is>
          <t>Non</t>
        </is>
      </c>
      <c r="L3094">
        <f>SUBTOTAL(103,A3094)</f>
        <v>1</v>
      </c>
    </row>
    <row r="3095">
      <c r="A3095" t="inlineStr">
        <is>
          <t>SOCIETE C2244</t>
        </is>
      </c>
      <c r="B3095" t="inlineStr">
        <is>
          <t>C2244</t>
        </is>
      </c>
      <c r="C3095" t="inlineStr">
        <is>
          <t>SME</t>
        </is>
      </c>
      <c r="D3095" t="inlineStr">
        <is>
          <t>I</t>
        </is>
      </c>
      <c r="E3095" t="inlineStr">
        <is>
          <t>Stage 1</t>
        </is>
      </c>
      <c r="F3095" t="inlineStr">
        <is>
          <t>N/A</t>
        </is>
      </c>
      <c r="G3095" s="26">
        <v>529525345</v>
      </c>
      <c r="H3095" s="26">
        <v>5295253</v>
      </c>
      <c r="I3095" s="26">
        <v>0</v>
      </c>
      <c r="J3095" s="26">
        <v>71</v>
      </c>
      <c r="K3095" t="inlineStr">
        <is>
          <t>Non</t>
        </is>
      </c>
      <c r="L3095">
        <f>SUBTOTAL(103,A3095)</f>
        <v>1</v>
      </c>
    </row>
    <row r="3096">
      <c r="A3096" t="inlineStr">
        <is>
          <t>SOCIETE C540</t>
        </is>
      </c>
      <c r="B3096" t="inlineStr">
        <is>
          <t>C540</t>
        </is>
      </c>
      <c r="C3096" t="inlineStr">
        <is>
          <t>CORPORATE BANKING</t>
        </is>
      </c>
      <c r="D3096" t="inlineStr">
        <is>
          <t>IA</t>
        </is>
      </c>
      <c r="E3096" t="inlineStr">
        <is>
          <t>Stage 2</t>
        </is>
      </c>
      <c r="F3096" t="inlineStr">
        <is>
          <t>N/A</t>
        </is>
      </c>
      <c r="G3096" s="26">
        <v>861063452</v>
      </c>
      <c r="H3096" s="26">
        <v>51663807</v>
      </c>
      <c r="I3096" s="26">
        <v>56163204</v>
      </c>
      <c r="J3096" s="26">
        <v>44</v>
      </c>
      <c r="K3096" t="inlineStr">
        <is>
          <t>Non</t>
        </is>
      </c>
      <c r="L3096">
        <f>SUBTOTAL(103,A3096)</f>
        <v>1</v>
      </c>
    </row>
    <row r="3097">
      <c r="A3097" t="inlineStr">
        <is>
          <t>SOCIETE C1483</t>
        </is>
      </c>
      <c r="B3097" t="inlineStr">
        <is>
          <t>C1483</t>
        </is>
      </c>
      <c r="C3097" t="inlineStr">
        <is>
          <t>COMMERCIAL BANKING</t>
        </is>
      </c>
      <c r="D3097" t="inlineStr">
        <is>
          <t>I</t>
        </is>
      </c>
      <c r="E3097" t="inlineStr">
        <is>
          <t>Stage 1</t>
        </is>
      </c>
      <c r="F3097" t="inlineStr">
        <is>
          <t>N/A</t>
        </is>
      </c>
      <c r="G3097" s="26">
        <v>2086086926</v>
      </c>
      <c r="H3097" s="26">
        <v>20860869</v>
      </c>
      <c r="I3097" s="26">
        <v>190684796</v>
      </c>
      <c r="J3097" s="26">
        <v>122</v>
      </c>
      <c r="K3097" t="inlineStr">
        <is>
          <t>Non</t>
        </is>
      </c>
      <c r="L3097">
        <f>SUBTOTAL(103,A3097)</f>
        <v>1</v>
      </c>
    </row>
    <row r="3098">
      <c r="A3098" t="inlineStr">
        <is>
          <t>SOCIETE C676</t>
        </is>
      </c>
      <c r="B3098" t="inlineStr">
        <is>
          <t>C676</t>
        </is>
      </c>
      <c r="C3098" t="inlineStr">
        <is>
          <t>PUBLIC SECTOR</t>
        </is>
      </c>
      <c r="D3098" t="inlineStr">
        <is>
          <t>IV</t>
        </is>
      </c>
      <c r="E3098" t="inlineStr">
        <is>
          <t>Stage 3</t>
        </is>
      </c>
      <c r="F3098" t="inlineStr">
        <is>
          <t>N/A</t>
        </is>
      </c>
      <c r="G3098" s="26">
        <v>764150556</v>
      </c>
      <c r="H3098" s="26">
        <v>420282806</v>
      </c>
      <c r="I3098" s="26">
        <v>0</v>
      </c>
      <c r="J3098" s="26">
        <v>221</v>
      </c>
      <c r="K3098" t="inlineStr">
        <is>
          <t>Oui</t>
        </is>
      </c>
      <c r="L3098">
        <f>SUBTOTAL(103,A3098)</f>
        <v>1</v>
      </c>
    </row>
    <row r="3099">
      <c r="A3099" t="inlineStr">
        <is>
          <t>SOCIETE C2031</t>
        </is>
      </c>
      <c r="B3099" t="inlineStr">
        <is>
          <t>C2031</t>
        </is>
      </c>
      <c r="C3099" t="inlineStr">
        <is>
          <t>CORPORATE BANKING</t>
        </is>
      </c>
      <c r="D3099" t="inlineStr">
        <is>
          <t>I</t>
        </is>
      </c>
      <c r="E3099" t="inlineStr">
        <is>
          <t>Stage 1</t>
        </is>
      </c>
      <c r="F3099" t="inlineStr">
        <is>
          <t>N/A</t>
        </is>
      </c>
      <c r="G3099" s="26">
        <v>387537350</v>
      </c>
      <c r="H3099" s="26">
        <v>3875373</v>
      </c>
      <c r="I3099" s="26">
        <v>0</v>
      </c>
      <c r="J3099" s="26">
        <v>151</v>
      </c>
      <c r="K3099" t="inlineStr">
        <is>
          <t>Non</t>
        </is>
      </c>
      <c r="L3099">
        <f>SUBTOTAL(103,A3099)</f>
        <v>1</v>
      </c>
    </row>
    <row r="3100">
      <c r="A3100" t="inlineStr">
        <is>
          <t>SOCIETE C937</t>
        </is>
      </c>
      <c r="B3100" t="inlineStr">
        <is>
          <t>C937</t>
        </is>
      </c>
      <c r="C3100" t="inlineStr">
        <is>
          <t>CORPORATE BANKING</t>
        </is>
      </c>
      <c r="D3100" t="inlineStr">
        <is>
          <t>I</t>
        </is>
      </c>
      <c r="E3100" t="inlineStr">
        <is>
          <t>Stage 1</t>
        </is>
      </c>
      <c r="F3100" t="inlineStr">
        <is>
          <t>N/A</t>
        </is>
      </c>
      <c r="G3100" s="26">
        <v>21616559</v>
      </c>
      <c r="H3100" s="26">
        <v>216166</v>
      </c>
      <c r="I3100" s="26">
        <v>56345</v>
      </c>
      <c r="J3100" s="26">
        <v>7</v>
      </c>
      <c r="K3100" t="inlineStr">
        <is>
          <t>Non</t>
        </is>
      </c>
      <c r="L3100">
        <f>SUBTOTAL(103,A3100)</f>
        <v>1</v>
      </c>
    </row>
    <row r="3101">
      <c r="A3101" t="inlineStr">
        <is>
          <t>SOCIETE C1593</t>
        </is>
      </c>
      <c r="B3101" t="inlineStr">
        <is>
          <t>C1593</t>
        </is>
      </c>
      <c r="C3101" t="inlineStr">
        <is>
          <t>CORPORATE BANKING</t>
        </is>
      </c>
      <c r="D3101" t="inlineStr">
        <is>
          <t>I</t>
        </is>
      </c>
      <c r="E3101" t="inlineStr">
        <is>
          <t>Stage 1</t>
        </is>
      </c>
      <c r="F3101" t="inlineStr">
        <is>
          <t>N/A</t>
        </is>
      </c>
      <c r="G3101" s="26">
        <v>802920688</v>
      </c>
      <c r="H3101" s="26">
        <v>8029207</v>
      </c>
      <c r="I3101" s="26">
        <v>0</v>
      </c>
      <c r="J3101" s="26">
        <v>134</v>
      </c>
      <c r="K3101" t="inlineStr">
        <is>
          <t>Non</t>
        </is>
      </c>
      <c r="L3101">
        <f>SUBTOTAL(103,A3101)</f>
        <v>1</v>
      </c>
    </row>
    <row r="3102">
      <c r="A3102" t="inlineStr">
        <is>
          <t>SOCIETE C231</t>
        </is>
      </c>
      <c r="B3102" t="inlineStr">
        <is>
          <t>C231</t>
        </is>
      </c>
      <c r="C3102" t="inlineStr">
        <is>
          <t>COMMERCIAL BANKING</t>
        </is>
      </c>
      <c r="D3102" t="inlineStr">
        <is>
          <t>IA</t>
        </is>
      </c>
      <c r="E3102" t="inlineStr">
        <is>
          <t>Stage 2</t>
        </is>
      </c>
      <c r="F3102" t="inlineStr">
        <is>
          <t>N/A</t>
        </is>
      </c>
      <c r="G3102" s="26">
        <v>467996293</v>
      </c>
      <c r="H3102" s="26">
        <v>28079778</v>
      </c>
      <c r="I3102" s="26">
        <v>92518202</v>
      </c>
      <c r="J3102" s="26">
        <v>188</v>
      </c>
      <c r="K3102" t="inlineStr">
        <is>
          <t>Non</t>
        </is>
      </c>
      <c r="L3102">
        <f>SUBTOTAL(103,A3102)</f>
        <v>1</v>
      </c>
    </row>
    <row r="3103">
      <c r="A3103" t="inlineStr">
        <is>
          <t>SOCIETE C1985</t>
        </is>
      </c>
      <c r="B3103" t="inlineStr">
        <is>
          <t>C1985</t>
        </is>
      </c>
      <c r="C3103" t="inlineStr">
        <is>
          <t>CORPORATE BANKING</t>
        </is>
      </c>
      <c r="D3103" t="inlineStr">
        <is>
          <t>V</t>
        </is>
      </c>
      <c r="E3103" t="inlineStr">
        <is>
          <t>Stage 3</t>
        </is>
      </c>
      <c r="F3103" t="inlineStr">
        <is>
          <t>N/A</t>
        </is>
      </c>
      <c r="G3103" s="26">
        <v>2638991961</v>
      </c>
      <c r="H3103" s="26">
        <v>1451445578</v>
      </c>
      <c r="I3103" s="26">
        <v>416250518</v>
      </c>
      <c r="J3103" s="26">
        <v>307</v>
      </c>
      <c r="K3103" t="inlineStr">
        <is>
          <t>Oui</t>
        </is>
      </c>
      <c r="L3103">
        <f>SUBTOTAL(103,A3103)</f>
        <v>1</v>
      </c>
    </row>
    <row r="3104">
      <c r="A3104" t="inlineStr">
        <is>
          <t>SOCIETE C2164</t>
        </is>
      </c>
      <c r="B3104" t="inlineStr">
        <is>
          <t>C2164</t>
        </is>
      </c>
      <c r="C3104" t="inlineStr">
        <is>
          <t>COMMERCIAL BANKING</t>
        </is>
      </c>
      <c r="D3104" t="inlineStr">
        <is>
          <t>IA</t>
        </is>
      </c>
      <c r="E3104" t="inlineStr">
        <is>
          <t>Stage 2</t>
        </is>
      </c>
      <c r="F3104" t="inlineStr">
        <is>
          <t>N/A</t>
        </is>
      </c>
      <c r="G3104" s="26">
        <v>540534112</v>
      </c>
      <c r="H3104" s="26">
        <v>32432047</v>
      </c>
      <c r="I3104" s="26">
        <v>21866371</v>
      </c>
      <c r="J3104" s="26">
        <v>6</v>
      </c>
      <c r="K3104" t="inlineStr">
        <is>
          <t>Non</t>
        </is>
      </c>
      <c r="L3104">
        <f>SUBTOTAL(103,A3104)</f>
        <v>1</v>
      </c>
    </row>
    <row r="3105">
      <c r="A3105" t="inlineStr">
        <is>
          <t>SOCIETE C2270</t>
        </is>
      </c>
      <c r="B3105" t="inlineStr">
        <is>
          <t>C2270</t>
        </is>
      </c>
      <c r="C3105" t="inlineStr">
        <is>
          <t>COMMERCIAL BANKING</t>
        </is>
      </c>
      <c r="D3105" t="inlineStr">
        <is>
          <t>I</t>
        </is>
      </c>
      <c r="E3105" t="inlineStr">
        <is>
          <t>Stage 1</t>
        </is>
      </c>
      <c r="F3105" t="inlineStr">
        <is>
          <t>N/A</t>
        </is>
      </c>
      <c r="G3105" s="26">
        <v>76115054</v>
      </c>
      <c r="H3105" s="26">
        <v>761151</v>
      </c>
      <c r="I3105" s="26">
        <v>0</v>
      </c>
      <c r="J3105" s="26">
        <v>196</v>
      </c>
      <c r="K3105" t="inlineStr">
        <is>
          <t>Non</t>
        </is>
      </c>
      <c r="L3105">
        <f>SUBTOTAL(103,A3105)</f>
        <v>1</v>
      </c>
    </row>
    <row r="3106">
      <c r="A3106" t="inlineStr">
        <is>
          <t>SOCIETE C1057</t>
        </is>
      </c>
      <c r="B3106" t="inlineStr">
        <is>
          <t>C1057</t>
        </is>
      </c>
      <c r="C3106" t="inlineStr">
        <is>
          <t>CORPORATE BANKING</t>
        </is>
      </c>
      <c r="D3106" t="inlineStr">
        <is>
          <t>V</t>
        </is>
      </c>
      <c r="E3106" t="inlineStr">
        <is>
          <t>Stage 3</t>
        </is>
      </c>
      <c r="F3106" t="inlineStr">
        <is>
          <t>N/A</t>
        </is>
      </c>
      <c r="G3106" s="26">
        <v>66875432</v>
      </c>
      <c r="H3106" s="26">
        <v>36781488</v>
      </c>
      <c r="I3106" s="26">
        <v>0</v>
      </c>
      <c r="J3106" s="26">
        <v>55</v>
      </c>
      <c r="K3106" t="inlineStr">
        <is>
          <t>Oui</t>
        </is>
      </c>
      <c r="L3106">
        <f>SUBTOTAL(103,A3106)</f>
        <v>1</v>
      </c>
    </row>
    <row r="3107">
      <c r="A3107" t="inlineStr">
        <is>
          <t>SOCIETE C2178</t>
        </is>
      </c>
      <c r="B3107" t="inlineStr">
        <is>
          <t>C2178</t>
        </is>
      </c>
      <c r="C3107" t="inlineStr">
        <is>
          <t>CORPORATE BANKING</t>
        </is>
      </c>
      <c r="D3107" t="inlineStr">
        <is>
          <t>IV</t>
        </is>
      </c>
      <c r="E3107" t="inlineStr">
        <is>
          <t>Stage 3</t>
        </is>
      </c>
      <c r="F3107" t="inlineStr">
        <is>
          <t>N/A</t>
        </is>
      </c>
      <c r="G3107" s="26">
        <v>574849095</v>
      </c>
      <c r="H3107" s="26">
        <v>316167002</v>
      </c>
      <c r="I3107" s="26">
        <v>92700373</v>
      </c>
      <c r="J3107" s="26">
        <v>115</v>
      </c>
      <c r="K3107" t="inlineStr">
        <is>
          <t>Oui</t>
        </is>
      </c>
      <c r="L3107">
        <f>SUBTOTAL(103,A3107)</f>
        <v>1</v>
      </c>
    </row>
    <row r="3108">
      <c r="A3108" t="inlineStr">
        <is>
          <t>SOCIETE C222</t>
        </is>
      </c>
      <c r="B3108" t="inlineStr">
        <is>
          <t>C222</t>
        </is>
      </c>
      <c r="C3108" t="inlineStr">
        <is>
          <t>CORPORATE BANKING</t>
        </is>
      </c>
      <c r="D3108" t="inlineStr">
        <is>
          <t>I</t>
        </is>
      </c>
      <c r="E3108" t="inlineStr">
        <is>
          <t>Stage 1</t>
        </is>
      </c>
      <c r="F3108" t="inlineStr">
        <is>
          <t>N/A</t>
        </is>
      </c>
      <c r="G3108" s="26">
        <v>1234916385</v>
      </c>
      <c r="H3108" s="26">
        <v>12349164</v>
      </c>
      <c r="I3108" s="26">
        <v>0</v>
      </c>
      <c r="J3108" s="26">
        <v>198</v>
      </c>
      <c r="K3108" t="inlineStr">
        <is>
          <t>Non</t>
        </is>
      </c>
      <c r="L3108">
        <f>SUBTOTAL(103,A3108)</f>
        <v>1</v>
      </c>
    </row>
    <row r="3109">
      <c r="A3109" t="inlineStr">
        <is>
          <t>SOCIETE C1416</t>
        </is>
      </c>
      <c r="B3109" t="inlineStr">
        <is>
          <t>C1416</t>
        </is>
      </c>
      <c r="C3109" t="inlineStr">
        <is>
          <t>COMMERCIAL BANKING</t>
        </is>
      </c>
      <c r="D3109" t="inlineStr">
        <is>
          <t>III</t>
        </is>
      </c>
      <c r="E3109" t="inlineStr">
        <is>
          <t>Stage 3</t>
        </is>
      </c>
      <c r="F3109" t="inlineStr">
        <is>
          <t>N/A</t>
        </is>
      </c>
      <c r="G3109" s="26">
        <v>324118111</v>
      </c>
      <c r="H3109" s="26">
        <v>178264961</v>
      </c>
      <c r="I3109" s="26">
        <v>60484398</v>
      </c>
      <c r="J3109" s="26">
        <v>47</v>
      </c>
      <c r="K3109" t="inlineStr">
        <is>
          <t>Oui</t>
        </is>
      </c>
      <c r="L3109">
        <f>SUBTOTAL(103,A3109)</f>
        <v>1</v>
      </c>
    </row>
    <row r="3110">
      <c r="A3110" t="inlineStr">
        <is>
          <t>SOCIETE C1117</t>
        </is>
      </c>
      <c r="B3110" t="inlineStr">
        <is>
          <t>C1117</t>
        </is>
      </c>
      <c r="C3110" t="inlineStr">
        <is>
          <t>CORPORATE BANKING</t>
        </is>
      </c>
      <c r="D3110" t="inlineStr">
        <is>
          <t>I</t>
        </is>
      </c>
      <c r="E3110" t="inlineStr">
        <is>
          <t>Stage 1</t>
        </is>
      </c>
      <c r="F3110" t="inlineStr">
        <is>
          <t>N/A</t>
        </is>
      </c>
      <c r="G3110" s="26">
        <v>5440800</v>
      </c>
      <c r="H3110" s="26">
        <v>54408</v>
      </c>
      <c r="I3110" s="26">
        <v>0</v>
      </c>
      <c r="J3110" s="26">
        <v>90</v>
      </c>
      <c r="K3110" t="inlineStr">
        <is>
          <t>Non</t>
        </is>
      </c>
      <c r="L3110">
        <f>SUBTOTAL(103,A3110)</f>
        <v>1</v>
      </c>
    </row>
    <row r="3111">
      <c r="A3111" t="inlineStr">
        <is>
          <t>SOCIETE C2065</t>
        </is>
      </c>
      <c r="B3111" t="inlineStr">
        <is>
          <t>C2065</t>
        </is>
      </c>
      <c r="C3111" t="inlineStr">
        <is>
          <t>CONSUMER BANKING</t>
        </is>
      </c>
      <c r="D3111" t="inlineStr">
        <is>
          <t>V</t>
        </is>
      </c>
      <c r="E3111" t="inlineStr">
        <is>
          <t>Stage 3</t>
        </is>
      </c>
      <c r="F3111" t="inlineStr">
        <is>
          <t>N/A</t>
        </is>
      </c>
      <c r="G3111" s="26">
        <v>2459397</v>
      </c>
      <c r="H3111" s="26">
        <v>1352669</v>
      </c>
      <c r="I3111" s="26">
        <v>0</v>
      </c>
      <c r="J3111" s="26">
        <v>27</v>
      </c>
      <c r="K3111" t="inlineStr">
        <is>
          <t>Oui</t>
        </is>
      </c>
      <c r="L3111">
        <f>SUBTOTAL(103,A3111)</f>
        <v>1</v>
      </c>
    </row>
    <row r="3112">
      <c r="A3112" t="inlineStr">
        <is>
          <t>SOCIETE C689</t>
        </is>
      </c>
      <c r="B3112" t="inlineStr">
        <is>
          <t>C689</t>
        </is>
      </c>
      <c r="C3112" t="inlineStr">
        <is>
          <t>COMMERCIAL BANKING</t>
        </is>
      </c>
      <c r="D3112" t="inlineStr">
        <is>
          <t>IV</t>
        </is>
      </c>
      <c r="E3112" t="inlineStr">
        <is>
          <t>Stage 3</t>
        </is>
      </c>
      <c r="F3112" t="inlineStr">
        <is>
          <t>N/A</t>
        </is>
      </c>
      <c r="G3112" s="26">
        <v>790681695</v>
      </c>
      <c r="H3112" s="26">
        <v>434874932</v>
      </c>
      <c r="I3112" s="26">
        <v>0</v>
      </c>
      <c r="J3112" s="26">
        <v>153</v>
      </c>
      <c r="K3112" t="inlineStr">
        <is>
          <t>Oui</t>
        </is>
      </c>
      <c r="L3112">
        <f>SUBTOTAL(103,A3112)</f>
        <v>1</v>
      </c>
    </row>
    <row r="3113">
      <c r="A3113" t="inlineStr">
        <is>
          <t>SOCIETE C2432</t>
        </is>
      </c>
      <c r="B3113" t="inlineStr">
        <is>
          <t>C2432</t>
        </is>
      </c>
      <c r="C3113" t="inlineStr">
        <is>
          <t>PUBLIC SECTOR</t>
        </is>
      </c>
      <c r="D3113" t="inlineStr">
        <is>
          <t>I</t>
        </is>
      </c>
      <c r="E3113" t="inlineStr">
        <is>
          <t>Stage 1</t>
        </is>
      </c>
      <c r="F3113" t="inlineStr">
        <is>
          <t>N/A</t>
        </is>
      </c>
      <c r="G3113" s="26">
        <v>2130518</v>
      </c>
      <c r="H3113" s="26">
        <v>21305</v>
      </c>
      <c r="I3113" s="26">
        <v>0</v>
      </c>
      <c r="J3113" s="26">
        <v>233</v>
      </c>
      <c r="K3113" t="inlineStr">
        <is>
          <t>Non</t>
        </is>
      </c>
      <c r="L3113">
        <f>SUBTOTAL(103,A3113)</f>
        <v>1</v>
      </c>
    </row>
    <row r="3114">
      <c r="A3114" t="inlineStr">
        <is>
          <t>SOCIETE C1818</t>
        </is>
      </c>
      <c r="B3114" t="inlineStr">
        <is>
          <t>C1818</t>
        </is>
      </c>
      <c r="C3114" t="inlineStr">
        <is>
          <t>COMMERCIAL BANKING</t>
        </is>
      </c>
      <c r="D3114" t="inlineStr">
        <is>
          <t>V</t>
        </is>
      </c>
      <c r="E3114" t="inlineStr">
        <is>
          <t>Stage 3</t>
        </is>
      </c>
      <c r="F3114" t="inlineStr">
        <is>
          <t>N/A</t>
        </is>
      </c>
      <c r="G3114" s="26">
        <v>3059845</v>
      </c>
      <c r="H3114" s="26">
        <v>1682915</v>
      </c>
      <c r="I3114" s="26">
        <v>0</v>
      </c>
      <c r="J3114" s="26">
        <v>2</v>
      </c>
      <c r="K3114" t="inlineStr">
        <is>
          <t>Oui</t>
        </is>
      </c>
      <c r="L3114">
        <f>SUBTOTAL(103,A3114)</f>
        <v>1</v>
      </c>
    </row>
    <row r="3115">
      <c r="A3115" t="inlineStr">
        <is>
          <t>SOCIETE C1134</t>
        </is>
      </c>
      <c r="B3115" t="inlineStr">
        <is>
          <t>C1134</t>
        </is>
      </c>
      <c r="C3115" t="inlineStr">
        <is>
          <t>CONSUMER BANKING</t>
        </is>
      </c>
      <c r="D3115" t="inlineStr">
        <is>
          <t>I</t>
        </is>
      </c>
      <c r="E3115" t="inlineStr">
        <is>
          <t>Stage 1</t>
        </is>
      </c>
      <c r="F3115" t="inlineStr">
        <is>
          <t>N/A</t>
        </is>
      </c>
      <c r="G3115" s="26">
        <v>1432487381</v>
      </c>
      <c r="H3115" s="26">
        <v>14324874</v>
      </c>
      <c r="I3115" s="26">
        <v>0</v>
      </c>
      <c r="J3115" s="26">
        <v>89</v>
      </c>
      <c r="K3115" t="inlineStr">
        <is>
          <t>Non</t>
        </is>
      </c>
      <c r="L3115">
        <f>SUBTOTAL(103,A3115)</f>
        <v>1</v>
      </c>
    </row>
    <row r="3116">
      <c r="A3116" t="inlineStr">
        <is>
          <t>SOCIETE C1684</t>
        </is>
      </c>
      <c r="B3116" t="inlineStr">
        <is>
          <t>C1684</t>
        </is>
      </c>
      <c r="C3116" t="inlineStr">
        <is>
          <t>CONSUMER BANKING</t>
        </is>
      </c>
      <c r="D3116" t="inlineStr">
        <is>
          <t>IV</t>
        </is>
      </c>
      <c r="E3116" t="inlineStr">
        <is>
          <t>Stage 3</t>
        </is>
      </c>
      <c r="F3116" t="inlineStr">
        <is>
          <t>N/A</t>
        </is>
      </c>
      <c r="G3116" s="26">
        <v>2630586298</v>
      </c>
      <c r="H3116" s="26">
        <v>1446822464</v>
      </c>
      <c r="I3116" s="26">
        <v>0</v>
      </c>
      <c r="J3116" s="26">
        <v>12</v>
      </c>
      <c r="K3116" t="inlineStr">
        <is>
          <t>Oui</t>
        </is>
      </c>
      <c r="L3116">
        <f>SUBTOTAL(103,A3116)</f>
        <v>1</v>
      </c>
    </row>
    <row r="3117">
      <c r="A3117" t="inlineStr">
        <is>
          <t>SOCIETE C1735</t>
        </is>
      </c>
      <c r="B3117" t="inlineStr">
        <is>
          <t>C1735</t>
        </is>
      </c>
      <c r="C3117" t="inlineStr">
        <is>
          <t>SME</t>
        </is>
      </c>
      <c r="D3117" t="inlineStr">
        <is>
          <t>IA</t>
        </is>
      </c>
      <c r="E3117" t="inlineStr">
        <is>
          <t>Stage 2</t>
        </is>
      </c>
      <c r="F3117" t="inlineStr">
        <is>
          <t>N/A</t>
        </is>
      </c>
      <c r="G3117" s="26">
        <v>2620310266</v>
      </c>
      <c r="H3117" s="26">
        <v>157218616</v>
      </c>
      <c r="I3117" s="26">
        <v>0</v>
      </c>
      <c r="J3117" s="26">
        <v>211</v>
      </c>
      <c r="K3117" t="inlineStr">
        <is>
          <t>Non</t>
        </is>
      </c>
      <c r="L3117">
        <f>SUBTOTAL(103,A3117)</f>
        <v>1</v>
      </c>
    </row>
    <row r="3118">
      <c r="A3118" t="inlineStr">
        <is>
          <t>SOCIETE C407</t>
        </is>
      </c>
      <c r="B3118" t="inlineStr">
        <is>
          <t>C407</t>
        </is>
      </c>
      <c r="C3118" t="inlineStr">
        <is>
          <t>COMMERCIAL BANKING</t>
        </is>
      </c>
      <c r="D3118" t="inlineStr">
        <is>
          <t>IV</t>
        </is>
      </c>
      <c r="E3118" t="inlineStr">
        <is>
          <t>Stage 3</t>
        </is>
      </c>
      <c r="F3118" t="inlineStr">
        <is>
          <t>N/A</t>
        </is>
      </c>
      <c r="G3118" s="26">
        <v>710609151</v>
      </c>
      <c r="H3118" s="26">
        <v>390835033</v>
      </c>
      <c r="I3118" s="26">
        <v>0</v>
      </c>
      <c r="J3118" s="26">
        <v>18</v>
      </c>
      <c r="K3118" t="inlineStr">
        <is>
          <t>Oui</t>
        </is>
      </c>
      <c r="L3118">
        <f>SUBTOTAL(103,A3118)</f>
        <v>1</v>
      </c>
    </row>
    <row r="3119">
      <c r="A3119" t="inlineStr">
        <is>
          <t>SOCIETE C1752</t>
        </is>
      </c>
      <c r="B3119" t="inlineStr">
        <is>
          <t>C1752</t>
        </is>
      </c>
      <c r="C3119" t="inlineStr">
        <is>
          <t>CONSUMER BANKING</t>
        </is>
      </c>
      <c r="D3119" t="inlineStr">
        <is>
          <t>IA</t>
        </is>
      </c>
      <c r="E3119" t="inlineStr">
        <is>
          <t>Stage 2</t>
        </is>
      </c>
      <c r="F3119" t="inlineStr">
        <is>
          <t>N/A</t>
        </is>
      </c>
      <c r="G3119" s="26">
        <v>970267706</v>
      </c>
      <c r="H3119" s="26">
        <v>58216062</v>
      </c>
      <c r="I3119" s="26">
        <v>9069230</v>
      </c>
      <c r="J3119" s="26">
        <v>181</v>
      </c>
      <c r="K3119" t="inlineStr">
        <is>
          <t>Non</t>
        </is>
      </c>
      <c r="L3119">
        <f>SUBTOTAL(103,A3119)</f>
        <v>1</v>
      </c>
    </row>
    <row r="3120">
      <c r="A3120" t="inlineStr">
        <is>
          <t>SOCIETE C1465</t>
        </is>
      </c>
      <c r="B3120" t="inlineStr">
        <is>
          <t>C1465</t>
        </is>
      </c>
      <c r="C3120" t="inlineStr">
        <is>
          <t>INSTITUTIONAL</t>
        </is>
      </c>
      <c r="D3120" t="inlineStr">
        <is>
          <t>I</t>
        </is>
      </c>
      <c r="E3120" t="inlineStr">
        <is>
          <t>Stage 1</t>
        </is>
      </c>
      <c r="F3120" t="inlineStr">
        <is>
          <t>N/A</t>
        </is>
      </c>
      <c r="G3120" s="26">
        <v>1600569291</v>
      </c>
      <c r="H3120" s="26">
        <v>16005693</v>
      </c>
      <c r="I3120" s="26">
        <v>0</v>
      </c>
      <c r="J3120" s="26">
        <v>269</v>
      </c>
      <c r="K3120" t="inlineStr">
        <is>
          <t>Non</t>
        </is>
      </c>
      <c r="L3120">
        <f>SUBTOTAL(103,A3120)</f>
        <v>1</v>
      </c>
    </row>
    <row r="3121">
      <c r="A3121" t="inlineStr">
        <is>
          <t>SOCIETE C653</t>
        </is>
      </c>
      <c r="B3121" t="inlineStr">
        <is>
          <t>C653</t>
        </is>
      </c>
      <c r="C3121" t="inlineStr">
        <is>
          <t>CORPORATE BANKING</t>
        </is>
      </c>
      <c r="D3121" t="inlineStr">
        <is>
          <t>III</t>
        </is>
      </c>
      <c r="E3121" t="inlineStr">
        <is>
          <t>Stage 3</t>
        </is>
      </c>
      <c r="F3121" t="inlineStr">
        <is>
          <t>N/A</t>
        </is>
      </c>
      <c r="G3121" s="26">
        <v>1902751</v>
      </c>
      <c r="H3121" s="26">
        <v>1046513</v>
      </c>
      <c r="I3121" s="26">
        <v>334475</v>
      </c>
      <c r="J3121" s="26">
        <v>15</v>
      </c>
      <c r="K3121" t="inlineStr">
        <is>
          <t>Oui</t>
        </is>
      </c>
      <c r="L3121">
        <f>SUBTOTAL(103,A3121)</f>
        <v>1</v>
      </c>
    </row>
    <row r="3122">
      <c r="A3122" t="inlineStr">
        <is>
          <t>SOCIETE C636</t>
        </is>
      </c>
      <c r="B3122" t="inlineStr">
        <is>
          <t>C636</t>
        </is>
      </c>
      <c r="C3122" t="inlineStr">
        <is>
          <t>CONSUMER BANKING</t>
        </is>
      </c>
      <c r="D3122" t="inlineStr">
        <is>
          <t>II</t>
        </is>
      </c>
      <c r="E3122" t="inlineStr">
        <is>
          <t>Stage 2</t>
        </is>
      </c>
      <c r="F3122" t="inlineStr">
        <is>
          <t>N/A</t>
        </is>
      </c>
      <c r="G3122" s="26">
        <v>93080199</v>
      </c>
      <c r="H3122" s="26">
        <v>5584812</v>
      </c>
      <c r="I3122" s="26">
        <v>0</v>
      </c>
      <c r="J3122" s="26">
        <v>153</v>
      </c>
      <c r="K3122" t="inlineStr">
        <is>
          <t>Non</t>
        </is>
      </c>
      <c r="L3122">
        <f>SUBTOTAL(103,A3122)</f>
        <v>1</v>
      </c>
    </row>
    <row r="3123">
      <c r="A3123" t="inlineStr">
        <is>
          <t>SOCIETE C58</t>
        </is>
      </c>
      <c r="B3123" t="inlineStr">
        <is>
          <t>C58</t>
        </is>
      </c>
      <c r="C3123" t="inlineStr">
        <is>
          <t>CONSUMER BANKING</t>
        </is>
      </c>
      <c r="D3123" t="inlineStr">
        <is>
          <t>IV</t>
        </is>
      </c>
      <c r="E3123" t="inlineStr">
        <is>
          <t>Stage 3</t>
        </is>
      </c>
      <c r="F3123" t="inlineStr">
        <is>
          <t>N/A</t>
        </is>
      </c>
      <c r="G3123" s="26">
        <v>15969748</v>
      </c>
      <c r="H3123" s="26">
        <v>8783362</v>
      </c>
      <c r="I3123" s="26">
        <v>0</v>
      </c>
      <c r="J3123" s="26">
        <v>83</v>
      </c>
      <c r="K3123" t="inlineStr">
        <is>
          <t>Oui</t>
        </is>
      </c>
      <c r="L3123">
        <f>SUBTOTAL(103,A3123)</f>
        <v>1</v>
      </c>
    </row>
    <row r="3124">
      <c r="A3124" t="inlineStr">
        <is>
          <t>SOCIETE C1504</t>
        </is>
      </c>
      <c r="B3124" t="inlineStr">
        <is>
          <t>C1504</t>
        </is>
      </c>
      <c r="C3124" t="inlineStr">
        <is>
          <t>COMMERCIAL BANKING</t>
        </is>
      </c>
      <c r="D3124" t="inlineStr">
        <is>
          <t>II</t>
        </is>
      </c>
      <c r="E3124" t="inlineStr">
        <is>
          <t>Stage 2</t>
        </is>
      </c>
      <c r="F3124" t="inlineStr">
        <is>
          <t>N/A</t>
        </is>
      </c>
      <c r="G3124" s="26">
        <v>1402984981</v>
      </c>
      <c r="H3124" s="26">
        <v>84179099</v>
      </c>
      <c r="I3124" s="26">
        <v>0</v>
      </c>
      <c r="J3124" s="26">
        <v>121</v>
      </c>
      <c r="K3124" t="inlineStr">
        <is>
          <t>Non</t>
        </is>
      </c>
      <c r="L3124">
        <f>SUBTOTAL(103,A3124)</f>
        <v>1</v>
      </c>
    </row>
    <row r="3125">
      <c r="A3125" t="inlineStr">
        <is>
          <t>SOCIETE C2135</t>
        </is>
      </c>
      <c r="B3125" t="inlineStr">
        <is>
          <t>C2135</t>
        </is>
      </c>
      <c r="C3125" t="inlineStr">
        <is>
          <t>CONSUMER BANKING</t>
        </is>
      </c>
      <c r="D3125" t="inlineStr">
        <is>
          <t>I</t>
        </is>
      </c>
      <c r="E3125" t="inlineStr">
        <is>
          <t>Stage 1</t>
        </is>
      </c>
      <c r="F3125" t="inlineStr">
        <is>
          <t>N/A</t>
        </is>
      </c>
      <c r="G3125" s="26">
        <v>958503944</v>
      </c>
      <c r="H3125" s="26">
        <v>9585039</v>
      </c>
      <c r="I3125" s="26">
        <v>0</v>
      </c>
      <c r="J3125" s="26">
        <v>27</v>
      </c>
      <c r="K3125" t="inlineStr">
        <is>
          <t>Non</t>
        </is>
      </c>
      <c r="L3125">
        <f>SUBTOTAL(103,A3125)</f>
        <v>1</v>
      </c>
    </row>
    <row r="3126">
      <c r="A3126" t="inlineStr">
        <is>
          <t>SOCIETE C1442</t>
        </is>
      </c>
      <c r="B3126" t="inlineStr">
        <is>
          <t>C1442</t>
        </is>
      </c>
      <c r="C3126" t="inlineStr">
        <is>
          <t>CORPORATE BANKING</t>
        </is>
      </c>
      <c r="D3126" t="inlineStr">
        <is>
          <t>IA</t>
        </is>
      </c>
      <c r="E3126" t="inlineStr">
        <is>
          <t>Stage 2</t>
        </is>
      </c>
      <c r="F3126" t="inlineStr">
        <is>
          <t>N/A</t>
        </is>
      </c>
      <c r="G3126" s="26">
        <v>1267928795</v>
      </c>
      <c r="H3126" s="26">
        <v>76075728</v>
      </c>
      <c r="I3126" s="26">
        <v>0</v>
      </c>
      <c r="J3126" s="26">
        <v>224</v>
      </c>
      <c r="K3126" t="inlineStr">
        <is>
          <t>Non</t>
        </is>
      </c>
      <c r="L3126">
        <f>SUBTOTAL(103,A3126)</f>
        <v>1</v>
      </c>
    </row>
    <row r="3127">
      <c r="A3127" t="inlineStr">
        <is>
          <t>SOCIETE C1804</t>
        </is>
      </c>
      <c r="B3127" t="inlineStr">
        <is>
          <t>C1804</t>
        </is>
      </c>
      <c r="C3127" t="inlineStr">
        <is>
          <t>SME</t>
        </is>
      </c>
      <c r="D3127" t="inlineStr">
        <is>
          <t>II</t>
        </is>
      </c>
      <c r="E3127" t="inlineStr">
        <is>
          <t>Stage 2</t>
        </is>
      </c>
      <c r="F3127" t="inlineStr">
        <is>
          <t>N/A</t>
        </is>
      </c>
      <c r="G3127" s="26">
        <v>84365966</v>
      </c>
      <c r="H3127" s="26">
        <v>5061958</v>
      </c>
      <c r="I3127" s="26">
        <v>0</v>
      </c>
      <c r="J3127" s="26">
        <v>18</v>
      </c>
      <c r="K3127" t="inlineStr">
        <is>
          <t>Non</t>
        </is>
      </c>
      <c r="L3127">
        <f>SUBTOTAL(103,A3127)</f>
        <v>1</v>
      </c>
    </row>
    <row r="3128">
      <c r="A3128" t="inlineStr">
        <is>
          <t>SOCIETE C1139</t>
        </is>
      </c>
      <c r="B3128" t="inlineStr">
        <is>
          <t>C1139</t>
        </is>
      </c>
      <c r="C3128" t="inlineStr">
        <is>
          <t>CORPORATE BANKING</t>
        </is>
      </c>
      <c r="D3128" t="inlineStr">
        <is>
          <t>III</t>
        </is>
      </c>
      <c r="E3128" t="inlineStr">
        <is>
          <t>Stage 3</t>
        </is>
      </c>
      <c r="F3128" t="inlineStr">
        <is>
          <t>N/A</t>
        </is>
      </c>
      <c r="G3128" s="26">
        <v>1435717</v>
      </c>
      <c r="H3128" s="26">
        <v>789645</v>
      </c>
      <c r="I3128" s="26">
        <v>249466</v>
      </c>
      <c r="J3128" s="26">
        <v>236</v>
      </c>
      <c r="K3128" t="inlineStr">
        <is>
          <t>Oui</t>
        </is>
      </c>
      <c r="L3128">
        <f>SUBTOTAL(103,A3128)</f>
        <v>1</v>
      </c>
    </row>
    <row r="3129">
      <c r="A3129" t="inlineStr">
        <is>
          <t>SOCIETE C780</t>
        </is>
      </c>
      <c r="B3129" t="inlineStr">
        <is>
          <t>C780</t>
        </is>
      </c>
      <c r="C3129" t="inlineStr">
        <is>
          <t>CORPORATE BANKING</t>
        </is>
      </c>
      <c r="D3129" t="inlineStr">
        <is>
          <t>III</t>
        </is>
      </c>
      <c r="E3129" t="inlineStr">
        <is>
          <t>Stage 3</t>
        </is>
      </c>
      <c r="F3129" t="inlineStr">
        <is>
          <t>N/A</t>
        </is>
      </c>
      <c r="G3129" s="26">
        <v>701259867</v>
      </c>
      <c r="H3129" s="26">
        <v>385692927</v>
      </c>
      <c r="I3129" s="26">
        <v>0</v>
      </c>
      <c r="J3129" s="26">
        <v>55</v>
      </c>
      <c r="K3129" t="inlineStr">
        <is>
          <t>Oui</t>
        </is>
      </c>
      <c r="L3129">
        <f>SUBTOTAL(103,A3129)</f>
        <v>1</v>
      </c>
    </row>
    <row r="3130">
      <c r="A3130" t="inlineStr">
        <is>
          <t>SOCIETE C215</t>
        </is>
      </c>
      <c r="B3130" t="inlineStr">
        <is>
          <t>C215</t>
        </is>
      </c>
      <c r="C3130" t="inlineStr">
        <is>
          <t>CORPORATE BANKING</t>
        </is>
      </c>
      <c r="D3130" t="inlineStr">
        <is>
          <t>I</t>
        </is>
      </c>
      <c r="E3130" t="inlineStr">
        <is>
          <t>Stage 1</t>
        </is>
      </c>
      <c r="F3130" t="inlineStr">
        <is>
          <t>N/A</t>
        </is>
      </c>
      <c r="G3130" s="26">
        <v>4816297</v>
      </c>
      <c r="H3130" s="26">
        <v>48163</v>
      </c>
      <c r="I3130" s="26">
        <v>0</v>
      </c>
      <c r="J3130" s="26">
        <v>161</v>
      </c>
      <c r="K3130" t="inlineStr">
        <is>
          <t>Non</t>
        </is>
      </c>
      <c r="L3130">
        <f>SUBTOTAL(103,A3130)</f>
        <v>1</v>
      </c>
    </row>
    <row r="3131">
      <c r="A3131" t="inlineStr">
        <is>
          <t>SOCIETE C696</t>
        </is>
      </c>
      <c r="B3131" t="inlineStr">
        <is>
          <t>C696</t>
        </is>
      </c>
      <c r="C3131" t="inlineStr">
        <is>
          <t>INSTITUTIONAL</t>
        </is>
      </c>
      <c r="D3131" t="inlineStr">
        <is>
          <t>IA</t>
        </is>
      </c>
      <c r="E3131" t="inlineStr">
        <is>
          <t>Stage 2</t>
        </is>
      </c>
      <c r="F3131" t="inlineStr">
        <is>
          <t>N/A</t>
        </is>
      </c>
      <c r="G3131" s="26">
        <v>97507648</v>
      </c>
      <c r="H3131" s="26">
        <v>5850459</v>
      </c>
      <c r="I3131" s="26">
        <v>0</v>
      </c>
      <c r="J3131" s="26">
        <v>198</v>
      </c>
      <c r="K3131" t="inlineStr">
        <is>
          <t>Non</t>
        </is>
      </c>
      <c r="L3131">
        <f>SUBTOTAL(103,A3131)</f>
        <v>1</v>
      </c>
    </row>
    <row r="3132">
      <c r="A3132" t="inlineStr">
        <is>
          <t>SOCIETE C1809</t>
        </is>
      </c>
      <c r="B3132" t="inlineStr">
        <is>
          <t>C1809</t>
        </is>
      </c>
      <c r="C3132" t="inlineStr">
        <is>
          <t>PUBLIC SECTOR</t>
        </is>
      </c>
      <c r="D3132" t="inlineStr">
        <is>
          <t>III</t>
        </is>
      </c>
      <c r="E3132" t="inlineStr">
        <is>
          <t>Stage 3</t>
        </is>
      </c>
      <c r="F3132" t="inlineStr">
        <is>
          <t>N/A</t>
        </is>
      </c>
      <c r="G3132" s="26">
        <v>206671589</v>
      </c>
      <c r="H3132" s="26">
        <v>113669374</v>
      </c>
      <c r="I3132" s="26">
        <v>20699910</v>
      </c>
      <c r="J3132" s="26">
        <v>259</v>
      </c>
      <c r="K3132" t="inlineStr">
        <is>
          <t>Oui</t>
        </is>
      </c>
      <c r="L3132">
        <f>SUBTOTAL(103,A3132)</f>
        <v>1</v>
      </c>
    </row>
    <row r="3133">
      <c r="A3133" t="inlineStr">
        <is>
          <t>SOCIETE C2208</t>
        </is>
      </c>
      <c r="B3133" t="inlineStr">
        <is>
          <t>C2208</t>
        </is>
      </c>
      <c r="C3133" t="inlineStr">
        <is>
          <t>CONSUMER BANKING</t>
        </is>
      </c>
      <c r="D3133" t="inlineStr">
        <is>
          <t>I</t>
        </is>
      </c>
      <c r="E3133" t="inlineStr">
        <is>
          <t>Stage 1</t>
        </is>
      </c>
      <c r="F3133" t="inlineStr">
        <is>
          <t>N/A</t>
        </is>
      </c>
      <c r="G3133" s="26">
        <v>1028684273</v>
      </c>
      <c r="H3133" s="26">
        <v>10286843</v>
      </c>
      <c r="I3133" s="26">
        <v>0</v>
      </c>
      <c r="J3133" s="26">
        <v>125</v>
      </c>
      <c r="K3133" t="inlineStr">
        <is>
          <t>Non</t>
        </is>
      </c>
      <c r="L3133">
        <f>SUBTOTAL(103,A3133)</f>
        <v>1</v>
      </c>
    </row>
    <row r="3134">
      <c r="A3134" t="inlineStr">
        <is>
          <t>SOCIETE C1620</t>
        </is>
      </c>
      <c r="B3134" t="inlineStr">
        <is>
          <t>C1620</t>
        </is>
      </c>
      <c r="C3134" t="inlineStr">
        <is>
          <t>CONSUMER BANKING</t>
        </is>
      </c>
      <c r="D3134" t="inlineStr">
        <is>
          <t>I</t>
        </is>
      </c>
      <c r="E3134" t="inlineStr">
        <is>
          <t>Stage 1</t>
        </is>
      </c>
      <c r="F3134" t="inlineStr">
        <is>
          <t>N/A</t>
        </is>
      </c>
      <c r="G3134" s="26">
        <v>403999219</v>
      </c>
      <c r="H3134" s="26">
        <v>4039992</v>
      </c>
      <c r="I3134" s="26">
        <v>18931287</v>
      </c>
      <c r="J3134" s="26">
        <v>300</v>
      </c>
      <c r="K3134" t="inlineStr">
        <is>
          <t>Non</t>
        </is>
      </c>
      <c r="L3134">
        <f>SUBTOTAL(103,A3134)</f>
        <v>1</v>
      </c>
    </row>
    <row r="3135">
      <c r="A3135" t="inlineStr">
        <is>
          <t>SOCIETE C2314</t>
        </is>
      </c>
      <c r="B3135" t="inlineStr">
        <is>
          <t>C2314</t>
        </is>
      </c>
      <c r="C3135" t="inlineStr">
        <is>
          <t>PUBLIC SECTOR</t>
        </is>
      </c>
      <c r="D3135" t="inlineStr">
        <is>
          <t>IA</t>
        </is>
      </c>
      <c r="E3135" t="inlineStr">
        <is>
          <t>Stage 2</t>
        </is>
      </c>
      <c r="F3135" t="inlineStr">
        <is>
          <t>N/A</t>
        </is>
      </c>
      <c r="G3135" s="26">
        <v>555524581</v>
      </c>
      <c r="H3135" s="26">
        <v>33331475</v>
      </c>
      <c r="I3135" s="26">
        <v>58492710</v>
      </c>
      <c r="J3135" s="26">
        <v>95</v>
      </c>
      <c r="K3135" t="inlineStr">
        <is>
          <t>Non</t>
        </is>
      </c>
      <c r="L3135">
        <f>SUBTOTAL(103,A3135)</f>
        <v>1</v>
      </c>
    </row>
    <row r="3136">
      <c r="A3136" t="inlineStr">
        <is>
          <t>SOCIETE C1288</t>
        </is>
      </c>
      <c r="B3136" t="inlineStr">
        <is>
          <t>C1288</t>
        </is>
      </c>
      <c r="C3136" t="inlineStr">
        <is>
          <t>COMMERCIAL BANKING</t>
        </is>
      </c>
      <c r="D3136" t="inlineStr">
        <is>
          <t>I</t>
        </is>
      </c>
      <c r="E3136" t="inlineStr">
        <is>
          <t>Stage 1</t>
        </is>
      </c>
      <c r="F3136" t="inlineStr">
        <is>
          <t>N/A</t>
        </is>
      </c>
      <c r="G3136" s="26">
        <v>44123112</v>
      </c>
      <c r="H3136" s="26">
        <v>441231</v>
      </c>
      <c r="I3136" s="26">
        <v>0</v>
      </c>
      <c r="J3136" s="26">
        <v>4</v>
      </c>
      <c r="K3136" t="inlineStr">
        <is>
          <t>Non</t>
        </is>
      </c>
      <c r="L3136">
        <f>SUBTOTAL(103,A3136)</f>
        <v>1</v>
      </c>
    </row>
    <row r="3137">
      <c r="A3137" t="inlineStr">
        <is>
          <t>SOCIETE C1191</t>
        </is>
      </c>
      <c r="B3137" t="inlineStr">
        <is>
          <t>C1191</t>
        </is>
      </c>
      <c r="C3137" t="inlineStr">
        <is>
          <t>CORPORATE BANKING</t>
        </is>
      </c>
      <c r="D3137" t="inlineStr">
        <is>
          <t>II</t>
        </is>
      </c>
      <c r="E3137" t="inlineStr">
        <is>
          <t>Stage 2</t>
        </is>
      </c>
      <c r="F3137" t="inlineStr">
        <is>
          <t>N/A</t>
        </is>
      </c>
      <c r="G3137" s="26">
        <v>145028816</v>
      </c>
      <c r="H3137" s="26">
        <v>8701729</v>
      </c>
      <c r="I3137" s="26">
        <v>0</v>
      </c>
      <c r="J3137" s="26">
        <v>116</v>
      </c>
      <c r="K3137" t="inlineStr">
        <is>
          <t>Non</t>
        </is>
      </c>
      <c r="L3137">
        <f>SUBTOTAL(103,A3137)</f>
        <v>1</v>
      </c>
    </row>
    <row r="3138">
      <c r="A3138" t="inlineStr">
        <is>
          <t>SOCIETE C633</t>
        </is>
      </c>
      <c r="B3138" t="inlineStr">
        <is>
          <t>C633</t>
        </is>
      </c>
      <c r="C3138" t="inlineStr">
        <is>
          <t>CORPORATE BANKING</t>
        </is>
      </c>
      <c r="D3138" t="inlineStr">
        <is>
          <t>I</t>
        </is>
      </c>
      <c r="E3138" t="inlineStr">
        <is>
          <t>Stage 1</t>
        </is>
      </c>
      <c r="F3138" t="inlineStr">
        <is>
          <t>N/A</t>
        </is>
      </c>
      <c r="G3138" s="26">
        <v>60102240</v>
      </c>
      <c r="H3138" s="26">
        <v>601022</v>
      </c>
      <c r="I3138" s="26">
        <v>0</v>
      </c>
      <c r="J3138" s="26">
        <v>13</v>
      </c>
      <c r="K3138" t="inlineStr">
        <is>
          <t>Non</t>
        </is>
      </c>
      <c r="L3138">
        <f>SUBTOTAL(103,A3138)</f>
        <v>1</v>
      </c>
    </row>
    <row r="3139">
      <c r="A3139" t="inlineStr">
        <is>
          <t>SOCIETE C1523</t>
        </is>
      </c>
      <c r="B3139" t="inlineStr">
        <is>
          <t>C1523</t>
        </is>
      </c>
      <c r="C3139" t="inlineStr">
        <is>
          <t>PUBLIC SECTOR</t>
        </is>
      </c>
      <c r="D3139" t="inlineStr">
        <is>
          <t>I</t>
        </is>
      </c>
      <c r="E3139" t="inlineStr">
        <is>
          <t>Stage 1</t>
        </is>
      </c>
      <c r="F3139" t="inlineStr">
        <is>
          <t>N/A</t>
        </is>
      </c>
      <c r="G3139" s="26">
        <v>51437620</v>
      </c>
      <c r="H3139" s="26">
        <v>514376</v>
      </c>
      <c r="I3139" s="26">
        <v>0</v>
      </c>
      <c r="J3139" s="26">
        <v>1</v>
      </c>
      <c r="K3139" t="inlineStr">
        <is>
          <t>Non</t>
        </is>
      </c>
      <c r="L3139">
        <f>SUBTOTAL(103,A3139)</f>
        <v>1</v>
      </c>
    </row>
    <row r="3140">
      <c r="A3140" t="inlineStr">
        <is>
          <t>SOCIETE C1047</t>
        </is>
      </c>
      <c r="B3140" t="inlineStr">
        <is>
          <t>C1047</t>
        </is>
      </c>
      <c r="C3140" t="inlineStr">
        <is>
          <t>PUBLIC SECTOR</t>
        </is>
      </c>
      <c r="D3140" t="inlineStr">
        <is>
          <t>IV</t>
        </is>
      </c>
      <c r="E3140" t="inlineStr">
        <is>
          <t>Stage 3</t>
        </is>
      </c>
      <c r="F3140" t="inlineStr">
        <is>
          <t>N/A</t>
        </is>
      </c>
      <c r="G3140" s="26">
        <v>285058766</v>
      </c>
      <c r="H3140" s="26">
        <v>156782321</v>
      </c>
      <c r="I3140" s="26">
        <v>0</v>
      </c>
      <c r="J3140" s="26">
        <v>167</v>
      </c>
      <c r="K3140" t="inlineStr">
        <is>
          <t>Oui</t>
        </is>
      </c>
      <c r="L3140">
        <f>SUBTOTAL(103,A3140)</f>
        <v>1</v>
      </c>
    </row>
    <row r="3141">
      <c r="A3141" t="inlineStr">
        <is>
          <t>SOCIETE C1644</t>
        </is>
      </c>
      <c r="B3141" t="inlineStr">
        <is>
          <t>C1644</t>
        </is>
      </c>
      <c r="C3141" t="inlineStr">
        <is>
          <t>PUBLIC SECTOR</t>
        </is>
      </c>
      <c r="D3141" t="inlineStr">
        <is>
          <t>IA</t>
        </is>
      </c>
      <c r="E3141" t="inlineStr">
        <is>
          <t>Stage 2</t>
        </is>
      </c>
      <c r="F3141" t="inlineStr">
        <is>
          <t>N/A</t>
        </is>
      </c>
      <c r="G3141" s="26">
        <v>36966760</v>
      </c>
      <c r="H3141" s="26">
        <v>2218006</v>
      </c>
      <c r="I3141" s="26">
        <v>0</v>
      </c>
      <c r="J3141" s="26">
        <v>175</v>
      </c>
      <c r="K3141" t="inlineStr">
        <is>
          <t>Non</t>
        </is>
      </c>
      <c r="L3141">
        <f>SUBTOTAL(103,A3141)</f>
        <v>1</v>
      </c>
    </row>
    <row r="3142">
      <c r="A3142" t="inlineStr">
        <is>
          <t>SOCIETE C1175</t>
        </is>
      </c>
      <c r="B3142" t="inlineStr">
        <is>
          <t>C1175</t>
        </is>
      </c>
      <c r="C3142" t="inlineStr">
        <is>
          <t>CONSUMER BANKING</t>
        </is>
      </c>
      <c r="D3142" t="inlineStr">
        <is>
          <t>III</t>
        </is>
      </c>
      <c r="E3142" t="inlineStr">
        <is>
          <t>Stage 3</t>
        </is>
      </c>
      <c r="F3142" t="inlineStr">
        <is>
          <t>N/A</t>
        </is>
      </c>
      <c r="G3142" s="26">
        <v>354338005</v>
      </c>
      <c r="H3142" s="26">
        <v>194885903</v>
      </c>
      <c r="I3142" s="26">
        <v>0</v>
      </c>
      <c r="J3142" s="26">
        <v>110</v>
      </c>
      <c r="K3142" t="inlineStr">
        <is>
          <t>Oui</t>
        </is>
      </c>
      <c r="L3142">
        <f>SUBTOTAL(103,A3142)</f>
        <v>1</v>
      </c>
    </row>
    <row r="3143">
      <c r="A3143" t="inlineStr">
        <is>
          <t>SOCIETE C1124</t>
        </is>
      </c>
      <c r="B3143" t="inlineStr">
        <is>
          <t>C1124</t>
        </is>
      </c>
      <c r="C3143" t="inlineStr">
        <is>
          <t>CORPORATE BANKING</t>
        </is>
      </c>
      <c r="D3143" t="inlineStr">
        <is>
          <t>V</t>
        </is>
      </c>
      <c r="E3143" t="inlineStr">
        <is>
          <t>Stage 3</t>
        </is>
      </c>
      <c r="F3143" t="inlineStr">
        <is>
          <t>N/A</t>
        </is>
      </c>
      <c r="G3143" s="26">
        <v>1020600</v>
      </c>
      <c r="H3143" s="26">
        <v>561330</v>
      </c>
      <c r="I3143" s="26">
        <v>0</v>
      </c>
      <c r="J3143" s="26">
        <v>54</v>
      </c>
      <c r="K3143" t="inlineStr">
        <is>
          <t>Oui</t>
        </is>
      </c>
      <c r="L3143">
        <f>SUBTOTAL(103,A3143)</f>
        <v>1</v>
      </c>
    </row>
    <row r="3144">
      <c r="A3144" t="inlineStr">
        <is>
          <t>SOCIETE C911</t>
        </is>
      </c>
      <c r="B3144" t="inlineStr">
        <is>
          <t>C911</t>
        </is>
      </c>
      <c r="C3144" t="inlineStr">
        <is>
          <t>CORPORATE BANKING</t>
        </is>
      </c>
      <c r="D3144" t="inlineStr">
        <is>
          <t>V</t>
        </is>
      </c>
      <c r="E3144" t="inlineStr">
        <is>
          <t>Stage 3</t>
        </is>
      </c>
      <c r="F3144" t="inlineStr">
        <is>
          <t>N/A</t>
        </is>
      </c>
      <c r="G3144" s="26">
        <v>2095658</v>
      </c>
      <c r="H3144" s="26">
        <v>1152612</v>
      </c>
      <c r="I3144" s="26">
        <v>0</v>
      </c>
      <c r="J3144" s="26">
        <v>19</v>
      </c>
      <c r="K3144" t="inlineStr">
        <is>
          <t>Oui</t>
        </is>
      </c>
      <c r="L3144">
        <f>SUBTOTAL(103,A3144)</f>
        <v>1</v>
      </c>
    </row>
    <row r="3145">
      <c r="A3145" t="inlineStr">
        <is>
          <t>SOCIETE C1345</t>
        </is>
      </c>
      <c r="B3145" t="inlineStr">
        <is>
          <t>C1345</t>
        </is>
      </c>
      <c r="C3145" t="inlineStr">
        <is>
          <t>CORPORATE BANKING</t>
        </is>
      </c>
      <c r="D3145" t="inlineStr">
        <is>
          <t>I</t>
        </is>
      </c>
      <c r="E3145" t="inlineStr">
        <is>
          <t>Stage 1</t>
        </is>
      </c>
      <c r="F3145" t="inlineStr">
        <is>
          <t>N/A</t>
        </is>
      </c>
      <c r="G3145" s="26">
        <v>130156301</v>
      </c>
      <c r="H3145" s="26">
        <v>1301563</v>
      </c>
      <c r="I3145" s="26">
        <v>0</v>
      </c>
      <c r="J3145" s="26">
        <v>4</v>
      </c>
      <c r="K3145" t="inlineStr">
        <is>
          <t>Non</t>
        </is>
      </c>
      <c r="L3145">
        <f>SUBTOTAL(103,A3145)</f>
        <v>1</v>
      </c>
    </row>
    <row r="3146">
      <c r="A3146" t="inlineStr">
        <is>
          <t>SOCIETE C312</t>
        </is>
      </c>
      <c r="B3146" t="inlineStr">
        <is>
          <t>C312</t>
        </is>
      </c>
      <c r="C3146" t="inlineStr">
        <is>
          <t>CORPORATE BANKING</t>
        </is>
      </c>
      <c r="D3146" t="inlineStr">
        <is>
          <t>I</t>
        </is>
      </c>
      <c r="E3146" t="inlineStr">
        <is>
          <t>Stage 1</t>
        </is>
      </c>
      <c r="F3146" t="inlineStr">
        <is>
          <t>N/A</t>
        </is>
      </c>
      <c r="G3146" s="26">
        <v>42609256</v>
      </c>
      <c r="H3146" s="26">
        <v>426093</v>
      </c>
      <c r="I3146" s="26">
        <v>0</v>
      </c>
      <c r="J3146" s="26">
        <v>170</v>
      </c>
      <c r="K3146" t="inlineStr">
        <is>
          <t>Non</t>
        </is>
      </c>
      <c r="L3146">
        <f>SUBTOTAL(103,A3146)</f>
        <v>1</v>
      </c>
    </row>
    <row r="3147">
      <c r="A3147" t="inlineStr">
        <is>
          <t>SOCIETE C2187</t>
        </is>
      </c>
      <c r="B3147" t="inlineStr">
        <is>
          <t>C2187</t>
        </is>
      </c>
      <c r="C3147" t="inlineStr">
        <is>
          <t>CORPORATE BANKING</t>
        </is>
      </c>
      <c r="D3147" t="inlineStr">
        <is>
          <t>I</t>
        </is>
      </c>
      <c r="E3147" t="inlineStr">
        <is>
          <t>Stage 1</t>
        </is>
      </c>
      <c r="F3147" t="inlineStr">
        <is>
          <t>N/A</t>
        </is>
      </c>
      <c r="G3147" s="26">
        <v>2131914839</v>
      </c>
      <c r="H3147" s="26">
        <v>21319148</v>
      </c>
      <c r="I3147" s="26">
        <v>250388441</v>
      </c>
      <c r="J3147" s="26">
        <v>12</v>
      </c>
      <c r="K3147" t="inlineStr">
        <is>
          <t>Non</t>
        </is>
      </c>
      <c r="L3147">
        <f>SUBTOTAL(103,A3147)</f>
        <v>1</v>
      </c>
    </row>
    <row r="3148">
      <c r="A3148" t="inlineStr">
        <is>
          <t>SOCIETE C587</t>
        </is>
      </c>
      <c r="B3148" t="inlineStr">
        <is>
          <t>C587</t>
        </is>
      </c>
      <c r="C3148" t="inlineStr">
        <is>
          <t>CORPORATE BANKING</t>
        </is>
      </c>
      <c r="D3148" t="inlineStr">
        <is>
          <t>I</t>
        </is>
      </c>
      <c r="E3148" t="inlineStr">
        <is>
          <t>Stage 1</t>
        </is>
      </c>
      <c r="F3148" t="inlineStr">
        <is>
          <t>N/A</t>
        </is>
      </c>
      <c r="G3148" s="26">
        <v>782126165</v>
      </c>
      <c r="H3148" s="26">
        <v>7821262</v>
      </c>
      <c r="I3148" s="26">
        <v>0</v>
      </c>
      <c r="J3148" s="26">
        <v>23</v>
      </c>
      <c r="K3148" t="inlineStr">
        <is>
          <t>Non</t>
        </is>
      </c>
      <c r="L3148">
        <f>SUBTOTAL(103,A3148)</f>
        <v>1</v>
      </c>
    </row>
    <row r="3149">
      <c r="A3149" t="inlineStr">
        <is>
          <t>SOCIETE C737</t>
        </is>
      </c>
      <c r="B3149" t="inlineStr">
        <is>
          <t>C737</t>
        </is>
      </c>
      <c r="C3149" t="inlineStr">
        <is>
          <t>COMMERCIAL BANKING</t>
        </is>
      </c>
      <c r="D3149" t="inlineStr">
        <is>
          <t>V</t>
        </is>
      </c>
      <c r="E3149" t="inlineStr">
        <is>
          <t>Stage 3</t>
        </is>
      </c>
      <c r="F3149" t="inlineStr">
        <is>
          <t>N/A</t>
        </is>
      </c>
      <c r="G3149" s="26">
        <v>1551678644</v>
      </c>
      <c r="H3149" s="26">
        <v>853423254</v>
      </c>
      <c r="I3149" s="26">
        <v>0</v>
      </c>
      <c r="J3149" s="26">
        <v>216</v>
      </c>
      <c r="K3149" t="inlineStr">
        <is>
          <t>Oui</t>
        </is>
      </c>
      <c r="L3149">
        <f>SUBTOTAL(103,A3149)</f>
        <v>1</v>
      </c>
    </row>
    <row r="3150">
      <c r="A3150" t="inlineStr">
        <is>
          <t>SOCIETE C267</t>
        </is>
      </c>
      <c r="B3150" t="inlineStr">
        <is>
          <t>C267</t>
        </is>
      </c>
      <c r="C3150" t="inlineStr">
        <is>
          <t>COMMERCIAL BANKING</t>
        </is>
      </c>
      <c r="D3150" t="inlineStr">
        <is>
          <t>IA</t>
        </is>
      </c>
      <c r="E3150" t="inlineStr">
        <is>
          <t>Stage 2</t>
        </is>
      </c>
      <c r="F3150" t="inlineStr">
        <is>
          <t>N/A</t>
        </is>
      </c>
      <c r="G3150" s="26">
        <v>8170044</v>
      </c>
      <c r="H3150" s="26">
        <v>490203</v>
      </c>
      <c r="I3150" s="26">
        <v>0</v>
      </c>
      <c r="J3150" s="26">
        <v>99</v>
      </c>
      <c r="K3150" t="inlineStr">
        <is>
          <t>Non</t>
        </is>
      </c>
      <c r="L3150">
        <f>SUBTOTAL(103,A3150)</f>
        <v>1</v>
      </c>
    </row>
    <row r="3151">
      <c r="A3151" t="inlineStr">
        <is>
          <t>SOCIETE C576</t>
        </is>
      </c>
      <c r="B3151" t="inlineStr">
        <is>
          <t>C576</t>
        </is>
      </c>
      <c r="C3151" t="inlineStr">
        <is>
          <t>SME</t>
        </is>
      </c>
      <c r="D3151" t="inlineStr">
        <is>
          <t>IA</t>
        </is>
      </c>
      <c r="E3151" t="inlineStr">
        <is>
          <t>Stage 2</t>
        </is>
      </c>
      <c r="F3151" t="inlineStr">
        <is>
          <t>N/A</t>
        </is>
      </c>
      <c r="G3151" s="26">
        <v>1076423865</v>
      </c>
      <c r="H3151" s="26">
        <v>64585432</v>
      </c>
      <c r="I3151" s="26">
        <v>128976944</v>
      </c>
      <c r="J3151" s="26">
        <v>15</v>
      </c>
      <c r="K3151" t="inlineStr">
        <is>
          <t>Non</t>
        </is>
      </c>
      <c r="L3151">
        <f>SUBTOTAL(103,A3151)</f>
        <v>1</v>
      </c>
    </row>
    <row r="3152">
      <c r="A3152" t="inlineStr">
        <is>
          <t>SOCIETE C2349</t>
        </is>
      </c>
      <c r="B3152" t="inlineStr">
        <is>
          <t>C2349</t>
        </is>
      </c>
      <c r="C3152" t="inlineStr">
        <is>
          <t>COMMERCIAL BANKING</t>
        </is>
      </c>
      <c r="D3152" t="inlineStr">
        <is>
          <t>IA</t>
        </is>
      </c>
      <c r="E3152" t="inlineStr">
        <is>
          <t>Stage 2</t>
        </is>
      </c>
      <c r="F3152" t="inlineStr">
        <is>
          <t>N/A</t>
        </is>
      </c>
      <c r="G3152" s="26">
        <v>640122923</v>
      </c>
      <c r="H3152" s="26">
        <v>38407375</v>
      </c>
      <c r="I3152" s="26">
        <v>0</v>
      </c>
      <c r="J3152" s="26">
        <v>19</v>
      </c>
      <c r="K3152" t="inlineStr">
        <is>
          <t>Non</t>
        </is>
      </c>
      <c r="L3152">
        <f>SUBTOTAL(103,A3152)</f>
        <v>1</v>
      </c>
    </row>
    <row r="3153">
      <c r="A3153" t="inlineStr">
        <is>
          <t>SOCIETE C1827</t>
        </is>
      </c>
      <c r="B3153" t="inlineStr">
        <is>
          <t>C1827</t>
        </is>
      </c>
      <c r="C3153" t="inlineStr">
        <is>
          <t>COMMERCIAL BANKING</t>
        </is>
      </c>
      <c r="D3153" t="inlineStr">
        <is>
          <t>IA</t>
        </is>
      </c>
      <c r="E3153" t="inlineStr">
        <is>
          <t>Stage 2</t>
        </is>
      </c>
      <c r="F3153" t="inlineStr">
        <is>
          <t>N/A</t>
        </is>
      </c>
      <c r="G3153" s="26">
        <v>155549730</v>
      </c>
      <c r="H3153" s="26">
        <v>9332984</v>
      </c>
      <c r="I3153" s="26">
        <v>0</v>
      </c>
      <c r="J3153" s="26">
        <v>48</v>
      </c>
      <c r="K3153" t="inlineStr">
        <is>
          <t>Non</t>
        </is>
      </c>
      <c r="L3153">
        <f>SUBTOTAL(103,A3153)</f>
        <v>1</v>
      </c>
    </row>
    <row r="3154">
      <c r="A3154" t="inlineStr">
        <is>
          <t>SOCIETE C2023</t>
        </is>
      </c>
      <c r="B3154" t="inlineStr">
        <is>
          <t>C2023</t>
        </is>
      </c>
      <c r="C3154" t="inlineStr">
        <is>
          <t>COMMERCIAL BANKING</t>
        </is>
      </c>
      <c r="D3154" t="inlineStr">
        <is>
          <t>IA</t>
        </is>
      </c>
      <c r="E3154" t="inlineStr">
        <is>
          <t>Stage 2</t>
        </is>
      </c>
      <c r="F3154" t="inlineStr">
        <is>
          <t>N/A</t>
        </is>
      </c>
      <c r="G3154" s="26">
        <v>1784759001</v>
      </c>
      <c r="H3154" s="26">
        <v>107085540</v>
      </c>
      <c r="I3154" s="26">
        <v>0</v>
      </c>
      <c r="J3154" s="26">
        <v>14</v>
      </c>
      <c r="K3154" t="inlineStr">
        <is>
          <t>Non</t>
        </is>
      </c>
      <c r="L3154">
        <f>SUBTOTAL(103,A3154)</f>
        <v>1</v>
      </c>
    </row>
    <row r="3155">
      <c r="A3155" t="inlineStr">
        <is>
          <t>SOCIETE C1242</t>
        </is>
      </c>
      <c r="B3155" t="inlineStr">
        <is>
          <t>C1242</t>
        </is>
      </c>
      <c r="C3155" t="inlineStr">
        <is>
          <t>CORPORATE BANKING</t>
        </is>
      </c>
      <c r="D3155" t="inlineStr">
        <is>
          <t>I</t>
        </is>
      </c>
      <c r="E3155" t="inlineStr">
        <is>
          <t>Stage 1</t>
        </is>
      </c>
      <c r="F3155" t="inlineStr">
        <is>
          <t>N/A</t>
        </is>
      </c>
      <c r="G3155" s="26">
        <v>27573634</v>
      </c>
      <c r="H3155" s="26">
        <v>275736</v>
      </c>
      <c r="I3155" s="26">
        <v>0</v>
      </c>
      <c r="J3155" s="26">
        <v>4</v>
      </c>
      <c r="K3155" t="inlineStr">
        <is>
          <t>Non</t>
        </is>
      </c>
      <c r="L3155">
        <f>SUBTOTAL(103,A3155)</f>
        <v>1</v>
      </c>
    </row>
    <row r="3156">
      <c r="A3156" t="inlineStr">
        <is>
          <t>SOCIETE C1485</t>
        </is>
      </c>
      <c r="B3156" t="inlineStr">
        <is>
          <t>C1485</t>
        </is>
      </c>
      <c r="C3156" t="inlineStr">
        <is>
          <t>COMMERCIAL BANKING</t>
        </is>
      </c>
      <c r="D3156" t="inlineStr">
        <is>
          <t>IA</t>
        </is>
      </c>
      <c r="E3156" t="inlineStr">
        <is>
          <t>Stage 2</t>
        </is>
      </c>
      <c r="F3156" t="inlineStr">
        <is>
          <t>N/A</t>
        </is>
      </c>
      <c r="G3156" s="26">
        <v>2075181891</v>
      </c>
      <c r="H3156" s="26">
        <v>124510913</v>
      </c>
      <c r="I3156" s="26">
        <v>0</v>
      </c>
      <c r="J3156" s="26">
        <v>370</v>
      </c>
      <c r="K3156" t="inlineStr">
        <is>
          <t>Non</t>
        </is>
      </c>
      <c r="L3156">
        <f>SUBTOTAL(103,A3156)</f>
        <v>1</v>
      </c>
    </row>
    <row r="3157">
      <c r="A3157" t="inlineStr">
        <is>
          <t>SOCIETE C2000</t>
        </is>
      </c>
      <c r="B3157" t="inlineStr">
        <is>
          <t>C2000</t>
        </is>
      </c>
      <c r="C3157" t="inlineStr">
        <is>
          <t>CORPORATE BANKING</t>
        </is>
      </c>
      <c r="D3157" t="inlineStr">
        <is>
          <t>III</t>
        </is>
      </c>
      <c r="E3157" t="inlineStr">
        <is>
          <t>Stage 3</t>
        </is>
      </c>
      <c r="F3157" t="inlineStr">
        <is>
          <t>N/A</t>
        </is>
      </c>
      <c r="G3157" s="26">
        <v>1028462</v>
      </c>
      <c r="H3157" s="26">
        <v>565654</v>
      </c>
      <c r="I3157" s="26">
        <v>0</v>
      </c>
      <c r="J3157" s="26">
        <v>11</v>
      </c>
      <c r="K3157" t="inlineStr">
        <is>
          <t>Oui</t>
        </is>
      </c>
      <c r="L3157">
        <f>SUBTOTAL(103,A3157)</f>
        <v>1</v>
      </c>
    </row>
    <row r="3158">
      <c r="A3158" t="inlineStr">
        <is>
          <t>SOCIETE C1367</t>
        </is>
      </c>
      <c r="B3158" t="inlineStr">
        <is>
          <t>C1367</t>
        </is>
      </c>
      <c r="C3158" t="inlineStr">
        <is>
          <t>CONSUMER BANKING</t>
        </is>
      </c>
      <c r="D3158" t="inlineStr">
        <is>
          <t>V</t>
        </is>
      </c>
      <c r="E3158" t="inlineStr">
        <is>
          <t>Stage 3</t>
        </is>
      </c>
      <c r="F3158" t="inlineStr">
        <is>
          <t>N/A</t>
        </is>
      </c>
      <c r="G3158" s="26">
        <v>31590135</v>
      </c>
      <c r="H3158" s="26">
        <v>17374574</v>
      </c>
      <c r="I3158" s="26">
        <v>0</v>
      </c>
      <c r="J3158" s="26">
        <v>1</v>
      </c>
      <c r="K3158" t="inlineStr">
        <is>
          <t>Oui</t>
        </is>
      </c>
      <c r="L3158">
        <f>SUBTOTAL(103,A3158)</f>
        <v>1</v>
      </c>
    </row>
    <row r="3159">
      <c r="A3159" t="inlineStr">
        <is>
          <t>SOCIETE C1966</t>
        </is>
      </c>
      <c r="B3159" t="inlineStr">
        <is>
          <t>C1966</t>
        </is>
      </c>
      <c r="C3159" t="inlineStr">
        <is>
          <t>CONSUMER BANKING</t>
        </is>
      </c>
      <c r="D3159" t="inlineStr">
        <is>
          <t>III</t>
        </is>
      </c>
      <c r="E3159" t="inlineStr">
        <is>
          <t>Stage 3</t>
        </is>
      </c>
      <c r="F3159" t="inlineStr">
        <is>
          <t>N/A</t>
        </is>
      </c>
      <c r="G3159" s="26">
        <v>2033259498</v>
      </c>
      <c r="H3159" s="26">
        <v>1118292724</v>
      </c>
      <c r="I3159" s="26">
        <v>232600631</v>
      </c>
      <c r="J3159" s="26">
        <v>40</v>
      </c>
      <c r="K3159" t="inlineStr">
        <is>
          <t>Oui</t>
        </is>
      </c>
      <c r="L3159">
        <f>SUBTOTAL(103,A3159)</f>
        <v>1</v>
      </c>
    </row>
    <row r="3160">
      <c r="A3160" t="inlineStr">
        <is>
          <t>SOCIETE C1260</t>
        </is>
      </c>
      <c r="B3160" t="inlineStr">
        <is>
          <t>C1260</t>
        </is>
      </c>
      <c r="C3160" t="inlineStr">
        <is>
          <t>PUBLIC SECTOR</t>
        </is>
      </c>
      <c r="D3160" t="inlineStr">
        <is>
          <t>I</t>
        </is>
      </c>
      <c r="E3160" t="inlineStr">
        <is>
          <t>Stage 1</t>
        </is>
      </c>
      <c r="F3160" t="inlineStr">
        <is>
          <t>N/A</t>
        </is>
      </c>
      <c r="G3160" s="26">
        <v>766999205</v>
      </c>
      <c r="H3160" s="26">
        <v>7669992</v>
      </c>
      <c r="I3160" s="26">
        <v>0</v>
      </c>
      <c r="J3160" s="26">
        <v>28</v>
      </c>
      <c r="K3160" t="inlineStr">
        <is>
          <t>Non</t>
        </is>
      </c>
      <c r="L3160">
        <f>SUBTOTAL(103,A3160)</f>
        <v>1</v>
      </c>
    </row>
    <row r="3161">
      <c r="A3161" t="inlineStr">
        <is>
          <t>SOCIETE C200</t>
        </is>
      </c>
      <c r="B3161" t="inlineStr">
        <is>
          <t>C200</t>
        </is>
      </c>
      <c r="C3161" t="inlineStr">
        <is>
          <t>CORPORATE BANKING</t>
        </is>
      </c>
      <c r="D3161" t="inlineStr">
        <is>
          <t>IV</t>
        </is>
      </c>
      <c r="E3161" t="inlineStr">
        <is>
          <t>Stage 3</t>
        </is>
      </c>
      <c r="F3161" t="inlineStr">
        <is>
          <t>N/A</t>
        </is>
      </c>
      <c r="G3161" s="26">
        <v>1035040960</v>
      </c>
      <c r="H3161" s="26">
        <v>569272528</v>
      </c>
      <c r="I3161" s="26">
        <v>0</v>
      </c>
      <c r="J3161" s="26">
        <v>139</v>
      </c>
      <c r="K3161" t="inlineStr">
        <is>
          <t>Oui</t>
        </is>
      </c>
      <c r="L3161">
        <f>SUBTOTAL(103,A3161)</f>
        <v>1</v>
      </c>
    </row>
    <row r="3162">
      <c r="A3162" t="inlineStr">
        <is>
          <t>SOCIETE C9</t>
        </is>
      </c>
      <c r="B3162" t="inlineStr">
        <is>
          <t>C9</t>
        </is>
      </c>
      <c r="C3162" t="inlineStr">
        <is>
          <t>PUBLIC SECTOR</t>
        </is>
      </c>
      <c r="D3162" t="inlineStr">
        <is>
          <t>III</t>
        </is>
      </c>
      <c r="E3162" t="inlineStr">
        <is>
          <t>Stage 3</t>
        </is>
      </c>
      <c r="F3162" t="inlineStr">
        <is>
          <t>N/A</t>
        </is>
      </c>
      <c r="G3162" s="26">
        <v>493377118</v>
      </c>
      <c r="H3162" s="26">
        <v>271357415</v>
      </c>
      <c r="I3162" s="26">
        <v>0</v>
      </c>
      <c r="J3162" s="26">
        <v>0</v>
      </c>
      <c r="K3162" t="inlineStr">
        <is>
          <t>Oui</t>
        </is>
      </c>
      <c r="L3162">
        <f>SUBTOTAL(103,A3162)</f>
        <v>1</v>
      </c>
    </row>
    <row r="3163">
      <c r="A3163" t="inlineStr">
        <is>
          <t>SOCIETE C1488</t>
        </is>
      </c>
      <c r="B3163" t="inlineStr">
        <is>
          <t>C1488</t>
        </is>
      </c>
      <c r="C3163" t="inlineStr">
        <is>
          <t>PUBLIC SECTOR</t>
        </is>
      </c>
      <c r="D3163" t="inlineStr">
        <is>
          <t>I</t>
        </is>
      </c>
      <c r="E3163" t="inlineStr">
        <is>
          <t>Stage 1</t>
        </is>
      </c>
      <c r="F3163" t="inlineStr">
        <is>
          <t>N/A</t>
        </is>
      </c>
      <c r="G3163" s="26">
        <v>1011573</v>
      </c>
      <c r="H3163" s="26">
        <v>10116</v>
      </c>
      <c r="I3163" s="26">
        <v>94346</v>
      </c>
      <c r="J3163" s="26">
        <v>55</v>
      </c>
      <c r="K3163" t="inlineStr">
        <is>
          <t>Non</t>
        </is>
      </c>
      <c r="L3163">
        <f>SUBTOTAL(103,A3163)</f>
        <v>1</v>
      </c>
    </row>
    <row r="3164">
      <c r="A3164" t="inlineStr">
        <is>
          <t>SOCIETE C10</t>
        </is>
      </c>
      <c r="B3164" t="inlineStr">
        <is>
          <t>C10</t>
        </is>
      </c>
      <c r="C3164" t="inlineStr">
        <is>
          <t>CORPORATE BANKING</t>
        </is>
      </c>
      <c r="D3164" t="inlineStr">
        <is>
          <t>I</t>
        </is>
      </c>
      <c r="E3164" t="inlineStr">
        <is>
          <t>Stage 1</t>
        </is>
      </c>
      <c r="F3164" t="inlineStr">
        <is>
          <t>N/A</t>
        </is>
      </c>
      <c r="G3164" s="26">
        <v>621410713</v>
      </c>
      <c r="H3164" s="26">
        <v>6214107</v>
      </c>
      <c r="I3164" s="26">
        <v>37778844</v>
      </c>
      <c r="J3164" s="26">
        <v>79</v>
      </c>
      <c r="K3164" t="inlineStr">
        <is>
          <t>Non</t>
        </is>
      </c>
      <c r="L3164">
        <f>SUBTOTAL(103,A3164)</f>
        <v>1</v>
      </c>
    </row>
    <row r="3165">
      <c r="A3165" t="inlineStr">
        <is>
          <t>SOCIETE C457</t>
        </is>
      </c>
      <c r="B3165" t="inlineStr">
        <is>
          <t>C457</t>
        </is>
      </c>
      <c r="C3165" t="inlineStr">
        <is>
          <t>CORPORATE BANKING</t>
        </is>
      </c>
      <c r="D3165" t="inlineStr">
        <is>
          <t>II</t>
        </is>
      </c>
      <c r="E3165" t="inlineStr">
        <is>
          <t>Stage 2</t>
        </is>
      </c>
      <c r="F3165" t="inlineStr">
        <is>
          <t>N/A</t>
        </is>
      </c>
      <c r="G3165" s="26">
        <v>2530129234</v>
      </c>
      <c r="H3165" s="26">
        <v>151807754</v>
      </c>
      <c r="I3165" s="26">
        <v>0</v>
      </c>
      <c r="J3165" s="26">
        <v>114</v>
      </c>
      <c r="K3165" t="inlineStr">
        <is>
          <t>Non</t>
        </is>
      </c>
      <c r="L3165">
        <f>SUBTOTAL(103,A3165)</f>
        <v>1</v>
      </c>
    </row>
    <row r="3166">
      <c r="A3166" t="inlineStr">
        <is>
          <t>SOCIETE C1887</t>
        </is>
      </c>
      <c r="B3166" t="inlineStr">
        <is>
          <t>C1887</t>
        </is>
      </c>
      <c r="C3166" t="inlineStr">
        <is>
          <t>CORPORATE BANKING</t>
        </is>
      </c>
      <c r="D3166" t="inlineStr">
        <is>
          <t>I</t>
        </is>
      </c>
      <c r="E3166" t="inlineStr">
        <is>
          <t>Stage 1</t>
        </is>
      </c>
      <c r="F3166" t="inlineStr">
        <is>
          <t>N/A</t>
        </is>
      </c>
      <c r="G3166" s="26">
        <v>1773026200</v>
      </c>
      <c r="H3166" s="26">
        <v>17730262</v>
      </c>
      <c r="I3166" s="26">
        <v>0</v>
      </c>
      <c r="J3166" s="26">
        <v>26</v>
      </c>
      <c r="K3166" t="inlineStr">
        <is>
          <t>Non</t>
        </is>
      </c>
      <c r="L3166">
        <f>SUBTOTAL(103,A3166)</f>
        <v>1</v>
      </c>
    </row>
    <row r="3167">
      <c r="A3167" t="inlineStr">
        <is>
          <t>SOCIETE C2222</t>
        </is>
      </c>
      <c r="B3167" t="inlineStr">
        <is>
          <t>C2222</t>
        </is>
      </c>
      <c r="C3167" t="inlineStr">
        <is>
          <t>CORPORATE BANKING</t>
        </is>
      </c>
      <c r="D3167" t="inlineStr">
        <is>
          <t>I</t>
        </is>
      </c>
      <c r="E3167" t="inlineStr">
        <is>
          <t>Stage 1</t>
        </is>
      </c>
      <c r="F3167" t="inlineStr">
        <is>
          <t>N/A</t>
        </is>
      </c>
      <c r="G3167" s="26">
        <v>429409906</v>
      </c>
      <c r="H3167" s="26">
        <v>4294099</v>
      </c>
      <c r="I3167" s="26">
        <v>52690021</v>
      </c>
      <c r="J3167" s="26">
        <v>0</v>
      </c>
      <c r="K3167" t="inlineStr">
        <is>
          <t>Non</t>
        </is>
      </c>
      <c r="L3167">
        <f>SUBTOTAL(103,A3167)</f>
        <v>1</v>
      </c>
    </row>
    <row r="3168">
      <c r="A3168" t="inlineStr">
        <is>
          <t>SOCIETE C861</t>
        </is>
      </c>
      <c r="B3168" t="inlineStr">
        <is>
          <t>C861</t>
        </is>
      </c>
      <c r="C3168" t="inlineStr">
        <is>
          <t>CORPORATE BANKING</t>
        </is>
      </c>
      <c r="D3168" t="inlineStr">
        <is>
          <t>III</t>
        </is>
      </c>
      <c r="E3168" t="inlineStr">
        <is>
          <t>Stage 3</t>
        </is>
      </c>
      <c r="F3168" t="inlineStr">
        <is>
          <t>N/A</t>
        </is>
      </c>
      <c r="G3168" s="26">
        <v>1054693</v>
      </c>
      <c r="H3168" s="26">
        <v>580081</v>
      </c>
      <c r="I3168" s="26">
        <v>140280</v>
      </c>
      <c r="J3168" s="26">
        <v>4</v>
      </c>
      <c r="K3168" t="inlineStr">
        <is>
          <t>Oui</t>
        </is>
      </c>
      <c r="L3168">
        <f>SUBTOTAL(103,A3168)</f>
        <v>1</v>
      </c>
    </row>
    <row r="3169">
      <c r="A3169" t="inlineStr">
        <is>
          <t>SOCIETE C1523</t>
        </is>
      </c>
      <c r="B3169" t="inlineStr">
        <is>
          <t>C1523</t>
        </is>
      </c>
      <c r="C3169" t="inlineStr">
        <is>
          <t>CORPORATE BANKING</t>
        </is>
      </c>
      <c r="D3169" t="inlineStr">
        <is>
          <t>I</t>
        </is>
      </c>
      <c r="E3169" t="inlineStr">
        <is>
          <t>Stage 1</t>
        </is>
      </c>
      <c r="F3169" t="inlineStr">
        <is>
          <t>N/A</t>
        </is>
      </c>
      <c r="G3169" s="26">
        <v>2104560</v>
      </c>
      <c r="H3169" s="26">
        <v>21046</v>
      </c>
      <c r="I3169" s="26">
        <v>62169</v>
      </c>
      <c r="J3169" s="26">
        <v>14</v>
      </c>
      <c r="K3169" t="inlineStr">
        <is>
          <t>Non</t>
        </is>
      </c>
      <c r="L3169">
        <f>SUBTOTAL(103,A3169)</f>
        <v>1</v>
      </c>
    </row>
    <row r="3170">
      <c r="A3170" t="inlineStr">
        <is>
          <t>SOCIETE C577</t>
        </is>
      </c>
      <c r="B3170" t="inlineStr">
        <is>
          <t>C577</t>
        </is>
      </c>
      <c r="C3170" t="inlineStr">
        <is>
          <t>COMMERCIAL BANKING</t>
        </is>
      </c>
      <c r="D3170" t="inlineStr">
        <is>
          <t>I</t>
        </is>
      </c>
      <c r="E3170" t="inlineStr">
        <is>
          <t>Stage 1</t>
        </is>
      </c>
      <c r="F3170" t="inlineStr">
        <is>
          <t>N/A</t>
        </is>
      </c>
      <c r="G3170" s="26">
        <v>2263869314</v>
      </c>
      <c r="H3170" s="26">
        <v>22638693</v>
      </c>
      <c r="I3170" s="26">
        <v>0</v>
      </c>
      <c r="J3170" s="26">
        <v>141</v>
      </c>
      <c r="K3170" t="inlineStr">
        <is>
          <t>Non</t>
        </is>
      </c>
      <c r="L3170">
        <f>SUBTOTAL(103,A3170)</f>
        <v>1</v>
      </c>
    </row>
    <row r="3171">
      <c r="A3171" t="inlineStr">
        <is>
          <t>SOCIETE C967</t>
        </is>
      </c>
      <c r="B3171" t="inlineStr">
        <is>
          <t>C967</t>
        </is>
      </c>
      <c r="C3171" t="inlineStr">
        <is>
          <t>CONSUMER BANKING</t>
        </is>
      </c>
      <c r="D3171" t="inlineStr">
        <is>
          <t>IA</t>
        </is>
      </c>
      <c r="E3171" t="inlineStr">
        <is>
          <t>Stage 2</t>
        </is>
      </c>
      <c r="F3171" t="inlineStr">
        <is>
          <t>N/A</t>
        </is>
      </c>
      <c r="G3171" s="26">
        <v>85732500</v>
      </c>
      <c r="H3171" s="26">
        <v>5143950</v>
      </c>
      <c r="I3171" s="26">
        <v>7386039</v>
      </c>
      <c r="J3171" s="26">
        <v>154</v>
      </c>
      <c r="K3171" t="inlineStr">
        <is>
          <t>Non</t>
        </is>
      </c>
      <c r="L3171">
        <f>SUBTOTAL(103,A3171)</f>
        <v>1</v>
      </c>
    </row>
    <row r="3172">
      <c r="A3172" t="inlineStr">
        <is>
          <t>SOCIETE C2299</t>
        </is>
      </c>
      <c r="B3172" t="inlineStr">
        <is>
          <t>C2299</t>
        </is>
      </c>
      <c r="C3172" t="inlineStr">
        <is>
          <t>CORPORATE BANKING</t>
        </is>
      </c>
      <c r="D3172" t="inlineStr">
        <is>
          <t>I</t>
        </is>
      </c>
      <c r="E3172" t="inlineStr">
        <is>
          <t>Stage 1</t>
        </is>
      </c>
      <c r="F3172" t="inlineStr">
        <is>
          <t>N/A</t>
        </is>
      </c>
      <c r="G3172" s="26">
        <v>1094819103</v>
      </c>
      <c r="H3172" s="26">
        <v>10948191</v>
      </c>
      <c r="I3172" s="26">
        <v>0</v>
      </c>
      <c r="J3172" s="26">
        <v>328</v>
      </c>
      <c r="K3172" t="inlineStr">
        <is>
          <t>Non</t>
        </is>
      </c>
      <c r="L3172">
        <f>SUBTOTAL(103,A3172)</f>
        <v>1</v>
      </c>
    </row>
    <row r="3173">
      <c r="A3173" t="inlineStr">
        <is>
          <t>SOCIETE C653</t>
        </is>
      </c>
      <c r="B3173" t="inlineStr">
        <is>
          <t>C653</t>
        </is>
      </c>
      <c r="C3173" t="inlineStr">
        <is>
          <t>PUBLIC SECTOR</t>
        </is>
      </c>
      <c r="D3173" t="inlineStr">
        <is>
          <t>IA</t>
        </is>
      </c>
      <c r="E3173" t="inlineStr">
        <is>
          <t>Stage 2</t>
        </is>
      </c>
      <c r="F3173" t="inlineStr">
        <is>
          <t>N/A</t>
        </is>
      </c>
      <c r="G3173" s="26">
        <v>139015997</v>
      </c>
      <c r="H3173" s="26">
        <v>8340960</v>
      </c>
      <c r="I3173" s="26">
        <v>0</v>
      </c>
      <c r="J3173" s="26">
        <v>75</v>
      </c>
      <c r="K3173" t="inlineStr">
        <is>
          <t>Non</t>
        </is>
      </c>
      <c r="L3173">
        <f>SUBTOTAL(103,A3173)</f>
        <v>1</v>
      </c>
    </row>
    <row r="3174">
      <c r="A3174" t="inlineStr">
        <is>
          <t>SOCIETE C823</t>
        </is>
      </c>
      <c r="B3174" t="inlineStr">
        <is>
          <t>C823</t>
        </is>
      </c>
      <c r="C3174" t="inlineStr">
        <is>
          <t>CORPORATE BANKING</t>
        </is>
      </c>
      <c r="D3174" t="inlineStr">
        <is>
          <t>I</t>
        </is>
      </c>
      <c r="E3174" t="inlineStr">
        <is>
          <t>Stage 1</t>
        </is>
      </c>
      <c r="F3174" t="inlineStr">
        <is>
          <t>N/A</t>
        </is>
      </c>
      <c r="G3174" s="26">
        <v>1738783643</v>
      </c>
      <c r="H3174" s="26">
        <v>17387836</v>
      </c>
      <c r="I3174" s="26">
        <v>163671879</v>
      </c>
      <c r="J3174" s="26">
        <v>72</v>
      </c>
      <c r="K3174" t="inlineStr">
        <is>
          <t>Non</t>
        </is>
      </c>
      <c r="L3174">
        <f>SUBTOTAL(103,A3174)</f>
        <v>1</v>
      </c>
    </row>
    <row r="3175">
      <c r="A3175" t="inlineStr">
        <is>
          <t>SOCIETE C1287</t>
        </is>
      </c>
      <c r="B3175" t="inlineStr">
        <is>
          <t>C1287</t>
        </is>
      </c>
      <c r="C3175" t="inlineStr">
        <is>
          <t>CORPORATE BANKING</t>
        </is>
      </c>
      <c r="D3175" t="inlineStr">
        <is>
          <t>IV</t>
        </is>
      </c>
      <c r="E3175" t="inlineStr">
        <is>
          <t>Stage 3</t>
        </is>
      </c>
      <c r="F3175" t="inlineStr">
        <is>
          <t>N/A</t>
        </is>
      </c>
      <c r="G3175" s="26">
        <v>90339297</v>
      </c>
      <c r="H3175" s="26">
        <v>49686613</v>
      </c>
      <c r="I3175" s="26">
        <v>0</v>
      </c>
      <c r="J3175" s="26">
        <v>36</v>
      </c>
      <c r="K3175" t="inlineStr">
        <is>
          <t>Oui</t>
        </is>
      </c>
      <c r="L3175">
        <f>SUBTOTAL(103,A3175)</f>
        <v>1</v>
      </c>
    </row>
    <row r="3176">
      <c r="A3176" t="inlineStr">
        <is>
          <t>SOCIETE C971</t>
        </is>
      </c>
      <c r="B3176" t="inlineStr">
        <is>
          <t>C971</t>
        </is>
      </c>
      <c r="C3176" t="inlineStr">
        <is>
          <t>CORPORATE BANKING</t>
        </is>
      </c>
      <c r="D3176" t="inlineStr">
        <is>
          <t>I</t>
        </is>
      </c>
      <c r="E3176" t="inlineStr">
        <is>
          <t>Stage 1</t>
        </is>
      </c>
      <c r="F3176" t="inlineStr">
        <is>
          <t>N/A</t>
        </is>
      </c>
      <c r="G3176" s="26">
        <v>551617758</v>
      </c>
      <c r="H3176" s="26">
        <v>5516178</v>
      </c>
      <c r="I3176" s="26">
        <v>0</v>
      </c>
      <c r="J3176" s="26">
        <v>14</v>
      </c>
      <c r="K3176" t="inlineStr">
        <is>
          <t>Non</t>
        </is>
      </c>
      <c r="L3176">
        <f>SUBTOTAL(103,A3176)</f>
        <v>1</v>
      </c>
    </row>
    <row r="3177">
      <c r="A3177" t="inlineStr">
        <is>
          <t>SOCIETE C1205</t>
        </is>
      </c>
      <c r="B3177" t="inlineStr">
        <is>
          <t>C1205</t>
        </is>
      </c>
      <c r="C3177" t="inlineStr">
        <is>
          <t>SME</t>
        </is>
      </c>
      <c r="D3177" t="inlineStr">
        <is>
          <t>IA</t>
        </is>
      </c>
      <c r="E3177" t="inlineStr">
        <is>
          <t>Stage 2</t>
        </is>
      </c>
      <c r="F3177" t="inlineStr">
        <is>
          <t>N/A</t>
        </is>
      </c>
      <c r="G3177" s="26">
        <v>239171859</v>
      </c>
      <c r="H3177" s="26">
        <v>14350312</v>
      </c>
      <c r="I3177" s="26">
        <v>0</v>
      </c>
      <c r="J3177" s="26">
        <v>14</v>
      </c>
      <c r="K3177" t="inlineStr">
        <is>
          <t>Non</t>
        </is>
      </c>
      <c r="L3177">
        <f>SUBTOTAL(103,A3177)</f>
        <v>1</v>
      </c>
    </row>
    <row r="3178">
      <c r="A3178" t="inlineStr">
        <is>
          <t>SOCIETE C2180</t>
        </is>
      </c>
      <c r="B3178" t="inlineStr">
        <is>
          <t>C2180</t>
        </is>
      </c>
      <c r="C3178" t="inlineStr">
        <is>
          <t>PUBLIC SECTOR</t>
        </is>
      </c>
      <c r="D3178" t="inlineStr">
        <is>
          <t>I</t>
        </is>
      </c>
      <c r="E3178" t="inlineStr">
        <is>
          <t>Stage 1</t>
        </is>
      </c>
      <c r="F3178" t="inlineStr">
        <is>
          <t>N/A</t>
        </is>
      </c>
      <c r="G3178" s="26">
        <v>5941380</v>
      </c>
      <c r="H3178" s="26">
        <v>59414</v>
      </c>
      <c r="I3178" s="26">
        <v>0</v>
      </c>
      <c r="J3178" s="26">
        <v>137</v>
      </c>
      <c r="K3178" t="inlineStr">
        <is>
          <t>Non</t>
        </is>
      </c>
      <c r="L3178">
        <f>SUBTOTAL(103,A3178)</f>
        <v>1</v>
      </c>
    </row>
    <row r="3179">
      <c r="A3179" t="inlineStr">
        <is>
          <t>SOCIETE C447</t>
        </is>
      </c>
      <c r="B3179" t="inlineStr">
        <is>
          <t>C447</t>
        </is>
      </c>
      <c r="C3179" t="inlineStr">
        <is>
          <t>CORPORATE BANKING</t>
        </is>
      </c>
      <c r="D3179" t="inlineStr">
        <is>
          <t>I</t>
        </is>
      </c>
      <c r="E3179" t="inlineStr">
        <is>
          <t>Stage 1</t>
        </is>
      </c>
      <c r="F3179" t="inlineStr">
        <is>
          <t>N/A</t>
        </is>
      </c>
      <c r="G3179" s="26">
        <v>26369971</v>
      </c>
      <c r="H3179" s="26">
        <v>263700</v>
      </c>
      <c r="I3179" s="26">
        <v>0</v>
      </c>
      <c r="J3179" s="26">
        <v>223</v>
      </c>
      <c r="K3179" t="inlineStr">
        <is>
          <t>Non</t>
        </is>
      </c>
      <c r="L3179">
        <f>SUBTOTAL(103,A3179)</f>
        <v>1</v>
      </c>
    </row>
    <row r="3180">
      <c r="A3180" t="inlineStr">
        <is>
          <t>SOCIETE C2103</t>
        </is>
      </c>
      <c r="B3180" t="inlineStr">
        <is>
          <t>C2103</t>
        </is>
      </c>
      <c r="C3180" t="inlineStr">
        <is>
          <t>COMMERCIAL BANKING</t>
        </is>
      </c>
      <c r="D3180" t="inlineStr">
        <is>
          <t>V</t>
        </is>
      </c>
      <c r="E3180" t="inlineStr">
        <is>
          <t>Stage 3</t>
        </is>
      </c>
      <c r="F3180" t="inlineStr">
        <is>
          <t>N/A</t>
        </is>
      </c>
      <c r="G3180" s="26">
        <v>1998737</v>
      </c>
      <c r="H3180" s="26">
        <v>1099305</v>
      </c>
      <c r="I3180" s="26">
        <v>281869</v>
      </c>
      <c r="J3180" s="26">
        <v>115</v>
      </c>
      <c r="K3180" t="inlineStr">
        <is>
          <t>Oui</t>
        </is>
      </c>
      <c r="L3180">
        <f>SUBTOTAL(103,A3180)</f>
        <v>1</v>
      </c>
    </row>
    <row r="3181">
      <c r="A3181" t="inlineStr">
        <is>
          <t>SOCIETE C1070</t>
        </is>
      </c>
      <c r="B3181" t="inlineStr">
        <is>
          <t>C1070</t>
        </is>
      </c>
      <c r="C3181" t="inlineStr">
        <is>
          <t>CORPORATE BANKING</t>
        </is>
      </c>
      <c r="D3181" t="inlineStr">
        <is>
          <t>I</t>
        </is>
      </c>
      <c r="E3181" t="inlineStr">
        <is>
          <t>Stage 1</t>
        </is>
      </c>
      <c r="F3181" t="inlineStr">
        <is>
          <t>N/A</t>
        </is>
      </c>
      <c r="G3181" s="26">
        <v>1033290758</v>
      </c>
      <c r="H3181" s="26">
        <v>10332908</v>
      </c>
      <c r="I3181" s="26">
        <v>180288663</v>
      </c>
      <c r="J3181" s="26">
        <v>123</v>
      </c>
      <c r="K3181" t="inlineStr">
        <is>
          <t>Non</t>
        </is>
      </c>
      <c r="L3181">
        <f>SUBTOTAL(103,A3181)</f>
        <v>1</v>
      </c>
    </row>
    <row r="3182">
      <c r="A3182" t="inlineStr">
        <is>
          <t>SOCIETE C1800</t>
        </is>
      </c>
      <c r="B3182" t="inlineStr">
        <is>
          <t>C1800</t>
        </is>
      </c>
      <c r="C3182" t="inlineStr">
        <is>
          <t>SME</t>
        </is>
      </c>
      <c r="D3182" t="inlineStr">
        <is>
          <t>III</t>
        </is>
      </c>
      <c r="E3182" t="inlineStr">
        <is>
          <t>Stage 3</t>
        </is>
      </c>
      <c r="F3182" t="inlineStr">
        <is>
          <t>N/A</t>
        </is>
      </c>
      <c r="G3182" s="26">
        <v>71221190</v>
      </c>
      <c r="H3182" s="26">
        <v>39171654</v>
      </c>
      <c r="I3182" s="26">
        <v>0</v>
      </c>
      <c r="J3182" s="26">
        <v>312</v>
      </c>
      <c r="K3182" t="inlineStr">
        <is>
          <t>Oui</t>
        </is>
      </c>
      <c r="L3182">
        <f>SUBTOTAL(103,A3182)</f>
        <v>1</v>
      </c>
    </row>
    <row r="3183">
      <c r="A3183" t="inlineStr">
        <is>
          <t>SOCIETE C527</t>
        </is>
      </c>
      <c r="B3183" t="inlineStr">
        <is>
          <t>C527</t>
        </is>
      </c>
      <c r="C3183" t="inlineStr">
        <is>
          <t>COMMERCIAL BANKING</t>
        </is>
      </c>
      <c r="D3183" t="inlineStr">
        <is>
          <t>I</t>
        </is>
      </c>
      <c r="E3183" t="inlineStr">
        <is>
          <t>Stage 1</t>
        </is>
      </c>
      <c r="F3183" t="inlineStr">
        <is>
          <t>N/A</t>
        </is>
      </c>
      <c r="G3183" s="26">
        <v>1027459748</v>
      </c>
      <c r="H3183" s="26">
        <v>10274597</v>
      </c>
      <c r="I3183" s="26">
        <v>0</v>
      </c>
      <c r="J3183" s="26">
        <v>58</v>
      </c>
      <c r="K3183" t="inlineStr">
        <is>
          <t>Non</t>
        </is>
      </c>
      <c r="L3183">
        <f>SUBTOTAL(103,A3183)</f>
        <v>1</v>
      </c>
    </row>
    <row r="3184">
      <c r="A3184" t="inlineStr">
        <is>
          <t>SOCIETE C70</t>
        </is>
      </c>
      <c r="B3184" t="inlineStr">
        <is>
          <t>C70</t>
        </is>
      </c>
      <c r="C3184" t="inlineStr">
        <is>
          <t>CONSUMER BANKING</t>
        </is>
      </c>
      <c r="D3184" t="inlineStr">
        <is>
          <t>IV</t>
        </is>
      </c>
      <c r="E3184" t="inlineStr">
        <is>
          <t>Stage 3</t>
        </is>
      </c>
      <c r="F3184" t="inlineStr">
        <is>
          <t>N/A</t>
        </is>
      </c>
      <c r="G3184" s="26">
        <v>2700524805</v>
      </c>
      <c r="H3184" s="26">
        <v>1485288643</v>
      </c>
      <c r="I3184" s="26">
        <v>496966364</v>
      </c>
      <c r="J3184" s="26">
        <v>146</v>
      </c>
      <c r="K3184" t="inlineStr">
        <is>
          <t>Oui</t>
        </is>
      </c>
      <c r="L3184">
        <f>SUBTOTAL(103,A3184)</f>
        <v>1</v>
      </c>
    </row>
    <row r="3185">
      <c r="A3185" t="inlineStr">
        <is>
          <t>SOCIETE C2076</t>
        </is>
      </c>
      <c r="B3185" t="inlineStr">
        <is>
          <t>C2076</t>
        </is>
      </c>
      <c r="C3185" t="inlineStr">
        <is>
          <t>PUBLIC SECTOR</t>
        </is>
      </c>
      <c r="D3185" t="inlineStr">
        <is>
          <t>I</t>
        </is>
      </c>
      <c r="E3185" t="inlineStr">
        <is>
          <t>Stage 1</t>
        </is>
      </c>
      <c r="F3185" t="inlineStr">
        <is>
          <t>N/A</t>
        </is>
      </c>
      <c r="G3185" s="26">
        <v>2675052262</v>
      </c>
      <c r="H3185" s="26">
        <v>26750523</v>
      </c>
      <c r="I3185" s="26">
        <v>240318291</v>
      </c>
      <c r="J3185" s="26">
        <v>115</v>
      </c>
      <c r="K3185" t="inlineStr">
        <is>
          <t>Non</t>
        </is>
      </c>
      <c r="L3185">
        <f>SUBTOTAL(103,A3185)</f>
        <v>1</v>
      </c>
    </row>
    <row r="3186">
      <c r="A3186" t="inlineStr">
        <is>
          <t>SOCIETE C987</t>
        </is>
      </c>
      <c r="B3186" t="inlineStr">
        <is>
          <t>C987</t>
        </is>
      </c>
      <c r="C3186" t="inlineStr">
        <is>
          <t>CORPORATE BANKING</t>
        </is>
      </c>
      <c r="D3186" t="inlineStr">
        <is>
          <t>III</t>
        </is>
      </c>
      <c r="E3186" t="inlineStr">
        <is>
          <t>Stage 3</t>
        </is>
      </c>
      <c r="F3186" t="inlineStr">
        <is>
          <t>N/A</t>
        </is>
      </c>
      <c r="G3186" s="26">
        <v>226629948</v>
      </c>
      <c r="H3186" s="26">
        <v>124646472</v>
      </c>
      <c r="I3186" s="26">
        <v>6711575</v>
      </c>
      <c r="J3186" s="26">
        <v>183</v>
      </c>
      <c r="K3186" t="inlineStr">
        <is>
          <t>Oui</t>
        </is>
      </c>
      <c r="L3186">
        <f>SUBTOTAL(103,A3186)</f>
        <v>1</v>
      </c>
    </row>
    <row r="3187">
      <c r="A3187" t="inlineStr">
        <is>
          <t>SOCIETE C593</t>
        </is>
      </c>
      <c r="B3187" t="inlineStr">
        <is>
          <t>C593</t>
        </is>
      </c>
      <c r="C3187" t="inlineStr">
        <is>
          <t>COMMERCIAL BANKING</t>
        </is>
      </c>
      <c r="D3187" t="inlineStr">
        <is>
          <t>I</t>
        </is>
      </c>
      <c r="E3187" t="inlineStr">
        <is>
          <t>Stage 1</t>
        </is>
      </c>
      <c r="F3187" t="inlineStr">
        <is>
          <t>N/A</t>
        </is>
      </c>
      <c r="G3187" s="26">
        <v>860602849</v>
      </c>
      <c r="H3187" s="26">
        <v>8606028</v>
      </c>
      <c r="I3187" s="26">
        <v>169038834</v>
      </c>
      <c r="J3187" s="26">
        <v>15</v>
      </c>
      <c r="K3187" t="inlineStr">
        <is>
          <t>Non</t>
        </is>
      </c>
      <c r="L3187">
        <f>SUBTOTAL(103,A3187)</f>
        <v>1</v>
      </c>
    </row>
    <row r="3188">
      <c r="A3188" t="inlineStr">
        <is>
          <t>SOCIETE C88</t>
        </is>
      </c>
      <c r="B3188" t="inlineStr">
        <is>
          <t>C88</t>
        </is>
      </c>
      <c r="C3188" t="inlineStr">
        <is>
          <t>CORPORATE BANKING</t>
        </is>
      </c>
      <c r="D3188" t="inlineStr">
        <is>
          <t>I</t>
        </is>
      </c>
      <c r="E3188" t="inlineStr">
        <is>
          <t>Stage 1</t>
        </is>
      </c>
      <c r="F3188" t="inlineStr">
        <is>
          <t>N/A</t>
        </is>
      </c>
      <c r="G3188" s="26">
        <v>88882091</v>
      </c>
      <c r="H3188" s="26">
        <v>888821</v>
      </c>
      <c r="I3188" s="26">
        <v>6082527</v>
      </c>
      <c r="J3188" s="26">
        <v>184</v>
      </c>
      <c r="K3188" t="inlineStr">
        <is>
          <t>Non</t>
        </is>
      </c>
      <c r="L3188">
        <f>SUBTOTAL(103,A3188)</f>
        <v>1</v>
      </c>
    </row>
    <row r="3189">
      <c r="A3189" t="inlineStr">
        <is>
          <t>SOCIETE C390</t>
        </is>
      </c>
      <c r="B3189" t="inlineStr">
        <is>
          <t>C390</t>
        </is>
      </c>
      <c r="C3189" t="inlineStr">
        <is>
          <t>CORPORATE BANKING</t>
        </is>
      </c>
      <c r="D3189" t="inlineStr">
        <is>
          <t>I</t>
        </is>
      </c>
      <c r="E3189" t="inlineStr">
        <is>
          <t>Stage 1</t>
        </is>
      </c>
      <c r="F3189" t="inlineStr">
        <is>
          <t>N/A</t>
        </is>
      </c>
      <c r="G3189" s="26">
        <v>117787494</v>
      </c>
      <c r="H3189" s="26">
        <v>1177875</v>
      </c>
      <c r="I3189" s="26">
        <v>0</v>
      </c>
      <c r="J3189" s="26">
        <v>12</v>
      </c>
      <c r="K3189" t="inlineStr">
        <is>
          <t>Non</t>
        </is>
      </c>
      <c r="L3189">
        <f>SUBTOTAL(103,A3189)</f>
        <v>1</v>
      </c>
    </row>
    <row r="3190">
      <c r="A3190" t="inlineStr">
        <is>
          <t>SOCIETE C1890</t>
        </is>
      </c>
      <c r="B3190" t="inlineStr">
        <is>
          <t>C1890</t>
        </is>
      </c>
      <c r="C3190" t="inlineStr">
        <is>
          <t>CORPORATE BANKING</t>
        </is>
      </c>
      <c r="D3190" t="inlineStr">
        <is>
          <t>I</t>
        </is>
      </c>
      <c r="E3190" t="inlineStr">
        <is>
          <t>Stage 1</t>
        </is>
      </c>
      <c r="F3190" t="inlineStr">
        <is>
          <t>N/A</t>
        </is>
      </c>
      <c r="G3190" s="26">
        <v>809855423</v>
      </c>
      <c r="H3190" s="26">
        <v>8098554</v>
      </c>
      <c r="I3190" s="26">
        <v>0</v>
      </c>
      <c r="J3190" s="26">
        <v>126</v>
      </c>
      <c r="K3190" t="inlineStr">
        <is>
          <t>Non</t>
        </is>
      </c>
      <c r="L3190">
        <f>SUBTOTAL(103,A3190)</f>
        <v>1</v>
      </c>
    </row>
    <row r="3191">
      <c r="A3191" t="inlineStr">
        <is>
          <t>SOCIETE C1242</t>
        </is>
      </c>
      <c r="B3191" t="inlineStr">
        <is>
          <t>C1242</t>
        </is>
      </c>
      <c r="C3191" t="inlineStr">
        <is>
          <t>COMMERCIAL BANKING</t>
        </is>
      </c>
      <c r="D3191" t="inlineStr">
        <is>
          <t>IV</t>
        </is>
      </c>
      <c r="E3191" t="inlineStr">
        <is>
          <t>Stage 3</t>
        </is>
      </c>
      <c r="F3191" t="inlineStr">
        <is>
          <t>N/A</t>
        </is>
      </c>
      <c r="G3191" s="26">
        <v>336756769</v>
      </c>
      <c r="H3191" s="26">
        <v>185216223</v>
      </c>
      <c r="I3191" s="26">
        <v>0</v>
      </c>
      <c r="J3191" s="26">
        <v>264</v>
      </c>
      <c r="K3191" t="inlineStr">
        <is>
          <t>Oui</t>
        </is>
      </c>
      <c r="L3191">
        <f>SUBTOTAL(103,A3191)</f>
        <v>1</v>
      </c>
    </row>
    <row r="3192">
      <c r="A3192" t="inlineStr">
        <is>
          <t>SOCIETE C1453</t>
        </is>
      </c>
      <c r="B3192" t="inlineStr">
        <is>
          <t>C1453</t>
        </is>
      </c>
      <c r="C3192" t="inlineStr">
        <is>
          <t>INSTITUTIONAL</t>
        </is>
      </c>
      <c r="D3192" t="inlineStr">
        <is>
          <t>I</t>
        </is>
      </c>
      <c r="E3192" t="inlineStr">
        <is>
          <t>Stage 1</t>
        </is>
      </c>
      <c r="F3192" t="inlineStr">
        <is>
          <t>N/A</t>
        </is>
      </c>
      <c r="G3192" s="26">
        <v>151060316</v>
      </c>
      <c r="H3192" s="26">
        <v>1510603</v>
      </c>
      <c r="I3192" s="26">
        <v>0</v>
      </c>
      <c r="J3192" s="26">
        <v>37</v>
      </c>
      <c r="K3192" t="inlineStr">
        <is>
          <t>Non</t>
        </is>
      </c>
      <c r="L3192">
        <f>SUBTOTAL(103,A3192)</f>
        <v>1</v>
      </c>
    </row>
    <row r="3193">
      <c r="A3193" t="inlineStr">
        <is>
          <t>SOCIETE C2443</t>
        </is>
      </c>
      <c r="B3193" t="inlineStr">
        <is>
          <t>C2443</t>
        </is>
      </c>
      <c r="C3193" t="inlineStr">
        <is>
          <t>CORPORATE BANKING</t>
        </is>
      </c>
      <c r="D3193" t="inlineStr">
        <is>
          <t>I</t>
        </is>
      </c>
      <c r="E3193" t="inlineStr">
        <is>
          <t>Stage 1</t>
        </is>
      </c>
      <c r="F3193" t="inlineStr">
        <is>
          <t>N/A</t>
        </is>
      </c>
      <c r="G3193" s="26">
        <v>2253124368</v>
      </c>
      <c r="H3193" s="26">
        <v>22531244</v>
      </c>
      <c r="I3193" s="26">
        <v>362362686</v>
      </c>
      <c r="J3193" s="26">
        <v>11</v>
      </c>
      <c r="K3193" t="inlineStr">
        <is>
          <t>Non</t>
        </is>
      </c>
      <c r="L3193">
        <f>SUBTOTAL(103,A3193)</f>
        <v>1</v>
      </c>
    </row>
    <row r="3194">
      <c r="A3194" t="inlineStr">
        <is>
          <t>SOCIETE C613</t>
        </is>
      </c>
      <c r="B3194" t="inlineStr">
        <is>
          <t>C613</t>
        </is>
      </c>
      <c r="C3194" t="inlineStr">
        <is>
          <t>CORPORATE BANKING</t>
        </is>
      </c>
      <c r="D3194" t="inlineStr">
        <is>
          <t>I</t>
        </is>
      </c>
      <c r="E3194" t="inlineStr">
        <is>
          <t>Stage 1</t>
        </is>
      </c>
      <c r="F3194" t="inlineStr">
        <is>
          <t>N/A</t>
        </is>
      </c>
      <c r="G3194" s="26">
        <v>386504588</v>
      </c>
      <c r="H3194" s="26">
        <v>3865046</v>
      </c>
      <c r="I3194" s="26">
        <v>0</v>
      </c>
      <c r="J3194" s="26">
        <v>320</v>
      </c>
      <c r="K3194" t="inlineStr">
        <is>
          <t>Non</t>
        </is>
      </c>
      <c r="L3194">
        <f>SUBTOTAL(103,A3194)</f>
        <v>1</v>
      </c>
    </row>
    <row r="3195">
      <c r="A3195" t="inlineStr">
        <is>
          <t>SOCIETE C621</t>
        </is>
      </c>
      <c r="B3195" t="inlineStr">
        <is>
          <t>C621</t>
        </is>
      </c>
      <c r="C3195" t="inlineStr">
        <is>
          <t>CORPORATE BANKING</t>
        </is>
      </c>
      <c r="D3195" t="inlineStr">
        <is>
          <t>V</t>
        </is>
      </c>
      <c r="E3195" t="inlineStr">
        <is>
          <t>Stage 3</t>
        </is>
      </c>
      <c r="F3195" t="inlineStr">
        <is>
          <t>N/A</t>
        </is>
      </c>
      <c r="G3195" s="26">
        <v>264107051</v>
      </c>
      <c r="H3195" s="26">
        <v>145258878</v>
      </c>
      <c r="I3195" s="26">
        <v>0</v>
      </c>
      <c r="J3195" s="26">
        <v>4</v>
      </c>
      <c r="K3195" t="inlineStr">
        <is>
          <t>Oui</t>
        </is>
      </c>
      <c r="L3195">
        <f>SUBTOTAL(103,A3195)</f>
        <v>1</v>
      </c>
    </row>
    <row r="3196">
      <c r="A3196" t="inlineStr">
        <is>
          <t>SOCIETE C1266</t>
        </is>
      </c>
      <c r="B3196" t="inlineStr">
        <is>
          <t>C1266</t>
        </is>
      </c>
      <c r="C3196" t="inlineStr">
        <is>
          <t>CONSUMER BANKING</t>
        </is>
      </c>
      <c r="D3196" t="inlineStr">
        <is>
          <t>III</t>
        </is>
      </c>
      <c r="E3196" t="inlineStr">
        <is>
          <t>Stage 3</t>
        </is>
      </c>
      <c r="F3196" t="inlineStr">
        <is>
          <t>N/A</t>
        </is>
      </c>
      <c r="G3196" s="26">
        <v>1003779</v>
      </c>
      <c r="H3196" s="26">
        <v>552078</v>
      </c>
      <c r="I3196" s="26">
        <v>73690</v>
      </c>
      <c r="J3196" s="26">
        <v>36</v>
      </c>
      <c r="K3196" t="inlineStr">
        <is>
          <t>Oui</t>
        </is>
      </c>
      <c r="L3196">
        <f>SUBTOTAL(103,A3196)</f>
        <v>1</v>
      </c>
    </row>
    <row r="3197">
      <c r="A3197" t="inlineStr">
        <is>
          <t>SOCIETE C859</t>
        </is>
      </c>
      <c r="B3197" t="inlineStr">
        <is>
          <t>C859</t>
        </is>
      </c>
      <c r="C3197" t="inlineStr">
        <is>
          <t>CONSUMER BANKING</t>
        </is>
      </c>
      <c r="D3197" t="inlineStr">
        <is>
          <t>V</t>
        </is>
      </c>
      <c r="E3197" t="inlineStr">
        <is>
          <t>Stage 3</t>
        </is>
      </c>
      <c r="F3197" t="inlineStr">
        <is>
          <t>N/A</t>
        </is>
      </c>
      <c r="G3197" s="26">
        <v>846508226</v>
      </c>
      <c r="H3197" s="26">
        <v>465579525</v>
      </c>
      <c r="I3197" s="26">
        <v>0</v>
      </c>
      <c r="J3197" s="26">
        <v>53</v>
      </c>
      <c r="K3197" t="inlineStr">
        <is>
          <t>Oui</t>
        </is>
      </c>
      <c r="L3197">
        <f>SUBTOTAL(103,A3197)</f>
        <v>1</v>
      </c>
    </row>
    <row r="3198">
      <c r="A3198" t="inlineStr">
        <is>
          <t>SOCIETE C1856</t>
        </is>
      </c>
      <c r="B3198" t="inlineStr">
        <is>
          <t>C1856</t>
        </is>
      </c>
      <c r="C3198" t="inlineStr">
        <is>
          <t>CORPORATE BANKING</t>
        </is>
      </c>
      <c r="D3198" t="inlineStr">
        <is>
          <t>I</t>
        </is>
      </c>
      <c r="E3198" t="inlineStr">
        <is>
          <t>Stage 1</t>
        </is>
      </c>
      <c r="F3198" t="inlineStr">
        <is>
          <t>N/A</t>
        </is>
      </c>
      <c r="G3198" s="26">
        <v>1770007472</v>
      </c>
      <c r="H3198" s="26">
        <v>17700075</v>
      </c>
      <c r="I3198" s="26">
        <v>321811127</v>
      </c>
      <c r="J3198" s="26">
        <v>137</v>
      </c>
      <c r="K3198" t="inlineStr">
        <is>
          <t>Non</t>
        </is>
      </c>
      <c r="L3198">
        <f>SUBTOTAL(103,A3198)</f>
        <v>1</v>
      </c>
    </row>
    <row r="3199">
      <c r="A3199" t="inlineStr">
        <is>
          <t>SOCIETE C2367</t>
        </is>
      </c>
      <c r="B3199" t="inlineStr">
        <is>
          <t>C2367</t>
        </is>
      </c>
      <c r="C3199" t="inlineStr">
        <is>
          <t>CONSUMER BANKING</t>
        </is>
      </c>
      <c r="D3199" t="inlineStr">
        <is>
          <t>IA</t>
        </is>
      </c>
      <c r="E3199" t="inlineStr">
        <is>
          <t>Stage 2</t>
        </is>
      </c>
      <c r="F3199" t="inlineStr">
        <is>
          <t>N/A</t>
        </is>
      </c>
      <c r="G3199" s="26">
        <v>2267738889</v>
      </c>
      <c r="H3199" s="26">
        <v>136064333</v>
      </c>
      <c r="I3199" s="26">
        <v>142237713</v>
      </c>
      <c r="J3199" s="26">
        <v>107</v>
      </c>
      <c r="K3199" t="inlineStr">
        <is>
          <t>Non</t>
        </is>
      </c>
      <c r="L3199">
        <f>SUBTOTAL(103,A3199)</f>
        <v>1</v>
      </c>
    </row>
    <row r="3200">
      <c r="A3200" t="inlineStr">
        <is>
          <t>SOCIETE C143</t>
        </is>
      </c>
      <c r="B3200" t="inlineStr">
        <is>
          <t>C143</t>
        </is>
      </c>
      <c r="C3200" t="inlineStr">
        <is>
          <t>CONSUMER BANKING</t>
        </is>
      </c>
      <c r="D3200" t="inlineStr">
        <is>
          <t>IA</t>
        </is>
      </c>
      <c r="E3200" t="inlineStr">
        <is>
          <t>Stage 2</t>
        </is>
      </c>
      <c r="F3200" t="inlineStr">
        <is>
          <t>N/A</t>
        </is>
      </c>
      <c r="G3200" s="26">
        <v>137631567</v>
      </c>
      <c r="H3200" s="26">
        <v>8257894</v>
      </c>
      <c r="I3200" s="26">
        <v>0</v>
      </c>
      <c r="J3200" s="26">
        <v>115</v>
      </c>
      <c r="K3200" t="inlineStr">
        <is>
          <t>Non</t>
        </is>
      </c>
      <c r="L3200">
        <f>SUBTOTAL(103,A3200)</f>
        <v>1</v>
      </c>
    </row>
    <row r="3201">
      <c r="A3201" t="inlineStr">
        <is>
          <t>SOCIETE C2300</t>
        </is>
      </c>
      <c r="B3201" t="inlineStr">
        <is>
          <t>C2300</t>
        </is>
      </c>
      <c r="C3201" t="inlineStr">
        <is>
          <t>COMMERCIAL BANKING</t>
        </is>
      </c>
      <c r="D3201" t="inlineStr">
        <is>
          <t>I</t>
        </is>
      </c>
      <c r="E3201" t="inlineStr">
        <is>
          <t>Stage 1</t>
        </is>
      </c>
      <c r="F3201" t="inlineStr">
        <is>
          <t>N/A</t>
        </is>
      </c>
      <c r="G3201" s="26">
        <v>1800370602</v>
      </c>
      <c r="H3201" s="26">
        <v>18003706</v>
      </c>
      <c r="I3201" s="26">
        <v>302019498</v>
      </c>
      <c r="J3201" s="26">
        <v>75</v>
      </c>
      <c r="K3201" t="inlineStr">
        <is>
          <t>Non</t>
        </is>
      </c>
      <c r="L3201">
        <f>SUBTOTAL(103,A3201)</f>
        <v>1</v>
      </c>
    </row>
    <row r="3202">
      <c r="A3202" t="inlineStr">
        <is>
          <t>SOCIETE C1002</t>
        </is>
      </c>
      <c r="B3202" t="inlineStr">
        <is>
          <t>C1002</t>
        </is>
      </c>
      <c r="C3202" t="inlineStr">
        <is>
          <t>PUBLIC SECTOR</t>
        </is>
      </c>
      <c r="D3202" t="inlineStr">
        <is>
          <t>IV</t>
        </is>
      </c>
      <c r="E3202" t="inlineStr">
        <is>
          <t>Stage 3</t>
        </is>
      </c>
      <c r="F3202" t="inlineStr">
        <is>
          <t>N/A</t>
        </is>
      </c>
      <c r="G3202" s="26">
        <v>1022018058</v>
      </c>
      <c r="H3202" s="26">
        <v>562109932</v>
      </c>
      <c r="I3202" s="26">
        <v>0</v>
      </c>
      <c r="J3202" s="26">
        <v>118</v>
      </c>
      <c r="K3202" t="inlineStr">
        <is>
          <t>Oui</t>
        </is>
      </c>
      <c r="L3202">
        <f>SUBTOTAL(103,A3202)</f>
        <v>1</v>
      </c>
    </row>
    <row r="3203">
      <c r="A3203" t="inlineStr">
        <is>
          <t>SOCIETE C2219</t>
        </is>
      </c>
      <c r="B3203" t="inlineStr">
        <is>
          <t>C2219</t>
        </is>
      </c>
      <c r="C3203" t="inlineStr">
        <is>
          <t>CORPORATE BANKING</t>
        </is>
      </c>
      <c r="D3203" t="inlineStr">
        <is>
          <t>III</t>
        </is>
      </c>
      <c r="E3203" t="inlineStr">
        <is>
          <t>Stage 3</t>
        </is>
      </c>
      <c r="F3203" t="inlineStr">
        <is>
          <t>N/A</t>
        </is>
      </c>
      <c r="G3203" s="26">
        <v>875737487</v>
      </c>
      <c r="H3203" s="26">
        <v>481655618</v>
      </c>
      <c r="I3203" s="26">
        <v>0</v>
      </c>
      <c r="J3203" s="26">
        <v>8</v>
      </c>
      <c r="K3203" t="inlineStr">
        <is>
          <t>Oui</t>
        </is>
      </c>
      <c r="L3203">
        <f>SUBTOTAL(103,A3203)</f>
        <v>1</v>
      </c>
    </row>
    <row r="3204">
      <c r="A3204" t="inlineStr">
        <is>
          <t>SOCIETE C802</t>
        </is>
      </c>
      <c r="B3204" t="inlineStr">
        <is>
          <t>C802</t>
        </is>
      </c>
      <c r="C3204" t="inlineStr">
        <is>
          <t>PUBLIC SECTOR</t>
        </is>
      </c>
      <c r="D3204" t="inlineStr">
        <is>
          <t>V</t>
        </is>
      </c>
      <c r="E3204" t="inlineStr">
        <is>
          <t>Stage 3</t>
        </is>
      </c>
      <c r="F3204" t="inlineStr">
        <is>
          <t>N/A</t>
        </is>
      </c>
      <c r="G3204" s="26">
        <v>744552845</v>
      </c>
      <c r="H3204" s="26">
        <v>409504065</v>
      </c>
      <c r="I3204" s="26">
        <v>0</v>
      </c>
      <c r="J3204" s="26">
        <v>13</v>
      </c>
      <c r="K3204" t="inlineStr">
        <is>
          <t>Oui</t>
        </is>
      </c>
      <c r="L3204">
        <f>SUBTOTAL(103,A3204)</f>
        <v>1</v>
      </c>
    </row>
    <row r="3205">
      <c r="A3205" t="inlineStr">
        <is>
          <t>SOCIETE C2166</t>
        </is>
      </c>
      <c r="B3205" t="inlineStr">
        <is>
          <t>C2166</t>
        </is>
      </c>
      <c r="C3205" t="inlineStr">
        <is>
          <t>CONSUMER BANKING</t>
        </is>
      </c>
      <c r="D3205" t="inlineStr">
        <is>
          <t>III</t>
        </is>
      </c>
      <c r="E3205" t="inlineStr">
        <is>
          <t>Stage 3</t>
        </is>
      </c>
      <c r="F3205" t="inlineStr">
        <is>
          <t>N/A</t>
        </is>
      </c>
      <c r="G3205" s="26">
        <v>108493882</v>
      </c>
      <c r="H3205" s="26">
        <v>59671635</v>
      </c>
      <c r="I3205" s="26">
        <v>0</v>
      </c>
      <c r="J3205" s="26">
        <v>104</v>
      </c>
      <c r="K3205" t="inlineStr">
        <is>
          <t>Oui</t>
        </is>
      </c>
      <c r="L3205">
        <f>SUBTOTAL(103,A3205)</f>
        <v>1</v>
      </c>
    </row>
    <row r="3206">
      <c r="A3206" t="inlineStr">
        <is>
          <t>SOCIETE C1937</t>
        </is>
      </c>
      <c r="B3206" t="inlineStr">
        <is>
          <t>C1937</t>
        </is>
      </c>
      <c r="C3206" t="inlineStr">
        <is>
          <t>CORPORATE BANKING</t>
        </is>
      </c>
      <c r="D3206" t="inlineStr">
        <is>
          <t>I</t>
        </is>
      </c>
      <c r="E3206" t="inlineStr">
        <is>
          <t>Stage 1</t>
        </is>
      </c>
      <c r="F3206" t="inlineStr">
        <is>
          <t>N/A</t>
        </is>
      </c>
      <c r="G3206" s="26">
        <v>1652597418</v>
      </c>
      <c r="H3206" s="26">
        <v>16525974</v>
      </c>
      <c r="I3206" s="26">
        <v>144451262</v>
      </c>
      <c r="J3206" s="26">
        <v>25</v>
      </c>
      <c r="K3206" t="inlineStr">
        <is>
          <t>Non</t>
        </is>
      </c>
      <c r="L3206">
        <f>SUBTOTAL(103,A3206)</f>
        <v>1</v>
      </c>
    </row>
    <row r="3207">
      <c r="A3207" t="inlineStr">
        <is>
          <t>SOCIETE C698</t>
        </is>
      </c>
      <c r="B3207" t="inlineStr">
        <is>
          <t>C698</t>
        </is>
      </c>
      <c r="C3207" t="inlineStr">
        <is>
          <t>CONSUMER BANKING</t>
        </is>
      </c>
      <c r="D3207" t="inlineStr">
        <is>
          <t>III</t>
        </is>
      </c>
      <c r="E3207" t="inlineStr">
        <is>
          <t>Stage 3</t>
        </is>
      </c>
      <c r="F3207" t="inlineStr">
        <is>
          <t>N/A</t>
        </is>
      </c>
      <c r="G3207" s="26">
        <v>273955504</v>
      </c>
      <c r="H3207" s="26">
        <v>150675527</v>
      </c>
      <c r="I3207" s="26">
        <v>0</v>
      </c>
      <c r="J3207" s="26">
        <v>84</v>
      </c>
      <c r="K3207" t="inlineStr">
        <is>
          <t>Oui</t>
        </is>
      </c>
      <c r="L3207">
        <f>SUBTOTAL(103,A3207)</f>
        <v>1</v>
      </c>
    </row>
    <row r="3208">
      <c r="A3208" t="inlineStr">
        <is>
          <t>SOCIETE C2130</t>
        </is>
      </c>
      <c r="B3208" t="inlineStr">
        <is>
          <t>C2130</t>
        </is>
      </c>
      <c r="C3208" t="inlineStr">
        <is>
          <t>CORPORATE BANKING</t>
        </is>
      </c>
      <c r="D3208" t="inlineStr">
        <is>
          <t>III</t>
        </is>
      </c>
      <c r="E3208" t="inlineStr">
        <is>
          <t>Stage 3</t>
        </is>
      </c>
      <c r="F3208" t="inlineStr">
        <is>
          <t>N/A</t>
        </is>
      </c>
      <c r="G3208" s="26">
        <v>3548935</v>
      </c>
      <c r="H3208" s="26">
        <v>1951914</v>
      </c>
      <c r="I3208" s="26">
        <v>0</v>
      </c>
      <c r="J3208" s="26">
        <v>52</v>
      </c>
      <c r="K3208" t="inlineStr">
        <is>
          <t>Oui</t>
        </is>
      </c>
      <c r="L3208">
        <f>SUBTOTAL(103,A3208)</f>
        <v>1</v>
      </c>
    </row>
    <row r="3209">
      <c r="A3209" t="inlineStr">
        <is>
          <t>SOCIETE C1947</t>
        </is>
      </c>
      <c r="B3209" t="inlineStr">
        <is>
          <t>C1947</t>
        </is>
      </c>
      <c r="C3209" t="inlineStr">
        <is>
          <t>INSTITUTIONAL</t>
        </is>
      </c>
      <c r="D3209" t="inlineStr">
        <is>
          <t>IA</t>
        </is>
      </c>
      <c r="E3209" t="inlineStr">
        <is>
          <t>Stage 2</t>
        </is>
      </c>
      <c r="F3209" t="inlineStr">
        <is>
          <t>N/A</t>
        </is>
      </c>
      <c r="G3209" s="26">
        <v>2829165467</v>
      </c>
      <c r="H3209" s="26">
        <v>169749928</v>
      </c>
      <c r="I3209" s="26">
        <v>0</v>
      </c>
      <c r="J3209" s="26">
        <v>39</v>
      </c>
      <c r="K3209" t="inlineStr">
        <is>
          <t>Non</t>
        </is>
      </c>
      <c r="L3209">
        <f>SUBTOTAL(103,A3209)</f>
        <v>1</v>
      </c>
    </row>
    <row r="3210">
      <c r="A3210" t="inlineStr">
        <is>
          <t>SOCIETE C862</t>
        </is>
      </c>
      <c r="B3210" t="inlineStr">
        <is>
          <t>C862</t>
        </is>
      </c>
      <c r="C3210" t="inlineStr">
        <is>
          <t>CORPORATE BANKING</t>
        </is>
      </c>
      <c r="D3210" t="inlineStr">
        <is>
          <t>I</t>
        </is>
      </c>
      <c r="E3210" t="inlineStr">
        <is>
          <t>Stage 1</t>
        </is>
      </c>
      <c r="F3210" t="inlineStr">
        <is>
          <t>N/A</t>
        </is>
      </c>
      <c r="G3210" s="26">
        <v>67630869</v>
      </c>
      <c r="H3210" s="26">
        <v>676309</v>
      </c>
      <c r="I3210" s="26">
        <v>11141114</v>
      </c>
      <c r="J3210" s="26">
        <v>91</v>
      </c>
      <c r="K3210" t="inlineStr">
        <is>
          <t>Non</t>
        </is>
      </c>
      <c r="L3210">
        <f>SUBTOTAL(103,A3210)</f>
        <v>1</v>
      </c>
    </row>
    <row r="3211">
      <c r="A3211" t="inlineStr">
        <is>
          <t>SOCIETE C1181</t>
        </is>
      </c>
      <c r="B3211" t="inlineStr">
        <is>
          <t>C1181</t>
        </is>
      </c>
      <c r="C3211" t="inlineStr">
        <is>
          <t>PUBLIC SECTOR</t>
        </is>
      </c>
      <c r="D3211" t="inlineStr">
        <is>
          <t>I</t>
        </is>
      </c>
      <c r="E3211" t="inlineStr">
        <is>
          <t>Stage 1</t>
        </is>
      </c>
      <c r="F3211" t="inlineStr">
        <is>
          <t>N/A</t>
        </is>
      </c>
      <c r="G3211" s="26">
        <v>1064374486</v>
      </c>
      <c r="H3211" s="26">
        <v>10643745</v>
      </c>
      <c r="I3211" s="26">
        <v>0</v>
      </c>
      <c r="J3211" s="26">
        <v>217</v>
      </c>
      <c r="K3211" t="inlineStr">
        <is>
          <t>Non</t>
        </is>
      </c>
      <c r="L3211">
        <f>SUBTOTAL(103,A3211)</f>
        <v>1</v>
      </c>
    </row>
    <row r="3212">
      <c r="A3212" t="inlineStr">
        <is>
          <t>SOCIETE C108</t>
        </is>
      </c>
      <c r="B3212" t="inlineStr">
        <is>
          <t>C108</t>
        </is>
      </c>
      <c r="C3212" t="inlineStr">
        <is>
          <t>COMMERCIAL BANKING</t>
        </is>
      </c>
      <c r="D3212" t="inlineStr">
        <is>
          <t>IA</t>
        </is>
      </c>
      <c r="E3212" t="inlineStr">
        <is>
          <t>Stage 2</t>
        </is>
      </c>
      <c r="F3212" t="inlineStr">
        <is>
          <t>N/A</t>
        </is>
      </c>
      <c r="G3212" s="26">
        <v>468143625</v>
      </c>
      <c r="H3212" s="26">
        <v>28088617</v>
      </c>
      <c r="I3212" s="26">
        <v>0</v>
      </c>
      <c r="J3212" s="26">
        <v>33</v>
      </c>
      <c r="K3212" t="inlineStr">
        <is>
          <t>Non</t>
        </is>
      </c>
      <c r="L3212">
        <f>SUBTOTAL(103,A3212)</f>
        <v>1</v>
      </c>
    </row>
    <row r="3213">
      <c r="A3213" t="inlineStr">
        <is>
          <t>SOCIETE C1127</t>
        </is>
      </c>
      <c r="B3213" t="inlineStr">
        <is>
          <t>C1127</t>
        </is>
      </c>
      <c r="C3213" t="inlineStr">
        <is>
          <t>CONSUMER BANKING</t>
        </is>
      </c>
      <c r="D3213" t="inlineStr">
        <is>
          <t>I</t>
        </is>
      </c>
      <c r="E3213" t="inlineStr">
        <is>
          <t>Stage 1</t>
        </is>
      </c>
      <c r="F3213" t="inlineStr">
        <is>
          <t>N/A</t>
        </is>
      </c>
      <c r="G3213" s="26">
        <v>2997494462</v>
      </c>
      <c r="H3213" s="26">
        <v>29974945</v>
      </c>
      <c r="I3213" s="26">
        <v>0</v>
      </c>
      <c r="J3213" s="26">
        <v>4</v>
      </c>
      <c r="K3213" t="inlineStr">
        <is>
          <t>Non</t>
        </is>
      </c>
      <c r="L3213">
        <f>SUBTOTAL(103,A3213)</f>
        <v>1</v>
      </c>
    </row>
    <row r="3214">
      <c r="A3214" t="inlineStr">
        <is>
          <t>SOCIETE C883</t>
        </is>
      </c>
      <c r="B3214" t="inlineStr">
        <is>
          <t>C883</t>
        </is>
      </c>
      <c r="C3214" t="inlineStr">
        <is>
          <t>CORPORATE BANKING</t>
        </is>
      </c>
      <c r="D3214" t="inlineStr">
        <is>
          <t>I</t>
        </is>
      </c>
      <c r="E3214" t="inlineStr">
        <is>
          <t>Stage 1</t>
        </is>
      </c>
      <c r="F3214" t="inlineStr">
        <is>
          <t>N/A</t>
        </is>
      </c>
      <c r="G3214" s="26">
        <v>593079761</v>
      </c>
      <c r="H3214" s="26">
        <v>5930798</v>
      </c>
      <c r="I3214" s="26">
        <v>0</v>
      </c>
      <c r="J3214" s="26">
        <v>245</v>
      </c>
      <c r="K3214" t="inlineStr">
        <is>
          <t>Non</t>
        </is>
      </c>
      <c r="L3214">
        <f>SUBTOTAL(103,A3214)</f>
        <v>1</v>
      </c>
    </row>
    <row r="3215">
      <c r="A3215" t="inlineStr">
        <is>
          <t>SOCIETE C1173</t>
        </is>
      </c>
      <c r="B3215" t="inlineStr">
        <is>
          <t>C1173</t>
        </is>
      </c>
      <c r="C3215" t="inlineStr">
        <is>
          <t>COMMERCIAL BANKING</t>
        </is>
      </c>
      <c r="D3215" t="inlineStr">
        <is>
          <t>I</t>
        </is>
      </c>
      <c r="E3215" t="inlineStr">
        <is>
          <t>Stage 1</t>
        </is>
      </c>
      <c r="F3215" t="inlineStr">
        <is>
          <t>N/A</t>
        </is>
      </c>
      <c r="G3215" s="26">
        <v>129560683</v>
      </c>
      <c r="H3215" s="26">
        <v>1295607</v>
      </c>
      <c r="I3215" s="26">
        <v>0</v>
      </c>
      <c r="J3215" s="26">
        <v>17</v>
      </c>
      <c r="K3215" t="inlineStr">
        <is>
          <t>Non</t>
        </is>
      </c>
      <c r="L3215">
        <f>SUBTOTAL(103,A3215)</f>
        <v>1</v>
      </c>
    </row>
    <row r="3216">
      <c r="A3216" t="inlineStr">
        <is>
          <t>SOCIETE C1459</t>
        </is>
      </c>
      <c r="B3216" t="inlineStr">
        <is>
          <t>C1459</t>
        </is>
      </c>
      <c r="C3216" t="inlineStr">
        <is>
          <t>COMMERCIAL BANKING</t>
        </is>
      </c>
      <c r="D3216" t="inlineStr">
        <is>
          <t>III</t>
        </is>
      </c>
      <c r="E3216" t="inlineStr">
        <is>
          <t>Stage 3</t>
        </is>
      </c>
      <c r="F3216" t="inlineStr">
        <is>
          <t>N/A</t>
        </is>
      </c>
      <c r="G3216" s="26">
        <v>2370372818</v>
      </c>
      <c r="H3216" s="26">
        <v>1303705050</v>
      </c>
      <c r="I3216" s="26">
        <v>331455423</v>
      </c>
      <c r="J3216" s="26">
        <v>245</v>
      </c>
      <c r="K3216" t="inlineStr">
        <is>
          <t>Oui</t>
        </is>
      </c>
      <c r="L3216">
        <f>SUBTOTAL(103,A3216)</f>
        <v>1</v>
      </c>
    </row>
    <row r="3217">
      <c r="A3217" t="inlineStr">
        <is>
          <t>SOCIETE C1428</t>
        </is>
      </c>
      <c r="B3217" t="inlineStr">
        <is>
          <t>C1428</t>
        </is>
      </c>
      <c r="C3217" t="inlineStr">
        <is>
          <t>COMMERCIAL BANKING</t>
        </is>
      </c>
      <c r="D3217" t="inlineStr">
        <is>
          <t>V</t>
        </is>
      </c>
      <c r="E3217" t="inlineStr">
        <is>
          <t>Stage 3</t>
        </is>
      </c>
      <c r="F3217" t="inlineStr">
        <is>
          <t>N/A</t>
        </is>
      </c>
      <c r="G3217" s="26">
        <v>1544542260</v>
      </c>
      <c r="H3217" s="26">
        <v>849498243</v>
      </c>
      <c r="I3217" s="26">
        <v>280138641</v>
      </c>
      <c r="J3217" s="26">
        <v>215</v>
      </c>
      <c r="K3217" t="inlineStr">
        <is>
          <t>Oui</t>
        </is>
      </c>
      <c r="L3217">
        <f>SUBTOTAL(103,A3217)</f>
        <v>1</v>
      </c>
    </row>
    <row r="3218">
      <c r="A3218" t="inlineStr">
        <is>
          <t>SOCIETE C1249</t>
        </is>
      </c>
      <c r="B3218" t="inlineStr">
        <is>
          <t>C1249</t>
        </is>
      </c>
      <c r="C3218" t="inlineStr">
        <is>
          <t>CORPORATE BANKING</t>
        </is>
      </c>
      <c r="D3218" t="inlineStr">
        <is>
          <t>III</t>
        </is>
      </c>
      <c r="E3218" t="inlineStr">
        <is>
          <t>Stage 3</t>
        </is>
      </c>
      <c r="F3218" t="inlineStr">
        <is>
          <t>N/A</t>
        </is>
      </c>
      <c r="G3218" s="26">
        <v>879182619</v>
      </c>
      <c r="H3218" s="26">
        <v>483550440</v>
      </c>
      <c r="I3218" s="26">
        <v>0</v>
      </c>
      <c r="J3218" s="26">
        <v>10</v>
      </c>
      <c r="K3218" t="inlineStr">
        <is>
          <t>Oui</t>
        </is>
      </c>
      <c r="L3218">
        <f>SUBTOTAL(103,A3218)</f>
        <v>1</v>
      </c>
    </row>
    <row r="3219">
      <c r="A3219" t="inlineStr">
        <is>
          <t>SOCIETE C2111</t>
        </is>
      </c>
      <c r="B3219" t="inlineStr">
        <is>
          <t>C2111</t>
        </is>
      </c>
      <c r="C3219" t="inlineStr">
        <is>
          <t>CONSUMER BANKING</t>
        </is>
      </c>
      <c r="D3219" t="inlineStr">
        <is>
          <t>V</t>
        </is>
      </c>
      <c r="E3219" t="inlineStr">
        <is>
          <t>Stage 3</t>
        </is>
      </c>
      <c r="F3219" t="inlineStr">
        <is>
          <t>N/A</t>
        </is>
      </c>
      <c r="G3219" s="26">
        <v>16409015</v>
      </c>
      <c r="H3219" s="26">
        <v>9024958</v>
      </c>
      <c r="I3219" s="26">
        <v>0</v>
      </c>
      <c r="J3219" s="26">
        <v>51</v>
      </c>
      <c r="K3219" t="inlineStr">
        <is>
          <t>Oui</t>
        </is>
      </c>
      <c r="L3219">
        <f>SUBTOTAL(103,A3219)</f>
        <v>1</v>
      </c>
    </row>
    <row r="3220">
      <c r="A3220" t="inlineStr">
        <is>
          <t>SOCIETE C1498</t>
        </is>
      </c>
      <c r="B3220" t="inlineStr">
        <is>
          <t>C1498</t>
        </is>
      </c>
      <c r="C3220" t="inlineStr">
        <is>
          <t>CONSUMER BANKING</t>
        </is>
      </c>
      <c r="D3220" t="inlineStr">
        <is>
          <t>II</t>
        </is>
      </c>
      <c r="E3220" t="inlineStr">
        <is>
          <t>Stage 2</t>
        </is>
      </c>
      <c r="F3220" t="inlineStr">
        <is>
          <t>N/A</t>
        </is>
      </c>
      <c r="G3220" s="26">
        <v>21427917</v>
      </c>
      <c r="H3220" s="26">
        <v>1285675</v>
      </c>
      <c r="I3220" s="26">
        <v>1359477</v>
      </c>
      <c r="J3220" s="26">
        <v>104</v>
      </c>
      <c r="K3220" t="inlineStr">
        <is>
          <t>Non</t>
        </is>
      </c>
      <c r="L3220">
        <f>SUBTOTAL(103,A3220)</f>
        <v>1</v>
      </c>
    </row>
    <row r="3221">
      <c r="A3221" t="inlineStr">
        <is>
          <t>SOCIETE C56</t>
        </is>
      </c>
      <c r="B3221" t="inlineStr">
        <is>
          <t>C56</t>
        </is>
      </c>
      <c r="C3221" t="inlineStr">
        <is>
          <t>PUBLIC SECTOR</t>
        </is>
      </c>
      <c r="D3221" t="inlineStr">
        <is>
          <t>IV</t>
        </is>
      </c>
      <c r="E3221" t="inlineStr">
        <is>
          <t>Stage 3</t>
        </is>
      </c>
      <c r="F3221" t="inlineStr">
        <is>
          <t>N/A</t>
        </is>
      </c>
      <c r="G3221" s="26">
        <v>2789321659</v>
      </c>
      <c r="H3221" s="26">
        <v>1534126912</v>
      </c>
      <c r="I3221" s="26">
        <v>133534256</v>
      </c>
      <c r="J3221" s="26">
        <v>12</v>
      </c>
      <c r="K3221" t="inlineStr">
        <is>
          <t>Oui</t>
        </is>
      </c>
      <c r="L3221">
        <f>SUBTOTAL(103,A3221)</f>
        <v>1</v>
      </c>
    </row>
    <row r="3222">
      <c r="A3222" t="inlineStr">
        <is>
          <t>SOCIETE C412</t>
        </is>
      </c>
      <c r="B3222" t="inlineStr">
        <is>
          <t>C412</t>
        </is>
      </c>
      <c r="C3222" t="inlineStr">
        <is>
          <t>CORPORATE BANKING</t>
        </is>
      </c>
      <c r="D3222" t="inlineStr">
        <is>
          <t>I</t>
        </is>
      </c>
      <c r="E3222" t="inlineStr">
        <is>
          <t>Stage 1</t>
        </is>
      </c>
      <c r="F3222" t="inlineStr">
        <is>
          <t>N/A</t>
        </is>
      </c>
      <c r="G3222" s="26">
        <v>156771349</v>
      </c>
      <c r="H3222" s="26">
        <v>1567713</v>
      </c>
      <c r="I3222" s="26">
        <v>0</v>
      </c>
      <c r="J3222" s="26">
        <v>138</v>
      </c>
      <c r="K3222" t="inlineStr">
        <is>
          <t>Non</t>
        </is>
      </c>
      <c r="L3222">
        <f>SUBTOTAL(103,A3222)</f>
        <v>1</v>
      </c>
    </row>
    <row r="3223">
      <c r="A3223" t="inlineStr">
        <is>
          <t>SOCIETE C1151</t>
        </is>
      </c>
      <c r="B3223" t="inlineStr">
        <is>
          <t>C1151</t>
        </is>
      </c>
      <c r="C3223" t="inlineStr">
        <is>
          <t>SME</t>
        </is>
      </c>
      <c r="D3223" t="inlineStr">
        <is>
          <t>I</t>
        </is>
      </c>
      <c r="E3223" t="inlineStr">
        <is>
          <t>Stage 1</t>
        </is>
      </c>
      <c r="F3223" t="inlineStr">
        <is>
          <t>N/A</t>
        </is>
      </c>
      <c r="G3223" s="26">
        <v>1018010</v>
      </c>
      <c r="H3223" s="26">
        <v>10180</v>
      </c>
      <c r="I3223" s="26">
        <v>0</v>
      </c>
      <c r="J3223" s="26">
        <v>15</v>
      </c>
      <c r="K3223" t="inlineStr">
        <is>
          <t>Non</t>
        </is>
      </c>
      <c r="L3223">
        <f>SUBTOTAL(103,A3223)</f>
        <v>1</v>
      </c>
    </row>
    <row r="3224">
      <c r="A3224" t="inlineStr">
        <is>
          <t>SOCIETE C154</t>
        </is>
      </c>
      <c r="B3224" t="inlineStr">
        <is>
          <t>C154</t>
        </is>
      </c>
      <c r="C3224" t="inlineStr">
        <is>
          <t>COMMERCIAL BANKING</t>
        </is>
      </c>
      <c r="D3224" t="inlineStr">
        <is>
          <t>V</t>
        </is>
      </c>
      <c r="E3224" t="inlineStr">
        <is>
          <t>Stage 3</t>
        </is>
      </c>
      <c r="F3224" t="inlineStr">
        <is>
          <t>N/A</t>
        </is>
      </c>
      <c r="G3224" s="26">
        <v>66441327</v>
      </c>
      <c r="H3224" s="26">
        <v>36542730</v>
      </c>
      <c r="I3224" s="26">
        <v>0</v>
      </c>
      <c r="J3224" s="26">
        <v>90</v>
      </c>
      <c r="K3224" t="inlineStr">
        <is>
          <t>Oui</t>
        </is>
      </c>
      <c r="L3224">
        <f>SUBTOTAL(103,A3224)</f>
        <v>1</v>
      </c>
    </row>
    <row r="3225">
      <c r="A3225" t="inlineStr">
        <is>
          <t>SOCIETE C1831</t>
        </is>
      </c>
      <c r="B3225" t="inlineStr">
        <is>
          <t>C1831</t>
        </is>
      </c>
      <c r="C3225" t="inlineStr">
        <is>
          <t>SME</t>
        </is>
      </c>
      <c r="D3225" t="inlineStr">
        <is>
          <t>II</t>
        </is>
      </c>
      <c r="E3225" t="inlineStr">
        <is>
          <t>Stage 2</t>
        </is>
      </c>
      <c r="F3225" t="inlineStr">
        <is>
          <t>N/A</t>
        </is>
      </c>
      <c r="G3225" s="26">
        <v>3416229</v>
      </c>
      <c r="H3225" s="26">
        <v>204974</v>
      </c>
      <c r="I3225" s="26">
        <v>72489</v>
      </c>
      <c r="J3225" s="26">
        <v>51</v>
      </c>
      <c r="K3225" t="inlineStr">
        <is>
          <t>Non</t>
        </is>
      </c>
      <c r="L3225">
        <f>SUBTOTAL(103,A3225)</f>
        <v>1</v>
      </c>
    </row>
    <row r="3226">
      <c r="A3226" t="inlineStr">
        <is>
          <t>SOCIETE C402</t>
        </is>
      </c>
      <c r="B3226" t="inlineStr">
        <is>
          <t>C402</t>
        </is>
      </c>
      <c r="C3226" t="inlineStr">
        <is>
          <t>CORPORATE BANKING</t>
        </is>
      </c>
      <c r="D3226" t="inlineStr">
        <is>
          <t>II</t>
        </is>
      </c>
      <c r="E3226" t="inlineStr">
        <is>
          <t>Stage 2</t>
        </is>
      </c>
      <c r="F3226" t="inlineStr">
        <is>
          <t>N/A</t>
        </is>
      </c>
      <c r="G3226" s="26">
        <v>288044083</v>
      </c>
      <c r="H3226" s="26">
        <v>17282645</v>
      </c>
      <c r="I3226" s="26">
        <v>0</v>
      </c>
      <c r="J3226" s="26">
        <v>101</v>
      </c>
      <c r="K3226" t="inlineStr">
        <is>
          <t>Non</t>
        </is>
      </c>
      <c r="L3226">
        <f>SUBTOTAL(103,A3226)</f>
        <v>1</v>
      </c>
    </row>
    <row r="3227">
      <c r="A3227" t="inlineStr">
        <is>
          <t>SOCIETE C288</t>
        </is>
      </c>
      <c r="B3227" t="inlineStr">
        <is>
          <t>C288</t>
        </is>
      </c>
      <c r="C3227" t="inlineStr">
        <is>
          <t>COMMERCIAL BANKING</t>
        </is>
      </c>
      <c r="D3227" t="inlineStr">
        <is>
          <t>I</t>
        </is>
      </c>
      <c r="E3227" t="inlineStr">
        <is>
          <t>Stage 1</t>
        </is>
      </c>
      <c r="F3227" t="inlineStr">
        <is>
          <t>N/A</t>
        </is>
      </c>
      <c r="G3227" s="26">
        <v>747047630</v>
      </c>
      <c r="H3227" s="26">
        <v>7470476</v>
      </c>
      <c r="I3227" s="26">
        <v>0</v>
      </c>
      <c r="J3227" s="26">
        <v>130</v>
      </c>
      <c r="K3227" t="inlineStr">
        <is>
          <t>Non</t>
        </is>
      </c>
      <c r="L3227">
        <f>SUBTOTAL(103,A3227)</f>
        <v>1</v>
      </c>
    </row>
    <row r="3228">
      <c r="A3228" t="inlineStr">
        <is>
          <t>SOCIETE C5</t>
        </is>
      </c>
      <c r="B3228" t="inlineStr">
        <is>
          <t>C5</t>
        </is>
      </c>
      <c r="C3228" t="inlineStr">
        <is>
          <t>CORPORATE BANKING</t>
        </is>
      </c>
      <c r="D3228" t="inlineStr">
        <is>
          <t>I</t>
        </is>
      </c>
      <c r="E3228" t="inlineStr">
        <is>
          <t>Stage 1</t>
        </is>
      </c>
      <c r="F3228" t="inlineStr">
        <is>
          <t>N/A</t>
        </is>
      </c>
      <c r="G3228" s="26">
        <v>2316530244</v>
      </c>
      <c r="H3228" s="26">
        <v>23165302</v>
      </c>
      <c r="I3228" s="26">
        <v>0</v>
      </c>
      <c r="J3228" s="26">
        <v>4</v>
      </c>
      <c r="K3228" t="inlineStr">
        <is>
          <t>Non</t>
        </is>
      </c>
      <c r="L3228">
        <f>SUBTOTAL(103,A3228)</f>
        <v>1</v>
      </c>
    </row>
    <row r="3229">
      <c r="A3229" t="inlineStr">
        <is>
          <t>SOCIETE C1988</t>
        </is>
      </c>
      <c r="B3229" t="inlineStr">
        <is>
          <t>C1988</t>
        </is>
      </c>
      <c r="C3229" t="inlineStr">
        <is>
          <t>CONSUMER BANKING</t>
        </is>
      </c>
      <c r="D3229" t="inlineStr">
        <is>
          <t>I</t>
        </is>
      </c>
      <c r="E3229" t="inlineStr">
        <is>
          <t>Stage 1</t>
        </is>
      </c>
      <c r="F3229" t="inlineStr">
        <is>
          <t>N/A</t>
        </is>
      </c>
      <c r="G3229" s="26">
        <v>885405165</v>
      </c>
      <c r="H3229" s="26">
        <v>8854052</v>
      </c>
      <c r="I3229" s="26">
        <v>0</v>
      </c>
      <c r="J3229" s="26">
        <v>17</v>
      </c>
      <c r="K3229" t="inlineStr">
        <is>
          <t>Non</t>
        </is>
      </c>
      <c r="L3229">
        <f>SUBTOTAL(103,A3229)</f>
        <v>1</v>
      </c>
    </row>
    <row r="3230">
      <c r="A3230" t="inlineStr">
        <is>
          <t>SOCIETE C2235</t>
        </is>
      </c>
      <c r="B3230" t="inlineStr">
        <is>
          <t>C2235</t>
        </is>
      </c>
      <c r="C3230" t="inlineStr">
        <is>
          <t>CORPORATE BANKING</t>
        </is>
      </c>
      <c r="D3230" t="inlineStr">
        <is>
          <t>I</t>
        </is>
      </c>
      <c r="E3230" t="inlineStr">
        <is>
          <t>Stage 1</t>
        </is>
      </c>
      <c r="F3230" t="inlineStr">
        <is>
          <t>N/A</t>
        </is>
      </c>
      <c r="G3230" s="26">
        <v>1535387804</v>
      </c>
      <c r="H3230" s="26">
        <v>15353878</v>
      </c>
      <c r="I3230" s="26">
        <v>0</v>
      </c>
      <c r="J3230" s="26">
        <v>109</v>
      </c>
      <c r="K3230" t="inlineStr">
        <is>
          <t>Non</t>
        </is>
      </c>
      <c r="L3230">
        <f>SUBTOTAL(103,A3230)</f>
        <v>1</v>
      </c>
    </row>
    <row r="3231">
      <c r="A3231" t="inlineStr">
        <is>
          <t>SOCIETE C1623</t>
        </is>
      </c>
      <c r="B3231" t="inlineStr">
        <is>
          <t>C1623</t>
        </is>
      </c>
      <c r="C3231" t="inlineStr">
        <is>
          <t>COMMERCIAL BANKING</t>
        </is>
      </c>
      <c r="D3231" t="inlineStr">
        <is>
          <t>I</t>
        </is>
      </c>
      <c r="E3231" t="inlineStr">
        <is>
          <t>Stage 1</t>
        </is>
      </c>
      <c r="F3231" t="inlineStr">
        <is>
          <t>N/A</t>
        </is>
      </c>
      <c r="G3231" s="26">
        <v>31116751</v>
      </c>
      <c r="H3231" s="26">
        <v>311168</v>
      </c>
      <c r="I3231" s="26">
        <v>1606311</v>
      </c>
      <c r="J3231" s="26">
        <v>3</v>
      </c>
      <c r="K3231" t="inlineStr">
        <is>
          <t>Non</t>
        </is>
      </c>
      <c r="L3231">
        <f>SUBTOTAL(103,A3231)</f>
        <v>1</v>
      </c>
    </row>
    <row r="3232">
      <c r="A3232" t="inlineStr">
        <is>
          <t>SOCIETE C1074</t>
        </is>
      </c>
      <c r="B3232" t="inlineStr">
        <is>
          <t>C1074</t>
        </is>
      </c>
      <c r="C3232" t="inlineStr">
        <is>
          <t>CONSUMER BANKING</t>
        </is>
      </c>
      <c r="D3232" t="inlineStr">
        <is>
          <t>V</t>
        </is>
      </c>
      <c r="E3232" t="inlineStr">
        <is>
          <t>Stage 3</t>
        </is>
      </c>
      <c r="F3232" t="inlineStr">
        <is>
          <t>N/A</t>
        </is>
      </c>
      <c r="G3232" s="26">
        <v>366302723</v>
      </c>
      <c r="H3232" s="26">
        <v>201466497</v>
      </c>
      <c r="I3232" s="26">
        <v>6699549</v>
      </c>
      <c r="J3232" s="26">
        <v>72</v>
      </c>
      <c r="K3232" t="inlineStr">
        <is>
          <t>Oui</t>
        </is>
      </c>
      <c r="L3232">
        <f>SUBTOTAL(103,A3232)</f>
        <v>1</v>
      </c>
    </row>
    <row r="3233">
      <c r="A3233" t="inlineStr">
        <is>
          <t>SOCIETE C606</t>
        </is>
      </c>
      <c r="B3233" t="inlineStr">
        <is>
          <t>C606</t>
        </is>
      </c>
      <c r="C3233" t="inlineStr">
        <is>
          <t>CONSUMER BANKING</t>
        </is>
      </c>
      <c r="D3233" t="inlineStr">
        <is>
          <t>III</t>
        </is>
      </c>
      <c r="E3233" t="inlineStr">
        <is>
          <t>Stage 3</t>
        </is>
      </c>
      <c r="F3233" t="inlineStr">
        <is>
          <t>N/A</t>
        </is>
      </c>
      <c r="G3233" s="26">
        <v>4855134</v>
      </c>
      <c r="H3233" s="26">
        <v>2670323</v>
      </c>
      <c r="I3233" s="26">
        <v>627481</v>
      </c>
      <c r="J3233" s="26">
        <v>271</v>
      </c>
      <c r="K3233" t="inlineStr">
        <is>
          <t>Oui</t>
        </is>
      </c>
      <c r="L3233">
        <f>SUBTOTAL(103,A3233)</f>
        <v>1</v>
      </c>
    </row>
    <row r="3234">
      <c r="A3234" t="inlineStr">
        <is>
          <t>SOCIETE C1378</t>
        </is>
      </c>
      <c r="B3234" t="inlineStr">
        <is>
          <t>C1378</t>
        </is>
      </c>
      <c r="C3234" t="inlineStr">
        <is>
          <t>COMMERCIAL BANKING</t>
        </is>
      </c>
      <c r="D3234" t="inlineStr">
        <is>
          <t>I</t>
        </is>
      </c>
      <c r="E3234" t="inlineStr">
        <is>
          <t>Stage 1</t>
        </is>
      </c>
      <c r="F3234" t="inlineStr">
        <is>
          <t>N/A</t>
        </is>
      </c>
      <c r="G3234" s="26">
        <v>1123664521</v>
      </c>
      <c r="H3234" s="26">
        <v>11236645</v>
      </c>
      <c r="I3234" s="26">
        <v>0</v>
      </c>
      <c r="J3234" s="26">
        <v>223</v>
      </c>
      <c r="K3234" t="inlineStr">
        <is>
          <t>Non</t>
        </is>
      </c>
      <c r="L3234">
        <f>SUBTOTAL(103,A3234)</f>
        <v>1</v>
      </c>
    </row>
    <row r="3235">
      <c r="A3235" t="inlineStr">
        <is>
          <t>SOCIETE C1394</t>
        </is>
      </c>
      <c r="B3235" t="inlineStr">
        <is>
          <t>C1394</t>
        </is>
      </c>
      <c r="C3235" t="inlineStr">
        <is>
          <t>CORPORATE BANKING</t>
        </is>
      </c>
      <c r="D3235" t="inlineStr">
        <is>
          <t>IV</t>
        </is>
      </c>
      <c r="E3235" t="inlineStr">
        <is>
          <t>Stage 3</t>
        </is>
      </c>
      <c r="F3235" t="inlineStr">
        <is>
          <t>N/A</t>
        </is>
      </c>
      <c r="G3235" s="26">
        <v>141040028</v>
      </c>
      <c r="H3235" s="26">
        <v>77572016</v>
      </c>
      <c r="I3235" s="26">
        <v>0</v>
      </c>
      <c r="J3235" s="26">
        <v>132</v>
      </c>
      <c r="K3235" t="inlineStr">
        <is>
          <t>Oui</t>
        </is>
      </c>
      <c r="L3235">
        <f>SUBTOTAL(103,A3235)</f>
        <v>1</v>
      </c>
    </row>
    <row r="3236">
      <c r="A3236" t="inlineStr">
        <is>
          <t>SOCIETE C611</t>
        </is>
      </c>
      <c r="B3236" t="inlineStr">
        <is>
          <t>C611</t>
        </is>
      </c>
      <c r="C3236" t="inlineStr">
        <is>
          <t>COMMERCIAL BANKING</t>
        </is>
      </c>
      <c r="D3236" t="inlineStr">
        <is>
          <t>IA</t>
        </is>
      </c>
      <c r="E3236" t="inlineStr">
        <is>
          <t>Stage 2</t>
        </is>
      </c>
      <c r="F3236" t="inlineStr">
        <is>
          <t>N/A</t>
        </is>
      </c>
      <c r="G3236" s="26">
        <v>1578369941</v>
      </c>
      <c r="H3236" s="26">
        <v>94702196</v>
      </c>
      <c r="I3236" s="26">
        <v>0</v>
      </c>
      <c r="J3236" s="26">
        <v>13</v>
      </c>
      <c r="K3236" t="inlineStr">
        <is>
          <t>Non</t>
        </is>
      </c>
      <c r="L3236">
        <f>SUBTOTAL(103,A3236)</f>
        <v>1</v>
      </c>
    </row>
    <row r="3237">
      <c r="A3237" t="inlineStr">
        <is>
          <t>SOCIETE C1176</t>
        </is>
      </c>
      <c r="B3237" t="inlineStr">
        <is>
          <t>C1176</t>
        </is>
      </c>
      <c r="C3237" t="inlineStr">
        <is>
          <t>CORPORATE BANKING</t>
        </is>
      </c>
      <c r="D3237" t="inlineStr">
        <is>
          <t>IV</t>
        </is>
      </c>
      <c r="E3237" t="inlineStr">
        <is>
          <t>Stage 3</t>
        </is>
      </c>
      <c r="F3237" t="inlineStr">
        <is>
          <t>N/A</t>
        </is>
      </c>
      <c r="G3237" s="26">
        <v>2074201</v>
      </c>
      <c r="H3237" s="26">
        <v>1140811</v>
      </c>
      <c r="I3237" s="26">
        <v>0</v>
      </c>
      <c r="J3237" s="26">
        <v>20</v>
      </c>
      <c r="K3237" t="inlineStr">
        <is>
          <t>Oui</t>
        </is>
      </c>
      <c r="L3237">
        <f>SUBTOTAL(103,A3237)</f>
        <v>1</v>
      </c>
    </row>
    <row r="3238">
      <c r="A3238" t="inlineStr">
        <is>
          <t>SOCIETE C2339</t>
        </is>
      </c>
      <c r="B3238" t="inlineStr">
        <is>
          <t>C2339</t>
        </is>
      </c>
      <c r="C3238" t="inlineStr">
        <is>
          <t>CORPORATE BANKING</t>
        </is>
      </c>
      <c r="D3238" t="inlineStr">
        <is>
          <t>III</t>
        </is>
      </c>
      <c r="E3238" t="inlineStr">
        <is>
          <t>Stage 3</t>
        </is>
      </c>
      <c r="F3238" t="inlineStr">
        <is>
          <t>N/A</t>
        </is>
      </c>
      <c r="G3238" s="26">
        <v>15550168</v>
      </c>
      <c r="H3238" s="26">
        <v>8552593</v>
      </c>
      <c r="I3238" s="26">
        <v>460300</v>
      </c>
      <c r="J3238" s="26">
        <v>89</v>
      </c>
      <c r="K3238" t="inlineStr">
        <is>
          <t>Oui</t>
        </is>
      </c>
      <c r="L3238">
        <f>SUBTOTAL(103,A3238)</f>
        <v>1</v>
      </c>
    </row>
    <row r="3239">
      <c r="A3239" t="inlineStr">
        <is>
          <t>SOCIETE C1109</t>
        </is>
      </c>
      <c r="B3239" t="inlineStr">
        <is>
          <t>C1109</t>
        </is>
      </c>
      <c r="C3239" t="inlineStr">
        <is>
          <t>CONSUMER BANKING</t>
        </is>
      </c>
      <c r="D3239" t="inlineStr">
        <is>
          <t>I</t>
        </is>
      </c>
      <c r="E3239" t="inlineStr">
        <is>
          <t>Stage 1</t>
        </is>
      </c>
      <c r="F3239" t="inlineStr">
        <is>
          <t>N/A</t>
        </is>
      </c>
      <c r="G3239" s="26">
        <v>2854294114</v>
      </c>
      <c r="H3239" s="26">
        <v>28542941</v>
      </c>
      <c r="I3239" s="26">
        <v>95245019</v>
      </c>
      <c r="J3239" s="26">
        <v>56</v>
      </c>
      <c r="K3239" t="inlineStr">
        <is>
          <t>Non</t>
        </is>
      </c>
      <c r="L3239">
        <f>SUBTOTAL(103,A3239)</f>
        <v>1</v>
      </c>
    </row>
    <row r="3240">
      <c r="A3240" t="inlineStr">
        <is>
          <t>SOCIETE C200</t>
        </is>
      </c>
      <c r="B3240" t="inlineStr">
        <is>
          <t>C200</t>
        </is>
      </c>
      <c r="C3240" t="inlineStr">
        <is>
          <t>COMMERCIAL BANKING</t>
        </is>
      </c>
      <c r="D3240" t="inlineStr">
        <is>
          <t>I</t>
        </is>
      </c>
      <c r="E3240" t="inlineStr">
        <is>
          <t>Stage 1</t>
        </is>
      </c>
      <c r="F3240" t="inlineStr">
        <is>
          <t>N/A</t>
        </is>
      </c>
      <c r="G3240" s="26">
        <v>120011098</v>
      </c>
      <c r="H3240" s="26">
        <v>1200111</v>
      </c>
      <c r="I3240" s="26">
        <v>0</v>
      </c>
      <c r="J3240" s="26">
        <v>34</v>
      </c>
      <c r="K3240" t="inlineStr">
        <is>
          <t>Non</t>
        </is>
      </c>
      <c r="L3240">
        <f>SUBTOTAL(103,A3240)</f>
        <v>1</v>
      </c>
    </row>
    <row r="3241">
      <c r="A3241" t="inlineStr">
        <is>
          <t>SOCIETE C2409</t>
        </is>
      </c>
      <c r="B3241" t="inlineStr">
        <is>
          <t>C2409</t>
        </is>
      </c>
      <c r="C3241" t="inlineStr">
        <is>
          <t>COMMERCIAL BANKING</t>
        </is>
      </c>
      <c r="D3241" t="inlineStr">
        <is>
          <t>IA</t>
        </is>
      </c>
      <c r="E3241" t="inlineStr">
        <is>
          <t>Stage 2</t>
        </is>
      </c>
      <c r="F3241" t="inlineStr">
        <is>
          <t>N/A</t>
        </is>
      </c>
      <c r="G3241" s="26">
        <v>122260194</v>
      </c>
      <c r="H3241" s="26">
        <v>7335612</v>
      </c>
      <c r="I3241" s="26">
        <v>0</v>
      </c>
      <c r="J3241" s="26">
        <v>109</v>
      </c>
      <c r="K3241" t="inlineStr">
        <is>
          <t>Non</t>
        </is>
      </c>
      <c r="L3241">
        <f>SUBTOTAL(103,A3241)</f>
        <v>1</v>
      </c>
    </row>
    <row r="3242">
      <c r="A3242" t="inlineStr">
        <is>
          <t>SOCIETE C2103</t>
        </is>
      </c>
      <c r="B3242" t="inlineStr">
        <is>
          <t>C2103</t>
        </is>
      </c>
      <c r="C3242" t="inlineStr">
        <is>
          <t>CORPORATE BANKING</t>
        </is>
      </c>
      <c r="D3242" t="inlineStr">
        <is>
          <t>I</t>
        </is>
      </c>
      <c r="E3242" t="inlineStr">
        <is>
          <t>Stage 1</t>
        </is>
      </c>
      <c r="F3242" t="inlineStr">
        <is>
          <t>N/A</t>
        </is>
      </c>
      <c r="G3242" s="26">
        <v>350028783</v>
      </c>
      <c r="H3242" s="26">
        <v>3500288</v>
      </c>
      <c r="I3242" s="26">
        <v>5163266</v>
      </c>
      <c r="J3242" s="26">
        <v>214</v>
      </c>
      <c r="K3242" t="inlineStr">
        <is>
          <t>Non</t>
        </is>
      </c>
      <c r="L3242">
        <f>SUBTOTAL(103,A3242)</f>
        <v>1</v>
      </c>
    </row>
    <row r="3243">
      <c r="A3243" t="inlineStr">
        <is>
          <t>SOCIETE C2372</t>
        </is>
      </c>
      <c r="B3243" t="inlineStr">
        <is>
          <t>C2372</t>
        </is>
      </c>
      <c r="C3243" t="inlineStr">
        <is>
          <t>COMMERCIAL BANKING</t>
        </is>
      </c>
      <c r="D3243" t="inlineStr">
        <is>
          <t>IV</t>
        </is>
      </c>
      <c r="E3243" t="inlineStr">
        <is>
          <t>Stage 3</t>
        </is>
      </c>
      <c r="F3243" t="inlineStr">
        <is>
          <t>N/A</t>
        </is>
      </c>
      <c r="G3243" s="26">
        <v>822253137</v>
      </c>
      <c r="H3243" s="26">
        <v>452239225</v>
      </c>
      <c r="I3243" s="26">
        <v>53030480</v>
      </c>
      <c r="J3243" s="26">
        <v>13</v>
      </c>
      <c r="K3243" t="inlineStr">
        <is>
          <t>Oui</t>
        </is>
      </c>
      <c r="L3243">
        <f>SUBTOTAL(103,A3243)</f>
        <v>1</v>
      </c>
    </row>
    <row r="3244">
      <c r="A3244" t="inlineStr">
        <is>
          <t>SOCIETE C191</t>
        </is>
      </c>
      <c r="B3244" t="inlineStr">
        <is>
          <t>C191</t>
        </is>
      </c>
      <c r="C3244" t="inlineStr">
        <is>
          <t>CONSUMER BANKING</t>
        </is>
      </c>
      <c r="D3244" t="inlineStr">
        <is>
          <t>I</t>
        </is>
      </c>
      <c r="E3244" t="inlineStr">
        <is>
          <t>Stage 1</t>
        </is>
      </c>
      <c r="F3244" t="inlineStr">
        <is>
          <t>N/A</t>
        </is>
      </c>
      <c r="G3244" s="26">
        <v>1045340622</v>
      </c>
      <c r="H3244" s="26">
        <v>10453406</v>
      </c>
      <c r="I3244" s="26">
        <v>0</v>
      </c>
      <c r="J3244" s="26">
        <v>31</v>
      </c>
      <c r="K3244" t="inlineStr">
        <is>
          <t>Non</t>
        </is>
      </c>
      <c r="L3244">
        <f>SUBTOTAL(103,A3244)</f>
        <v>1</v>
      </c>
    </row>
    <row r="3245">
      <c r="A3245" t="inlineStr">
        <is>
          <t>SOCIETE C2349</t>
        </is>
      </c>
      <c r="B3245" t="inlineStr">
        <is>
          <t>C2349</t>
        </is>
      </c>
      <c r="C3245" t="inlineStr">
        <is>
          <t>COMMERCIAL BANKING</t>
        </is>
      </c>
      <c r="D3245" t="inlineStr">
        <is>
          <t>I</t>
        </is>
      </c>
      <c r="E3245" t="inlineStr">
        <is>
          <t>Stage 1</t>
        </is>
      </c>
      <c r="F3245" t="inlineStr">
        <is>
          <t>N/A</t>
        </is>
      </c>
      <c r="G3245" s="26">
        <v>413382159</v>
      </c>
      <c r="H3245" s="26">
        <v>4133822</v>
      </c>
      <c r="I3245" s="26">
        <v>0</v>
      </c>
      <c r="J3245" s="26">
        <v>65</v>
      </c>
      <c r="K3245" t="inlineStr">
        <is>
          <t>Non</t>
        </is>
      </c>
      <c r="L3245">
        <f>SUBTOTAL(103,A3245)</f>
        <v>1</v>
      </c>
    </row>
    <row r="3246">
      <c r="A3246" t="inlineStr">
        <is>
          <t>SOCIETE C1342</t>
        </is>
      </c>
      <c r="B3246" t="inlineStr">
        <is>
          <t>C1342</t>
        </is>
      </c>
      <c r="C3246" t="inlineStr">
        <is>
          <t>CORPORATE BANKING</t>
        </is>
      </c>
      <c r="D3246" t="inlineStr">
        <is>
          <t>IA</t>
        </is>
      </c>
      <c r="E3246" t="inlineStr">
        <is>
          <t>Stage 2</t>
        </is>
      </c>
      <c r="F3246" t="inlineStr">
        <is>
          <t>N/A</t>
        </is>
      </c>
      <c r="G3246" s="26">
        <v>1279077</v>
      </c>
      <c r="H3246" s="26">
        <v>76745</v>
      </c>
      <c r="I3246" s="26">
        <v>0</v>
      </c>
      <c r="J3246" s="26">
        <v>16</v>
      </c>
      <c r="K3246" t="inlineStr">
        <is>
          <t>Non</t>
        </is>
      </c>
      <c r="L3246">
        <f>SUBTOTAL(103,A3246)</f>
        <v>1</v>
      </c>
    </row>
    <row r="3247">
      <c r="A3247" t="inlineStr">
        <is>
          <t>SOCIETE C1467</t>
        </is>
      </c>
      <c r="B3247" t="inlineStr">
        <is>
          <t>C1467</t>
        </is>
      </c>
      <c r="C3247" t="inlineStr">
        <is>
          <t>PUBLIC SECTOR</t>
        </is>
      </c>
      <c r="D3247" t="inlineStr">
        <is>
          <t>III</t>
        </is>
      </c>
      <c r="E3247" t="inlineStr">
        <is>
          <t>Stage 3</t>
        </is>
      </c>
      <c r="F3247" t="inlineStr">
        <is>
          <t>N/A</t>
        </is>
      </c>
      <c r="G3247" s="26">
        <v>422671575</v>
      </c>
      <c r="H3247" s="26">
        <v>232469366</v>
      </c>
      <c r="I3247" s="26">
        <v>0</v>
      </c>
      <c r="J3247" s="26">
        <v>197</v>
      </c>
      <c r="K3247" t="inlineStr">
        <is>
          <t>Oui</t>
        </is>
      </c>
      <c r="L3247">
        <f>SUBTOTAL(103,A3247)</f>
        <v>1</v>
      </c>
    </row>
    <row r="3248">
      <c r="A3248" t="inlineStr">
        <is>
          <t>SOCIETE C1771</t>
        </is>
      </c>
      <c r="B3248" t="inlineStr">
        <is>
          <t>C1771</t>
        </is>
      </c>
      <c r="C3248" t="inlineStr">
        <is>
          <t>CONSUMER BANKING</t>
        </is>
      </c>
      <c r="D3248" t="inlineStr">
        <is>
          <t>IA</t>
        </is>
      </c>
      <c r="E3248" t="inlineStr">
        <is>
          <t>Stage 2</t>
        </is>
      </c>
      <c r="F3248" t="inlineStr">
        <is>
          <t>N/A</t>
        </is>
      </c>
      <c r="G3248" s="26">
        <v>165079068</v>
      </c>
      <c r="H3248" s="26">
        <v>9904744</v>
      </c>
      <c r="I3248" s="26">
        <v>0</v>
      </c>
      <c r="J3248" s="26">
        <v>1</v>
      </c>
      <c r="K3248" t="inlineStr">
        <is>
          <t>Non</t>
        </is>
      </c>
      <c r="L3248">
        <f>SUBTOTAL(103,A3248)</f>
        <v>1</v>
      </c>
    </row>
    <row r="3249">
      <c r="A3249" t="inlineStr">
        <is>
          <t>SOCIETE C1823</t>
        </is>
      </c>
      <c r="B3249" t="inlineStr">
        <is>
          <t>C1823</t>
        </is>
      </c>
      <c r="C3249" t="inlineStr">
        <is>
          <t>COMMERCIAL BANKING</t>
        </is>
      </c>
      <c r="D3249" t="inlineStr">
        <is>
          <t>IA</t>
        </is>
      </c>
      <c r="E3249" t="inlineStr">
        <is>
          <t>Stage 2</t>
        </is>
      </c>
      <c r="F3249" t="inlineStr">
        <is>
          <t>N/A</t>
        </is>
      </c>
      <c r="G3249" s="26">
        <v>1553373</v>
      </c>
      <c r="H3249" s="26">
        <v>93202</v>
      </c>
      <c r="I3249" s="26">
        <v>0</v>
      </c>
      <c r="J3249" s="26">
        <v>59</v>
      </c>
      <c r="K3249" t="inlineStr">
        <is>
          <t>Non</t>
        </is>
      </c>
      <c r="L3249">
        <f>SUBTOTAL(103,A3249)</f>
        <v>1</v>
      </c>
    </row>
    <row r="3250">
      <c r="A3250" t="inlineStr">
        <is>
          <t>SOCIETE C1143</t>
        </is>
      </c>
      <c r="B3250" t="inlineStr">
        <is>
          <t>C1143</t>
        </is>
      </c>
      <c r="C3250" t="inlineStr">
        <is>
          <t>CORPORATE BANKING</t>
        </is>
      </c>
      <c r="D3250" t="inlineStr">
        <is>
          <t>I</t>
        </is>
      </c>
      <c r="E3250" t="inlineStr">
        <is>
          <t>Stage 1</t>
        </is>
      </c>
      <c r="F3250" t="inlineStr">
        <is>
          <t>N/A</t>
        </is>
      </c>
      <c r="G3250" s="26">
        <v>2286675808</v>
      </c>
      <c r="H3250" s="26">
        <v>22866758</v>
      </c>
      <c r="I3250" s="26">
        <v>413191658</v>
      </c>
      <c r="J3250" s="26">
        <v>199</v>
      </c>
      <c r="K3250" t="inlineStr">
        <is>
          <t>Non</t>
        </is>
      </c>
      <c r="L3250">
        <f>SUBTOTAL(103,A3250)</f>
        <v>1</v>
      </c>
    </row>
    <row r="3251">
      <c r="A3251" t="inlineStr">
        <is>
          <t>SOCIETE C1912</t>
        </is>
      </c>
      <c r="B3251" t="inlineStr">
        <is>
          <t>C1912</t>
        </is>
      </c>
      <c r="C3251" t="inlineStr">
        <is>
          <t>PUBLIC SECTOR</t>
        </is>
      </c>
      <c r="D3251" t="inlineStr">
        <is>
          <t>I</t>
        </is>
      </c>
      <c r="E3251" t="inlineStr">
        <is>
          <t>Stage 1</t>
        </is>
      </c>
      <c r="F3251" t="inlineStr">
        <is>
          <t>N/A</t>
        </is>
      </c>
      <c r="G3251" s="26">
        <v>122247644</v>
      </c>
      <c r="H3251" s="26">
        <v>1222476</v>
      </c>
      <c r="I3251" s="26">
        <v>0</v>
      </c>
      <c r="J3251" s="26">
        <v>39</v>
      </c>
      <c r="K3251" t="inlineStr">
        <is>
          <t>Non</t>
        </is>
      </c>
      <c r="L3251">
        <f>SUBTOTAL(103,A3251)</f>
        <v>1</v>
      </c>
    </row>
    <row r="3252">
      <c r="A3252" t="inlineStr">
        <is>
          <t>SOCIETE C763</t>
        </is>
      </c>
      <c r="B3252" t="inlineStr">
        <is>
          <t>C763</t>
        </is>
      </c>
      <c r="C3252" t="inlineStr">
        <is>
          <t>PUBLIC SECTOR</t>
        </is>
      </c>
      <c r="D3252" t="inlineStr">
        <is>
          <t>IV</t>
        </is>
      </c>
      <c r="E3252" t="inlineStr">
        <is>
          <t>Stage 3</t>
        </is>
      </c>
      <c r="F3252" t="inlineStr">
        <is>
          <t>N/A</t>
        </is>
      </c>
      <c r="G3252" s="26">
        <v>173123070</v>
      </c>
      <c r="H3252" s="26">
        <v>95217688</v>
      </c>
      <c r="I3252" s="26">
        <v>30362571</v>
      </c>
      <c r="J3252" s="26">
        <v>67</v>
      </c>
      <c r="K3252" t="inlineStr">
        <is>
          <t>Oui</t>
        </is>
      </c>
      <c r="L3252">
        <f>SUBTOTAL(103,A3252)</f>
        <v>1</v>
      </c>
    </row>
    <row r="3253">
      <c r="A3253" t="inlineStr">
        <is>
          <t>SOCIETE C1050</t>
        </is>
      </c>
      <c r="B3253" t="inlineStr">
        <is>
          <t>C1050</t>
        </is>
      </c>
      <c r="C3253" t="inlineStr">
        <is>
          <t>CORPORATE BANKING</t>
        </is>
      </c>
      <c r="D3253" t="inlineStr">
        <is>
          <t>IV</t>
        </is>
      </c>
      <c r="E3253" t="inlineStr">
        <is>
          <t>Stage 3</t>
        </is>
      </c>
      <c r="F3253" t="inlineStr">
        <is>
          <t>N/A</t>
        </is>
      </c>
      <c r="G3253" s="26">
        <v>437881922</v>
      </c>
      <c r="H3253" s="26">
        <v>240835057</v>
      </c>
      <c r="I3253" s="26">
        <v>0</v>
      </c>
      <c r="J3253" s="26">
        <v>11</v>
      </c>
      <c r="K3253" t="inlineStr">
        <is>
          <t>Oui</t>
        </is>
      </c>
      <c r="L3253">
        <f>SUBTOTAL(103,A3253)</f>
        <v>1</v>
      </c>
    </row>
    <row r="3254">
      <c r="A3254" t="inlineStr">
        <is>
          <t>SOCIETE C1827</t>
        </is>
      </c>
      <c r="B3254" t="inlineStr">
        <is>
          <t>C1827</t>
        </is>
      </c>
      <c r="C3254" t="inlineStr">
        <is>
          <t>CONSUMER BANKING</t>
        </is>
      </c>
      <c r="D3254" t="inlineStr">
        <is>
          <t>IA</t>
        </is>
      </c>
      <c r="E3254" t="inlineStr">
        <is>
          <t>Stage 2</t>
        </is>
      </c>
      <c r="F3254" t="inlineStr">
        <is>
          <t>N/A</t>
        </is>
      </c>
      <c r="G3254" s="26">
        <v>14180807</v>
      </c>
      <c r="H3254" s="26">
        <v>850848</v>
      </c>
      <c r="I3254" s="26">
        <v>0</v>
      </c>
      <c r="J3254" s="26">
        <v>2</v>
      </c>
      <c r="K3254" t="inlineStr">
        <is>
          <t>Non</t>
        </is>
      </c>
      <c r="L3254">
        <f>SUBTOTAL(103,A3254)</f>
        <v>1</v>
      </c>
    </row>
    <row r="3255">
      <c r="A3255" t="inlineStr">
        <is>
          <t>SOCIETE C2058</t>
        </is>
      </c>
      <c r="B3255" t="inlineStr">
        <is>
          <t>C2058</t>
        </is>
      </c>
      <c r="C3255" t="inlineStr">
        <is>
          <t>COMMERCIAL BANKING</t>
        </is>
      </c>
      <c r="D3255" t="inlineStr">
        <is>
          <t>II</t>
        </is>
      </c>
      <c r="E3255" t="inlineStr">
        <is>
          <t>Stage 2</t>
        </is>
      </c>
      <c r="F3255" t="inlineStr">
        <is>
          <t>N/A</t>
        </is>
      </c>
      <c r="G3255" s="26">
        <v>2552963853</v>
      </c>
      <c r="H3255" s="26">
        <v>153177831</v>
      </c>
      <c r="I3255" s="26">
        <v>0</v>
      </c>
      <c r="J3255" s="26">
        <v>113</v>
      </c>
      <c r="K3255" t="inlineStr">
        <is>
          <t>Non</t>
        </is>
      </c>
      <c r="L3255">
        <f>SUBTOTAL(103,A3255)</f>
        <v>1</v>
      </c>
    </row>
    <row r="3256">
      <c r="A3256" t="inlineStr">
        <is>
          <t>SOCIETE C524</t>
        </is>
      </c>
      <c r="B3256" t="inlineStr">
        <is>
          <t>C524</t>
        </is>
      </c>
      <c r="C3256" t="inlineStr">
        <is>
          <t>SME</t>
        </is>
      </c>
      <c r="D3256" t="inlineStr">
        <is>
          <t>II</t>
        </is>
      </c>
      <c r="E3256" t="inlineStr">
        <is>
          <t>Stage 2</t>
        </is>
      </c>
      <c r="F3256" t="inlineStr">
        <is>
          <t>N/A</t>
        </is>
      </c>
      <c r="G3256" s="26">
        <v>499697473</v>
      </c>
      <c r="H3256" s="26">
        <v>29981848</v>
      </c>
      <c r="I3256" s="26">
        <v>0</v>
      </c>
      <c r="J3256" s="26">
        <v>0</v>
      </c>
      <c r="K3256" t="inlineStr">
        <is>
          <t>Non</t>
        </is>
      </c>
      <c r="L3256">
        <f>SUBTOTAL(103,A3256)</f>
        <v>1</v>
      </c>
    </row>
    <row r="3257">
      <c r="A3257" t="inlineStr">
        <is>
          <t>SOCIETE C1031</t>
        </is>
      </c>
      <c r="B3257" t="inlineStr">
        <is>
          <t>C1031</t>
        </is>
      </c>
      <c r="C3257" t="inlineStr">
        <is>
          <t>SME</t>
        </is>
      </c>
      <c r="D3257" t="inlineStr">
        <is>
          <t>IV</t>
        </is>
      </c>
      <c r="E3257" t="inlineStr">
        <is>
          <t>Stage 3</t>
        </is>
      </c>
      <c r="F3257" t="inlineStr">
        <is>
          <t>N/A</t>
        </is>
      </c>
      <c r="G3257" s="26">
        <v>68526239</v>
      </c>
      <c r="H3257" s="26">
        <v>37689432</v>
      </c>
      <c r="I3257" s="26">
        <v>6966406</v>
      </c>
      <c r="J3257" s="26">
        <v>11</v>
      </c>
      <c r="K3257" t="inlineStr">
        <is>
          <t>Oui</t>
        </is>
      </c>
      <c r="L3257">
        <f>SUBTOTAL(103,A3257)</f>
        <v>1</v>
      </c>
    </row>
    <row r="3258">
      <c r="A3258" t="inlineStr">
        <is>
          <t>SOCIETE C381</t>
        </is>
      </c>
      <c r="B3258" t="inlineStr">
        <is>
          <t>C381</t>
        </is>
      </c>
      <c r="C3258" t="inlineStr">
        <is>
          <t>INSTITUTIONAL</t>
        </is>
      </c>
      <c r="D3258" t="inlineStr">
        <is>
          <t>I</t>
        </is>
      </c>
      <c r="E3258" t="inlineStr">
        <is>
          <t>Stage 1</t>
        </is>
      </c>
      <c r="F3258" t="inlineStr">
        <is>
          <t>N/A</t>
        </is>
      </c>
      <c r="G3258" s="26">
        <v>1616312877</v>
      </c>
      <c r="H3258" s="26">
        <v>16163129</v>
      </c>
      <c r="I3258" s="26">
        <v>0</v>
      </c>
      <c r="J3258" s="26">
        <v>274</v>
      </c>
      <c r="K3258" t="inlineStr">
        <is>
          <t>Non</t>
        </is>
      </c>
      <c r="L3258">
        <f>SUBTOTAL(103,A3258)</f>
        <v>1</v>
      </c>
    </row>
    <row r="3259">
      <c r="A3259" t="inlineStr">
        <is>
          <t>SOCIETE C1130</t>
        </is>
      </c>
      <c r="B3259" t="inlineStr">
        <is>
          <t>C1130</t>
        </is>
      </c>
      <c r="C3259" t="inlineStr">
        <is>
          <t>CORPORATE BANKING</t>
        </is>
      </c>
      <c r="D3259" t="inlineStr">
        <is>
          <t>I</t>
        </is>
      </c>
      <c r="E3259" t="inlineStr">
        <is>
          <t>Stage 1</t>
        </is>
      </c>
      <c r="F3259" t="inlineStr">
        <is>
          <t>N/A</t>
        </is>
      </c>
      <c r="G3259" s="26">
        <v>1122308</v>
      </c>
      <c r="H3259" s="26">
        <v>11223</v>
      </c>
      <c r="I3259" s="26">
        <v>0</v>
      </c>
      <c r="J3259" s="26">
        <v>129</v>
      </c>
      <c r="K3259" t="inlineStr">
        <is>
          <t>Non</t>
        </is>
      </c>
      <c r="L3259">
        <f>SUBTOTAL(103,A3259)</f>
        <v>1</v>
      </c>
    </row>
    <row r="3260">
      <c r="A3260" t="inlineStr">
        <is>
          <t>SOCIETE C290</t>
        </is>
      </c>
      <c r="B3260" t="inlineStr">
        <is>
          <t>C290</t>
        </is>
      </c>
      <c r="C3260" t="inlineStr">
        <is>
          <t>COMMERCIAL BANKING</t>
        </is>
      </c>
      <c r="D3260" t="inlineStr">
        <is>
          <t>I</t>
        </is>
      </c>
      <c r="E3260" t="inlineStr">
        <is>
          <t>Stage 1</t>
        </is>
      </c>
      <c r="F3260" t="inlineStr">
        <is>
          <t>N/A</t>
        </is>
      </c>
      <c r="G3260" s="26">
        <v>2907797890</v>
      </c>
      <c r="H3260" s="26">
        <v>29077979</v>
      </c>
      <c r="I3260" s="26">
        <v>0</v>
      </c>
      <c r="J3260" s="26">
        <v>127</v>
      </c>
      <c r="K3260" t="inlineStr">
        <is>
          <t>Non</t>
        </is>
      </c>
      <c r="L3260">
        <f>SUBTOTAL(103,A3260)</f>
        <v>1</v>
      </c>
    </row>
    <row r="3261">
      <c r="A3261" t="inlineStr">
        <is>
          <t>SOCIETE C118</t>
        </is>
      </c>
      <c r="B3261" t="inlineStr">
        <is>
          <t>C118</t>
        </is>
      </c>
      <c r="C3261" t="inlineStr">
        <is>
          <t>SME</t>
        </is>
      </c>
      <c r="D3261" t="inlineStr">
        <is>
          <t>IA</t>
        </is>
      </c>
      <c r="E3261" t="inlineStr">
        <is>
          <t>Stage 2</t>
        </is>
      </c>
      <c r="F3261" t="inlineStr">
        <is>
          <t>N/A</t>
        </is>
      </c>
      <c r="G3261" s="26">
        <v>379699967</v>
      </c>
      <c r="H3261" s="26">
        <v>22781998</v>
      </c>
      <c r="I3261" s="26">
        <v>2694372</v>
      </c>
      <c r="J3261" s="26">
        <v>39</v>
      </c>
      <c r="K3261" t="inlineStr">
        <is>
          <t>Non</t>
        </is>
      </c>
      <c r="L3261">
        <f>SUBTOTAL(103,A3261)</f>
        <v>1</v>
      </c>
    </row>
    <row r="3262">
      <c r="A3262" t="inlineStr">
        <is>
          <t>SOCIETE C1841</t>
        </is>
      </c>
      <c r="B3262" t="inlineStr">
        <is>
          <t>C1841</t>
        </is>
      </c>
      <c r="C3262" t="inlineStr">
        <is>
          <t>CORPORATE BANKING</t>
        </is>
      </c>
      <c r="D3262" t="inlineStr">
        <is>
          <t>I</t>
        </is>
      </c>
      <c r="E3262" t="inlineStr">
        <is>
          <t>Stage 1</t>
        </is>
      </c>
      <c r="F3262" t="inlineStr">
        <is>
          <t>N/A</t>
        </is>
      </c>
      <c r="G3262" s="26">
        <v>4402520</v>
      </c>
      <c r="H3262" s="26">
        <v>44025</v>
      </c>
      <c r="I3262" s="26">
        <v>0</v>
      </c>
      <c r="J3262" s="26">
        <v>37</v>
      </c>
      <c r="K3262" t="inlineStr">
        <is>
          <t>Non</t>
        </is>
      </c>
      <c r="L3262">
        <f>SUBTOTAL(103,A3262)</f>
        <v>1</v>
      </c>
    </row>
    <row r="3263">
      <c r="A3263" t="inlineStr">
        <is>
          <t>SOCIETE C2122</t>
        </is>
      </c>
      <c r="B3263" t="inlineStr">
        <is>
          <t>C2122</t>
        </is>
      </c>
      <c r="C3263" t="inlineStr">
        <is>
          <t>CORPORATE BANKING</t>
        </is>
      </c>
      <c r="D3263" t="inlineStr">
        <is>
          <t>I</t>
        </is>
      </c>
      <c r="E3263" t="inlineStr">
        <is>
          <t>Stage 1</t>
        </is>
      </c>
      <c r="F3263" t="inlineStr">
        <is>
          <t>N/A</t>
        </is>
      </c>
      <c r="G3263" s="26">
        <v>2397592444</v>
      </c>
      <c r="H3263" s="26">
        <v>23975924</v>
      </c>
      <c r="I3263" s="26">
        <v>0</v>
      </c>
      <c r="J3263" s="26">
        <v>75</v>
      </c>
      <c r="K3263" t="inlineStr">
        <is>
          <t>Non</t>
        </is>
      </c>
      <c r="L3263">
        <f>SUBTOTAL(103,A3263)</f>
        <v>1</v>
      </c>
    </row>
    <row r="3264">
      <c r="A3264" t="inlineStr">
        <is>
          <t>SOCIETE C293</t>
        </is>
      </c>
      <c r="B3264" t="inlineStr">
        <is>
          <t>C293</t>
        </is>
      </c>
      <c r="C3264" t="inlineStr">
        <is>
          <t>CORPORATE BANKING</t>
        </is>
      </c>
      <c r="D3264" t="inlineStr">
        <is>
          <t>V</t>
        </is>
      </c>
      <c r="E3264" t="inlineStr">
        <is>
          <t>Stage 3</t>
        </is>
      </c>
      <c r="F3264" t="inlineStr">
        <is>
          <t>N/A</t>
        </is>
      </c>
      <c r="G3264" s="26">
        <v>53811205</v>
      </c>
      <c r="H3264" s="26">
        <v>29596163</v>
      </c>
      <c r="I3264" s="26">
        <v>0</v>
      </c>
      <c r="J3264" s="26">
        <v>1</v>
      </c>
      <c r="K3264" t="inlineStr">
        <is>
          <t>Oui</t>
        </is>
      </c>
      <c r="L3264">
        <f>SUBTOTAL(103,A3264)</f>
        <v>1</v>
      </c>
    </row>
    <row r="3265">
      <c r="A3265" t="inlineStr">
        <is>
          <t>SOCIETE C1950</t>
        </is>
      </c>
      <c r="B3265" t="inlineStr">
        <is>
          <t>C1950</t>
        </is>
      </c>
      <c r="C3265" t="inlineStr">
        <is>
          <t>CORPORATE BANKING</t>
        </is>
      </c>
      <c r="D3265" t="inlineStr">
        <is>
          <t>III</t>
        </is>
      </c>
      <c r="E3265" t="inlineStr">
        <is>
          <t>Stage 3</t>
        </is>
      </c>
      <c r="F3265" t="inlineStr">
        <is>
          <t>N/A</t>
        </is>
      </c>
      <c r="G3265" s="26">
        <v>145900884</v>
      </c>
      <c r="H3265" s="26">
        <v>80245486</v>
      </c>
      <c r="I3265" s="26">
        <v>28626456</v>
      </c>
      <c r="J3265" s="26">
        <v>14</v>
      </c>
      <c r="K3265" t="inlineStr">
        <is>
          <t>Oui</t>
        </is>
      </c>
      <c r="L3265">
        <f>SUBTOTAL(103,A3265)</f>
        <v>1</v>
      </c>
    </row>
    <row r="3266">
      <c r="A3266" t="inlineStr">
        <is>
          <t>SOCIETE C582</t>
        </is>
      </c>
      <c r="B3266" t="inlineStr">
        <is>
          <t>C582</t>
        </is>
      </c>
      <c r="C3266" t="inlineStr">
        <is>
          <t>CONSUMER BANKING</t>
        </is>
      </c>
      <c r="D3266" t="inlineStr">
        <is>
          <t>III</t>
        </is>
      </c>
      <c r="E3266" t="inlineStr">
        <is>
          <t>Stage 3</t>
        </is>
      </c>
      <c r="F3266" t="inlineStr">
        <is>
          <t>N/A</t>
        </is>
      </c>
      <c r="G3266" s="26">
        <v>162968266</v>
      </c>
      <c r="H3266" s="26">
        <v>89632546</v>
      </c>
      <c r="I3266" s="26">
        <v>0</v>
      </c>
      <c r="J3266" s="26">
        <v>7</v>
      </c>
      <c r="K3266" t="inlineStr">
        <is>
          <t>Oui</t>
        </is>
      </c>
      <c r="L3266">
        <f>SUBTOTAL(103,A3266)</f>
        <v>1</v>
      </c>
    </row>
    <row r="3267">
      <c r="A3267" t="inlineStr">
        <is>
          <t>SOCIETE C74</t>
        </is>
      </c>
      <c r="B3267" t="inlineStr">
        <is>
          <t>C74</t>
        </is>
      </c>
      <c r="C3267" t="inlineStr">
        <is>
          <t>PUBLIC SECTOR</t>
        </is>
      </c>
      <c r="D3267" t="inlineStr">
        <is>
          <t>I</t>
        </is>
      </c>
      <c r="E3267" t="inlineStr">
        <is>
          <t>Stage 1</t>
        </is>
      </c>
      <c r="F3267" t="inlineStr">
        <is>
          <t>N/A</t>
        </is>
      </c>
      <c r="G3267" s="26">
        <v>1897315004</v>
      </c>
      <c r="H3267" s="26">
        <v>18973150</v>
      </c>
      <c r="I3267" s="26">
        <v>0</v>
      </c>
      <c r="J3267" s="26">
        <v>239</v>
      </c>
      <c r="K3267" t="inlineStr">
        <is>
          <t>Non</t>
        </is>
      </c>
      <c r="L3267">
        <f>SUBTOTAL(103,A3267)</f>
        <v>1</v>
      </c>
    </row>
    <row r="3268">
      <c r="A3268" t="inlineStr">
        <is>
          <t>SOCIETE C2382</t>
        </is>
      </c>
      <c r="B3268" t="inlineStr">
        <is>
          <t>C2382</t>
        </is>
      </c>
      <c r="C3268" t="inlineStr">
        <is>
          <t>CORPORATE BANKING</t>
        </is>
      </c>
      <c r="D3268" t="inlineStr">
        <is>
          <t>I</t>
        </is>
      </c>
      <c r="E3268" t="inlineStr">
        <is>
          <t>Stage 1</t>
        </is>
      </c>
      <c r="F3268" t="inlineStr">
        <is>
          <t>N/A</t>
        </is>
      </c>
      <c r="G3268" s="26">
        <v>301096308</v>
      </c>
      <c r="H3268" s="26">
        <v>3010963</v>
      </c>
      <c r="I3268" s="26">
        <v>0</v>
      </c>
      <c r="J3268" s="26">
        <v>53</v>
      </c>
      <c r="K3268" t="inlineStr">
        <is>
          <t>Non</t>
        </is>
      </c>
      <c r="L3268">
        <f>SUBTOTAL(103,A3268)</f>
        <v>1</v>
      </c>
    </row>
    <row r="3269">
      <c r="A3269" t="inlineStr">
        <is>
          <t>SOCIETE C2256</t>
        </is>
      </c>
      <c r="B3269" t="inlineStr">
        <is>
          <t>C2256</t>
        </is>
      </c>
      <c r="C3269" t="inlineStr">
        <is>
          <t>CORPORATE BANKING</t>
        </is>
      </c>
      <c r="D3269" t="inlineStr">
        <is>
          <t>IA</t>
        </is>
      </c>
      <c r="E3269" t="inlineStr">
        <is>
          <t>Stage 2</t>
        </is>
      </c>
      <c r="F3269" t="inlineStr">
        <is>
          <t>N/A</t>
        </is>
      </c>
      <c r="G3269" s="26">
        <v>19192846</v>
      </c>
      <c r="H3269" s="26">
        <v>1151571</v>
      </c>
      <c r="I3269" s="26">
        <v>0</v>
      </c>
      <c r="J3269" s="26">
        <v>71</v>
      </c>
      <c r="K3269" t="inlineStr">
        <is>
          <t>Non</t>
        </is>
      </c>
      <c r="L3269">
        <f>SUBTOTAL(103,A3269)</f>
        <v>1</v>
      </c>
    </row>
    <row r="3270">
      <c r="A3270" t="inlineStr">
        <is>
          <t>SOCIETE C2273</t>
        </is>
      </c>
      <c r="B3270" t="inlineStr">
        <is>
          <t>C2273</t>
        </is>
      </c>
      <c r="C3270" t="inlineStr">
        <is>
          <t>CONSUMER BANKING</t>
        </is>
      </c>
      <c r="D3270" t="inlineStr">
        <is>
          <t>IA</t>
        </is>
      </c>
      <c r="E3270" t="inlineStr">
        <is>
          <t>Stage 2</t>
        </is>
      </c>
      <c r="F3270" t="inlineStr">
        <is>
          <t>N/A</t>
        </is>
      </c>
      <c r="G3270" s="26">
        <v>24373845</v>
      </c>
      <c r="H3270" s="26">
        <v>1462431</v>
      </c>
      <c r="I3270" s="26">
        <v>0</v>
      </c>
      <c r="J3270" s="26">
        <v>297</v>
      </c>
      <c r="K3270" t="inlineStr">
        <is>
          <t>Non</t>
        </is>
      </c>
      <c r="L3270">
        <f>SUBTOTAL(103,A3270)</f>
        <v>1</v>
      </c>
    </row>
    <row r="3271">
      <c r="A3271" t="inlineStr">
        <is>
          <t>SOCIETE C2388</t>
        </is>
      </c>
      <c r="B3271" t="inlineStr">
        <is>
          <t>C2388</t>
        </is>
      </c>
      <c r="C3271" t="inlineStr">
        <is>
          <t>CONSUMER BANKING</t>
        </is>
      </c>
      <c r="D3271" t="inlineStr">
        <is>
          <t>I</t>
        </is>
      </c>
      <c r="E3271" t="inlineStr">
        <is>
          <t>Stage 1</t>
        </is>
      </c>
      <c r="F3271" t="inlineStr">
        <is>
          <t>N/A</t>
        </is>
      </c>
      <c r="G3271" s="26">
        <v>687073834</v>
      </c>
      <c r="H3271" s="26">
        <v>6870738</v>
      </c>
      <c r="I3271" s="26">
        <v>0</v>
      </c>
      <c r="J3271" s="26">
        <v>194</v>
      </c>
      <c r="K3271" t="inlineStr">
        <is>
          <t>Non</t>
        </is>
      </c>
      <c r="L3271">
        <f>SUBTOTAL(103,A3271)</f>
        <v>1</v>
      </c>
    </row>
    <row r="3272">
      <c r="A3272" t="inlineStr">
        <is>
          <t>SOCIETE C1786</t>
        </is>
      </c>
      <c r="B3272" t="inlineStr">
        <is>
          <t>C1786</t>
        </is>
      </c>
      <c r="C3272" t="inlineStr">
        <is>
          <t>CORPORATE BANKING</t>
        </is>
      </c>
      <c r="D3272" t="inlineStr">
        <is>
          <t>IA</t>
        </is>
      </c>
      <c r="E3272" t="inlineStr">
        <is>
          <t>Stage 2</t>
        </is>
      </c>
      <c r="F3272" t="inlineStr">
        <is>
          <t>N/A</t>
        </is>
      </c>
      <c r="G3272" s="26">
        <v>366208595</v>
      </c>
      <c r="H3272" s="26">
        <v>21972516</v>
      </c>
      <c r="I3272" s="26">
        <v>0</v>
      </c>
      <c r="J3272" s="26">
        <v>38</v>
      </c>
      <c r="K3272" t="inlineStr">
        <is>
          <t>Non</t>
        </is>
      </c>
      <c r="L3272">
        <f>SUBTOTAL(103,A3272)</f>
        <v>1</v>
      </c>
    </row>
    <row r="3273">
      <c r="A3273" t="inlineStr">
        <is>
          <t>SOCIETE C695</t>
        </is>
      </c>
      <c r="B3273" t="inlineStr">
        <is>
          <t>C695</t>
        </is>
      </c>
      <c r="C3273" t="inlineStr">
        <is>
          <t>CORPORATE BANKING</t>
        </is>
      </c>
      <c r="D3273" t="inlineStr">
        <is>
          <t>IV</t>
        </is>
      </c>
      <c r="E3273" t="inlineStr">
        <is>
          <t>Stage 3</t>
        </is>
      </c>
      <c r="F3273" t="inlineStr">
        <is>
          <t>N/A</t>
        </is>
      </c>
      <c r="G3273" s="26">
        <v>876536050</v>
      </c>
      <c r="H3273" s="26">
        <v>482094827</v>
      </c>
      <c r="I3273" s="26">
        <v>94151005</v>
      </c>
      <c r="J3273" s="26">
        <v>151</v>
      </c>
      <c r="K3273" t="inlineStr">
        <is>
          <t>Oui</t>
        </is>
      </c>
      <c r="L3273">
        <f>SUBTOTAL(103,A3273)</f>
        <v>1</v>
      </c>
    </row>
    <row r="3274">
      <c r="A3274" t="inlineStr">
        <is>
          <t>SOCIETE C994</t>
        </is>
      </c>
      <c r="B3274" t="inlineStr">
        <is>
          <t>C994</t>
        </is>
      </c>
      <c r="C3274" t="inlineStr">
        <is>
          <t>CONSUMER BANKING</t>
        </is>
      </c>
      <c r="D3274" t="inlineStr">
        <is>
          <t>I</t>
        </is>
      </c>
      <c r="E3274" t="inlineStr">
        <is>
          <t>Stage 1</t>
        </is>
      </c>
      <c r="F3274" t="inlineStr">
        <is>
          <t>N/A</t>
        </is>
      </c>
      <c r="G3274" s="26">
        <v>2341126303</v>
      </c>
      <c r="H3274" s="26">
        <v>23411263</v>
      </c>
      <c r="I3274" s="26">
        <v>0</v>
      </c>
      <c r="J3274" s="26">
        <v>4</v>
      </c>
      <c r="K3274" t="inlineStr">
        <is>
          <t>Non</t>
        </is>
      </c>
      <c r="L3274">
        <f>SUBTOTAL(103,A3274)</f>
        <v>1</v>
      </c>
    </row>
    <row r="3275">
      <c r="A3275" t="inlineStr">
        <is>
          <t>SOCIETE C1556</t>
        </is>
      </c>
      <c r="B3275" t="inlineStr">
        <is>
          <t>C1556</t>
        </is>
      </c>
      <c r="C3275" t="inlineStr">
        <is>
          <t>CORPORATE BANKING</t>
        </is>
      </c>
      <c r="D3275" t="inlineStr">
        <is>
          <t>I</t>
        </is>
      </c>
      <c r="E3275" t="inlineStr">
        <is>
          <t>Stage 1</t>
        </is>
      </c>
      <c r="F3275" t="inlineStr">
        <is>
          <t>N/A</t>
        </is>
      </c>
      <c r="G3275" s="26">
        <v>8475974</v>
      </c>
      <c r="H3275" s="26">
        <v>84760</v>
      </c>
      <c r="I3275" s="26">
        <v>0</v>
      </c>
      <c r="J3275" s="26">
        <v>314</v>
      </c>
      <c r="K3275" t="inlineStr">
        <is>
          <t>Non</t>
        </is>
      </c>
      <c r="L3275">
        <f>SUBTOTAL(103,A3275)</f>
        <v>1</v>
      </c>
    </row>
    <row r="3276">
      <c r="A3276" t="inlineStr">
        <is>
          <t>SOCIETE C1698</t>
        </is>
      </c>
      <c r="B3276" t="inlineStr">
        <is>
          <t>C1698</t>
        </is>
      </c>
      <c r="C3276" t="inlineStr">
        <is>
          <t>CONSUMER BANKING</t>
        </is>
      </c>
      <c r="D3276" t="inlineStr">
        <is>
          <t>I</t>
        </is>
      </c>
      <c r="E3276" t="inlineStr">
        <is>
          <t>Stage 1</t>
        </is>
      </c>
      <c r="F3276" t="inlineStr">
        <is>
          <t>N/A</t>
        </is>
      </c>
      <c r="G3276" s="26">
        <v>1600954353</v>
      </c>
      <c r="H3276" s="26">
        <v>16009544</v>
      </c>
      <c r="I3276" s="26">
        <v>0</v>
      </c>
      <c r="J3276" s="26">
        <v>262</v>
      </c>
      <c r="K3276" t="inlineStr">
        <is>
          <t>Non</t>
        </is>
      </c>
      <c r="L3276">
        <f>SUBTOTAL(103,A3276)</f>
        <v>1</v>
      </c>
    </row>
    <row r="3277">
      <c r="A3277" t="inlineStr">
        <is>
          <t>SOCIETE C586</t>
        </is>
      </c>
      <c r="B3277" t="inlineStr">
        <is>
          <t>C586</t>
        </is>
      </c>
      <c r="C3277" t="inlineStr">
        <is>
          <t>CONSUMER BANKING</t>
        </is>
      </c>
      <c r="D3277" t="inlineStr">
        <is>
          <t>IV</t>
        </is>
      </c>
      <c r="E3277" t="inlineStr">
        <is>
          <t>Stage 3</t>
        </is>
      </c>
      <c r="F3277" t="inlineStr">
        <is>
          <t>N/A</t>
        </is>
      </c>
      <c r="G3277" s="26">
        <v>1140062327</v>
      </c>
      <c r="H3277" s="26">
        <v>627034280</v>
      </c>
      <c r="I3277" s="26">
        <v>0</v>
      </c>
      <c r="J3277" s="26">
        <v>39</v>
      </c>
      <c r="K3277" t="inlineStr">
        <is>
          <t>Oui</t>
        </is>
      </c>
      <c r="L3277">
        <f>SUBTOTAL(103,A3277)</f>
        <v>1</v>
      </c>
    </row>
    <row r="3278">
      <c r="A3278" t="inlineStr">
        <is>
          <t>SOCIETE C1137</t>
        </is>
      </c>
      <c r="B3278" t="inlineStr">
        <is>
          <t>C1137</t>
        </is>
      </c>
      <c r="C3278" t="inlineStr">
        <is>
          <t>CORPORATE BANKING</t>
        </is>
      </c>
      <c r="D3278" t="inlineStr">
        <is>
          <t>I</t>
        </is>
      </c>
      <c r="E3278" t="inlineStr">
        <is>
          <t>Stage 1</t>
        </is>
      </c>
      <c r="F3278" t="inlineStr">
        <is>
          <t>N/A</t>
        </is>
      </c>
      <c r="G3278" s="26">
        <v>216764799</v>
      </c>
      <c r="H3278" s="26">
        <v>2167648</v>
      </c>
      <c r="I3278" s="26">
        <v>0</v>
      </c>
      <c r="J3278" s="26">
        <v>165</v>
      </c>
      <c r="K3278" t="inlineStr">
        <is>
          <t>Non</t>
        </is>
      </c>
      <c r="L3278">
        <f>SUBTOTAL(103,A3278)</f>
        <v>1</v>
      </c>
    </row>
    <row r="3279">
      <c r="A3279" t="inlineStr">
        <is>
          <t>SOCIETE C2426</t>
        </is>
      </c>
      <c r="B3279" t="inlineStr">
        <is>
          <t>C2426</t>
        </is>
      </c>
      <c r="C3279" t="inlineStr">
        <is>
          <t>COMMERCIAL BANKING</t>
        </is>
      </c>
      <c r="D3279" t="inlineStr">
        <is>
          <t>I</t>
        </is>
      </c>
      <c r="E3279" t="inlineStr">
        <is>
          <t>Stage 1</t>
        </is>
      </c>
      <c r="F3279" t="inlineStr">
        <is>
          <t>N/A</t>
        </is>
      </c>
      <c r="G3279" s="26">
        <v>1233697133</v>
      </c>
      <c r="H3279" s="26">
        <v>12336971</v>
      </c>
      <c r="I3279" s="26">
        <v>0</v>
      </c>
      <c r="J3279" s="26">
        <v>93</v>
      </c>
      <c r="K3279" t="inlineStr">
        <is>
          <t>Non</t>
        </is>
      </c>
      <c r="L3279">
        <f>SUBTOTAL(103,A3279)</f>
        <v>1</v>
      </c>
    </row>
    <row r="3280">
      <c r="A3280" t="inlineStr">
        <is>
          <t>SOCIETE C1287</t>
        </is>
      </c>
      <c r="B3280" t="inlineStr">
        <is>
          <t>C1287</t>
        </is>
      </c>
      <c r="C3280" t="inlineStr">
        <is>
          <t>CORPORATE BANKING</t>
        </is>
      </c>
      <c r="D3280" t="inlineStr">
        <is>
          <t>I</t>
        </is>
      </c>
      <c r="E3280" t="inlineStr">
        <is>
          <t>Stage 1</t>
        </is>
      </c>
      <c r="F3280" t="inlineStr">
        <is>
          <t>N/A</t>
        </is>
      </c>
      <c r="G3280" s="26">
        <v>577991365</v>
      </c>
      <c r="H3280" s="26">
        <v>5779914</v>
      </c>
      <c r="I3280" s="26">
        <v>33731358</v>
      </c>
      <c r="J3280" s="26">
        <v>82</v>
      </c>
      <c r="K3280" t="inlineStr">
        <is>
          <t>Non</t>
        </is>
      </c>
      <c r="L3280">
        <f>SUBTOTAL(103,A3280)</f>
        <v>1</v>
      </c>
    </row>
    <row r="3281">
      <c r="A3281" t="inlineStr">
        <is>
          <t>SOCIETE C1730</t>
        </is>
      </c>
      <c r="B3281" t="inlineStr">
        <is>
          <t>C1730</t>
        </is>
      </c>
      <c r="C3281" t="inlineStr">
        <is>
          <t>CORPORATE BANKING</t>
        </is>
      </c>
      <c r="D3281" t="inlineStr">
        <is>
          <t>I</t>
        </is>
      </c>
      <c r="E3281" t="inlineStr">
        <is>
          <t>Stage 1</t>
        </is>
      </c>
      <c r="F3281" t="inlineStr">
        <is>
          <t>N/A</t>
        </is>
      </c>
      <c r="G3281" s="26">
        <v>2935453118</v>
      </c>
      <c r="H3281" s="26">
        <v>29354531</v>
      </c>
      <c r="I3281" s="26">
        <v>0</v>
      </c>
      <c r="J3281" s="26">
        <v>55</v>
      </c>
      <c r="K3281" t="inlineStr">
        <is>
          <t>Non</t>
        </is>
      </c>
      <c r="L3281">
        <f>SUBTOTAL(103,A3281)</f>
        <v>1</v>
      </c>
    </row>
    <row r="3282">
      <c r="A3282" t="inlineStr">
        <is>
          <t>SOCIETE C27</t>
        </is>
      </c>
      <c r="B3282" t="inlineStr">
        <is>
          <t>C27</t>
        </is>
      </c>
      <c r="C3282" t="inlineStr">
        <is>
          <t>CONSUMER BANKING</t>
        </is>
      </c>
      <c r="D3282" t="inlineStr">
        <is>
          <t>I</t>
        </is>
      </c>
      <c r="E3282" t="inlineStr">
        <is>
          <t>Stage 1</t>
        </is>
      </c>
      <c r="F3282" t="inlineStr">
        <is>
          <t>N/A</t>
        </is>
      </c>
      <c r="G3282" s="26">
        <v>266307835</v>
      </c>
      <c r="H3282" s="26">
        <v>2663078</v>
      </c>
      <c r="I3282" s="26">
        <v>0</v>
      </c>
      <c r="J3282" s="26">
        <v>68</v>
      </c>
      <c r="K3282" t="inlineStr">
        <is>
          <t>Non</t>
        </is>
      </c>
      <c r="L3282">
        <f>SUBTOTAL(103,A3282)</f>
        <v>1</v>
      </c>
    </row>
    <row r="3283">
      <c r="A3283" t="inlineStr">
        <is>
          <t>SOCIETE C1595</t>
        </is>
      </c>
      <c r="B3283" t="inlineStr">
        <is>
          <t>C1595</t>
        </is>
      </c>
      <c r="C3283" t="inlineStr">
        <is>
          <t>CORPORATE BANKING</t>
        </is>
      </c>
      <c r="D3283" t="inlineStr">
        <is>
          <t>I</t>
        </is>
      </c>
      <c r="E3283" t="inlineStr">
        <is>
          <t>Stage 1</t>
        </is>
      </c>
      <c r="F3283" t="inlineStr">
        <is>
          <t>N/A</t>
        </is>
      </c>
      <c r="G3283" s="26">
        <v>2378642994</v>
      </c>
      <c r="H3283" s="26">
        <v>23786430</v>
      </c>
      <c r="I3283" s="26">
        <v>0</v>
      </c>
      <c r="J3283" s="26">
        <v>120</v>
      </c>
      <c r="K3283" t="inlineStr">
        <is>
          <t>Non</t>
        </is>
      </c>
      <c r="L3283">
        <f>SUBTOTAL(103,A3283)</f>
        <v>1</v>
      </c>
    </row>
    <row r="3284">
      <c r="A3284" t="inlineStr">
        <is>
          <t>SOCIETE C2356</t>
        </is>
      </c>
      <c r="B3284" t="inlineStr">
        <is>
          <t>C2356</t>
        </is>
      </c>
      <c r="C3284" t="inlineStr">
        <is>
          <t>PUBLIC SECTOR</t>
        </is>
      </c>
      <c r="D3284" t="inlineStr">
        <is>
          <t>IA</t>
        </is>
      </c>
      <c r="E3284" t="inlineStr">
        <is>
          <t>Stage 2</t>
        </is>
      </c>
      <c r="F3284" t="inlineStr">
        <is>
          <t>N/A</t>
        </is>
      </c>
      <c r="G3284" s="26">
        <v>24564468</v>
      </c>
      <c r="H3284" s="26">
        <v>1473868</v>
      </c>
      <c r="I3284" s="26">
        <v>0</v>
      </c>
      <c r="J3284" s="26">
        <v>52</v>
      </c>
      <c r="K3284" t="inlineStr">
        <is>
          <t>Non</t>
        </is>
      </c>
      <c r="L3284">
        <f>SUBTOTAL(103,A3284)</f>
        <v>1</v>
      </c>
    </row>
    <row r="3285">
      <c r="A3285" t="inlineStr">
        <is>
          <t>SOCIETE C1978</t>
        </is>
      </c>
      <c r="B3285" t="inlineStr">
        <is>
          <t>C1978</t>
        </is>
      </c>
      <c r="C3285" t="inlineStr">
        <is>
          <t>COMMERCIAL BANKING</t>
        </is>
      </c>
      <c r="D3285" t="inlineStr">
        <is>
          <t>II</t>
        </is>
      </c>
      <c r="E3285" t="inlineStr">
        <is>
          <t>Stage 2</t>
        </is>
      </c>
      <c r="F3285" t="inlineStr">
        <is>
          <t>N/A</t>
        </is>
      </c>
      <c r="G3285" s="26">
        <v>23090766</v>
      </c>
      <c r="H3285" s="26">
        <v>1385446</v>
      </c>
      <c r="I3285" s="26">
        <v>0</v>
      </c>
      <c r="J3285" s="26">
        <v>25</v>
      </c>
      <c r="K3285" t="inlineStr">
        <is>
          <t>Non</t>
        </is>
      </c>
      <c r="L3285">
        <f>SUBTOTAL(103,A3285)</f>
        <v>1</v>
      </c>
    </row>
    <row r="3286">
      <c r="A3286" t="inlineStr">
        <is>
          <t>SOCIETE C766</t>
        </is>
      </c>
      <c r="B3286" t="inlineStr">
        <is>
          <t>C766</t>
        </is>
      </c>
      <c r="C3286" t="inlineStr">
        <is>
          <t>COMMERCIAL BANKING</t>
        </is>
      </c>
      <c r="D3286" t="inlineStr">
        <is>
          <t>II</t>
        </is>
      </c>
      <c r="E3286" t="inlineStr">
        <is>
          <t>Stage 2</t>
        </is>
      </c>
      <c r="F3286" t="inlineStr">
        <is>
          <t>N/A</t>
        </is>
      </c>
      <c r="G3286" s="26">
        <v>67249174</v>
      </c>
      <c r="H3286" s="26">
        <v>4034950</v>
      </c>
      <c r="I3286" s="26">
        <v>0</v>
      </c>
      <c r="J3286" s="26">
        <v>188</v>
      </c>
      <c r="K3286" t="inlineStr">
        <is>
          <t>Non</t>
        </is>
      </c>
      <c r="L3286">
        <f>SUBTOTAL(103,A3286)</f>
        <v>1</v>
      </c>
    </row>
    <row r="3287">
      <c r="A3287" t="inlineStr">
        <is>
          <t>SOCIETE C1477</t>
        </is>
      </c>
      <c r="B3287" t="inlineStr">
        <is>
          <t>C1477</t>
        </is>
      </c>
      <c r="C3287" t="inlineStr">
        <is>
          <t>CORPORATE BANKING</t>
        </is>
      </c>
      <c r="D3287" t="inlineStr">
        <is>
          <t>III</t>
        </is>
      </c>
      <c r="E3287" t="inlineStr">
        <is>
          <t>Stage 3</t>
        </is>
      </c>
      <c r="F3287" t="inlineStr">
        <is>
          <t>N/A</t>
        </is>
      </c>
      <c r="G3287" s="26">
        <v>723057542</v>
      </c>
      <c r="H3287" s="26">
        <v>397681648</v>
      </c>
      <c r="I3287" s="26">
        <v>0</v>
      </c>
      <c r="J3287" s="26">
        <v>26</v>
      </c>
      <c r="K3287" t="inlineStr">
        <is>
          <t>Oui</t>
        </is>
      </c>
      <c r="L3287">
        <f>SUBTOTAL(103,A3287)</f>
        <v>1</v>
      </c>
    </row>
    <row r="3288">
      <c r="A3288" t="inlineStr">
        <is>
          <t>SOCIETE C2337</t>
        </is>
      </c>
      <c r="B3288" t="inlineStr">
        <is>
          <t>C2337</t>
        </is>
      </c>
      <c r="C3288" t="inlineStr">
        <is>
          <t>CORPORATE BANKING</t>
        </is>
      </c>
      <c r="D3288" t="inlineStr">
        <is>
          <t>I</t>
        </is>
      </c>
      <c r="E3288" t="inlineStr">
        <is>
          <t>Stage 1</t>
        </is>
      </c>
      <c r="F3288" t="inlineStr">
        <is>
          <t>N/A</t>
        </is>
      </c>
      <c r="G3288" s="26">
        <v>1558116455</v>
      </c>
      <c r="H3288" s="26">
        <v>15581165</v>
      </c>
      <c r="I3288" s="26">
        <v>0</v>
      </c>
      <c r="J3288" s="26">
        <v>71</v>
      </c>
      <c r="K3288" t="inlineStr">
        <is>
          <t>Non</t>
        </is>
      </c>
      <c r="L3288">
        <f>SUBTOTAL(103,A3288)</f>
        <v>1</v>
      </c>
    </row>
    <row r="3289">
      <c r="A3289" t="inlineStr">
        <is>
          <t>SOCIETE C45</t>
        </is>
      </c>
      <c r="B3289" t="inlineStr">
        <is>
          <t>C45</t>
        </is>
      </c>
      <c r="C3289" t="inlineStr">
        <is>
          <t>CORPORATE BANKING</t>
        </is>
      </c>
      <c r="D3289" t="inlineStr">
        <is>
          <t>V</t>
        </is>
      </c>
      <c r="E3289" t="inlineStr">
        <is>
          <t>Stage 3</t>
        </is>
      </c>
      <c r="F3289" t="inlineStr">
        <is>
          <t>N/A</t>
        </is>
      </c>
      <c r="G3289" s="26">
        <v>2047846321</v>
      </c>
      <c r="H3289" s="26">
        <v>1126315477</v>
      </c>
      <c r="I3289" s="26">
        <v>0</v>
      </c>
      <c r="J3289" s="26">
        <v>161</v>
      </c>
      <c r="K3289" t="inlineStr">
        <is>
          <t>Oui</t>
        </is>
      </c>
      <c r="L3289">
        <f>SUBTOTAL(103,A3289)</f>
        <v>1</v>
      </c>
    </row>
    <row r="3290">
      <c r="A3290" t="inlineStr">
        <is>
          <t>SOCIETE C421</t>
        </is>
      </c>
      <c r="B3290" t="inlineStr">
        <is>
          <t>C421</t>
        </is>
      </c>
      <c r="C3290" t="inlineStr">
        <is>
          <t>SME</t>
        </is>
      </c>
      <c r="D3290" t="inlineStr">
        <is>
          <t>I</t>
        </is>
      </c>
      <c r="E3290" t="inlineStr">
        <is>
          <t>Stage 1</t>
        </is>
      </c>
      <c r="F3290" t="inlineStr">
        <is>
          <t>N/A</t>
        </is>
      </c>
      <c r="G3290" s="26">
        <v>244622261</v>
      </c>
      <c r="H3290" s="26">
        <v>2446223</v>
      </c>
      <c r="I3290" s="26">
        <v>0</v>
      </c>
      <c r="J3290" s="26">
        <v>155</v>
      </c>
      <c r="K3290" t="inlineStr">
        <is>
          <t>Non</t>
        </is>
      </c>
      <c r="L3290">
        <f>SUBTOTAL(103,A3290)</f>
        <v>1</v>
      </c>
    </row>
    <row r="3291">
      <c r="A3291" t="inlineStr">
        <is>
          <t>SOCIETE C840</t>
        </is>
      </c>
      <c r="B3291" t="inlineStr">
        <is>
          <t>C840</t>
        </is>
      </c>
      <c r="C3291" t="inlineStr">
        <is>
          <t>COMMERCIAL BANKING</t>
        </is>
      </c>
      <c r="D3291" t="inlineStr">
        <is>
          <t>II</t>
        </is>
      </c>
      <c r="E3291" t="inlineStr">
        <is>
          <t>Stage 2</t>
        </is>
      </c>
      <c r="F3291" t="inlineStr">
        <is>
          <t>N/A</t>
        </is>
      </c>
      <c r="G3291" s="26">
        <v>16432801</v>
      </c>
      <c r="H3291" s="26">
        <v>985968</v>
      </c>
      <c r="I3291" s="26">
        <v>0</v>
      </c>
      <c r="J3291" s="26">
        <v>229</v>
      </c>
      <c r="K3291" t="inlineStr">
        <is>
          <t>Non</t>
        </is>
      </c>
      <c r="L3291">
        <f>SUBTOTAL(103,A3291)</f>
        <v>1</v>
      </c>
    </row>
    <row r="3292">
      <c r="A3292" t="inlineStr">
        <is>
          <t>SOCIETE C1418</t>
        </is>
      </c>
      <c r="B3292" t="inlineStr">
        <is>
          <t>C1418</t>
        </is>
      </c>
      <c r="C3292" t="inlineStr">
        <is>
          <t>CORPORATE BANKING</t>
        </is>
      </c>
      <c r="D3292" t="inlineStr">
        <is>
          <t>I</t>
        </is>
      </c>
      <c r="E3292" t="inlineStr">
        <is>
          <t>Stage 1</t>
        </is>
      </c>
      <c r="F3292" t="inlineStr">
        <is>
          <t>N/A</t>
        </is>
      </c>
      <c r="G3292" s="26">
        <v>2172969318</v>
      </c>
      <c r="H3292" s="26">
        <v>21729693</v>
      </c>
      <c r="I3292" s="26">
        <v>0</v>
      </c>
      <c r="J3292" s="26">
        <v>36</v>
      </c>
      <c r="K3292" t="inlineStr">
        <is>
          <t>Non</t>
        </is>
      </c>
      <c r="L3292">
        <f>SUBTOTAL(103,A3292)</f>
        <v>1</v>
      </c>
    </row>
    <row r="3293">
      <c r="A3293" t="inlineStr">
        <is>
          <t>SOCIETE C1261</t>
        </is>
      </c>
      <c r="B3293" t="inlineStr">
        <is>
          <t>C1261</t>
        </is>
      </c>
      <c r="C3293" t="inlineStr">
        <is>
          <t>SME</t>
        </is>
      </c>
      <c r="D3293" t="inlineStr">
        <is>
          <t>III</t>
        </is>
      </c>
      <c r="E3293" t="inlineStr">
        <is>
          <t>Stage 3</t>
        </is>
      </c>
      <c r="F3293" t="inlineStr">
        <is>
          <t>N/A</t>
        </is>
      </c>
      <c r="G3293" s="26">
        <v>1547615774</v>
      </c>
      <c r="H3293" s="26">
        <v>851188676</v>
      </c>
      <c r="I3293" s="26">
        <v>0</v>
      </c>
      <c r="J3293" s="26">
        <v>100</v>
      </c>
      <c r="K3293" t="inlineStr">
        <is>
          <t>Oui</t>
        </is>
      </c>
      <c r="L3293">
        <f>SUBTOTAL(103,A3293)</f>
        <v>1</v>
      </c>
    </row>
    <row r="3294">
      <c r="A3294" t="inlineStr">
        <is>
          <t>SOCIETE C2161</t>
        </is>
      </c>
      <c r="B3294" t="inlineStr">
        <is>
          <t>C2161</t>
        </is>
      </c>
      <c r="C3294" t="inlineStr">
        <is>
          <t>CORPORATE BANKING</t>
        </is>
      </c>
      <c r="D3294" t="inlineStr">
        <is>
          <t>I</t>
        </is>
      </c>
      <c r="E3294" t="inlineStr">
        <is>
          <t>Stage 1</t>
        </is>
      </c>
      <c r="F3294" t="inlineStr">
        <is>
          <t>N/A</t>
        </is>
      </c>
      <c r="G3294" s="26">
        <v>35807130</v>
      </c>
      <c r="H3294" s="26">
        <v>358071</v>
      </c>
      <c r="I3294" s="26">
        <v>0</v>
      </c>
      <c r="J3294" s="26">
        <v>280</v>
      </c>
      <c r="K3294" t="inlineStr">
        <is>
          <t>Non</t>
        </is>
      </c>
      <c r="L3294">
        <f>SUBTOTAL(103,A3294)</f>
        <v>1</v>
      </c>
    </row>
    <row r="3295">
      <c r="A3295" t="inlineStr">
        <is>
          <t>SOCIETE C987</t>
        </is>
      </c>
      <c r="B3295" t="inlineStr">
        <is>
          <t>C987</t>
        </is>
      </c>
      <c r="C3295" t="inlineStr">
        <is>
          <t>CORPORATE BANKING</t>
        </is>
      </c>
      <c r="D3295" t="inlineStr">
        <is>
          <t>I</t>
        </is>
      </c>
      <c r="E3295" t="inlineStr">
        <is>
          <t>Stage 1</t>
        </is>
      </c>
      <c r="F3295" t="inlineStr">
        <is>
          <t>N/A</t>
        </is>
      </c>
      <c r="G3295" s="26">
        <v>887684077</v>
      </c>
      <c r="H3295" s="26">
        <v>8876841</v>
      </c>
      <c r="I3295" s="26">
        <v>0</v>
      </c>
      <c r="J3295" s="26">
        <v>51</v>
      </c>
      <c r="K3295" t="inlineStr">
        <is>
          <t>Non</t>
        </is>
      </c>
      <c r="L3295">
        <f>SUBTOTAL(103,A3295)</f>
        <v>1</v>
      </c>
    </row>
    <row r="3296">
      <c r="A3296" t="inlineStr">
        <is>
          <t>SOCIETE C1595</t>
        </is>
      </c>
      <c r="B3296" t="inlineStr">
        <is>
          <t>C1595</t>
        </is>
      </c>
      <c r="C3296" t="inlineStr">
        <is>
          <t>SME</t>
        </is>
      </c>
      <c r="D3296" t="inlineStr">
        <is>
          <t>I</t>
        </is>
      </c>
      <c r="E3296" t="inlineStr">
        <is>
          <t>Stage 1</t>
        </is>
      </c>
      <c r="F3296" t="inlineStr">
        <is>
          <t>N/A</t>
        </is>
      </c>
      <c r="G3296" s="26">
        <v>70344909</v>
      </c>
      <c r="H3296" s="26">
        <v>703449</v>
      </c>
      <c r="I3296" s="26">
        <v>12028154</v>
      </c>
      <c r="J3296" s="26">
        <v>138</v>
      </c>
      <c r="K3296" t="inlineStr">
        <is>
          <t>Non</t>
        </is>
      </c>
      <c r="L3296">
        <f>SUBTOTAL(103,A3296)</f>
        <v>1</v>
      </c>
    </row>
    <row r="3297">
      <c r="A3297" t="inlineStr">
        <is>
          <t>SOCIETE C478</t>
        </is>
      </c>
      <c r="B3297" t="inlineStr">
        <is>
          <t>C478</t>
        </is>
      </c>
      <c r="C3297" t="inlineStr">
        <is>
          <t>CORPORATE BANKING</t>
        </is>
      </c>
      <c r="D3297" t="inlineStr">
        <is>
          <t>I</t>
        </is>
      </c>
      <c r="E3297" t="inlineStr">
        <is>
          <t>Stage 1</t>
        </is>
      </c>
      <c r="F3297" t="inlineStr">
        <is>
          <t>N/A</t>
        </is>
      </c>
      <c r="G3297" s="26">
        <v>2629368992</v>
      </c>
      <c r="H3297" s="26">
        <v>26293690</v>
      </c>
      <c r="I3297" s="26">
        <v>0</v>
      </c>
      <c r="J3297" s="26">
        <v>15</v>
      </c>
      <c r="K3297" t="inlineStr">
        <is>
          <t>Non</t>
        </is>
      </c>
      <c r="L3297">
        <f>SUBTOTAL(103,A3297)</f>
        <v>1</v>
      </c>
    </row>
    <row r="3298">
      <c r="A3298" t="inlineStr">
        <is>
          <t>SOCIETE C1055</t>
        </is>
      </c>
      <c r="B3298" t="inlineStr">
        <is>
          <t>C1055</t>
        </is>
      </c>
      <c r="C3298" t="inlineStr">
        <is>
          <t>CORPORATE BANKING</t>
        </is>
      </c>
      <c r="D3298" t="inlineStr">
        <is>
          <t>IV</t>
        </is>
      </c>
      <c r="E3298" t="inlineStr">
        <is>
          <t>Stage 3</t>
        </is>
      </c>
      <c r="F3298" t="inlineStr">
        <is>
          <t>N/A</t>
        </is>
      </c>
      <c r="G3298" s="26">
        <v>676211091</v>
      </c>
      <c r="H3298" s="26">
        <v>371916100</v>
      </c>
      <c r="I3298" s="26">
        <v>0</v>
      </c>
      <c r="J3298" s="26">
        <v>34</v>
      </c>
      <c r="K3298" t="inlineStr">
        <is>
          <t>Oui</t>
        </is>
      </c>
      <c r="L3298">
        <f>SUBTOTAL(103,A3298)</f>
        <v>1</v>
      </c>
    </row>
    <row r="3299">
      <c r="A3299" t="inlineStr">
        <is>
          <t>SOCIETE C2469</t>
        </is>
      </c>
      <c r="B3299" t="inlineStr">
        <is>
          <t>C2469</t>
        </is>
      </c>
      <c r="C3299" t="inlineStr">
        <is>
          <t>CONSUMER BANKING</t>
        </is>
      </c>
      <c r="D3299" t="inlineStr">
        <is>
          <t>III</t>
        </is>
      </c>
      <c r="E3299" t="inlineStr">
        <is>
          <t>Stage 3</t>
        </is>
      </c>
      <c r="F3299" t="inlineStr">
        <is>
          <t>N/A</t>
        </is>
      </c>
      <c r="G3299" s="26">
        <v>1130194318</v>
      </c>
      <c r="H3299" s="26">
        <v>621606875</v>
      </c>
      <c r="I3299" s="26">
        <v>0</v>
      </c>
      <c r="J3299" s="26">
        <v>177</v>
      </c>
      <c r="K3299" t="inlineStr">
        <is>
          <t>Oui</t>
        </is>
      </c>
      <c r="L3299">
        <f>SUBTOTAL(103,A3299)</f>
        <v>1</v>
      </c>
    </row>
    <row r="3300">
      <c r="A3300" t="inlineStr">
        <is>
          <t>SOCIETE C2370</t>
        </is>
      </c>
      <c r="B3300" t="inlineStr">
        <is>
          <t>C2370</t>
        </is>
      </c>
      <c r="C3300" t="inlineStr">
        <is>
          <t>CORPORATE BANKING</t>
        </is>
      </c>
      <c r="D3300" t="inlineStr">
        <is>
          <t>I</t>
        </is>
      </c>
      <c r="E3300" t="inlineStr">
        <is>
          <t>Stage 1</t>
        </is>
      </c>
      <c r="F3300" t="inlineStr">
        <is>
          <t>N/A</t>
        </is>
      </c>
      <c r="G3300" s="26">
        <v>1321051</v>
      </c>
      <c r="H3300" s="26">
        <v>13211</v>
      </c>
      <c r="I3300" s="26">
        <v>32427</v>
      </c>
      <c r="J3300" s="26">
        <v>191</v>
      </c>
      <c r="K3300" t="inlineStr">
        <is>
          <t>Non</t>
        </is>
      </c>
      <c r="L3300">
        <f>SUBTOTAL(103,A3300)</f>
        <v>1</v>
      </c>
    </row>
    <row r="3301">
      <c r="A3301" t="inlineStr">
        <is>
          <t>SOCIETE C1623</t>
        </is>
      </c>
      <c r="B3301" t="inlineStr">
        <is>
          <t>C1623</t>
        </is>
      </c>
      <c r="C3301" t="inlineStr">
        <is>
          <t>COMMERCIAL BANKING</t>
        </is>
      </c>
      <c r="D3301" t="inlineStr">
        <is>
          <t>III</t>
        </is>
      </c>
      <c r="E3301" t="inlineStr">
        <is>
          <t>Stage 3</t>
        </is>
      </c>
      <c r="F3301" t="inlineStr">
        <is>
          <t>N/A</t>
        </is>
      </c>
      <c r="G3301" s="26">
        <v>19384891</v>
      </c>
      <c r="H3301" s="26">
        <v>10661690</v>
      </c>
      <c r="I3301" s="26">
        <v>0</v>
      </c>
      <c r="J3301" s="26">
        <v>80</v>
      </c>
      <c r="K3301" t="inlineStr">
        <is>
          <t>Oui</t>
        </is>
      </c>
      <c r="L3301">
        <f>SUBTOTAL(103,A3301)</f>
        <v>1</v>
      </c>
    </row>
    <row r="3302">
      <c r="A3302" t="inlineStr">
        <is>
          <t>SOCIETE C34</t>
        </is>
      </c>
      <c r="B3302" t="inlineStr">
        <is>
          <t>C34</t>
        </is>
      </c>
      <c r="C3302" t="inlineStr">
        <is>
          <t>PUBLIC SECTOR</t>
        </is>
      </c>
      <c r="D3302" t="inlineStr">
        <is>
          <t>IA</t>
        </is>
      </c>
      <c r="E3302" t="inlineStr">
        <is>
          <t>Stage 2</t>
        </is>
      </c>
      <c r="F3302" t="inlineStr">
        <is>
          <t>N/A</t>
        </is>
      </c>
      <c r="G3302" s="26">
        <v>453114099</v>
      </c>
      <c r="H3302" s="26">
        <v>27186846</v>
      </c>
      <c r="I3302" s="26">
        <v>0</v>
      </c>
      <c r="J3302" s="26">
        <v>16</v>
      </c>
      <c r="K3302" t="inlineStr">
        <is>
          <t>Non</t>
        </is>
      </c>
      <c r="L3302">
        <f>SUBTOTAL(103,A3302)</f>
        <v>1</v>
      </c>
    </row>
    <row r="3303">
      <c r="A3303" t="inlineStr">
        <is>
          <t>SOCIETE C85</t>
        </is>
      </c>
      <c r="B3303" t="inlineStr">
        <is>
          <t>C85</t>
        </is>
      </c>
      <c r="C3303" t="inlineStr">
        <is>
          <t>CORPORATE BANKING</t>
        </is>
      </c>
      <c r="D3303" t="inlineStr">
        <is>
          <t>IA</t>
        </is>
      </c>
      <c r="E3303" t="inlineStr">
        <is>
          <t>Stage 2</t>
        </is>
      </c>
      <c r="F3303" t="inlineStr">
        <is>
          <t>N/A</t>
        </is>
      </c>
      <c r="G3303" s="26">
        <v>1140006107</v>
      </c>
      <c r="H3303" s="26">
        <v>68400366</v>
      </c>
      <c r="I3303" s="26">
        <v>0</v>
      </c>
      <c r="J3303" s="26">
        <v>232</v>
      </c>
      <c r="K3303" t="inlineStr">
        <is>
          <t>Non</t>
        </is>
      </c>
      <c r="L3303">
        <f>SUBTOTAL(103,A3303)</f>
        <v>1</v>
      </c>
    </row>
    <row r="3304">
      <c r="A3304" t="inlineStr">
        <is>
          <t>SOCIETE C2142</t>
        </is>
      </c>
      <c r="B3304" t="inlineStr">
        <is>
          <t>C2142</t>
        </is>
      </c>
      <c r="C3304" t="inlineStr">
        <is>
          <t>CONSUMER BANKING</t>
        </is>
      </c>
      <c r="D3304" t="inlineStr">
        <is>
          <t>II</t>
        </is>
      </c>
      <c r="E3304" t="inlineStr">
        <is>
          <t>Stage 2</t>
        </is>
      </c>
      <c r="F3304" t="inlineStr">
        <is>
          <t>N/A</t>
        </is>
      </c>
      <c r="G3304" s="26">
        <v>1877986931</v>
      </c>
      <c r="H3304" s="26">
        <v>112679216</v>
      </c>
      <c r="I3304" s="26">
        <v>295894151</v>
      </c>
      <c r="J3304" s="26">
        <v>112</v>
      </c>
      <c r="K3304" t="inlineStr">
        <is>
          <t>Non</t>
        </is>
      </c>
      <c r="L3304">
        <f>SUBTOTAL(103,A3304)</f>
        <v>1</v>
      </c>
    </row>
    <row r="3305">
      <c r="A3305" t="inlineStr">
        <is>
          <t>SOCIETE C1113</t>
        </is>
      </c>
      <c r="B3305" t="inlineStr">
        <is>
          <t>C1113</t>
        </is>
      </c>
      <c r="C3305" t="inlineStr">
        <is>
          <t>SME</t>
        </is>
      </c>
      <c r="D3305" t="inlineStr">
        <is>
          <t>IA</t>
        </is>
      </c>
      <c r="E3305" t="inlineStr">
        <is>
          <t>Stage 2</t>
        </is>
      </c>
      <c r="F3305" t="inlineStr">
        <is>
          <t>N/A</t>
        </is>
      </c>
      <c r="G3305" s="26">
        <v>776508496</v>
      </c>
      <c r="H3305" s="26">
        <v>46590510</v>
      </c>
      <c r="I3305" s="26">
        <v>0</v>
      </c>
      <c r="J3305" s="26">
        <v>20</v>
      </c>
      <c r="K3305" t="inlineStr">
        <is>
          <t>Non</t>
        </is>
      </c>
      <c r="L3305">
        <f>SUBTOTAL(103,A3305)</f>
        <v>1</v>
      </c>
    </row>
    <row r="3306">
      <c r="A3306" t="inlineStr">
        <is>
          <t>SOCIETE C2223</t>
        </is>
      </c>
      <c r="B3306" t="inlineStr">
        <is>
          <t>C2223</t>
        </is>
      </c>
      <c r="C3306" t="inlineStr">
        <is>
          <t>CORPORATE BANKING</t>
        </is>
      </c>
      <c r="D3306" t="inlineStr">
        <is>
          <t>IA</t>
        </is>
      </c>
      <c r="E3306" t="inlineStr">
        <is>
          <t>Stage 2</t>
        </is>
      </c>
      <c r="F3306" t="inlineStr">
        <is>
          <t>N/A</t>
        </is>
      </c>
      <c r="G3306" s="26">
        <v>2317831347</v>
      </c>
      <c r="H3306" s="26">
        <v>139069881</v>
      </c>
      <c r="I3306" s="26">
        <v>0</v>
      </c>
      <c r="J3306" s="26">
        <v>12</v>
      </c>
      <c r="K3306" t="inlineStr">
        <is>
          <t>Non</t>
        </is>
      </c>
      <c r="L3306">
        <f>SUBTOTAL(103,A3306)</f>
        <v>1</v>
      </c>
    </row>
    <row r="3307">
      <c r="A3307" t="inlineStr">
        <is>
          <t>SOCIETE C314</t>
        </is>
      </c>
      <c r="B3307" t="inlineStr">
        <is>
          <t>C314</t>
        </is>
      </c>
      <c r="C3307" t="inlineStr">
        <is>
          <t>CORPORATE BANKING</t>
        </is>
      </c>
      <c r="D3307" t="inlineStr">
        <is>
          <t>IA</t>
        </is>
      </c>
      <c r="E3307" t="inlineStr">
        <is>
          <t>Stage 2</t>
        </is>
      </c>
      <c r="F3307" t="inlineStr">
        <is>
          <t>N/A</t>
        </is>
      </c>
      <c r="G3307" s="26">
        <v>1265684199</v>
      </c>
      <c r="H3307" s="26">
        <v>75941052</v>
      </c>
      <c r="I3307" s="26">
        <v>0</v>
      </c>
      <c r="J3307" s="26">
        <v>193</v>
      </c>
      <c r="K3307" t="inlineStr">
        <is>
          <t>Non</t>
        </is>
      </c>
      <c r="L3307">
        <f>SUBTOTAL(103,A3307)</f>
        <v>1</v>
      </c>
    </row>
    <row r="3308">
      <c r="A3308" t="inlineStr">
        <is>
          <t>SOCIETE C2153</t>
        </is>
      </c>
      <c r="B3308" t="inlineStr">
        <is>
          <t>C2153</t>
        </is>
      </c>
      <c r="C3308" t="inlineStr">
        <is>
          <t>CORPORATE BANKING</t>
        </is>
      </c>
      <c r="D3308" t="inlineStr">
        <is>
          <t>II</t>
        </is>
      </c>
      <c r="E3308" t="inlineStr">
        <is>
          <t>Stage 2</t>
        </is>
      </c>
      <c r="F3308" t="inlineStr">
        <is>
          <t>N/A</t>
        </is>
      </c>
      <c r="G3308" s="26">
        <v>245798360</v>
      </c>
      <c r="H3308" s="26">
        <v>14747902</v>
      </c>
      <c r="I3308" s="26">
        <v>0</v>
      </c>
      <c r="J3308" s="26">
        <v>82</v>
      </c>
      <c r="K3308" t="inlineStr">
        <is>
          <t>Non</t>
        </is>
      </c>
      <c r="L3308">
        <f>SUBTOTAL(103,A3308)</f>
        <v>1</v>
      </c>
    </row>
    <row r="3309">
      <c r="A3309" t="inlineStr">
        <is>
          <t>SOCIETE C2499</t>
        </is>
      </c>
      <c r="B3309" t="inlineStr">
        <is>
          <t>C2499</t>
        </is>
      </c>
      <c r="C3309" t="inlineStr">
        <is>
          <t>PUBLIC SECTOR</t>
        </is>
      </c>
      <c r="D3309" t="inlineStr">
        <is>
          <t>I</t>
        </is>
      </c>
      <c r="E3309" t="inlineStr">
        <is>
          <t>Stage 1</t>
        </is>
      </c>
      <c r="F3309" t="inlineStr">
        <is>
          <t>N/A</t>
        </is>
      </c>
      <c r="G3309" s="26">
        <v>1940619174</v>
      </c>
      <c r="H3309" s="26">
        <v>19406192</v>
      </c>
      <c r="I3309" s="26">
        <v>0</v>
      </c>
      <c r="J3309" s="26">
        <v>259</v>
      </c>
      <c r="K3309" t="inlineStr">
        <is>
          <t>Non</t>
        </is>
      </c>
      <c r="L3309">
        <f>SUBTOTAL(103,A3309)</f>
        <v>1</v>
      </c>
    </row>
    <row r="3310">
      <c r="A3310" t="inlineStr">
        <is>
          <t>SOCIETE C107</t>
        </is>
      </c>
      <c r="B3310" t="inlineStr">
        <is>
          <t>C107</t>
        </is>
      </c>
      <c r="C3310" t="inlineStr">
        <is>
          <t>CONSUMER BANKING</t>
        </is>
      </c>
      <c r="D3310" t="inlineStr">
        <is>
          <t>I</t>
        </is>
      </c>
      <c r="E3310" t="inlineStr">
        <is>
          <t>Stage 1</t>
        </is>
      </c>
      <c r="F3310" t="inlineStr">
        <is>
          <t>N/A</t>
        </is>
      </c>
      <c r="G3310" s="26">
        <v>2548745017</v>
      </c>
      <c r="H3310" s="26">
        <v>25487450</v>
      </c>
      <c r="I3310" s="26">
        <v>0</v>
      </c>
      <c r="J3310" s="26">
        <v>38</v>
      </c>
      <c r="K3310" t="inlineStr">
        <is>
          <t>Non</t>
        </is>
      </c>
      <c r="L3310">
        <f>SUBTOTAL(103,A3310)</f>
        <v>1</v>
      </c>
    </row>
    <row r="3311">
      <c r="A3311" t="inlineStr">
        <is>
          <t>SOCIETE C1714</t>
        </is>
      </c>
      <c r="B3311" t="inlineStr">
        <is>
          <t>C1714</t>
        </is>
      </c>
      <c r="C3311" t="inlineStr">
        <is>
          <t>CORPORATE BANKING</t>
        </is>
      </c>
      <c r="D3311" t="inlineStr">
        <is>
          <t>III</t>
        </is>
      </c>
      <c r="E3311" t="inlineStr">
        <is>
          <t>Stage 3</t>
        </is>
      </c>
      <c r="F3311" t="inlineStr">
        <is>
          <t>N/A</t>
        </is>
      </c>
      <c r="G3311" s="26">
        <v>112549157</v>
      </c>
      <c r="H3311" s="26">
        <v>61902037</v>
      </c>
      <c r="I3311" s="26">
        <v>0</v>
      </c>
      <c r="J3311" s="26">
        <v>275</v>
      </c>
      <c r="K3311" t="inlineStr">
        <is>
          <t>Oui</t>
        </is>
      </c>
      <c r="L3311">
        <f>SUBTOTAL(103,A3311)</f>
        <v>1</v>
      </c>
    </row>
    <row r="3312">
      <c r="A3312" t="inlineStr">
        <is>
          <t>SOCIETE C2397</t>
        </is>
      </c>
      <c r="B3312" t="inlineStr">
        <is>
          <t>C2397</t>
        </is>
      </c>
      <c r="C3312" t="inlineStr">
        <is>
          <t>CORPORATE BANKING</t>
        </is>
      </c>
      <c r="D3312" t="inlineStr">
        <is>
          <t>III</t>
        </is>
      </c>
      <c r="E3312" t="inlineStr">
        <is>
          <t>Stage 3</t>
        </is>
      </c>
      <c r="F3312" t="inlineStr">
        <is>
          <t>N/A</t>
        </is>
      </c>
      <c r="G3312" s="26">
        <v>196982041</v>
      </c>
      <c r="H3312" s="26">
        <v>108340122</v>
      </c>
      <c r="I3312" s="26">
        <v>0</v>
      </c>
      <c r="J3312" s="26">
        <v>272</v>
      </c>
      <c r="K3312" t="inlineStr">
        <is>
          <t>Oui</t>
        </is>
      </c>
      <c r="L3312">
        <f>SUBTOTAL(103,A3312)</f>
        <v>1</v>
      </c>
    </row>
    <row r="3313">
      <c r="A3313" t="inlineStr">
        <is>
          <t>SOCIETE C1986</t>
        </is>
      </c>
      <c r="B3313" t="inlineStr">
        <is>
          <t>C1986</t>
        </is>
      </c>
      <c r="C3313" t="inlineStr">
        <is>
          <t>COMMERCIAL BANKING</t>
        </is>
      </c>
      <c r="D3313" t="inlineStr">
        <is>
          <t>I</t>
        </is>
      </c>
      <c r="E3313" t="inlineStr">
        <is>
          <t>Stage 1</t>
        </is>
      </c>
      <c r="F3313" t="inlineStr">
        <is>
          <t>N/A</t>
        </is>
      </c>
      <c r="G3313" s="26">
        <v>1279483315</v>
      </c>
      <c r="H3313" s="26">
        <v>12794833</v>
      </c>
      <c r="I3313" s="26">
        <v>231419133</v>
      </c>
      <c r="J3313" s="26">
        <v>21</v>
      </c>
      <c r="K3313" t="inlineStr">
        <is>
          <t>Non</t>
        </is>
      </c>
      <c r="L3313">
        <f>SUBTOTAL(103,A3313)</f>
        <v>1</v>
      </c>
    </row>
    <row r="3314">
      <c r="A3314" t="inlineStr">
        <is>
          <t>SOCIETE C1298</t>
        </is>
      </c>
      <c r="B3314" t="inlineStr">
        <is>
          <t>C1298</t>
        </is>
      </c>
      <c r="C3314" t="inlineStr">
        <is>
          <t>CORPORATE BANKING</t>
        </is>
      </c>
      <c r="D3314" t="inlineStr">
        <is>
          <t>I</t>
        </is>
      </c>
      <c r="E3314" t="inlineStr">
        <is>
          <t>Stage 1</t>
        </is>
      </c>
      <c r="F3314" t="inlineStr">
        <is>
          <t>N/A</t>
        </is>
      </c>
      <c r="G3314" s="26">
        <v>1113398046</v>
      </c>
      <c r="H3314" s="26">
        <v>11133980</v>
      </c>
      <c r="I3314" s="26">
        <v>111778566</v>
      </c>
      <c r="J3314" s="26">
        <v>100</v>
      </c>
      <c r="K3314" t="inlineStr">
        <is>
          <t>Non</t>
        </is>
      </c>
      <c r="L3314">
        <f>SUBTOTAL(103,A3314)</f>
        <v>1</v>
      </c>
    </row>
    <row r="3315">
      <c r="A3315" t="inlineStr">
        <is>
          <t>SOCIETE C1308</t>
        </is>
      </c>
      <c r="B3315" t="inlineStr">
        <is>
          <t>C1308</t>
        </is>
      </c>
      <c r="C3315" t="inlineStr">
        <is>
          <t>COMMERCIAL BANKING</t>
        </is>
      </c>
      <c r="D3315" t="inlineStr">
        <is>
          <t>I</t>
        </is>
      </c>
      <c r="E3315" t="inlineStr">
        <is>
          <t>Stage 1</t>
        </is>
      </c>
      <c r="F3315" t="inlineStr">
        <is>
          <t>N/A</t>
        </is>
      </c>
      <c r="G3315" s="26">
        <v>2665487802</v>
      </c>
      <c r="H3315" s="26">
        <v>26654878</v>
      </c>
      <c r="I3315" s="26">
        <v>0</v>
      </c>
      <c r="J3315" s="26">
        <v>114</v>
      </c>
      <c r="K3315" t="inlineStr">
        <is>
          <t>Non</t>
        </is>
      </c>
      <c r="L3315">
        <f>SUBTOTAL(103,A3315)</f>
        <v>1</v>
      </c>
    </row>
    <row r="3316">
      <c r="A3316" t="inlineStr">
        <is>
          <t>SOCIETE C1652</t>
        </is>
      </c>
      <c r="B3316" t="inlineStr">
        <is>
          <t>C1652</t>
        </is>
      </c>
      <c r="C3316" t="inlineStr">
        <is>
          <t>COMMERCIAL BANKING</t>
        </is>
      </c>
      <c r="D3316" t="inlineStr">
        <is>
          <t>I</t>
        </is>
      </c>
      <c r="E3316" t="inlineStr">
        <is>
          <t>Stage 1</t>
        </is>
      </c>
      <c r="F3316" t="inlineStr">
        <is>
          <t>N/A</t>
        </is>
      </c>
      <c r="G3316" s="26">
        <v>2935436649</v>
      </c>
      <c r="H3316" s="26">
        <v>29354366</v>
      </c>
      <c r="I3316" s="26">
        <v>0</v>
      </c>
      <c r="J3316" s="26">
        <v>38</v>
      </c>
      <c r="K3316" t="inlineStr">
        <is>
          <t>Non</t>
        </is>
      </c>
      <c r="L3316">
        <f>SUBTOTAL(103,A3316)</f>
        <v>1</v>
      </c>
    </row>
    <row r="3317">
      <c r="A3317" t="inlineStr">
        <is>
          <t>SOCIETE C2442</t>
        </is>
      </c>
      <c r="B3317" t="inlineStr">
        <is>
          <t>C2442</t>
        </is>
      </c>
      <c r="C3317" t="inlineStr">
        <is>
          <t>CORPORATE BANKING</t>
        </is>
      </c>
      <c r="D3317" t="inlineStr">
        <is>
          <t>IA</t>
        </is>
      </c>
      <c r="E3317" t="inlineStr">
        <is>
          <t>Stage 2</t>
        </is>
      </c>
      <c r="F3317" t="inlineStr">
        <is>
          <t>N/A</t>
        </is>
      </c>
      <c r="G3317" s="26">
        <v>8064031</v>
      </c>
      <c r="H3317" s="26">
        <v>483842</v>
      </c>
      <c r="I3317" s="26">
        <v>872906</v>
      </c>
      <c r="J3317" s="26">
        <v>17</v>
      </c>
      <c r="K3317" t="inlineStr">
        <is>
          <t>Non</t>
        </is>
      </c>
      <c r="L3317">
        <f>SUBTOTAL(103,A3317)</f>
        <v>1</v>
      </c>
    </row>
    <row r="3318">
      <c r="A3318" t="inlineStr">
        <is>
          <t>SOCIETE C645</t>
        </is>
      </c>
      <c r="B3318" t="inlineStr">
        <is>
          <t>C645</t>
        </is>
      </c>
      <c r="C3318" t="inlineStr">
        <is>
          <t>CORPORATE BANKING</t>
        </is>
      </c>
      <c r="D3318" t="inlineStr">
        <is>
          <t>IA</t>
        </is>
      </c>
      <c r="E3318" t="inlineStr">
        <is>
          <t>Stage 2</t>
        </is>
      </c>
      <c r="F3318" t="inlineStr">
        <is>
          <t>N/A</t>
        </is>
      </c>
      <c r="G3318" s="26">
        <v>3541286</v>
      </c>
      <c r="H3318" s="26">
        <v>212477</v>
      </c>
      <c r="I3318" s="26">
        <v>0</v>
      </c>
      <c r="J3318" s="26">
        <v>228</v>
      </c>
      <c r="K3318" t="inlineStr">
        <is>
          <t>Non</t>
        </is>
      </c>
      <c r="L3318">
        <f>SUBTOTAL(103,A3318)</f>
        <v>1</v>
      </c>
    </row>
    <row r="3319">
      <c r="A3319" t="inlineStr">
        <is>
          <t>SOCIETE C777</t>
        </is>
      </c>
      <c r="B3319" t="inlineStr">
        <is>
          <t>C777</t>
        </is>
      </c>
      <c r="C3319" t="inlineStr">
        <is>
          <t>CORPORATE BANKING</t>
        </is>
      </c>
      <c r="D3319" t="inlineStr">
        <is>
          <t>II</t>
        </is>
      </c>
      <c r="E3319" t="inlineStr">
        <is>
          <t>Stage 2</t>
        </is>
      </c>
      <c r="F3319" t="inlineStr">
        <is>
          <t>N/A</t>
        </is>
      </c>
      <c r="G3319" s="26">
        <v>237674356</v>
      </c>
      <c r="H3319" s="26">
        <v>14260461</v>
      </c>
      <c r="I3319" s="26">
        <v>0</v>
      </c>
      <c r="J3319" s="26">
        <v>94</v>
      </c>
      <c r="K3319" t="inlineStr">
        <is>
          <t>Non</t>
        </is>
      </c>
      <c r="L3319">
        <f>SUBTOTAL(103,A3319)</f>
        <v>1</v>
      </c>
    </row>
    <row r="3320">
      <c r="A3320" t="inlineStr">
        <is>
          <t>SOCIETE C187</t>
        </is>
      </c>
      <c r="B3320" t="inlineStr">
        <is>
          <t>C187</t>
        </is>
      </c>
      <c r="C3320" t="inlineStr">
        <is>
          <t>COMMERCIAL BANKING</t>
        </is>
      </c>
      <c r="D3320" t="inlineStr">
        <is>
          <t>IA</t>
        </is>
      </c>
      <c r="E3320" t="inlineStr">
        <is>
          <t>Stage 2</t>
        </is>
      </c>
      <c r="F3320" t="inlineStr">
        <is>
          <t>N/A</t>
        </is>
      </c>
      <c r="G3320" s="26">
        <v>7413121</v>
      </c>
      <c r="H3320" s="26">
        <v>444787</v>
      </c>
      <c r="I3320" s="26">
        <v>1308521</v>
      </c>
      <c r="J3320" s="26">
        <v>45</v>
      </c>
      <c r="K3320" t="inlineStr">
        <is>
          <t>Non</t>
        </is>
      </c>
      <c r="L3320">
        <f>SUBTOTAL(103,A3320)</f>
        <v>1</v>
      </c>
    </row>
    <row r="3321">
      <c r="A3321" t="inlineStr">
        <is>
          <t>SOCIETE C1846</t>
        </is>
      </c>
      <c r="B3321" t="inlineStr">
        <is>
          <t>C1846</t>
        </is>
      </c>
      <c r="C3321" t="inlineStr">
        <is>
          <t>COMMERCIAL BANKING</t>
        </is>
      </c>
      <c r="D3321" t="inlineStr">
        <is>
          <t>I</t>
        </is>
      </c>
      <c r="E3321" t="inlineStr">
        <is>
          <t>Stage 1</t>
        </is>
      </c>
      <c r="F3321" t="inlineStr">
        <is>
          <t>N/A</t>
        </is>
      </c>
      <c r="G3321" s="26">
        <v>2168297324</v>
      </c>
      <c r="H3321" s="26">
        <v>21682973</v>
      </c>
      <c r="I3321" s="26">
        <v>0</v>
      </c>
      <c r="J3321" s="26">
        <v>65</v>
      </c>
      <c r="K3321" t="inlineStr">
        <is>
          <t>Non</t>
        </is>
      </c>
      <c r="L3321">
        <f>SUBTOTAL(103,A3321)</f>
        <v>1</v>
      </c>
    </row>
    <row r="3322">
      <c r="A3322" t="inlineStr">
        <is>
          <t>SOCIETE C1407</t>
        </is>
      </c>
      <c r="B3322" t="inlineStr">
        <is>
          <t>C1407</t>
        </is>
      </c>
      <c r="C3322" t="inlineStr">
        <is>
          <t>CORPORATE BANKING</t>
        </is>
      </c>
      <c r="D3322" t="inlineStr">
        <is>
          <t>IA</t>
        </is>
      </c>
      <c r="E3322" t="inlineStr">
        <is>
          <t>Stage 2</t>
        </is>
      </c>
      <c r="F3322" t="inlineStr">
        <is>
          <t>N/A</t>
        </is>
      </c>
      <c r="G3322" s="26">
        <v>10856474</v>
      </c>
      <c r="H3322" s="26">
        <v>651388</v>
      </c>
      <c r="I3322" s="26">
        <v>2171242</v>
      </c>
      <c r="J3322" s="26">
        <v>85</v>
      </c>
      <c r="K3322" t="inlineStr">
        <is>
          <t>Non</t>
        </is>
      </c>
      <c r="L3322">
        <f>SUBTOTAL(103,A3322)</f>
        <v>1</v>
      </c>
    </row>
    <row r="3323">
      <c r="A3323" t="inlineStr">
        <is>
          <t>SOCIETE C1783</t>
        </is>
      </c>
      <c r="B3323" t="inlineStr">
        <is>
          <t>C1783</t>
        </is>
      </c>
      <c r="C3323" t="inlineStr">
        <is>
          <t>CORPORATE BANKING</t>
        </is>
      </c>
      <c r="D3323" t="inlineStr">
        <is>
          <t>I</t>
        </is>
      </c>
      <c r="E3323" t="inlineStr">
        <is>
          <t>Stage 1</t>
        </is>
      </c>
      <c r="F3323" t="inlineStr">
        <is>
          <t>N/A</t>
        </is>
      </c>
      <c r="G3323" s="26">
        <v>830808557</v>
      </c>
      <c r="H3323" s="26">
        <v>8308086</v>
      </c>
      <c r="I3323" s="26">
        <v>0</v>
      </c>
      <c r="J3323" s="26">
        <v>5</v>
      </c>
      <c r="K3323" t="inlineStr">
        <is>
          <t>Non</t>
        </is>
      </c>
      <c r="L3323">
        <f>SUBTOTAL(103,A3323)</f>
        <v>1</v>
      </c>
    </row>
    <row r="3324">
      <c r="A3324" t="inlineStr">
        <is>
          <t>SOCIETE C256</t>
        </is>
      </c>
      <c r="B3324" t="inlineStr">
        <is>
          <t>C256</t>
        </is>
      </c>
      <c r="C3324" t="inlineStr">
        <is>
          <t>CONSUMER BANKING</t>
        </is>
      </c>
      <c r="D3324" t="inlineStr">
        <is>
          <t>II</t>
        </is>
      </c>
      <c r="E3324" t="inlineStr">
        <is>
          <t>Stage 2</t>
        </is>
      </c>
      <c r="F3324" t="inlineStr">
        <is>
          <t>N/A</t>
        </is>
      </c>
      <c r="G3324" s="26">
        <v>1108591245</v>
      </c>
      <c r="H3324" s="26">
        <v>66515475</v>
      </c>
      <c r="I3324" s="26">
        <v>0</v>
      </c>
      <c r="J3324" s="26">
        <v>259</v>
      </c>
      <c r="K3324" t="inlineStr">
        <is>
          <t>Non</t>
        </is>
      </c>
      <c r="L3324">
        <f>SUBTOTAL(103,A3324)</f>
        <v>1</v>
      </c>
    </row>
    <row r="3325">
      <c r="A3325" t="inlineStr">
        <is>
          <t>SOCIETE C573</t>
        </is>
      </c>
      <c r="B3325" t="inlineStr">
        <is>
          <t>C573</t>
        </is>
      </c>
      <c r="C3325" t="inlineStr">
        <is>
          <t>CONSUMER BANKING</t>
        </is>
      </c>
      <c r="D3325" t="inlineStr">
        <is>
          <t>II</t>
        </is>
      </c>
      <c r="E3325" t="inlineStr">
        <is>
          <t>Stage 2</t>
        </is>
      </c>
      <c r="F3325" t="inlineStr">
        <is>
          <t>N/A</t>
        </is>
      </c>
      <c r="G3325" s="26">
        <v>124817482</v>
      </c>
      <c r="H3325" s="26">
        <v>7489049</v>
      </c>
      <c r="I3325" s="26">
        <v>12432401</v>
      </c>
      <c r="J3325" s="26">
        <v>29</v>
      </c>
      <c r="K3325" t="inlineStr">
        <is>
          <t>Non</t>
        </is>
      </c>
      <c r="L3325">
        <f>SUBTOTAL(103,A3325)</f>
        <v>1</v>
      </c>
    </row>
    <row r="3326">
      <c r="A3326" t="inlineStr">
        <is>
          <t>SOCIETE C24</t>
        </is>
      </c>
      <c r="B3326" t="inlineStr">
        <is>
          <t>C24</t>
        </is>
      </c>
      <c r="C3326" t="inlineStr">
        <is>
          <t>CORPORATE BANKING</t>
        </is>
      </c>
      <c r="D3326" t="inlineStr">
        <is>
          <t>IV</t>
        </is>
      </c>
      <c r="E3326" t="inlineStr">
        <is>
          <t>Stage 3</t>
        </is>
      </c>
      <c r="F3326" t="inlineStr">
        <is>
          <t>N/A</t>
        </is>
      </c>
      <c r="G3326" s="26">
        <v>1303656138</v>
      </c>
      <c r="H3326" s="26">
        <v>717010876</v>
      </c>
      <c r="I3326" s="26">
        <v>31077155</v>
      </c>
      <c r="J3326" s="26">
        <v>0</v>
      </c>
      <c r="K3326" t="inlineStr">
        <is>
          <t>Oui</t>
        </is>
      </c>
      <c r="L3326">
        <f>SUBTOTAL(103,A3326)</f>
        <v>1</v>
      </c>
    </row>
    <row r="3327">
      <c r="A3327" t="inlineStr">
        <is>
          <t>SOCIETE C907</t>
        </is>
      </c>
      <c r="B3327" t="inlineStr">
        <is>
          <t>C907</t>
        </is>
      </c>
      <c r="C3327" t="inlineStr">
        <is>
          <t>COMMERCIAL BANKING</t>
        </is>
      </c>
      <c r="D3327" t="inlineStr">
        <is>
          <t>IA</t>
        </is>
      </c>
      <c r="E3327" t="inlineStr">
        <is>
          <t>Stage 2</t>
        </is>
      </c>
      <c r="F3327" t="inlineStr">
        <is>
          <t>N/A</t>
        </is>
      </c>
      <c r="G3327" s="26">
        <v>80622929</v>
      </c>
      <c r="H3327" s="26">
        <v>4837376</v>
      </c>
      <c r="I3327" s="26">
        <v>12943124</v>
      </c>
      <c r="J3327" s="26">
        <v>327</v>
      </c>
      <c r="K3327" t="inlineStr">
        <is>
          <t>Non</t>
        </is>
      </c>
      <c r="L3327">
        <f>SUBTOTAL(103,A3327)</f>
        <v>1</v>
      </c>
    </row>
    <row r="3328">
      <c r="A3328" t="inlineStr">
        <is>
          <t>SOCIETE C88</t>
        </is>
      </c>
      <c r="B3328" t="inlineStr">
        <is>
          <t>C88</t>
        </is>
      </c>
      <c r="C3328" t="inlineStr">
        <is>
          <t>COMMERCIAL BANKING</t>
        </is>
      </c>
      <c r="D3328" t="inlineStr">
        <is>
          <t>V</t>
        </is>
      </c>
      <c r="E3328" t="inlineStr">
        <is>
          <t>Stage 3</t>
        </is>
      </c>
      <c r="F3328" t="inlineStr">
        <is>
          <t>N/A</t>
        </is>
      </c>
      <c r="G3328" s="26">
        <v>105905726</v>
      </c>
      <c r="H3328" s="26">
        <v>58248149</v>
      </c>
      <c r="I3328" s="26">
        <v>0</v>
      </c>
      <c r="J3328" s="26">
        <v>271</v>
      </c>
      <c r="K3328" t="inlineStr">
        <is>
          <t>Oui</t>
        </is>
      </c>
      <c r="L3328">
        <f>SUBTOTAL(103,A3328)</f>
        <v>1</v>
      </c>
    </row>
    <row r="3329">
      <c r="A3329" t="inlineStr">
        <is>
          <t>SOCIETE C1305</t>
        </is>
      </c>
      <c r="B3329" t="inlineStr">
        <is>
          <t>C1305</t>
        </is>
      </c>
      <c r="C3329" t="inlineStr">
        <is>
          <t>COMMERCIAL BANKING</t>
        </is>
      </c>
      <c r="D3329" t="inlineStr">
        <is>
          <t>I</t>
        </is>
      </c>
      <c r="E3329" t="inlineStr">
        <is>
          <t>Stage 1</t>
        </is>
      </c>
      <c r="F3329" t="inlineStr">
        <is>
          <t>N/A</t>
        </is>
      </c>
      <c r="G3329" s="26">
        <v>1206245834</v>
      </c>
      <c r="H3329" s="26">
        <v>12062458</v>
      </c>
      <c r="I3329" s="26">
        <v>155942399</v>
      </c>
      <c r="J3329" s="26">
        <v>29</v>
      </c>
      <c r="K3329" t="inlineStr">
        <is>
          <t>Non</t>
        </is>
      </c>
      <c r="L3329">
        <f>SUBTOTAL(103,A3329)</f>
        <v>1</v>
      </c>
    </row>
    <row r="3330">
      <c r="A3330" t="inlineStr">
        <is>
          <t>SOCIETE C702</t>
        </is>
      </c>
      <c r="B3330" t="inlineStr">
        <is>
          <t>C702</t>
        </is>
      </c>
      <c r="C3330" t="inlineStr">
        <is>
          <t>CONSUMER BANKING</t>
        </is>
      </c>
      <c r="D3330" t="inlineStr">
        <is>
          <t>IV</t>
        </is>
      </c>
      <c r="E3330" t="inlineStr">
        <is>
          <t>Stage 3</t>
        </is>
      </c>
      <c r="F3330" t="inlineStr">
        <is>
          <t>N/A</t>
        </is>
      </c>
      <c r="G3330" s="26">
        <v>121587667</v>
      </c>
      <c r="H3330" s="26">
        <v>66873217</v>
      </c>
      <c r="I3330" s="26">
        <v>0</v>
      </c>
      <c r="J3330" s="26">
        <v>70</v>
      </c>
      <c r="K3330" t="inlineStr">
        <is>
          <t>Oui</t>
        </is>
      </c>
      <c r="L3330">
        <f>SUBTOTAL(103,A3330)</f>
        <v>1</v>
      </c>
    </row>
    <row r="3331">
      <c r="A3331" t="inlineStr">
        <is>
          <t>SOCIETE C1677</t>
        </is>
      </c>
      <c r="B3331" t="inlineStr">
        <is>
          <t>C1677</t>
        </is>
      </c>
      <c r="C3331" t="inlineStr">
        <is>
          <t>CORPORATE BANKING</t>
        </is>
      </c>
      <c r="D3331" t="inlineStr">
        <is>
          <t>IA</t>
        </is>
      </c>
      <c r="E3331" t="inlineStr">
        <is>
          <t>Stage 2</t>
        </is>
      </c>
      <c r="F3331" t="inlineStr">
        <is>
          <t>N/A</t>
        </is>
      </c>
      <c r="G3331" s="26">
        <v>1142494</v>
      </c>
      <c r="H3331" s="26">
        <v>68550</v>
      </c>
      <c r="I3331" s="26">
        <v>0</v>
      </c>
      <c r="J3331" s="26">
        <v>166</v>
      </c>
      <c r="K3331" t="inlineStr">
        <is>
          <t>Non</t>
        </is>
      </c>
      <c r="L3331">
        <f>SUBTOTAL(103,A3331)</f>
        <v>1</v>
      </c>
    </row>
    <row r="3332">
      <c r="A3332" t="inlineStr">
        <is>
          <t>SOCIETE C2493</t>
        </is>
      </c>
      <c r="B3332" t="inlineStr">
        <is>
          <t>C2493</t>
        </is>
      </c>
      <c r="C3332" t="inlineStr">
        <is>
          <t>SME</t>
        </is>
      </c>
      <c r="D3332" t="inlineStr">
        <is>
          <t>IA</t>
        </is>
      </c>
      <c r="E3332" t="inlineStr">
        <is>
          <t>Stage 2</t>
        </is>
      </c>
      <c r="F3332" t="inlineStr">
        <is>
          <t>N/A</t>
        </is>
      </c>
      <c r="G3332" s="26">
        <v>2708003064</v>
      </c>
      <c r="H3332" s="26">
        <v>162480184</v>
      </c>
      <c r="I3332" s="26">
        <v>157525455</v>
      </c>
      <c r="J3332" s="26">
        <v>11</v>
      </c>
      <c r="K3332" t="inlineStr">
        <is>
          <t>Non</t>
        </is>
      </c>
      <c r="L3332">
        <f>SUBTOTAL(103,A3332)</f>
        <v>1</v>
      </c>
    </row>
    <row r="3333">
      <c r="A3333" t="inlineStr">
        <is>
          <t>SOCIETE C2444</t>
        </is>
      </c>
      <c r="B3333" t="inlineStr">
        <is>
          <t>C2444</t>
        </is>
      </c>
      <c r="C3333" t="inlineStr">
        <is>
          <t>CORPORATE BANKING</t>
        </is>
      </c>
      <c r="D3333" t="inlineStr">
        <is>
          <t>I</t>
        </is>
      </c>
      <c r="E3333" t="inlineStr">
        <is>
          <t>Stage 1</t>
        </is>
      </c>
      <c r="F3333" t="inlineStr">
        <is>
          <t>N/A</t>
        </is>
      </c>
      <c r="G3333" s="26">
        <v>107919369</v>
      </c>
      <c r="H3333" s="26">
        <v>1079194</v>
      </c>
      <c r="I3333" s="26">
        <v>0</v>
      </c>
      <c r="J3333" s="26">
        <v>254</v>
      </c>
      <c r="K3333" t="inlineStr">
        <is>
          <t>Non</t>
        </is>
      </c>
      <c r="L3333">
        <f>SUBTOTAL(103,A3333)</f>
        <v>1</v>
      </c>
    </row>
    <row r="3334">
      <c r="A3334" t="inlineStr">
        <is>
          <t>SOCIETE C1549</t>
        </is>
      </c>
      <c r="B3334" t="inlineStr">
        <is>
          <t>C1549</t>
        </is>
      </c>
      <c r="C3334" t="inlineStr">
        <is>
          <t>CORPORATE BANKING</t>
        </is>
      </c>
      <c r="D3334" t="inlineStr">
        <is>
          <t>III</t>
        </is>
      </c>
      <c r="E3334" t="inlineStr">
        <is>
          <t>Stage 3</t>
        </is>
      </c>
      <c r="F3334" t="inlineStr">
        <is>
          <t>N/A</t>
        </is>
      </c>
      <c r="G3334" s="26">
        <v>312863037</v>
      </c>
      <c r="H3334" s="26">
        <v>172074670</v>
      </c>
      <c r="I3334" s="26">
        <v>0</v>
      </c>
      <c r="J3334" s="26">
        <v>38</v>
      </c>
      <c r="K3334" t="inlineStr">
        <is>
          <t>Oui</t>
        </is>
      </c>
      <c r="L3334">
        <f>SUBTOTAL(103,A3334)</f>
        <v>1</v>
      </c>
    </row>
    <row r="3335">
      <c r="A3335" t="inlineStr">
        <is>
          <t>SOCIETE C917</t>
        </is>
      </c>
      <c r="B3335" t="inlineStr">
        <is>
          <t>C917</t>
        </is>
      </c>
      <c r="C3335" t="inlineStr">
        <is>
          <t>COMMERCIAL BANKING</t>
        </is>
      </c>
      <c r="D3335" t="inlineStr">
        <is>
          <t>II</t>
        </is>
      </c>
      <c r="E3335" t="inlineStr">
        <is>
          <t>Stage 2</t>
        </is>
      </c>
      <c r="F3335" t="inlineStr">
        <is>
          <t>N/A</t>
        </is>
      </c>
      <c r="G3335" s="26">
        <v>516916150</v>
      </c>
      <c r="H3335" s="26">
        <v>31014969</v>
      </c>
      <c r="I3335" s="26">
        <v>0</v>
      </c>
      <c r="J3335" s="26">
        <v>118</v>
      </c>
      <c r="K3335" t="inlineStr">
        <is>
          <t>Non</t>
        </is>
      </c>
      <c r="L3335">
        <f>SUBTOTAL(103,A3335)</f>
        <v>1</v>
      </c>
    </row>
    <row r="3336">
      <c r="A3336" t="inlineStr">
        <is>
          <t>SOCIETE C304</t>
        </is>
      </c>
      <c r="B3336" t="inlineStr">
        <is>
          <t>C304</t>
        </is>
      </c>
      <c r="C3336" t="inlineStr">
        <is>
          <t>PUBLIC SECTOR</t>
        </is>
      </c>
      <c r="D3336" t="inlineStr">
        <is>
          <t>V</t>
        </is>
      </c>
      <c r="E3336" t="inlineStr">
        <is>
          <t>Stage 3</t>
        </is>
      </c>
      <c r="F3336" t="inlineStr">
        <is>
          <t>N/A</t>
        </is>
      </c>
      <c r="G3336" s="26">
        <v>1122988941</v>
      </c>
      <c r="H3336" s="26">
        <v>617643917</v>
      </c>
      <c r="I3336" s="26">
        <v>0</v>
      </c>
      <c r="J3336" s="26">
        <v>160</v>
      </c>
      <c r="K3336" t="inlineStr">
        <is>
          <t>Oui</t>
        </is>
      </c>
      <c r="L3336">
        <f>SUBTOTAL(103,A3336)</f>
        <v>1</v>
      </c>
    </row>
    <row r="3337">
      <c r="A3337" t="inlineStr">
        <is>
          <t>SOCIETE C722</t>
        </is>
      </c>
      <c r="B3337" t="inlineStr">
        <is>
          <t>C722</t>
        </is>
      </c>
      <c r="C3337" t="inlineStr">
        <is>
          <t>PUBLIC SECTOR</t>
        </is>
      </c>
      <c r="D3337" t="inlineStr">
        <is>
          <t>IA</t>
        </is>
      </c>
      <c r="E3337" t="inlineStr">
        <is>
          <t>Stage 2</t>
        </is>
      </c>
      <c r="F3337" t="inlineStr">
        <is>
          <t>N/A</t>
        </is>
      </c>
      <c r="G3337" s="26">
        <v>6398554</v>
      </c>
      <c r="H3337" s="26">
        <v>383913</v>
      </c>
      <c r="I3337" s="26">
        <v>0</v>
      </c>
      <c r="J3337" s="26">
        <v>52</v>
      </c>
      <c r="K3337" t="inlineStr">
        <is>
          <t>Non</t>
        </is>
      </c>
      <c r="L3337">
        <f>SUBTOTAL(103,A3337)</f>
        <v>1</v>
      </c>
    </row>
    <row r="3338">
      <c r="A3338" t="inlineStr">
        <is>
          <t>SOCIETE C1137</t>
        </is>
      </c>
      <c r="B3338" t="inlineStr">
        <is>
          <t>C1137</t>
        </is>
      </c>
      <c r="C3338" t="inlineStr">
        <is>
          <t>CORPORATE BANKING</t>
        </is>
      </c>
      <c r="D3338" t="inlineStr">
        <is>
          <t>III</t>
        </is>
      </c>
      <c r="E3338" t="inlineStr">
        <is>
          <t>Stage 3</t>
        </is>
      </c>
      <c r="F3338" t="inlineStr">
        <is>
          <t>N/A</t>
        </is>
      </c>
      <c r="G3338" s="26">
        <v>1026967</v>
      </c>
      <c r="H3338" s="26">
        <v>564832</v>
      </c>
      <c r="I3338" s="26">
        <v>0</v>
      </c>
      <c r="J3338" s="26">
        <v>54</v>
      </c>
      <c r="K3338" t="inlineStr">
        <is>
          <t>Oui</t>
        </is>
      </c>
      <c r="L3338">
        <f>SUBTOTAL(103,A3338)</f>
        <v>1</v>
      </c>
    </row>
    <row r="3339">
      <c r="A3339" t="inlineStr">
        <is>
          <t>SOCIETE C1051</t>
        </is>
      </c>
      <c r="B3339" t="inlineStr">
        <is>
          <t>C1051</t>
        </is>
      </c>
      <c r="C3339" t="inlineStr">
        <is>
          <t>COMMERCIAL BANKING</t>
        </is>
      </c>
      <c r="D3339" t="inlineStr">
        <is>
          <t>V</t>
        </is>
      </c>
      <c r="E3339" t="inlineStr">
        <is>
          <t>Stage 3</t>
        </is>
      </c>
      <c r="F3339" t="inlineStr">
        <is>
          <t>N/A</t>
        </is>
      </c>
      <c r="G3339" s="26">
        <v>2454747</v>
      </c>
      <c r="H3339" s="26">
        <v>1350111</v>
      </c>
      <c r="I3339" s="26">
        <v>0</v>
      </c>
      <c r="J3339" s="26">
        <v>27</v>
      </c>
      <c r="K3339" t="inlineStr">
        <is>
          <t>Oui</t>
        </is>
      </c>
      <c r="L3339">
        <f>SUBTOTAL(103,A3339)</f>
        <v>1</v>
      </c>
    </row>
    <row r="3340">
      <c r="A3340" t="inlineStr">
        <is>
          <t>SOCIETE C1981</t>
        </is>
      </c>
      <c r="B3340" t="inlineStr">
        <is>
          <t>C1981</t>
        </is>
      </c>
      <c r="C3340" t="inlineStr">
        <is>
          <t>COMMERCIAL BANKING</t>
        </is>
      </c>
      <c r="D3340" t="inlineStr">
        <is>
          <t>I</t>
        </is>
      </c>
      <c r="E3340" t="inlineStr">
        <is>
          <t>Stage 1</t>
        </is>
      </c>
      <c r="F3340" t="inlineStr">
        <is>
          <t>N/A</t>
        </is>
      </c>
      <c r="G3340" s="26">
        <v>961492716</v>
      </c>
      <c r="H3340" s="26">
        <v>9614927</v>
      </c>
      <c r="I3340" s="26">
        <v>0</v>
      </c>
      <c r="J3340" s="26">
        <v>59</v>
      </c>
      <c r="K3340" t="inlineStr">
        <is>
          <t>Non</t>
        </is>
      </c>
      <c r="L3340">
        <f>SUBTOTAL(103,A3340)</f>
        <v>1</v>
      </c>
    </row>
    <row r="3341">
      <c r="A3341" t="inlineStr">
        <is>
          <t>SOCIETE C769</t>
        </is>
      </c>
      <c r="B3341" t="inlineStr">
        <is>
          <t>C769</t>
        </is>
      </c>
      <c r="C3341" t="inlineStr">
        <is>
          <t>CONSUMER BANKING</t>
        </is>
      </c>
      <c r="D3341" t="inlineStr">
        <is>
          <t>IV</t>
        </is>
      </c>
      <c r="E3341" t="inlineStr">
        <is>
          <t>Stage 3</t>
        </is>
      </c>
      <c r="F3341" t="inlineStr">
        <is>
          <t>N/A</t>
        </is>
      </c>
      <c r="G3341" s="26">
        <v>1902556809</v>
      </c>
      <c r="H3341" s="26">
        <v>1046406245</v>
      </c>
      <c r="I3341" s="26">
        <v>0</v>
      </c>
      <c r="J3341" s="26">
        <v>175</v>
      </c>
      <c r="K3341" t="inlineStr">
        <is>
          <t>Oui</t>
        </is>
      </c>
      <c r="L3341">
        <f>SUBTOTAL(103,A3341)</f>
        <v>1</v>
      </c>
    </row>
    <row r="3342">
      <c r="A3342" t="inlineStr">
        <is>
          <t>SOCIETE C114</t>
        </is>
      </c>
      <c r="B3342" t="inlineStr">
        <is>
          <t>C114</t>
        </is>
      </c>
      <c r="C3342" t="inlineStr">
        <is>
          <t>INSTITUTIONAL</t>
        </is>
      </c>
      <c r="D3342" t="inlineStr">
        <is>
          <t>I</t>
        </is>
      </c>
      <c r="E3342" t="inlineStr">
        <is>
          <t>Stage 1</t>
        </is>
      </c>
      <c r="F3342" t="inlineStr">
        <is>
          <t>N/A</t>
        </is>
      </c>
      <c r="G3342" s="26">
        <v>13259587</v>
      </c>
      <c r="H3342" s="26">
        <v>132596</v>
      </c>
      <c r="I3342" s="26">
        <v>0</v>
      </c>
      <c r="J3342" s="26">
        <v>248</v>
      </c>
      <c r="K3342" t="inlineStr">
        <is>
          <t>Non</t>
        </is>
      </c>
      <c r="L3342">
        <f>SUBTOTAL(103,A3342)</f>
        <v>1</v>
      </c>
    </row>
    <row r="3343">
      <c r="A3343" t="inlineStr">
        <is>
          <t>SOCIETE C906</t>
        </is>
      </c>
      <c r="B3343" t="inlineStr">
        <is>
          <t>C906</t>
        </is>
      </c>
      <c r="C3343" t="inlineStr">
        <is>
          <t>COMMERCIAL BANKING</t>
        </is>
      </c>
      <c r="D3343" t="inlineStr">
        <is>
          <t>II</t>
        </is>
      </c>
      <c r="E3343" t="inlineStr">
        <is>
          <t>Stage 2</t>
        </is>
      </c>
      <c r="F3343" t="inlineStr">
        <is>
          <t>N/A</t>
        </is>
      </c>
      <c r="G3343" s="26">
        <v>569795821</v>
      </c>
      <c r="H3343" s="26">
        <v>34187749</v>
      </c>
      <c r="I3343" s="26">
        <v>0</v>
      </c>
      <c r="J3343" s="26">
        <v>18</v>
      </c>
      <c r="K3343" t="inlineStr">
        <is>
          <t>Non</t>
        </is>
      </c>
      <c r="L3343">
        <f>SUBTOTAL(103,A3343)</f>
        <v>1</v>
      </c>
    </row>
    <row r="3344">
      <c r="A3344" t="inlineStr">
        <is>
          <t>SOCIETE C590</t>
        </is>
      </c>
      <c r="B3344" t="inlineStr">
        <is>
          <t>C590</t>
        </is>
      </c>
      <c r="C3344" t="inlineStr">
        <is>
          <t>CORPORATE BANKING</t>
        </is>
      </c>
      <c r="D3344" t="inlineStr">
        <is>
          <t>III</t>
        </is>
      </c>
      <c r="E3344" t="inlineStr">
        <is>
          <t>Stage 3</t>
        </is>
      </c>
      <c r="F3344" t="inlineStr">
        <is>
          <t>N/A</t>
        </is>
      </c>
      <c r="G3344" s="26">
        <v>16591325</v>
      </c>
      <c r="H3344" s="26">
        <v>9125229</v>
      </c>
      <c r="I3344" s="26">
        <v>0</v>
      </c>
      <c r="J3344" s="26">
        <v>70</v>
      </c>
      <c r="K3344" t="inlineStr">
        <is>
          <t>Oui</t>
        </is>
      </c>
      <c r="L3344">
        <f>SUBTOTAL(103,A3344)</f>
        <v>1</v>
      </c>
    </row>
    <row r="3345">
      <c r="A3345" t="inlineStr">
        <is>
          <t>SOCIETE C26</t>
        </is>
      </c>
      <c r="B3345" t="inlineStr">
        <is>
          <t>C26</t>
        </is>
      </c>
      <c r="C3345" t="inlineStr">
        <is>
          <t>CORPORATE BANKING</t>
        </is>
      </c>
      <c r="D3345" t="inlineStr">
        <is>
          <t>IV</t>
        </is>
      </c>
      <c r="E3345" t="inlineStr">
        <is>
          <t>Stage 3</t>
        </is>
      </c>
      <c r="F3345" t="inlineStr">
        <is>
          <t>N/A</t>
        </is>
      </c>
      <c r="G3345" s="26">
        <v>54134125</v>
      </c>
      <c r="H3345" s="26">
        <v>29773769</v>
      </c>
      <c r="I3345" s="26">
        <v>8511357</v>
      </c>
      <c r="J3345" s="26">
        <v>232</v>
      </c>
      <c r="K3345" t="inlineStr">
        <is>
          <t>Oui</t>
        </is>
      </c>
      <c r="L3345">
        <f>SUBTOTAL(103,A3345)</f>
        <v>1</v>
      </c>
    </row>
    <row r="3346">
      <c r="A3346" t="inlineStr">
        <is>
          <t>SOCIETE C82</t>
        </is>
      </c>
      <c r="B3346" t="inlineStr">
        <is>
          <t>C82</t>
        </is>
      </c>
      <c r="C3346" t="inlineStr">
        <is>
          <t>CORPORATE BANKING</t>
        </is>
      </c>
      <c r="D3346" t="inlineStr">
        <is>
          <t>I</t>
        </is>
      </c>
      <c r="E3346" t="inlineStr">
        <is>
          <t>Stage 1</t>
        </is>
      </c>
      <c r="F3346" t="inlineStr">
        <is>
          <t>N/A</t>
        </is>
      </c>
      <c r="G3346" s="26">
        <v>2493466</v>
      </c>
      <c r="H3346" s="26">
        <v>24935</v>
      </c>
      <c r="I3346" s="26">
        <v>352249</v>
      </c>
      <c r="J3346" s="26">
        <v>75</v>
      </c>
      <c r="K3346" t="inlineStr">
        <is>
          <t>Non</t>
        </is>
      </c>
      <c r="L3346">
        <f>SUBTOTAL(103,A3346)</f>
        <v>1</v>
      </c>
    </row>
    <row r="3347">
      <c r="A3347" t="inlineStr">
        <is>
          <t>SOCIETE C1625</t>
        </is>
      </c>
      <c r="B3347" t="inlineStr">
        <is>
          <t>C1625</t>
        </is>
      </c>
      <c r="C3347" t="inlineStr">
        <is>
          <t>CORPORATE BANKING</t>
        </is>
      </c>
      <c r="D3347" t="inlineStr">
        <is>
          <t>I</t>
        </is>
      </c>
      <c r="E3347" t="inlineStr">
        <is>
          <t>Stage 1</t>
        </is>
      </c>
      <c r="F3347" t="inlineStr">
        <is>
          <t>N/A</t>
        </is>
      </c>
      <c r="G3347" s="26">
        <v>1313087284</v>
      </c>
      <c r="H3347" s="26">
        <v>13130873</v>
      </c>
      <c r="I3347" s="26">
        <v>28180798</v>
      </c>
      <c r="J3347" s="26">
        <v>156</v>
      </c>
      <c r="K3347" t="inlineStr">
        <is>
          <t>Non</t>
        </is>
      </c>
      <c r="L3347">
        <f>SUBTOTAL(103,A3347)</f>
        <v>1</v>
      </c>
    </row>
    <row r="3348">
      <c r="A3348" t="inlineStr">
        <is>
          <t>SOCIETE C1371</t>
        </is>
      </c>
      <c r="B3348" t="inlineStr">
        <is>
          <t>C1371</t>
        </is>
      </c>
      <c r="C3348" t="inlineStr">
        <is>
          <t>CORPORATE BANKING</t>
        </is>
      </c>
      <c r="D3348" t="inlineStr">
        <is>
          <t>IA</t>
        </is>
      </c>
      <c r="E3348" t="inlineStr">
        <is>
          <t>Stage 2</t>
        </is>
      </c>
      <c r="F3348" t="inlineStr">
        <is>
          <t>N/A</t>
        </is>
      </c>
      <c r="G3348" s="26">
        <v>130683930</v>
      </c>
      <c r="H3348" s="26">
        <v>7841036</v>
      </c>
      <c r="I3348" s="26">
        <v>0</v>
      </c>
      <c r="J3348" s="26">
        <v>69</v>
      </c>
      <c r="K3348" t="inlineStr">
        <is>
          <t>Non</t>
        </is>
      </c>
      <c r="L3348">
        <f>SUBTOTAL(103,A3348)</f>
        <v>1</v>
      </c>
    </row>
    <row r="3349">
      <c r="A3349" t="inlineStr">
        <is>
          <t>SOCIETE C2257</t>
        </is>
      </c>
      <c r="B3349" t="inlineStr">
        <is>
          <t>C2257</t>
        </is>
      </c>
      <c r="C3349" t="inlineStr">
        <is>
          <t>CORPORATE BANKING</t>
        </is>
      </c>
      <c r="D3349" t="inlineStr">
        <is>
          <t>I</t>
        </is>
      </c>
      <c r="E3349" t="inlineStr">
        <is>
          <t>Stage 1</t>
        </is>
      </c>
      <c r="F3349" t="inlineStr">
        <is>
          <t>N/A</t>
        </is>
      </c>
      <c r="G3349" s="26">
        <v>17469566</v>
      </c>
      <c r="H3349" s="26">
        <v>174696</v>
      </c>
      <c r="I3349" s="26">
        <v>1455592</v>
      </c>
      <c r="J3349" s="26">
        <v>37</v>
      </c>
      <c r="K3349" t="inlineStr">
        <is>
          <t>Non</t>
        </is>
      </c>
      <c r="L3349">
        <f>SUBTOTAL(103,A3349)</f>
        <v>1</v>
      </c>
    </row>
    <row r="3350">
      <c r="A3350" t="inlineStr">
        <is>
          <t>SOCIETE C2126</t>
        </is>
      </c>
      <c r="B3350" t="inlineStr">
        <is>
          <t>C2126</t>
        </is>
      </c>
      <c r="C3350" t="inlineStr">
        <is>
          <t>CORPORATE BANKING</t>
        </is>
      </c>
      <c r="D3350" t="inlineStr">
        <is>
          <t>IA</t>
        </is>
      </c>
      <c r="E3350" t="inlineStr">
        <is>
          <t>Stage 2</t>
        </is>
      </c>
      <c r="F3350" t="inlineStr">
        <is>
          <t>N/A</t>
        </is>
      </c>
      <c r="G3350" s="26">
        <v>443005206</v>
      </c>
      <c r="H3350" s="26">
        <v>26580312</v>
      </c>
      <c r="I3350" s="26">
        <v>5935976</v>
      </c>
      <c r="J3350" s="26">
        <v>0</v>
      </c>
      <c r="K3350" t="inlineStr">
        <is>
          <t>Non</t>
        </is>
      </c>
      <c r="L3350">
        <f>SUBTOTAL(103,A3350)</f>
        <v>1</v>
      </c>
    </row>
    <row r="3351">
      <c r="A3351" t="inlineStr">
        <is>
          <t>SOCIETE C229</t>
        </is>
      </c>
      <c r="B3351" t="inlineStr">
        <is>
          <t>C229</t>
        </is>
      </c>
      <c r="C3351" t="inlineStr">
        <is>
          <t>CORPORATE BANKING</t>
        </is>
      </c>
      <c r="D3351" t="inlineStr">
        <is>
          <t>IA</t>
        </is>
      </c>
      <c r="E3351" t="inlineStr">
        <is>
          <t>Stage 2</t>
        </is>
      </c>
      <c r="F3351" t="inlineStr">
        <is>
          <t>N/A</t>
        </is>
      </c>
      <c r="G3351" s="26">
        <v>7064344</v>
      </c>
      <c r="H3351" s="26">
        <v>423861</v>
      </c>
      <c r="I3351" s="26">
        <v>0</v>
      </c>
      <c r="J3351" s="26">
        <v>64</v>
      </c>
      <c r="K3351" t="inlineStr">
        <is>
          <t>Non</t>
        </is>
      </c>
      <c r="L3351">
        <f>SUBTOTAL(103,A3351)</f>
        <v>1</v>
      </c>
    </row>
    <row r="3352">
      <c r="A3352" t="inlineStr">
        <is>
          <t>SOCIETE C959</t>
        </is>
      </c>
      <c r="B3352" t="inlineStr">
        <is>
          <t>C959</t>
        </is>
      </c>
      <c r="C3352" t="inlineStr">
        <is>
          <t>CORPORATE BANKING</t>
        </is>
      </c>
      <c r="D3352" t="inlineStr">
        <is>
          <t>I</t>
        </is>
      </c>
      <c r="E3352" t="inlineStr">
        <is>
          <t>Stage 1</t>
        </is>
      </c>
      <c r="F3352" t="inlineStr">
        <is>
          <t>N/A</t>
        </is>
      </c>
      <c r="G3352" s="26">
        <v>2940569977</v>
      </c>
      <c r="H3352" s="26">
        <v>29405700</v>
      </c>
      <c r="I3352" s="26">
        <v>0</v>
      </c>
      <c r="J3352" s="26">
        <v>153</v>
      </c>
      <c r="K3352" t="inlineStr">
        <is>
          <t>Non</t>
        </is>
      </c>
      <c r="L3352">
        <f>SUBTOTAL(103,A3352)</f>
        <v>1</v>
      </c>
    </row>
    <row r="3353">
      <c r="A3353" t="inlineStr">
        <is>
          <t>SOCIETE C1831</t>
        </is>
      </c>
      <c r="B3353" t="inlineStr">
        <is>
          <t>C1831</t>
        </is>
      </c>
      <c r="C3353" t="inlineStr">
        <is>
          <t>COMMERCIAL BANKING</t>
        </is>
      </c>
      <c r="D3353" t="inlineStr">
        <is>
          <t>IA</t>
        </is>
      </c>
      <c r="E3353" t="inlineStr">
        <is>
          <t>Stage 2</t>
        </is>
      </c>
      <c r="F3353" t="inlineStr">
        <is>
          <t>N/A</t>
        </is>
      </c>
      <c r="G3353" s="26">
        <v>636270926</v>
      </c>
      <c r="H3353" s="26">
        <v>38176256</v>
      </c>
      <c r="I3353" s="26">
        <v>0</v>
      </c>
      <c r="J3353" s="26">
        <v>214</v>
      </c>
      <c r="K3353" t="inlineStr">
        <is>
          <t>Non</t>
        </is>
      </c>
      <c r="L3353">
        <f>SUBTOTAL(103,A3353)</f>
        <v>1</v>
      </c>
    </row>
    <row r="3354">
      <c r="A3354" t="inlineStr">
        <is>
          <t>SOCIETE C1748</t>
        </is>
      </c>
      <c r="B3354" t="inlineStr">
        <is>
          <t>C1748</t>
        </is>
      </c>
      <c r="C3354" t="inlineStr">
        <is>
          <t>COMMERCIAL BANKING</t>
        </is>
      </c>
      <c r="D3354" t="inlineStr">
        <is>
          <t>I</t>
        </is>
      </c>
      <c r="E3354" t="inlineStr">
        <is>
          <t>Stage 1</t>
        </is>
      </c>
      <c r="F3354" t="inlineStr">
        <is>
          <t>N/A</t>
        </is>
      </c>
      <c r="G3354" s="26">
        <v>2316844401</v>
      </c>
      <c r="H3354" s="26">
        <v>23168444</v>
      </c>
      <c r="I3354" s="26">
        <v>0</v>
      </c>
      <c r="J3354" s="26">
        <v>168</v>
      </c>
      <c r="K3354" t="inlineStr">
        <is>
          <t>Non</t>
        </is>
      </c>
      <c r="L3354">
        <f>SUBTOTAL(103,A3354)</f>
        <v>1</v>
      </c>
    </row>
    <row r="3355">
      <c r="A3355" t="inlineStr">
        <is>
          <t>SOCIETE C1392</t>
        </is>
      </c>
      <c r="B3355" t="inlineStr">
        <is>
          <t>C1392</t>
        </is>
      </c>
      <c r="C3355" t="inlineStr">
        <is>
          <t>COMMERCIAL BANKING</t>
        </is>
      </c>
      <c r="D3355" t="inlineStr">
        <is>
          <t>V</t>
        </is>
      </c>
      <c r="E3355" t="inlineStr">
        <is>
          <t>Stage 3</t>
        </is>
      </c>
      <c r="F3355" t="inlineStr">
        <is>
          <t>N/A</t>
        </is>
      </c>
      <c r="G3355" s="26">
        <v>2748485591</v>
      </c>
      <c r="H3355" s="26">
        <v>1511667075</v>
      </c>
      <c r="I3355" s="26">
        <v>31138008</v>
      </c>
      <c r="J3355" s="26">
        <v>12</v>
      </c>
      <c r="K3355" t="inlineStr">
        <is>
          <t>Oui</t>
        </is>
      </c>
      <c r="L3355">
        <f>SUBTOTAL(103,A3355)</f>
        <v>1</v>
      </c>
    </row>
    <row r="3356">
      <c r="A3356" t="inlineStr">
        <is>
          <t>SOCIETE C2143</t>
        </is>
      </c>
      <c r="B3356" t="inlineStr">
        <is>
          <t>C2143</t>
        </is>
      </c>
      <c r="C3356" t="inlineStr">
        <is>
          <t>COMMERCIAL BANKING</t>
        </is>
      </c>
      <c r="D3356" t="inlineStr">
        <is>
          <t>I</t>
        </is>
      </c>
      <c r="E3356" t="inlineStr">
        <is>
          <t>Stage 1</t>
        </is>
      </c>
      <c r="F3356" t="inlineStr">
        <is>
          <t>N/A</t>
        </is>
      </c>
      <c r="G3356" s="26">
        <v>2149862051</v>
      </c>
      <c r="H3356" s="26">
        <v>21498621</v>
      </c>
      <c r="I3356" s="26">
        <v>198907105</v>
      </c>
      <c r="J3356" s="26">
        <v>114</v>
      </c>
      <c r="K3356" t="inlineStr">
        <is>
          <t>Non</t>
        </is>
      </c>
      <c r="L3356">
        <f>SUBTOTAL(103,A3356)</f>
        <v>1</v>
      </c>
    </row>
    <row r="3357">
      <c r="A3357" t="inlineStr">
        <is>
          <t>SOCIETE C372</t>
        </is>
      </c>
      <c r="B3357" t="inlineStr">
        <is>
          <t>C372</t>
        </is>
      </c>
      <c r="C3357" t="inlineStr">
        <is>
          <t>CORPORATE BANKING</t>
        </is>
      </c>
      <c r="D3357" t="inlineStr">
        <is>
          <t>III</t>
        </is>
      </c>
      <c r="E3357" t="inlineStr">
        <is>
          <t>Stage 3</t>
        </is>
      </c>
      <c r="F3357" t="inlineStr">
        <is>
          <t>N/A</t>
        </is>
      </c>
      <c r="G3357" s="26">
        <v>2123091573</v>
      </c>
      <c r="H3357" s="26">
        <v>1167700365</v>
      </c>
      <c r="I3357" s="26">
        <v>113180295</v>
      </c>
      <c r="J3357" s="26">
        <v>199</v>
      </c>
      <c r="K3357" t="inlineStr">
        <is>
          <t>Oui</t>
        </is>
      </c>
      <c r="L3357">
        <f>SUBTOTAL(103,A3357)</f>
        <v>1</v>
      </c>
    </row>
    <row r="3358">
      <c r="A3358" t="inlineStr">
        <is>
          <t>SOCIETE C1872</t>
        </is>
      </c>
      <c r="B3358" t="inlineStr">
        <is>
          <t>C1872</t>
        </is>
      </c>
      <c r="C3358" t="inlineStr">
        <is>
          <t>COMMERCIAL BANKING</t>
        </is>
      </c>
      <c r="D3358" t="inlineStr">
        <is>
          <t>III</t>
        </is>
      </c>
      <c r="E3358" t="inlineStr">
        <is>
          <t>Stage 3</t>
        </is>
      </c>
      <c r="F3358" t="inlineStr">
        <is>
          <t>N/A</t>
        </is>
      </c>
      <c r="G3358" s="26">
        <v>2911801946</v>
      </c>
      <c r="H3358" s="26">
        <v>1601491070</v>
      </c>
      <c r="I3358" s="26">
        <v>0</v>
      </c>
      <c r="J3358" s="26">
        <v>59</v>
      </c>
      <c r="K3358" t="inlineStr">
        <is>
          <t>Oui</t>
        </is>
      </c>
      <c r="L3358">
        <f>SUBTOTAL(103,A3358)</f>
        <v>1</v>
      </c>
    </row>
    <row r="3359">
      <c r="A3359" t="inlineStr">
        <is>
          <t>SOCIETE C1405</t>
        </is>
      </c>
      <c r="B3359" t="inlineStr">
        <is>
          <t>C1405</t>
        </is>
      </c>
      <c r="C3359" t="inlineStr">
        <is>
          <t>CORPORATE BANKING</t>
        </is>
      </c>
      <c r="D3359" t="inlineStr">
        <is>
          <t>IV</t>
        </is>
      </c>
      <c r="E3359" t="inlineStr">
        <is>
          <t>Stage 3</t>
        </is>
      </c>
      <c r="F3359" t="inlineStr">
        <is>
          <t>N/A</t>
        </is>
      </c>
      <c r="G3359" s="26">
        <v>87290220</v>
      </c>
      <c r="H3359" s="26">
        <v>48009621</v>
      </c>
      <c r="I3359" s="26">
        <v>0</v>
      </c>
      <c r="J3359" s="26">
        <v>12</v>
      </c>
      <c r="K3359" t="inlineStr">
        <is>
          <t>Oui</t>
        </is>
      </c>
      <c r="L3359">
        <f>SUBTOTAL(103,A3359)</f>
        <v>1</v>
      </c>
    </row>
    <row r="3360">
      <c r="A3360" t="inlineStr">
        <is>
          <t>SOCIETE C1829</t>
        </is>
      </c>
      <c r="B3360" t="inlineStr">
        <is>
          <t>C1829</t>
        </is>
      </c>
      <c r="C3360" t="inlineStr">
        <is>
          <t>CONSUMER BANKING</t>
        </is>
      </c>
      <c r="D3360" t="inlineStr">
        <is>
          <t>III</t>
        </is>
      </c>
      <c r="E3360" t="inlineStr">
        <is>
          <t>Stage 3</t>
        </is>
      </c>
      <c r="F3360" t="inlineStr">
        <is>
          <t>N/A</t>
        </is>
      </c>
      <c r="G3360" s="26">
        <v>1557354600</v>
      </c>
      <c r="H3360" s="26">
        <v>856545030</v>
      </c>
      <c r="I3360" s="26">
        <v>0</v>
      </c>
      <c r="J3360" s="26">
        <v>8</v>
      </c>
      <c r="K3360" t="inlineStr">
        <is>
          <t>Oui</t>
        </is>
      </c>
      <c r="L3360">
        <f>SUBTOTAL(103,A3360)</f>
        <v>1</v>
      </c>
    </row>
    <row r="3361">
      <c r="A3361" t="inlineStr">
        <is>
          <t>SOCIETE C2321</t>
        </is>
      </c>
      <c r="B3361" t="inlineStr">
        <is>
          <t>C2321</t>
        </is>
      </c>
      <c r="C3361" t="inlineStr">
        <is>
          <t>SME</t>
        </is>
      </c>
      <c r="D3361" t="inlineStr">
        <is>
          <t>I</t>
        </is>
      </c>
      <c r="E3361" t="inlineStr">
        <is>
          <t>Stage 1</t>
        </is>
      </c>
      <c r="F3361" t="inlineStr">
        <is>
          <t>N/A</t>
        </is>
      </c>
      <c r="G3361" s="26">
        <v>95819526</v>
      </c>
      <c r="H3361" s="26">
        <v>958195</v>
      </c>
      <c r="I3361" s="26">
        <v>0</v>
      </c>
      <c r="J3361" s="26">
        <v>0</v>
      </c>
      <c r="K3361" t="inlineStr">
        <is>
          <t>Non</t>
        </is>
      </c>
      <c r="L3361">
        <f>SUBTOTAL(103,A3361)</f>
        <v>1</v>
      </c>
    </row>
    <row r="3362">
      <c r="A3362" t="inlineStr">
        <is>
          <t>SOCIETE C1407</t>
        </is>
      </c>
      <c r="B3362" t="inlineStr">
        <is>
          <t>C1407</t>
        </is>
      </c>
      <c r="C3362" t="inlineStr">
        <is>
          <t>PUBLIC SECTOR</t>
        </is>
      </c>
      <c r="D3362" t="inlineStr">
        <is>
          <t>I</t>
        </is>
      </c>
      <c r="E3362" t="inlineStr">
        <is>
          <t>Stage 1</t>
        </is>
      </c>
      <c r="F3362" t="inlineStr">
        <is>
          <t>N/A</t>
        </is>
      </c>
      <c r="G3362" s="26">
        <v>316898869</v>
      </c>
      <c r="H3362" s="26">
        <v>3168989</v>
      </c>
      <c r="I3362" s="26">
        <v>30895052</v>
      </c>
      <c r="J3362" s="26">
        <v>178</v>
      </c>
      <c r="K3362" t="inlineStr">
        <is>
          <t>Non</t>
        </is>
      </c>
      <c r="L3362">
        <f>SUBTOTAL(103,A3362)</f>
        <v>1</v>
      </c>
    </row>
    <row r="3363">
      <c r="A3363" t="inlineStr">
        <is>
          <t>SOCIETE C320</t>
        </is>
      </c>
      <c r="B3363" t="inlineStr">
        <is>
          <t>C320</t>
        </is>
      </c>
      <c r="C3363" t="inlineStr">
        <is>
          <t>CORPORATE BANKING</t>
        </is>
      </c>
      <c r="D3363" t="inlineStr">
        <is>
          <t>I</t>
        </is>
      </c>
      <c r="E3363" t="inlineStr">
        <is>
          <t>Stage 1</t>
        </is>
      </c>
      <c r="F3363" t="inlineStr">
        <is>
          <t>N/A</t>
        </is>
      </c>
      <c r="G3363" s="26">
        <v>25861059</v>
      </c>
      <c r="H3363" s="26">
        <v>258611</v>
      </c>
      <c r="I3363" s="26">
        <v>0</v>
      </c>
      <c r="J3363" s="26">
        <v>131</v>
      </c>
      <c r="K3363" t="inlineStr">
        <is>
          <t>Non</t>
        </is>
      </c>
      <c r="L3363">
        <f>SUBTOTAL(103,A3363)</f>
        <v>1</v>
      </c>
    </row>
    <row r="3364">
      <c r="A3364" t="inlineStr">
        <is>
          <t>SOCIETE C583</t>
        </is>
      </c>
      <c r="B3364" t="inlineStr">
        <is>
          <t>C583</t>
        </is>
      </c>
      <c r="C3364" t="inlineStr">
        <is>
          <t>COMMERCIAL BANKING</t>
        </is>
      </c>
      <c r="D3364" t="inlineStr">
        <is>
          <t>I</t>
        </is>
      </c>
      <c r="E3364" t="inlineStr">
        <is>
          <t>Stage 1</t>
        </is>
      </c>
      <c r="F3364" t="inlineStr">
        <is>
          <t>N/A</t>
        </is>
      </c>
      <c r="G3364" s="26">
        <v>2188838732</v>
      </c>
      <c r="H3364" s="26">
        <v>21888387</v>
      </c>
      <c r="I3364" s="26">
        <v>0</v>
      </c>
      <c r="J3364" s="26">
        <v>246</v>
      </c>
      <c r="K3364" t="inlineStr">
        <is>
          <t>Non</t>
        </is>
      </c>
      <c r="L3364">
        <f>SUBTOTAL(103,A3364)</f>
        <v>1</v>
      </c>
    </row>
    <row r="3365">
      <c r="A3365" t="inlineStr">
        <is>
          <t>SOCIETE C597</t>
        </is>
      </c>
      <c r="B3365" t="inlineStr">
        <is>
          <t>C597</t>
        </is>
      </c>
      <c r="C3365" t="inlineStr">
        <is>
          <t>CORPORATE BANKING</t>
        </is>
      </c>
      <c r="D3365" t="inlineStr">
        <is>
          <t>IA</t>
        </is>
      </c>
      <c r="E3365" t="inlineStr">
        <is>
          <t>Stage 2</t>
        </is>
      </c>
      <c r="F3365" t="inlineStr">
        <is>
          <t>N/A</t>
        </is>
      </c>
      <c r="G3365" s="26">
        <v>3469960</v>
      </c>
      <c r="H3365" s="26">
        <v>208198</v>
      </c>
      <c r="I3365" s="26">
        <v>618864</v>
      </c>
      <c r="J3365" s="26">
        <v>122</v>
      </c>
      <c r="K3365" t="inlineStr">
        <is>
          <t>Non</t>
        </is>
      </c>
      <c r="L3365">
        <f>SUBTOTAL(103,A3365)</f>
        <v>1</v>
      </c>
    </row>
    <row r="3366">
      <c r="A3366" t="inlineStr">
        <is>
          <t>SOCIETE C2182</t>
        </is>
      </c>
      <c r="B3366" t="inlineStr">
        <is>
          <t>C2182</t>
        </is>
      </c>
      <c r="C3366" t="inlineStr">
        <is>
          <t>CONSUMER BANKING</t>
        </is>
      </c>
      <c r="D3366" t="inlineStr">
        <is>
          <t>III</t>
        </is>
      </c>
      <c r="E3366" t="inlineStr">
        <is>
          <t>Stage 3</t>
        </is>
      </c>
      <c r="F3366" t="inlineStr">
        <is>
          <t>N/A</t>
        </is>
      </c>
      <c r="G3366" s="26">
        <v>19932229</v>
      </c>
      <c r="H3366" s="26">
        <v>10962726</v>
      </c>
      <c r="I3366" s="26">
        <v>2385390</v>
      </c>
      <c r="J3366" s="26">
        <v>325</v>
      </c>
      <c r="K3366" t="inlineStr">
        <is>
          <t>Oui</t>
        </is>
      </c>
      <c r="L3366">
        <f>SUBTOTAL(103,A3366)</f>
        <v>1</v>
      </c>
    </row>
    <row r="3367">
      <c r="A3367" t="inlineStr">
        <is>
          <t>SOCIETE C657</t>
        </is>
      </c>
      <c r="B3367" t="inlineStr">
        <is>
          <t>C657</t>
        </is>
      </c>
      <c r="C3367" t="inlineStr">
        <is>
          <t>COMMERCIAL BANKING</t>
        </is>
      </c>
      <c r="D3367" t="inlineStr">
        <is>
          <t>IA</t>
        </is>
      </c>
      <c r="E3367" t="inlineStr">
        <is>
          <t>Stage 2</t>
        </is>
      </c>
      <c r="F3367" t="inlineStr">
        <is>
          <t>N/A</t>
        </is>
      </c>
      <c r="G3367" s="26">
        <v>2593957</v>
      </c>
      <c r="H3367" s="26">
        <v>155637</v>
      </c>
      <c r="I3367" s="26">
        <v>0</v>
      </c>
      <c r="J3367" s="26">
        <v>20</v>
      </c>
      <c r="K3367" t="inlineStr">
        <is>
          <t>Non</t>
        </is>
      </c>
      <c r="L3367">
        <f>SUBTOTAL(103,A3367)</f>
        <v>1</v>
      </c>
    </row>
    <row r="3368">
      <c r="A3368" t="inlineStr">
        <is>
          <t>SOCIETE C1765</t>
        </is>
      </c>
      <c r="B3368" t="inlineStr">
        <is>
          <t>C1765</t>
        </is>
      </c>
      <c r="C3368" t="inlineStr">
        <is>
          <t>SME</t>
        </is>
      </c>
      <c r="D3368" t="inlineStr">
        <is>
          <t>II</t>
        </is>
      </c>
      <c r="E3368" t="inlineStr">
        <is>
          <t>Stage 2</t>
        </is>
      </c>
      <c r="F3368" t="inlineStr">
        <is>
          <t>N/A</t>
        </is>
      </c>
      <c r="G3368" s="26">
        <v>2605180936</v>
      </c>
      <c r="H3368" s="26">
        <v>156310856</v>
      </c>
      <c r="I3368" s="26">
        <v>0</v>
      </c>
      <c r="J3368" s="26">
        <v>60</v>
      </c>
      <c r="K3368" t="inlineStr">
        <is>
          <t>Non</t>
        </is>
      </c>
      <c r="L3368">
        <f>SUBTOTAL(103,A3368)</f>
        <v>1</v>
      </c>
    </row>
    <row r="3369">
      <c r="A3369" t="inlineStr">
        <is>
          <t>SOCIETE C918</t>
        </is>
      </c>
      <c r="B3369" t="inlineStr">
        <is>
          <t>C918</t>
        </is>
      </c>
      <c r="C3369" t="inlineStr">
        <is>
          <t>CORPORATE BANKING</t>
        </is>
      </c>
      <c r="D3369" t="inlineStr">
        <is>
          <t>I</t>
        </is>
      </c>
      <c r="E3369" t="inlineStr">
        <is>
          <t>Stage 1</t>
        </is>
      </c>
      <c r="F3369" t="inlineStr">
        <is>
          <t>N/A</t>
        </is>
      </c>
      <c r="G3369" s="26">
        <v>2165500</v>
      </c>
      <c r="H3369" s="26">
        <v>21655</v>
      </c>
      <c r="I3369" s="26">
        <v>0</v>
      </c>
      <c r="J3369" s="26">
        <v>60</v>
      </c>
      <c r="K3369" t="inlineStr">
        <is>
          <t>Non</t>
        </is>
      </c>
      <c r="L3369">
        <f>SUBTOTAL(103,A3369)</f>
        <v>1</v>
      </c>
    </row>
    <row r="3370">
      <c r="A3370" t="inlineStr">
        <is>
          <t>SOCIETE C1536</t>
        </is>
      </c>
      <c r="B3370" t="inlineStr">
        <is>
          <t>C1536</t>
        </is>
      </c>
      <c r="C3370" t="inlineStr">
        <is>
          <t>CONSUMER BANKING</t>
        </is>
      </c>
      <c r="D3370" t="inlineStr">
        <is>
          <t>V</t>
        </is>
      </c>
      <c r="E3370" t="inlineStr">
        <is>
          <t>Stage 3</t>
        </is>
      </c>
      <c r="F3370" t="inlineStr">
        <is>
          <t>N/A</t>
        </is>
      </c>
      <c r="G3370" s="26">
        <v>94842534</v>
      </c>
      <c r="H3370" s="26">
        <v>52163394</v>
      </c>
      <c r="I3370" s="26">
        <v>0</v>
      </c>
      <c r="J3370" s="26">
        <v>10</v>
      </c>
      <c r="K3370" t="inlineStr">
        <is>
          <t>Oui</t>
        </is>
      </c>
      <c r="L3370">
        <f>SUBTOTAL(103,A3370)</f>
        <v>1</v>
      </c>
    </row>
    <row r="3371">
      <c r="A3371" t="inlineStr">
        <is>
          <t>SOCIETE C21</t>
        </is>
      </c>
      <c r="B3371" t="inlineStr">
        <is>
          <t>C21</t>
        </is>
      </c>
      <c r="C3371" t="inlineStr">
        <is>
          <t>CONSUMER BANKING</t>
        </is>
      </c>
      <c r="D3371" t="inlineStr">
        <is>
          <t>IA</t>
        </is>
      </c>
      <c r="E3371" t="inlineStr">
        <is>
          <t>Stage 2</t>
        </is>
      </c>
      <c r="F3371" t="inlineStr">
        <is>
          <t>N/A</t>
        </is>
      </c>
      <c r="G3371" s="26">
        <v>3298936</v>
      </c>
      <c r="H3371" s="26">
        <v>197936</v>
      </c>
      <c r="I3371" s="26">
        <v>0</v>
      </c>
      <c r="J3371" s="26">
        <v>3</v>
      </c>
      <c r="K3371" t="inlineStr">
        <is>
          <t>Non</t>
        </is>
      </c>
      <c r="L3371">
        <f>SUBTOTAL(103,A3371)</f>
        <v>1</v>
      </c>
    </row>
    <row r="3372">
      <c r="A3372" t="inlineStr">
        <is>
          <t>SOCIETE C215</t>
        </is>
      </c>
      <c r="B3372" t="inlineStr">
        <is>
          <t>C215</t>
        </is>
      </c>
      <c r="C3372" t="inlineStr">
        <is>
          <t>COMMERCIAL BANKING</t>
        </is>
      </c>
      <c r="D3372" t="inlineStr">
        <is>
          <t>III</t>
        </is>
      </c>
      <c r="E3372" t="inlineStr">
        <is>
          <t>Stage 3</t>
        </is>
      </c>
      <c r="F3372" t="inlineStr">
        <is>
          <t>N/A</t>
        </is>
      </c>
      <c r="G3372" s="26">
        <v>23834587</v>
      </c>
      <c r="H3372" s="26">
        <v>13109023</v>
      </c>
      <c r="I3372" s="26">
        <v>3530274</v>
      </c>
      <c r="J3372" s="26">
        <v>26</v>
      </c>
      <c r="K3372" t="inlineStr">
        <is>
          <t>Oui</t>
        </is>
      </c>
      <c r="L3372">
        <f>SUBTOTAL(103,A3372)</f>
        <v>1</v>
      </c>
    </row>
    <row r="3373">
      <c r="A3373" t="inlineStr">
        <is>
          <t>SOCIETE C1368</t>
        </is>
      </c>
      <c r="B3373" t="inlineStr">
        <is>
          <t>C1368</t>
        </is>
      </c>
      <c r="C3373" t="inlineStr">
        <is>
          <t>PUBLIC SECTOR</t>
        </is>
      </c>
      <c r="D3373" t="inlineStr">
        <is>
          <t>I</t>
        </is>
      </c>
      <c r="E3373" t="inlineStr">
        <is>
          <t>Stage 1</t>
        </is>
      </c>
      <c r="F3373" t="inlineStr">
        <is>
          <t>N/A</t>
        </is>
      </c>
      <c r="G3373" s="26">
        <v>1942483</v>
      </c>
      <c r="H3373" s="26">
        <v>19425</v>
      </c>
      <c r="I3373" s="26">
        <v>0</v>
      </c>
      <c r="J3373" s="26">
        <v>159</v>
      </c>
      <c r="K3373" t="inlineStr">
        <is>
          <t>Non</t>
        </is>
      </c>
      <c r="L3373">
        <f>SUBTOTAL(103,A3373)</f>
        <v>1</v>
      </c>
    </row>
    <row r="3374">
      <c r="A3374" t="inlineStr">
        <is>
          <t>SOCIETE C2259</t>
        </is>
      </c>
      <c r="B3374" t="inlineStr">
        <is>
          <t>C2259</t>
        </is>
      </c>
      <c r="C3374" t="inlineStr">
        <is>
          <t>CONSUMER BANKING</t>
        </is>
      </c>
      <c r="D3374" t="inlineStr">
        <is>
          <t>I</t>
        </is>
      </c>
      <c r="E3374" t="inlineStr">
        <is>
          <t>Stage 1</t>
        </is>
      </c>
      <c r="F3374" t="inlineStr">
        <is>
          <t>N/A</t>
        </is>
      </c>
      <c r="G3374" s="26">
        <v>2704457476</v>
      </c>
      <c r="H3374" s="26">
        <v>27044575</v>
      </c>
      <c r="I3374" s="26">
        <v>288886937</v>
      </c>
      <c r="J3374" s="26">
        <v>165</v>
      </c>
      <c r="K3374" t="inlineStr">
        <is>
          <t>Non</t>
        </is>
      </c>
      <c r="L3374">
        <f>SUBTOTAL(103,A3374)</f>
        <v>1</v>
      </c>
    </row>
    <row r="3375">
      <c r="A3375" t="inlineStr">
        <is>
          <t>SOCIETE C1005</t>
        </is>
      </c>
      <c r="B3375" t="inlineStr">
        <is>
          <t>C1005</t>
        </is>
      </c>
      <c r="C3375" t="inlineStr">
        <is>
          <t>COMMERCIAL BANKING</t>
        </is>
      </c>
      <c r="D3375" t="inlineStr">
        <is>
          <t>I</t>
        </is>
      </c>
      <c r="E3375" t="inlineStr">
        <is>
          <t>Stage 1</t>
        </is>
      </c>
      <c r="F3375" t="inlineStr">
        <is>
          <t>N/A</t>
        </is>
      </c>
      <c r="G3375" s="26">
        <v>175612101</v>
      </c>
      <c r="H3375" s="26">
        <v>1756121</v>
      </c>
      <c r="I3375" s="26">
        <v>0</v>
      </c>
      <c r="J3375" s="26">
        <v>302</v>
      </c>
      <c r="K3375" t="inlineStr">
        <is>
          <t>Non</t>
        </is>
      </c>
      <c r="L3375">
        <f>SUBTOTAL(103,A3375)</f>
        <v>1</v>
      </c>
    </row>
    <row r="3376">
      <c r="A3376" t="inlineStr">
        <is>
          <t>SOCIETE C2440</t>
        </is>
      </c>
      <c r="B3376" t="inlineStr">
        <is>
          <t>C2440</t>
        </is>
      </c>
      <c r="C3376" t="inlineStr">
        <is>
          <t>CORPORATE BANKING</t>
        </is>
      </c>
      <c r="D3376" t="inlineStr">
        <is>
          <t>V</t>
        </is>
      </c>
      <c r="E3376" t="inlineStr">
        <is>
          <t>Stage 3</t>
        </is>
      </c>
      <c r="F3376" t="inlineStr">
        <is>
          <t>N/A</t>
        </is>
      </c>
      <c r="G3376" s="26">
        <v>2976954589</v>
      </c>
      <c r="H3376" s="26">
        <v>1637325024</v>
      </c>
      <c r="I3376" s="26">
        <v>0</v>
      </c>
      <c r="J3376" s="26">
        <v>106</v>
      </c>
      <c r="K3376" t="inlineStr">
        <is>
          <t>Oui</t>
        </is>
      </c>
      <c r="L3376">
        <f>SUBTOTAL(103,A3376)</f>
        <v>1</v>
      </c>
    </row>
    <row r="3377">
      <c r="A3377" t="inlineStr">
        <is>
          <t>SOCIETE C597</t>
        </is>
      </c>
      <c r="B3377" t="inlineStr">
        <is>
          <t>C597</t>
        </is>
      </c>
      <c r="C3377" t="inlineStr">
        <is>
          <t>CONSUMER BANKING</t>
        </is>
      </c>
      <c r="D3377" t="inlineStr">
        <is>
          <t>V</t>
        </is>
      </c>
      <c r="E3377" t="inlineStr">
        <is>
          <t>Stage 3</t>
        </is>
      </c>
      <c r="F3377" t="inlineStr">
        <is>
          <t>N/A</t>
        </is>
      </c>
      <c r="G3377" s="26">
        <v>1807657</v>
      </c>
      <c r="H3377" s="26">
        <v>994211</v>
      </c>
      <c r="I3377" s="26">
        <v>110963</v>
      </c>
      <c r="J3377" s="26">
        <v>35</v>
      </c>
      <c r="K3377" t="inlineStr">
        <is>
          <t>Oui</t>
        </is>
      </c>
      <c r="L3377">
        <f>SUBTOTAL(103,A3377)</f>
        <v>1</v>
      </c>
    </row>
    <row r="3378">
      <c r="A3378" t="inlineStr">
        <is>
          <t>SOCIETE C1550</t>
        </is>
      </c>
      <c r="B3378" t="inlineStr">
        <is>
          <t>C1550</t>
        </is>
      </c>
      <c r="C3378" t="inlineStr">
        <is>
          <t>CORPORATE BANKING</t>
        </is>
      </c>
      <c r="D3378" t="inlineStr">
        <is>
          <t>IV</t>
        </is>
      </c>
      <c r="E3378" t="inlineStr">
        <is>
          <t>Stage 3</t>
        </is>
      </c>
      <c r="F3378" t="inlineStr">
        <is>
          <t>N/A</t>
        </is>
      </c>
      <c r="G3378" s="26">
        <v>1153419307</v>
      </c>
      <c r="H3378" s="26">
        <v>634380619</v>
      </c>
      <c r="I3378" s="26">
        <v>0</v>
      </c>
      <c r="J3378" s="26">
        <v>67</v>
      </c>
      <c r="K3378" t="inlineStr">
        <is>
          <t>Oui</t>
        </is>
      </c>
      <c r="L3378">
        <f>SUBTOTAL(103,A3378)</f>
        <v>1</v>
      </c>
    </row>
    <row r="3379">
      <c r="A3379" t="inlineStr">
        <is>
          <t>SOCIETE C1218</t>
        </is>
      </c>
      <c r="B3379" t="inlineStr">
        <is>
          <t>C1218</t>
        </is>
      </c>
      <c r="C3379" t="inlineStr">
        <is>
          <t>SME</t>
        </is>
      </c>
      <c r="D3379" t="inlineStr">
        <is>
          <t>IA</t>
        </is>
      </c>
      <c r="E3379" t="inlineStr">
        <is>
          <t>Stage 2</t>
        </is>
      </c>
      <c r="F3379" t="inlineStr">
        <is>
          <t>N/A</t>
        </is>
      </c>
      <c r="G3379" s="26">
        <v>1123924826</v>
      </c>
      <c r="H3379" s="26">
        <v>67435490</v>
      </c>
      <c r="I3379" s="26">
        <v>0</v>
      </c>
      <c r="J3379" s="26">
        <v>100</v>
      </c>
      <c r="K3379" t="inlineStr">
        <is>
          <t>Non</t>
        </is>
      </c>
      <c r="L3379">
        <f>SUBTOTAL(103,A3379)</f>
        <v>1</v>
      </c>
    </row>
    <row r="3380">
      <c r="A3380" t="inlineStr">
        <is>
          <t>SOCIETE C1726</t>
        </is>
      </c>
      <c r="B3380" t="inlineStr">
        <is>
          <t>C1726</t>
        </is>
      </c>
      <c r="C3380" t="inlineStr">
        <is>
          <t>COMMERCIAL BANKING</t>
        </is>
      </c>
      <c r="D3380" t="inlineStr">
        <is>
          <t>I</t>
        </is>
      </c>
      <c r="E3380" t="inlineStr">
        <is>
          <t>Stage 1</t>
        </is>
      </c>
      <c r="F3380" t="inlineStr">
        <is>
          <t>N/A</t>
        </is>
      </c>
      <c r="G3380" s="26">
        <v>1940895746</v>
      </c>
      <c r="H3380" s="26">
        <v>19408957</v>
      </c>
      <c r="I3380" s="26">
        <v>0</v>
      </c>
      <c r="J3380" s="26">
        <v>98</v>
      </c>
      <c r="K3380" t="inlineStr">
        <is>
          <t>Non</t>
        </is>
      </c>
      <c r="L3380">
        <f>SUBTOTAL(103,A3380)</f>
        <v>1</v>
      </c>
    </row>
    <row r="3381">
      <c r="A3381" t="inlineStr">
        <is>
          <t>SOCIETE C66</t>
        </is>
      </c>
      <c r="B3381" t="inlineStr">
        <is>
          <t>C66</t>
        </is>
      </c>
      <c r="C3381" t="inlineStr">
        <is>
          <t>INSTITUTIONAL</t>
        </is>
      </c>
      <c r="D3381" t="inlineStr">
        <is>
          <t>I</t>
        </is>
      </c>
      <c r="E3381" t="inlineStr">
        <is>
          <t>Stage 1</t>
        </is>
      </c>
      <c r="F3381" t="inlineStr">
        <is>
          <t>N/A</t>
        </is>
      </c>
      <c r="G3381" s="26">
        <v>1725309992</v>
      </c>
      <c r="H3381" s="26">
        <v>17253100</v>
      </c>
      <c r="I3381" s="26">
        <v>0</v>
      </c>
      <c r="J3381" s="26">
        <v>65</v>
      </c>
      <c r="K3381" t="inlineStr">
        <is>
          <t>Non</t>
        </is>
      </c>
      <c r="L3381">
        <f>SUBTOTAL(103,A3381)</f>
        <v>1</v>
      </c>
    </row>
    <row r="3382">
      <c r="A3382" t="inlineStr">
        <is>
          <t>SOCIETE C1614</t>
        </is>
      </c>
      <c r="B3382" t="inlineStr">
        <is>
          <t>C1614</t>
        </is>
      </c>
      <c r="C3382" t="inlineStr">
        <is>
          <t>CORPORATE BANKING</t>
        </is>
      </c>
      <c r="D3382" t="inlineStr">
        <is>
          <t>I</t>
        </is>
      </c>
      <c r="E3382" t="inlineStr">
        <is>
          <t>Stage 1</t>
        </is>
      </c>
      <c r="F3382" t="inlineStr">
        <is>
          <t>N/A</t>
        </is>
      </c>
      <c r="G3382" s="26">
        <v>511187743</v>
      </c>
      <c r="H3382" s="26">
        <v>5111877</v>
      </c>
      <c r="I3382" s="26">
        <v>44763094</v>
      </c>
      <c r="J3382" s="26">
        <v>116</v>
      </c>
      <c r="K3382" t="inlineStr">
        <is>
          <t>Non</t>
        </is>
      </c>
      <c r="L3382">
        <f>SUBTOTAL(103,A3382)</f>
        <v>1</v>
      </c>
    </row>
    <row r="3383">
      <c r="A3383" t="inlineStr">
        <is>
          <t>SOCIETE C2436</t>
        </is>
      </c>
      <c r="B3383" t="inlineStr">
        <is>
          <t>C2436</t>
        </is>
      </c>
      <c r="C3383" t="inlineStr">
        <is>
          <t>PUBLIC SECTOR</t>
        </is>
      </c>
      <c r="D3383" t="inlineStr">
        <is>
          <t>I</t>
        </is>
      </c>
      <c r="E3383" t="inlineStr">
        <is>
          <t>Stage 1</t>
        </is>
      </c>
      <c r="F3383" t="inlineStr">
        <is>
          <t>N/A</t>
        </is>
      </c>
      <c r="G3383" s="26">
        <v>56159187</v>
      </c>
      <c r="H3383" s="26">
        <v>561592</v>
      </c>
      <c r="I3383" s="26">
        <v>2083399</v>
      </c>
      <c r="J3383" s="26">
        <v>65</v>
      </c>
      <c r="K3383" t="inlineStr">
        <is>
          <t>Non</t>
        </is>
      </c>
      <c r="L3383">
        <f>SUBTOTAL(103,A3383)</f>
        <v>1</v>
      </c>
    </row>
    <row r="3384">
      <c r="A3384" t="inlineStr">
        <is>
          <t>SOCIETE C123</t>
        </is>
      </c>
      <c r="B3384" t="inlineStr">
        <is>
          <t>C123</t>
        </is>
      </c>
      <c r="C3384" t="inlineStr">
        <is>
          <t>CORPORATE BANKING</t>
        </is>
      </c>
      <c r="D3384" t="inlineStr">
        <is>
          <t>IV</t>
        </is>
      </c>
      <c r="E3384" t="inlineStr">
        <is>
          <t>Stage 3</t>
        </is>
      </c>
      <c r="F3384" t="inlineStr">
        <is>
          <t>N/A</t>
        </is>
      </c>
      <c r="G3384" s="26">
        <v>441840874</v>
      </c>
      <c r="H3384" s="26">
        <v>243012481</v>
      </c>
      <c r="I3384" s="26">
        <v>13429930</v>
      </c>
      <c r="J3384" s="26">
        <v>5</v>
      </c>
      <c r="K3384" t="inlineStr">
        <is>
          <t>Oui</t>
        </is>
      </c>
      <c r="L3384">
        <f>SUBTOTAL(103,A3384)</f>
        <v>1</v>
      </c>
    </row>
    <row r="3385">
      <c r="A3385" t="inlineStr">
        <is>
          <t>SOCIETE C696</t>
        </is>
      </c>
      <c r="B3385" t="inlineStr">
        <is>
          <t>C696</t>
        </is>
      </c>
      <c r="C3385" t="inlineStr">
        <is>
          <t>CORPORATE BANKING</t>
        </is>
      </c>
      <c r="D3385" t="inlineStr">
        <is>
          <t>I</t>
        </is>
      </c>
      <c r="E3385" t="inlineStr">
        <is>
          <t>Stage 1</t>
        </is>
      </c>
      <c r="F3385" t="inlineStr">
        <is>
          <t>N/A</t>
        </is>
      </c>
      <c r="G3385" s="26">
        <v>1479030647</v>
      </c>
      <c r="H3385" s="26">
        <v>14790306</v>
      </c>
      <c r="I3385" s="26">
        <v>220107943</v>
      </c>
      <c r="J3385" s="26">
        <v>1</v>
      </c>
      <c r="K3385" t="inlineStr">
        <is>
          <t>Non</t>
        </is>
      </c>
      <c r="L3385">
        <f>SUBTOTAL(103,A3385)</f>
        <v>1</v>
      </c>
    </row>
    <row r="3386">
      <c r="A3386" t="inlineStr">
        <is>
          <t>SOCIETE C1897</t>
        </is>
      </c>
      <c r="B3386" t="inlineStr">
        <is>
          <t>C1897</t>
        </is>
      </c>
      <c r="C3386" t="inlineStr">
        <is>
          <t>COMMERCIAL BANKING</t>
        </is>
      </c>
      <c r="D3386" t="inlineStr">
        <is>
          <t>IA</t>
        </is>
      </c>
      <c r="E3386" t="inlineStr">
        <is>
          <t>Stage 2</t>
        </is>
      </c>
      <c r="F3386" t="inlineStr">
        <is>
          <t>N/A</t>
        </is>
      </c>
      <c r="G3386" s="26">
        <v>650072261</v>
      </c>
      <c r="H3386" s="26">
        <v>39004336</v>
      </c>
      <c r="I3386" s="26">
        <v>24904409</v>
      </c>
      <c r="J3386" s="26">
        <v>81</v>
      </c>
      <c r="K3386" t="inlineStr">
        <is>
          <t>Non</t>
        </is>
      </c>
      <c r="L3386">
        <f>SUBTOTAL(103,A3386)</f>
        <v>1</v>
      </c>
    </row>
    <row r="3387">
      <c r="A3387" t="inlineStr">
        <is>
          <t>SOCIETE C299</t>
        </is>
      </c>
      <c r="B3387" t="inlineStr">
        <is>
          <t>C299</t>
        </is>
      </c>
      <c r="C3387" t="inlineStr">
        <is>
          <t>CORPORATE BANKING</t>
        </is>
      </c>
      <c r="D3387" t="inlineStr">
        <is>
          <t>I</t>
        </is>
      </c>
      <c r="E3387" t="inlineStr">
        <is>
          <t>Stage 1</t>
        </is>
      </c>
      <c r="F3387" t="inlineStr">
        <is>
          <t>N/A</t>
        </is>
      </c>
      <c r="G3387" s="26">
        <v>848991218</v>
      </c>
      <c r="H3387" s="26">
        <v>8489912</v>
      </c>
      <c r="I3387" s="26">
        <v>0</v>
      </c>
      <c r="J3387" s="26">
        <v>0</v>
      </c>
      <c r="K3387" t="inlineStr">
        <is>
          <t>Non</t>
        </is>
      </c>
      <c r="L3387">
        <f>SUBTOTAL(103,A3387)</f>
        <v>1</v>
      </c>
    </row>
    <row r="3388">
      <c r="A3388" t="inlineStr">
        <is>
          <t>SOCIETE C1185</t>
        </is>
      </c>
      <c r="B3388" t="inlineStr">
        <is>
          <t>C1185</t>
        </is>
      </c>
      <c r="C3388" t="inlineStr">
        <is>
          <t>PUBLIC SECTOR</t>
        </is>
      </c>
      <c r="D3388" t="inlineStr">
        <is>
          <t>IA</t>
        </is>
      </c>
      <c r="E3388" t="inlineStr">
        <is>
          <t>Stage 2</t>
        </is>
      </c>
      <c r="F3388" t="inlineStr">
        <is>
          <t>N/A</t>
        </is>
      </c>
      <c r="G3388" s="26">
        <v>16086557</v>
      </c>
      <c r="H3388" s="26">
        <v>965193</v>
      </c>
      <c r="I3388" s="26">
        <v>0</v>
      </c>
      <c r="J3388" s="26">
        <v>149</v>
      </c>
      <c r="K3388" t="inlineStr">
        <is>
          <t>Non</t>
        </is>
      </c>
      <c r="L3388">
        <f>SUBTOTAL(103,A3388)</f>
        <v>1</v>
      </c>
    </row>
    <row r="3389">
      <c r="A3389" t="inlineStr">
        <is>
          <t>SOCIETE C2234</t>
        </is>
      </c>
      <c r="B3389" t="inlineStr">
        <is>
          <t>C2234</t>
        </is>
      </c>
      <c r="C3389" t="inlineStr">
        <is>
          <t>PUBLIC SECTOR</t>
        </is>
      </c>
      <c r="D3389" t="inlineStr">
        <is>
          <t>IA</t>
        </is>
      </c>
      <c r="E3389" t="inlineStr">
        <is>
          <t>Stage 2</t>
        </is>
      </c>
      <c r="F3389" t="inlineStr">
        <is>
          <t>N/A</t>
        </is>
      </c>
      <c r="G3389" s="26">
        <v>3676090</v>
      </c>
      <c r="H3389" s="26">
        <v>220565</v>
      </c>
      <c r="I3389" s="26">
        <v>0</v>
      </c>
      <c r="J3389" s="26">
        <v>49</v>
      </c>
      <c r="K3389" t="inlineStr">
        <is>
          <t>Non</t>
        </is>
      </c>
      <c r="L3389">
        <f>SUBTOTAL(103,A3389)</f>
        <v>1</v>
      </c>
    </row>
    <row r="3390">
      <c r="A3390" t="inlineStr">
        <is>
          <t>SOCIETE C1417</t>
        </is>
      </c>
      <c r="B3390" t="inlineStr">
        <is>
          <t>C1417</t>
        </is>
      </c>
      <c r="C3390" t="inlineStr">
        <is>
          <t>SME</t>
        </is>
      </c>
      <c r="D3390" t="inlineStr">
        <is>
          <t>I</t>
        </is>
      </c>
      <c r="E3390" t="inlineStr">
        <is>
          <t>Stage 1</t>
        </is>
      </c>
      <c r="F3390" t="inlineStr">
        <is>
          <t>N/A</t>
        </is>
      </c>
      <c r="G3390" s="26">
        <v>125351442</v>
      </c>
      <c r="H3390" s="26">
        <v>1253514</v>
      </c>
      <c r="I3390" s="26">
        <v>0</v>
      </c>
      <c r="J3390" s="26">
        <v>362</v>
      </c>
      <c r="K3390" t="inlineStr">
        <is>
          <t>Non</t>
        </is>
      </c>
      <c r="L3390">
        <f>SUBTOTAL(103,A3390)</f>
        <v>1</v>
      </c>
    </row>
    <row r="3391">
      <c r="A3391" t="inlineStr">
        <is>
          <t>SOCIETE C874</t>
        </is>
      </c>
      <c r="B3391" t="inlineStr">
        <is>
          <t>C874</t>
        </is>
      </c>
      <c r="C3391" t="inlineStr">
        <is>
          <t>CORPORATE BANKING</t>
        </is>
      </c>
      <c r="D3391" t="inlineStr">
        <is>
          <t>I</t>
        </is>
      </c>
      <c r="E3391" t="inlineStr">
        <is>
          <t>Stage 1</t>
        </is>
      </c>
      <c r="F3391" t="inlineStr">
        <is>
          <t>N/A</t>
        </is>
      </c>
      <c r="G3391" s="26">
        <v>649993238</v>
      </c>
      <c r="H3391" s="26">
        <v>6499932</v>
      </c>
      <c r="I3391" s="26">
        <v>35999542</v>
      </c>
      <c r="J3391" s="26">
        <v>8</v>
      </c>
      <c r="K3391" t="inlineStr">
        <is>
          <t>Non</t>
        </is>
      </c>
      <c r="L3391">
        <f>SUBTOTAL(103,A3391)</f>
        <v>1</v>
      </c>
    </row>
    <row r="3392">
      <c r="A3392" t="inlineStr">
        <is>
          <t>SOCIETE C132</t>
        </is>
      </c>
      <c r="B3392" t="inlineStr">
        <is>
          <t>C132</t>
        </is>
      </c>
      <c r="C3392" t="inlineStr">
        <is>
          <t>PUBLIC SECTOR</t>
        </is>
      </c>
      <c r="D3392" t="inlineStr">
        <is>
          <t>I</t>
        </is>
      </c>
      <c r="E3392" t="inlineStr">
        <is>
          <t>Stage 1</t>
        </is>
      </c>
      <c r="F3392" t="inlineStr">
        <is>
          <t>N/A</t>
        </is>
      </c>
      <c r="G3392" s="26">
        <v>21263945</v>
      </c>
      <c r="H3392" s="26">
        <v>212639</v>
      </c>
      <c r="I3392" s="26">
        <v>0</v>
      </c>
      <c r="J3392" s="26">
        <v>12</v>
      </c>
      <c r="K3392" t="inlineStr">
        <is>
          <t>Non</t>
        </is>
      </c>
      <c r="L3392">
        <f>SUBTOTAL(103,A3392)</f>
        <v>1</v>
      </c>
    </row>
    <row r="3393">
      <c r="A3393" t="inlineStr">
        <is>
          <t>SOCIETE C1743</t>
        </is>
      </c>
      <c r="B3393" t="inlineStr">
        <is>
          <t>C1743</t>
        </is>
      </c>
      <c r="C3393" t="inlineStr">
        <is>
          <t>CORPORATE BANKING</t>
        </is>
      </c>
      <c r="D3393" t="inlineStr">
        <is>
          <t>I</t>
        </is>
      </c>
      <c r="E3393" t="inlineStr">
        <is>
          <t>Stage 1</t>
        </is>
      </c>
      <c r="F3393" t="inlineStr">
        <is>
          <t>N/A</t>
        </is>
      </c>
      <c r="G3393" s="26">
        <v>2691884041</v>
      </c>
      <c r="H3393" s="26">
        <v>26918840</v>
      </c>
      <c r="I3393" s="26">
        <v>0</v>
      </c>
      <c r="J3393" s="26">
        <v>24</v>
      </c>
      <c r="K3393" t="inlineStr">
        <is>
          <t>Non</t>
        </is>
      </c>
      <c r="L3393">
        <f>SUBTOTAL(103,A3393)</f>
        <v>1</v>
      </c>
    </row>
    <row r="3394">
      <c r="A3394" t="inlineStr">
        <is>
          <t>SOCIETE C1133</t>
        </is>
      </c>
      <c r="B3394" t="inlineStr">
        <is>
          <t>C1133</t>
        </is>
      </c>
      <c r="C3394" t="inlineStr">
        <is>
          <t>COMMERCIAL BANKING</t>
        </is>
      </c>
      <c r="D3394" t="inlineStr">
        <is>
          <t>I</t>
        </is>
      </c>
      <c r="E3394" t="inlineStr">
        <is>
          <t>Stage 1</t>
        </is>
      </c>
      <c r="F3394" t="inlineStr">
        <is>
          <t>N/A</t>
        </is>
      </c>
      <c r="G3394" s="26">
        <v>1527715195</v>
      </c>
      <c r="H3394" s="26">
        <v>15277152</v>
      </c>
      <c r="I3394" s="26">
        <v>138789292</v>
      </c>
      <c r="J3394" s="26">
        <v>13</v>
      </c>
      <c r="K3394" t="inlineStr">
        <is>
          <t>Non</t>
        </is>
      </c>
      <c r="L3394">
        <f>SUBTOTAL(103,A3394)</f>
        <v>1</v>
      </c>
    </row>
    <row r="3395">
      <c r="A3395" t="inlineStr">
        <is>
          <t>SOCIETE C204</t>
        </is>
      </c>
      <c r="B3395" t="inlineStr">
        <is>
          <t>C204</t>
        </is>
      </c>
      <c r="C3395" t="inlineStr">
        <is>
          <t>CORPORATE BANKING</t>
        </is>
      </c>
      <c r="D3395" t="inlineStr">
        <is>
          <t>I</t>
        </is>
      </c>
      <c r="E3395" t="inlineStr">
        <is>
          <t>Stage 1</t>
        </is>
      </c>
      <c r="F3395" t="inlineStr">
        <is>
          <t>N/A</t>
        </is>
      </c>
      <c r="G3395" s="26">
        <v>114915882</v>
      </c>
      <c r="H3395" s="26">
        <v>1149159</v>
      </c>
      <c r="I3395" s="26">
        <v>10923850</v>
      </c>
      <c r="J3395" s="26">
        <v>89</v>
      </c>
      <c r="K3395" t="inlineStr">
        <is>
          <t>Non</t>
        </is>
      </c>
      <c r="L3395">
        <f>SUBTOTAL(103,A3395)</f>
        <v>1</v>
      </c>
    </row>
    <row r="3396">
      <c r="A3396" t="inlineStr">
        <is>
          <t>SOCIETE C1293</t>
        </is>
      </c>
      <c r="B3396" t="inlineStr">
        <is>
          <t>C1293</t>
        </is>
      </c>
      <c r="C3396" t="inlineStr">
        <is>
          <t>CORPORATE BANKING</t>
        </is>
      </c>
      <c r="D3396" t="inlineStr">
        <is>
          <t>III</t>
        </is>
      </c>
      <c r="E3396" t="inlineStr">
        <is>
          <t>Stage 3</t>
        </is>
      </c>
      <c r="F3396" t="inlineStr">
        <is>
          <t>N/A</t>
        </is>
      </c>
      <c r="G3396" s="26">
        <v>66585901</v>
      </c>
      <c r="H3396" s="26">
        <v>36622246</v>
      </c>
      <c r="I3396" s="26">
        <v>4973583</v>
      </c>
      <c r="J3396" s="26">
        <v>256</v>
      </c>
      <c r="K3396" t="inlineStr">
        <is>
          <t>Oui</t>
        </is>
      </c>
      <c r="L3396">
        <f>SUBTOTAL(103,A3396)</f>
        <v>1</v>
      </c>
    </row>
    <row r="3397">
      <c r="A3397" t="inlineStr">
        <is>
          <t>SOCIETE C221</t>
        </is>
      </c>
      <c r="B3397" t="inlineStr">
        <is>
          <t>C221</t>
        </is>
      </c>
      <c r="C3397" t="inlineStr">
        <is>
          <t>CORPORATE BANKING</t>
        </is>
      </c>
      <c r="D3397" t="inlineStr">
        <is>
          <t>I</t>
        </is>
      </c>
      <c r="E3397" t="inlineStr">
        <is>
          <t>Stage 1</t>
        </is>
      </c>
      <c r="F3397" t="inlineStr">
        <is>
          <t>N/A</t>
        </is>
      </c>
      <c r="G3397" s="26">
        <v>58432175</v>
      </c>
      <c r="H3397" s="26">
        <v>584322</v>
      </c>
      <c r="I3397" s="26">
        <v>0</v>
      </c>
      <c r="J3397" s="26">
        <v>17</v>
      </c>
      <c r="K3397" t="inlineStr">
        <is>
          <t>Non</t>
        </is>
      </c>
      <c r="L3397">
        <f>SUBTOTAL(103,A3397)</f>
        <v>1</v>
      </c>
    </row>
    <row r="3398">
      <c r="A3398" t="inlineStr">
        <is>
          <t>SOCIETE C545</t>
        </is>
      </c>
      <c r="B3398" t="inlineStr">
        <is>
          <t>C545</t>
        </is>
      </c>
      <c r="C3398" t="inlineStr">
        <is>
          <t>PUBLIC SECTOR</t>
        </is>
      </c>
      <c r="D3398" t="inlineStr">
        <is>
          <t>IA</t>
        </is>
      </c>
      <c r="E3398" t="inlineStr">
        <is>
          <t>Stage 2</t>
        </is>
      </c>
      <c r="F3398" t="inlineStr">
        <is>
          <t>N/A</t>
        </is>
      </c>
      <c r="G3398" s="26">
        <v>1299425869</v>
      </c>
      <c r="H3398" s="26">
        <v>77965552</v>
      </c>
      <c r="I3398" s="26">
        <v>0</v>
      </c>
      <c r="J3398" s="26">
        <v>249</v>
      </c>
      <c r="K3398" t="inlineStr">
        <is>
          <t>Non</t>
        </is>
      </c>
      <c r="L3398">
        <f>SUBTOTAL(103,A3398)</f>
        <v>1</v>
      </c>
    </row>
    <row r="3399">
      <c r="A3399" t="inlineStr">
        <is>
          <t>SOCIETE C619</t>
        </is>
      </c>
      <c r="B3399" t="inlineStr">
        <is>
          <t>C619</t>
        </is>
      </c>
      <c r="C3399" t="inlineStr">
        <is>
          <t>CORPORATE BANKING</t>
        </is>
      </c>
      <c r="D3399" t="inlineStr">
        <is>
          <t>I</t>
        </is>
      </c>
      <c r="E3399" t="inlineStr">
        <is>
          <t>Stage 1</t>
        </is>
      </c>
      <c r="F3399" t="inlineStr">
        <is>
          <t>N/A</t>
        </is>
      </c>
      <c r="G3399" s="26">
        <v>12762782</v>
      </c>
      <c r="H3399" s="26">
        <v>127628</v>
      </c>
      <c r="I3399" s="26">
        <v>72905</v>
      </c>
      <c r="J3399" s="26">
        <v>1</v>
      </c>
      <c r="K3399" t="inlineStr">
        <is>
          <t>Non</t>
        </is>
      </c>
      <c r="L3399">
        <f>SUBTOTAL(103,A3399)</f>
        <v>1</v>
      </c>
    </row>
    <row r="3400">
      <c r="A3400" t="inlineStr">
        <is>
          <t>SOCIETE C1573</t>
        </is>
      </c>
      <c r="B3400" t="inlineStr">
        <is>
          <t>C1573</t>
        </is>
      </c>
      <c r="C3400" t="inlineStr">
        <is>
          <t>CORPORATE BANKING</t>
        </is>
      </c>
      <c r="D3400" t="inlineStr">
        <is>
          <t>IA</t>
        </is>
      </c>
      <c r="E3400" t="inlineStr">
        <is>
          <t>Stage 2</t>
        </is>
      </c>
      <c r="F3400" t="inlineStr">
        <is>
          <t>N/A</t>
        </is>
      </c>
      <c r="G3400" s="26">
        <v>340267565</v>
      </c>
      <c r="H3400" s="26">
        <v>20416054</v>
      </c>
      <c r="I3400" s="26">
        <v>0</v>
      </c>
      <c r="J3400" s="26">
        <v>200</v>
      </c>
      <c r="K3400" t="inlineStr">
        <is>
          <t>Non</t>
        </is>
      </c>
      <c r="L3400">
        <f>SUBTOTAL(103,A3400)</f>
        <v>1</v>
      </c>
    </row>
    <row r="3401">
      <c r="A3401" t="inlineStr">
        <is>
          <t>SOCIETE C18</t>
        </is>
      </c>
      <c r="B3401" t="inlineStr">
        <is>
          <t>C18</t>
        </is>
      </c>
      <c r="C3401" t="inlineStr">
        <is>
          <t>COMMERCIAL BANKING</t>
        </is>
      </c>
      <c r="D3401" t="inlineStr">
        <is>
          <t>I</t>
        </is>
      </c>
      <c r="E3401" t="inlineStr">
        <is>
          <t>Stage 1</t>
        </is>
      </c>
      <c r="F3401" t="inlineStr">
        <is>
          <t>N/A</t>
        </is>
      </c>
      <c r="G3401" s="26">
        <v>1348421</v>
      </c>
      <c r="H3401" s="26">
        <v>13484</v>
      </c>
      <c r="I3401" s="26">
        <v>0</v>
      </c>
      <c r="J3401" s="26">
        <v>74</v>
      </c>
      <c r="K3401" t="inlineStr">
        <is>
          <t>Non</t>
        </is>
      </c>
      <c r="L3401">
        <f>SUBTOTAL(103,A3401)</f>
        <v>1</v>
      </c>
    </row>
    <row r="3402">
      <c r="A3402" t="inlineStr">
        <is>
          <t>SOCIETE C460</t>
        </is>
      </c>
      <c r="B3402" t="inlineStr">
        <is>
          <t>C460</t>
        </is>
      </c>
      <c r="C3402" t="inlineStr">
        <is>
          <t>COMMERCIAL BANKING</t>
        </is>
      </c>
      <c r="D3402" t="inlineStr">
        <is>
          <t>I</t>
        </is>
      </c>
      <c r="E3402" t="inlineStr">
        <is>
          <t>Stage 1</t>
        </is>
      </c>
      <c r="F3402" t="inlineStr">
        <is>
          <t>N/A</t>
        </is>
      </c>
      <c r="G3402" s="26">
        <v>2878568910</v>
      </c>
      <c r="H3402" s="26">
        <v>28785689</v>
      </c>
      <c r="I3402" s="26">
        <v>0</v>
      </c>
      <c r="J3402" s="26">
        <v>169</v>
      </c>
      <c r="K3402" t="inlineStr">
        <is>
          <t>Non</t>
        </is>
      </c>
      <c r="L3402">
        <f>SUBTOTAL(103,A3402)</f>
        <v>1</v>
      </c>
    </row>
    <row r="3403">
      <c r="A3403" t="inlineStr">
        <is>
          <t>SOCIETE C599</t>
        </is>
      </c>
      <c r="B3403" t="inlineStr">
        <is>
          <t>C599</t>
        </is>
      </c>
      <c r="C3403" t="inlineStr">
        <is>
          <t>CORPORATE BANKING</t>
        </is>
      </c>
      <c r="D3403" t="inlineStr">
        <is>
          <t>I</t>
        </is>
      </c>
      <c r="E3403" t="inlineStr">
        <is>
          <t>Stage 1</t>
        </is>
      </c>
      <c r="F3403" t="inlineStr">
        <is>
          <t>N/A</t>
        </is>
      </c>
      <c r="G3403" s="26">
        <v>1573489510</v>
      </c>
      <c r="H3403" s="26">
        <v>15734895</v>
      </c>
      <c r="I3403" s="26">
        <v>193308075</v>
      </c>
      <c r="J3403" s="26">
        <v>349</v>
      </c>
      <c r="K3403" t="inlineStr">
        <is>
          <t>Non</t>
        </is>
      </c>
      <c r="L3403">
        <f>SUBTOTAL(103,A3403)</f>
        <v>1</v>
      </c>
    </row>
    <row r="3404">
      <c r="A3404" t="inlineStr">
        <is>
          <t>SOCIETE C2262</t>
        </is>
      </c>
      <c r="B3404" t="inlineStr">
        <is>
          <t>C2262</t>
        </is>
      </c>
      <c r="C3404" t="inlineStr">
        <is>
          <t>CONSUMER BANKING</t>
        </is>
      </c>
      <c r="D3404" t="inlineStr">
        <is>
          <t>I</t>
        </is>
      </c>
      <c r="E3404" t="inlineStr">
        <is>
          <t>Stage 1</t>
        </is>
      </c>
      <c r="F3404" t="inlineStr">
        <is>
          <t>N/A</t>
        </is>
      </c>
      <c r="G3404" s="26">
        <v>1006098</v>
      </c>
      <c r="H3404" s="26">
        <v>10061</v>
      </c>
      <c r="I3404" s="26">
        <v>0</v>
      </c>
      <c r="J3404" s="26">
        <v>65</v>
      </c>
      <c r="K3404" t="inlineStr">
        <is>
          <t>Non</t>
        </is>
      </c>
      <c r="L3404">
        <f>SUBTOTAL(103,A3404)</f>
        <v>1</v>
      </c>
    </row>
    <row r="3405">
      <c r="A3405" t="inlineStr">
        <is>
          <t>SOCIETE C1991</t>
        </is>
      </c>
      <c r="B3405" t="inlineStr">
        <is>
          <t>C1991</t>
        </is>
      </c>
      <c r="C3405" t="inlineStr">
        <is>
          <t>COMMERCIAL BANKING</t>
        </is>
      </c>
      <c r="D3405" t="inlineStr">
        <is>
          <t>IA</t>
        </is>
      </c>
      <c r="E3405" t="inlineStr">
        <is>
          <t>Stage 2</t>
        </is>
      </c>
      <c r="F3405" t="inlineStr">
        <is>
          <t>N/A</t>
        </is>
      </c>
      <c r="G3405" s="26">
        <v>112317292</v>
      </c>
      <c r="H3405" s="26">
        <v>6739038</v>
      </c>
      <c r="I3405" s="26">
        <v>0</v>
      </c>
      <c r="J3405" s="26">
        <v>9</v>
      </c>
      <c r="K3405" t="inlineStr">
        <is>
          <t>Non</t>
        </is>
      </c>
      <c r="L3405">
        <f>SUBTOTAL(103,A3405)</f>
        <v>1</v>
      </c>
    </row>
    <row r="3406">
      <c r="A3406" t="inlineStr">
        <is>
          <t>SOCIETE C154</t>
        </is>
      </c>
      <c r="B3406" t="inlineStr">
        <is>
          <t>C154</t>
        </is>
      </c>
      <c r="C3406" t="inlineStr">
        <is>
          <t>COMMERCIAL BANKING</t>
        </is>
      </c>
      <c r="D3406" t="inlineStr">
        <is>
          <t>I</t>
        </is>
      </c>
      <c r="E3406" t="inlineStr">
        <is>
          <t>Stage 1</t>
        </is>
      </c>
      <c r="F3406" t="inlineStr">
        <is>
          <t>N/A</t>
        </is>
      </c>
      <c r="G3406" s="26">
        <v>1206740</v>
      </c>
      <c r="H3406" s="26">
        <v>12067</v>
      </c>
      <c r="I3406" s="26">
        <v>0</v>
      </c>
      <c r="J3406" s="26">
        <v>112</v>
      </c>
      <c r="K3406" t="inlineStr">
        <is>
          <t>Non</t>
        </is>
      </c>
      <c r="L3406">
        <f>SUBTOTAL(103,A3406)</f>
        <v>1</v>
      </c>
    </row>
    <row r="3407">
      <c r="A3407" t="inlineStr">
        <is>
          <t>SOCIETE C1746</t>
        </is>
      </c>
      <c r="B3407" t="inlineStr">
        <is>
          <t>C1746</t>
        </is>
      </c>
      <c r="C3407" t="inlineStr">
        <is>
          <t>CONSUMER BANKING</t>
        </is>
      </c>
      <c r="D3407" t="inlineStr">
        <is>
          <t>IA</t>
        </is>
      </c>
      <c r="E3407" t="inlineStr">
        <is>
          <t>Stage 2</t>
        </is>
      </c>
      <c r="F3407" t="inlineStr">
        <is>
          <t>N/A</t>
        </is>
      </c>
      <c r="G3407" s="26">
        <v>40709189</v>
      </c>
      <c r="H3407" s="26">
        <v>2442551</v>
      </c>
      <c r="I3407" s="26">
        <v>0</v>
      </c>
      <c r="J3407" s="26">
        <v>58</v>
      </c>
      <c r="K3407" t="inlineStr">
        <is>
          <t>Non</t>
        </is>
      </c>
      <c r="L3407">
        <f>SUBTOTAL(103,A3407)</f>
        <v>1</v>
      </c>
    </row>
    <row r="3408">
      <c r="A3408" t="inlineStr">
        <is>
          <t>SOCIETE C904</t>
        </is>
      </c>
      <c r="B3408" t="inlineStr">
        <is>
          <t>C904</t>
        </is>
      </c>
      <c r="C3408" t="inlineStr">
        <is>
          <t>CORPORATE BANKING</t>
        </is>
      </c>
      <c r="D3408" t="inlineStr">
        <is>
          <t>I</t>
        </is>
      </c>
      <c r="E3408" t="inlineStr">
        <is>
          <t>Stage 1</t>
        </is>
      </c>
      <c r="F3408" t="inlineStr">
        <is>
          <t>N/A</t>
        </is>
      </c>
      <c r="G3408" s="26">
        <v>1093573844</v>
      </c>
      <c r="H3408" s="26">
        <v>10935738</v>
      </c>
      <c r="I3408" s="26">
        <v>0</v>
      </c>
      <c r="J3408" s="26">
        <v>332</v>
      </c>
      <c r="K3408" t="inlineStr">
        <is>
          <t>Non</t>
        </is>
      </c>
      <c r="L3408">
        <f>SUBTOTAL(103,A3408)</f>
        <v>1</v>
      </c>
    </row>
    <row r="3409">
      <c r="A3409" t="inlineStr">
        <is>
          <t>SOCIETE C603</t>
        </is>
      </c>
      <c r="B3409" t="inlineStr">
        <is>
          <t>C603</t>
        </is>
      </c>
      <c r="C3409" t="inlineStr">
        <is>
          <t>CORPORATE BANKING</t>
        </is>
      </c>
      <c r="D3409" t="inlineStr">
        <is>
          <t>I</t>
        </is>
      </c>
      <c r="E3409" t="inlineStr">
        <is>
          <t>Stage 1</t>
        </is>
      </c>
      <c r="F3409" t="inlineStr">
        <is>
          <t>N/A</t>
        </is>
      </c>
      <c r="G3409" s="26">
        <v>1310494563</v>
      </c>
      <c r="H3409" s="26">
        <v>13104946</v>
      </c>
      <c r="I3409" s="26">
        <v>0</v>
      </c>
      <c r="J3409" s="26">
        <v>142</v>
      </c>
      <c r="K3409" t="inlineStr">
        <is>
          <t>Non</t>
        </is>
      </c>
      <c r="L3409">
        <f>SUBTOTAL(103,A3409)</f>
        <v>1</v>
      </c>
    </row>
    <row r="3410">
      <c r="A3410" t="inlineStr">
        <is>
          <t>SOCIETE C541</t>
        </is>
      </c>
      <c r="B3410" t="inlineStr">
        <is>
          <t>C541</t>
        </is>
      </c>
      <c r="C3410" t="inlineStr">
        <is>
          <t>CORPORATE BANKING</t>
        </is>
      </c>
      <c r="D3410" t="inlineStr">
        <is>
          <t>III</t>
        </is>
      </c>
      <c r="E3410" t="inlineStr">
        <is>
          <t>Stage 3</t>
        </is>
      </c>
      <c r="F3410" t="inlineStr">
        <is>
          <t>N/A</t>
        </is>
      </c>
      <c r="G3410" s="26">
        <v>9958049</v>
      </c>
      <c r="H3410" s="26">
        <v>5476927</v>
      </c>
      <c r="I3410" s="26">
        <v>0</v>
      </c>
      <c r="J3410" s="26">
        <v>172</v>
      </c>
      <c r="K3410" t="inlineStr">
        <is>
          <t>Oui</t>
        </is>
      </c>
      <c r="L3410">
        <f>SUBTOTAL(103,A3410)</f>
        <v>1</v>
      </c>
    </row>
    <row r="3411">
      <c r="A3411" t="inlineStr">
        <is>
          <t>SOCIETE C628</t>
        </is>
      </c>
      <c r="B3411" t="inlineStr">
        <is>
          <t>C628</t>
        </is>
      </c>
      <c r="C3411" t="inlineStr">
        <is>
          <t>CORPORATE BANKING</t>
        </is>
      </c>
      <c r="D3411" t="inlineStr">
        <is>
          <t>V</t>
        </is>
      </c>
      <c r="E3411" t="inlineStr">
        <is>
          <t>Stage 3</t>
        </is>
      </c>
      <c r="F3411" t="inlineStr">
        <is>
          <t>N/A</t>
        </is>
      </c>
      <c r="G3411" s="26">
        <v>73190575</v>
      </c>
      <c r="H3411" s="26">
        <v>40254816</v>
      </c>
      <c r="I3411" s="26">
        <v>0</v>
      </c>
      <c r="J3411" s="26">
        <v>201</v>
      </c>
      <c r="K3411" t="inlineStr">
        <is>
          <t>Oui</t>
        </is>
      </c>
      <c r="L3411">
        <f>SUBTOTAL(103,A3411)</f>
        <v>1</v>
      </c>
    </row>
    <row r="3412">
      <c r="A3412" t="inlineStr">
        <is>
          <t>SOCIETE C800</t>
        </is>
      </c>
      <c r="B3412" t="inlineStr">
        <is>
          <t>C800</t>
        </is>
      </c>
      <c r="C3412" t="inlineStr">
        <is>
          <t>COMMERCIAL BANKING</t>
        </is>
      </c>
      <c r="D3412" t="inlineStr">
        <is>
          <t>IV</t>
        </is>
      </c>
      <c r="E3412" t="inlineStr">
        <is>
          <t>Stage 3</t>
        </is>
      </c>
      <c r="F3412" t="inlineStr">
        <is>
          <t>N/A</t>
        </is>
      </c>
      <c r="G3412" s="26">
        <v>494231044</v>
      </c>
      <c r="H3412" s="26">
        <v>271827074</v>
      </c>
      <c r="I3412" s="26">
        <v>0</v>
      </c>
      <c r="J3412" s="26">
        <v>4</v>
      </c>
      <c r="K3412" t="inlineStr">
        <is>
          <t>Oui</t>
        </is>
      </c>
      <c r="L3412">
        <f>SUBTOTAL(103,A3412)</f>
        <v>1</v>
      </c>
    </row>
    <row r="3413">
      <c r="A3413" t="inlineStr">
        <is>
          <t>SOCIETE C1263</t>
        </is>
      </c>
      <c r="B3413" t="inlineStr">
        <is>
          <t>C1263</t>
        </is>
      </c>
      <c r="C3413" t="inlineStr">
        <is>
          <t>CORPORATE BANKING</t>
        </is>
      </c>
      <c r="D3413" t="inlineStr">
        <is>
          <t>V</t>
        </is>
      </c>
      <c r="E3413" t="inlineStr">
        <is>
          <t>Stage 3</t>
        </is>
      </c>
      <c r="F3413" t="inlineStr">
        <is>
          <t>N/A</t>
        </is>
      </c>
      <c r="G3413" s="26">
        <v>4609048</v>
      </c>
      <c r="H3413" s="26">
        <v>2534977</v>
      </c>
      <c r="I3413" s="26">
        <v>917981</v>
      </c>
      <c r="J3413" s="26">
        <v>46</v>
      </c>
      <c r="K3413" t="inlineStr">
        <is>
          <t>Oui</t>
        </is>
      </c>
      <c r="L3413">
        <f>SUBTOTAL(103,A3413)</f>
        <v>1</v>
      </c>
    </row>
    <row r="3414">
      <c r="A3414" t="inlineStr">
        <is>
          <t>SOCIETE C1012</t>
        </is>
      </c>
      <c r="B3414" t="inlineStr">
        <is>
          <t>C1012</t>
        </is>
      </c>
      <c r="C3414" t="inlineStr">
        <is>
          <t>CORPORATE BANKING</t>
        </is>
      </c>
      <c r="D3414" t="inlineStr">
        <is>
          <t>I</t>
        </is>
      </c>
      <c r="E3414" t="inlineStr">
        <is>
          <t>Stage 1</t>
        </is>
      </c>
      <c r="F3414" t="inlineStr">
        <is>
          <t>N/A</t>
        </is>
      </c>
      <c r="G3414" s="26">
        <v>3503822</v>
      </c>
      <c r="H3414" s="26">
        <v>35038</v>
      </c>
      <c r="I3414" s="26">
        <v>0</v>
      </c>
      <c r="J3414" s="26">
        <v>20</v>
      </c>
      <c r="K3414" t="inlineStr">
        <is>
          <t>Non</t>
        </is>
      </c>
      <c r="L3414">
        <f>SUBTOTAL(103,A3414)</f>
        <v>1</v>
      </c>
    </row>
    <row r="3415">
      <c r="A3415" t="inlineStr">
        <is>
          <t>SOCIETE C2390</t>
        </is>
      </c>
      <c r="B3415" t="inlineStr">
        <is>
          <t>C2390</t>
        </is>
      </c>
      <c r="C3415" t="inlineStr">
        <is>
          <t>CORPORATE BANKING</t>
        </is>
      </c>
      <c r="D3415" t="inlineStr">
        <is>
          <t>III</t>
        </is>
      </c>
      <c r="E3415" t="inlineStr">
        <is>
          <t>Stage 3</t>
        </is>
      </c>
      <c r="F3415" t="inlineStr">
        <is>
          <t>N/A</t>
        </is>
      </c>
      <c r="G3415" s="26">
        <v>43852719</v>
      </c>
      <c r="H3415" s="26">
        <v>24118996</v>
      </c>
      <c r="I3415" s="26">
        <v>6927768</v>
      </c>
      <c r="J3415" s="26">
        <v>192</v>
      </c>
      <c r="K3415" t="inlineStr">
        <is>
          <t>Oui</t>
        </is>
      </c>
      <c r="L3415">
        <f>SUBTOTAL(103,A3415)</f>
        <v>1</v>
      </c>
    </row>
    <row r="3416">
      <c r="A3416" t="inlineStr">
        <is>
          <t>SOCIETE C1831</t>
        </is>
      </c>
      <c r="B3416" t="inlineStr">
        <is>
          <t>C1831</t>
        </is>
      </c>
      <c r="C3416" t="inlineStr">
        <is>
          <t>COMMERCIAL BANKING</t>
        </is>
      </c>
      <c r="D3416" t="inlineStr">
        <is>
          <t>II</t>
        </is>
      </c>
      <c r="E3416" t="inlineStr">
        <is>
          <t>Stage 2</t>
        </is>
      </c>
      <c r="F3416" t="inlineStr">
        <is>
          <t>N/A</t>
        </is>
      </c>
      <c r="G3416" s="26">
        <v>871000323</v>
      </c>
      <c r="H3416" s="26">
        <v>52260019</v>
      </c>
      <c r="I3416" s="26">
        <v>14150391</v>
      </c>
      <c r="J3416" s="26">
        <v>1</v>
      </c>
      <c r="K3416" t="inlineStr">
        <is>
          <t>Non</t>
        </is>
      </c>
      <c r="L3416">
        <f>SUBTOTAL(103,A3416)</f>
        <v>1</v>
      </c>
    </row>
    <row r="3417">
      <c r="A3417" t="inlineStr">
        <is>
          <t>SOCIETE C683</t>
        </is>
      </c>
      <c r="B3417" t="inlineStr">
        <is>
          <t>C683</t>
        </is>
      </c>
      <c r="C3417" t="inlineStr">
        <is>
          <t>CONSUMER BANKING</t>
        </is>
      </c>
      <c r="D3417" t="inlineStr">
        <is>
          <t>I</t>
        </is>
      </c>
      <c r="E3417" t="inlineStr">
        <is>
          <t>Stage 1</t>
        </is>
      </c>
      <c r="F3417" t="inlineStr">
        <is>
          <t>N/A</t>
        </is>
      </c>
      <c r="G3417" s="26">
        <v>17392532</v>
      </c>
      <c r="H3417" s="26">
        <v>173925</v>
      </c>
      <c r="I3417" s="26">
        <v>0</v>
      </c>
      <c r="J3417" s="26">
        <v>25</v>
      </c>
      <c r="K3417" t="inlineStr">
        <is>
          <t>Non</t>
        </is>
      </c>
      <c r="L3417">
        <f>SUBTOTAL(103,A3417)</f>
        <v>1</v>
      </c>
    </row>
    <row r="3418">
      <c r="A3418" t="inlineStr">
        <is>
          <t>SOCIETE C2323</t>
        </is>
      </c>
      <c r="B3418" t="inlineStr">
        <is>
          <t>C2323</t>
        </is>
      </c>
      <c r="C3418" t="inlineStr">
        <is>
          <t>CORPORATE BANKING</t>
        </is>
      </c>
      <c r="D3418" t="inlineStr">
        <is>
          <t>III</t>
        </is>
      </c>
      <c r="E3418" t="inlineStr">
        <is>
          <t>Stage 3</t>
        </is>
      </c>
      <c r="F3418" t="inlineStr">
        <is>
          <t>N/A</t>
        </is>
      </c>
      <c r="G3418" s="26">
        <v>176783061</v>
      </c>
      <c r="H3418" s="26">
        <v>97230683</v>
      </c>
      <c r="I3418" s="26">
        <v>32551715</v>
      </c>
      <c r="J3418" s="26">
        <v>84</v>
      </c>
      <c r="K3418" t="inlineStr">
        <is>
          <t>Oui</t>
        </is>
      </c>
      <c r="L3418">
        <f>SUBTOTAL(103,A3418)</f>
        <v>1</v>
      </c>
    </row>
    <row r="3419">
      <c r="A3419" t="inlineStr">
        <is>
          <t>SOCIETE C2009</t>
        </is>
      </c>
      <c r="B3419" t="inlineStr">
        <is>
          <t>C2009</t>
        </is>
      </c>
      <c r="C3419" t="inlineStr">
        <is>
          <t>CORPORATE BANKING</t>
        </is>
      </c>
      <c r="D3419" t="inlineStr">
        <is>
          <t>III</t>
        </is>
      </c>
      <c r="E3419" t="inlineStr">
        <is>
          <t>Stage 3</t>
        </is>
      </c>
      <c r="F3419" t="inlineStr">
        <is>
          <t>N/A</t>
        </is>
      </c>
      <c r="G3419" s="26">
        <v>1000043</v>
      </c>
      <c r="H3419" s="26">
        <v>550024</v>
      </c>
      <c r="I3419" s="26">
        <v>37293</v>
      </c>
      <c r="J3419" s="26">
        <v>38</v>
      </c>
      <c r="K3419" t="inlineStr">
        <is>
          <t>Oui</t>
        </is>
      </c>
      <c r="L3419">
        <f>SUBTOTAL(103,A3419)</f>
        <v>1</v>
      </c>
    </row>
    <row r="3420">
      <c r="A3420" t="inlineStr">
        <is>
          <t>SOCIETE C134</t>
        </is>
      </c>
      <c r="B3420" t="inlineStr">
        <is>
          <t>C134</t>
        </is>
      </c>
      <c r="C3420" t="inlineStr">
        <is>
          <t>CORPORATE BANKING</t>
        </is>
      </c>
      <c r="D3420" t="inlineStr">
        <is>
          <t>I</t>
        </is>
      </c>
      <c r="E3420" t="inlineStr">
        <is>
          <t>Stage 1</t>
        </is>
      </c>
      <c r="F3420" t="inlineStr">
        <is>
          <t>N/A</t>
        </is>
      </c>
      <c r="G3420" s="26">
        <v>1327146042</v>
      </c>
      <c r="H3420" s="26">
        <v>13271460</v>
      </c>
      <c r="I3420" s="26">
        <v>32771235</v>
      </c>
      <c r="J3420" s="26">
        <v>23</v>
      </c>
      <c r="K3420" t="inlineStr">
        <is>
          <t>Non</t>
        </is>
      </c>
      <c r="L3420">
        <f>SUBTOTAL(103,A3420)</f>
        <v>1</v>
      </c>
    </row>
    <row r="3421">
      <c r="A3421" t="inlineStr">
        <is>
          <t>SOCIETE C1431</t>
        </is>
      </c>
      <c r="B3421" t="inlineStr">
        <is>
          <t>C1431</t>
        </is>
      </c>
      <c r="C3421" t="inlineStr">
        <is>
          <t>COMMERCIAL BANKING</t>
        </is>
      </c>
      <c r="D3421" t="inlineStr">
        <is>
          <t>I</t>
        </is>
      </c>
      <c r="E3421" t="inlineStr">
        <is>
          <t>Stage 1</t>
        </is>
      </c>
      <c r="F3421" t="inlineStr">
        <is>
          <t>N/A</t>
        </is>
      </c>
      <c r="G3421" s="26">
        <v>331077832</v>
      </c>
      <c r="H3421" s="26">
        <v>3310778</v>
      </c>
      <c r="I3421" s="26">
        <v>0</v>
      </c>
      <c r="J3421" s="26">
        <v>35</v>
      </c>
      <c r="K3421" t="inlineStr">
        <is>
          <t>Non</t>
        </is>
      </c>
      <c r="L3421">
        <f>SUBTOTAL(103,A3421)</f>
        <v>1</v>
      </c>
    </row>
    <row r="3422">
      <c r="A3422" t="inlineStr">
        <is>
          <t>SOCIETE C309</t>
        </is>
      </c>
      <c r="B3422" t="inlineStr">
        <is>
          <t>C309</t>
        </is>
      </c>
      <c r="C3422" t="inlineStr">
        <is>
          <t>CORPORATE BANKING</t>
        </is>
      </c>
      <c r="D3422" t="inlineStr">
        <is>
          <t>I</t>
        </is>
      </c>
      <c r="E3422" t="inlineStr">
        <is>
          <t>Stage 1</t>
        </is>
      </c>
      <c r="F3422" t="inlineStr">
        <is>
          <t>N/A</t>
        </is>
      </c>
      <c r="G3422" s="26">
        <v>97174651</v>
      </c>
      <c r="H3422" s="26">
        <v>971747</v>
      </c>
      <c r="I3422" s="26">
        <v>0</v>
      </c>
      <c r="J3422" s="26">
        <v>96</v>
      </c>
      <c r="K3422" t="inlineStr">
        <is>
          <t>Non</t>
        </is>
      </c>
      <c r="L3422">
        <f>SUBTOTAL(103,A3422)</f>
        <v>1</v>
      </c>
    </row>
    <row r="3423">
      <c r="A3423" t="inlineStr">
        <is>
          <t>SOCIETE C1249</t>
        </is>
      </c>
      <c r="B3423" t="inlineStr">
        <is>
          <t>C1249</t>
        </is>
      </c>
      <c r="C3423" t="inlineStr">
        <is>
          <t>CORPORATE BANKING</t>
        </is>
      </c>
      <c r="D3423" t="inlineStr">
        <is>
          <t>IV</t>
        </is>
      </c>
      <c r="E3423" t="inlineStr">
        <is>
          <t>Stage 3</t>
        </is>
      </c>
      <c r="F3423" t="inlineStr">
        <is>
          <t>N/A</t>
        </is>
      </c>
      <c r="G3423" s="26">
        <v>959415966</v>
      </c>
      <c r="H3423" s="26">
        <v>527678781</v>
      </c>
      <c r="I3423" s="26">
        <v>86743686</v>
      </c>
      <c r="J3423" s="26">
        <v>109</v>
      </c>
      <c r="K3423" t="inlineStr">
        <is>
          <t>Oui</t>
        </is>
      </c>
      <c r="L3423">
        <f>SUBTOTAL(103,A3423)</f>
        <v>1</v>
      </c>
    </row>
    <row r="3424">
      <c r="A3424" t="inlineStr">
        <is>
          <t>SOCIETE C1766</t>
        </is>
      </c>
      <c r="B3424" t="inlineStr">
        <is>
          <t>C1766</t>
        </is>
      </c>
      <c r="C3424" t="inlineStr">
        <is>
          <t>CONSUMER BANKING</t>
        </is>
      </c>
      <c r="D3424" t="inlineStr">
        <is>
          <t>III</t>
        </is>
      </c>
      <c r="E3424" t="inlineStr">
        <is>
          <t>Stage 3</t>
        </is>
      </c>
      <c r="F3424" t="inlineStr">
        <is>
          <t>N/A</t>
        </is>
      </c>
      <c r="G3424" s="26">
        <v>772010657</v>
      </c>
      <c r="H3424" s="26">
        <v>424605861</v>
      </c>
      <c r="I3424" s="26">
        <v>0</v>
      </c>
      <c r="J3424" s="26">
        <v>156</v>
      </c>
      <c r="K3424" t="inlineStr">
        <is>
          <t>Oui</t>
        </is>
      </c>
      <c r="L3424">
        <f>SUBTOTAL(103,A3424)</f>
        <v>1</v>
      </c>
    </row>
    <row r="3425">
      <c r="A3425" t="inlineStr">
        <is>
          <t>SOCIETE C2184</t>
        </is>
      </c>
      <c r="B3425" t="inlineStr">
        <is>
          <t>C2184</t>
        </is>
      </c>
      <c r="C3425" t="inlineStr">
        <is>
          <t>CONSUMER BANKING</t>
        </is>
      </c>
      <c r="D3425" t="inlineStr">
        <is>
          <t>V</t>
        </is>
      </c>
      <c r="E3425" t="inlineStr">
        <is>
          <t>Stage 3</t>
        </is>
      </c>
      <c r="F3425" t="inlineStr">
        <is>
          <t>N/A</t>
        </is>
      </c>
      <c r="G3425" s="26">
        <v>1634355847</v>
      </c>
      <c r="H3425" s="26">
        <v>898895716</v>
      </c>
      <c r="I3425" s="26">
        <v>24503984</v>
      </c>
      <c r="J3425" s="26">
        <v>254</v>
      </c>
      <c r="K3425" t="inlineStr">
        <is>
          <t>Oui</t>
        </is>
      </c>
      <c r="L3425">
        <f>SUBTOTAL(103,A3425)</f>
        <v>1</v>
      </c>
    </row>
    <row r="3426">
      <c r="A3426" t="inlineStr">
        <is>
          <t>SOCIETE C577</t>
        </is>
      </c>
      <c r="B3426" t="inlineStr">
        <is>
          <t>C577</t>
        </is>
      </c>
      <c r="C3426" t="inlineStr">
        <is>
          <t>CORPORATE BANKING</t>
        </is>
      </c>
      <c r="D3426" t="inlineStr">
        <is>
          <t>IA</t>
        </is>
      </c>
      <c r="E3426" t="inlineStr">
        <is>
          <t>Stage 2</t>
        </is>
      </c>
      <c r="F3426" t="inlineStr">
        <is>
          <t>N/A</t>
        </is>
      </c>
      <c r="G3426" s="26">
        <v>531434864</v>
      </c>
      <c r="H3426" s="26">
        <v>31886092</v>
      </c>
      <c r="I3426" s="26">
        <v>45944926</v>
      </c>
      <c r="J3426" s="26">
        <v>68</v>
      </c>
      <c r="K3426" t="inlineStr">
        <is>
          <t>Non</t>
        </is>
      </c>
      <c r="L3426">
        <f>SUBTOTAL(103,A3426)</f>
        <v>1</v>
      </c>
    </row>
    <row r="3427">
      <c r="A3427" t="inlineStr">
        <is>
          <t>SOCIETE C649</t>
        </is>
      </c>
      <c r="B3427" t="inlineStr">
        <is>
          <t>C649</t>
        </is>
      </c>
      <c r="C3427" t="inlineStr">
        <is>
          <t>CORPORATE BANKING</t>
        </is>
      </c>
      <c r="D3427" t="inlineStr">
        <is>
          <t>III</t>
        </is>
      </c>
      <c r="E3427" t="inlineStr">
        <is>
          <t>Stage 3</t>
        </is>
      </c>
      <c r="F3427" t="inlineStr">
        <is>
          <t>N/A</t>
        </is>
      </c>
      <c r="G3427" s="26">
        <v>247454070</v>
      </c>
      <c r="H3427" s="26">
        <v>136099738</v>
      </c>
      <c r="I3427" s="26">
        <v>0</v>
      </c>
      <c r="J3427" s="26">
        <v>50</v>
      </c>
      <c r="K3427" t="inlineStr">
        <is>
          <t>Oui</t>
        </is>
      </c>
      <c r="L3427">
        <f>SUBTOTAL(103,A3427)</f>
        <v>1</v>
      </c>
    </row>
    <row r="3428">
      <c r="A3428" t="inlineStr">
        <is>
          <t>SOCIETE C476</t>
        </is>
      </c>
      <c r="B3428" t="inlineStr">
        <is>
          <t>C476</t>
        </is>
      </c>
      <c r="C3428" t="inlineStr">
        <is>
          <t>COMMERCIAL BANKING</t>
        </is>
      </c>
      <c r="D3428" t="inlineStr">
        <is>
          <t>IV</t>
        </is>
      </c>
      <c r="E3428" t="inlineStr">
        <is>
          <t>Stage 3</t>
        </is>
      </c>
      <c r="F3428" t="inlineStr">
        <is>
          <t>N/A</t>
        </is>
      </c>
      <c r="G3428" s="26">
        <v>519541010</v>
      </c>
      <c r="H3428" s="26">
        <v>285747555</v>
      </c>
      <c r="I3428" s="26">
        <v>0</v>
      </c>
      <c r="J3428" s="26">
        <v>135</v>
      </c>
      <c r="K3428" t="inlineStr">
        <is>
          <t>Oui</t>
        </is>
      </c>
      <c r="L3428">
        <f>SUBTOTAL(103,A3428)</f>
        <v>1</v>
      </c>
    </row>
    <row r="3429">
      <c r="A3429" t="inlineStr">
        <is>
          <t>SOCIETE C364</t>
        </is>
      </c>
      <c r="B3429" t="inlineStr">
        <is>
          <t>C364</t>
        </is>
      </c>
      <c r="C3429" t="inlineStr">
        <is>
          <t>CORPORATE BANKING</t>
        </is>
      </c>
      <c r="D3429" t="inlineStr">
        <is>
          <t>I</t>
        </is>
      </c>
      <c r="E3429" t="inlineStr">
        <is>
          <t>Stage 1</t>
        </is>
      </c>
      <c r="F3429" t="inlineStr">
        <is>
          <t>N/A</t>
        </is>
      </c>
      <c r="G3429" s="26">
        <v>2379793037</v>
      </c>
      <c r="H3429" s="26">
        <v>23797930</v>
      </c>
      <c r="I3429" s="26">
        <v>0</v>
      </c>
      <c r="J3429" s="26">
        <v>12</v>
      </c>
      <c r="K3429" t="inlineStr">
        <is>
          <t>Non</t>
        </is>
      </c>
      <c r="L3429">
        <f>SUBTOTAL(103,A3429)</f>
        <v>1</v>
      </c>
    </row>
    <row r="3430">
      <c r="A3430" t="inlineStr">
        <is>
          <t>SOCIETE C235</t>
        </is>
      </c>
      <c r="B3430" t="inlineStr">
        <is>
          <t>C235</t>
        </is>
      </c>
      <c r="C3430" t="inlineStr">
        <is>
          <t>CORPORATE BANKING</t>
        </is>
      </c>
      <c r="D3430" t="inlineStr">
        <is>
          <t>V</t>
        </is>
      </c>
      <c r="E3430" t="inlineStr">
        <is>
          <t>Stage 3</t>
        </is>
      </c>
      <c r="F3430" t="inlineStr">
        <is>
          <t>N/A</t>
        </is>
      </c>
      <c r="G3430" s="26">
        <v>1410531</v>
      </c>
      <c r="H3430" s="26">
        <v>775792</v>
      </c>
      <c r="I3430" s="26">
        <v>0</v>
      </c>
      <c r="J3430" s="26">
        <v>203</v>
      </c>
      <c r="K3430" t="inlineStr">
        <is>
          <t>Oui</t>
        </is>
      </c>
      <c r="L3430">
        <f>SUBTOTAL(103,A3430)</f>
        <v>1</v>
      </c>
    </row>
    <row r="3431">
      <c r="A3431" t="inlineStr">
        <is>
          <t>SOCIETE C637</t>
        </is>
      </c>
      <c r="B3431" t="inlineStr">
        <is>
          <t>C637</t>
        </is>
      </c>
      <c r="C3431" t="inlineStr">
        <is>
          <t>COMMERCIAL BANKING</t>
        </is>
      </c>
      <c r="D3431" t="inlineStr">
        <is>
          <t>I</t>
        </is>
      </c>
      <c r="E3431" t="inlineStr">
        <is>
          <t>Stage 1</t>
        </is>
      </c>
      <c r="F3431" t="inlineStr">
        <is>
          <t>N/A</t>
        </is>
      </c>
      <c r="G3431" s="26">
        <v>237964442</v>
      </c>
      <c r="H3431" s="26">
        <v>2379644</v>
      </c>
      <c r="I3431" s="26">
        <v>0</v>
      </c>
      <c r="J3431" s="26">
        <v>146</v>
      </c>
      <c r="K3431" t="inlineStr">
        <is>
          <t>Non</t>
        </is>
      </c>
      <c r="L3431">
        <f>SUBTOTAL(103,A3431)</f>
        <v>1</v>
      </c>
    </row>
    <row r="3432">
      <c r="A3432" t="inlineStr">
        <is>
          <t>SOCIETE C760</t>
        </is>
      </c>
      <c r="B3432" t="inlineStr">
        <is>
          <t>C760</t>
        </is>
      </c>
      <c r="C3432" t="inlineStr">
        <is>
          <t>CONSUMER BANKING</t>
        </is>
      </c>
      <c r="D3432" t="inlineStr">
        <is>
          <t>V</t>
        </is>
      </c>
      <c r="E3432" t="inlineStr">
        <is>
          <t>Stage 3</t>
        </is>
      </c>
      <c r="F3432" t="inlineStr">
        <is>
          <t>N/A</t>
        </is>
      </c>
      <c r="G3432" s="26">
        <v>2844393546</v>
      </c>
      <c r="H3432" s="26">
        <v>1564416450</v>
      </c>
      <c r="I3432" s="26">
        <v>0</v>
      </c>
      <c r="J3432" s="26">
        <v>2</v>
      </c>
      <c r="K3432" t="inlineStr">
        <is>
          <t>Oui</t>
        </is>
      </c>
      <c r="L3432">
        <f>SUBTOTAL(103,A3432)</f>
        <v>1</v>
      </c>
    </row>
    <row r="3433">
      <c r="A3433" t="inlineStr">
        <is>
          <t>SOCIETE C1744</t>
        </is>
      </c>
      <c r="B3433" t="inlineStr">
        <is>
          <t>C1744</t>
        </is>
      </c>
      <c r="C3433" t="inlineStr">
        <is>
          <t>COMMERCIAL BANKING</t>
        </is>
      </c>
      <c r="D3433" t="inlineStr">
        <is>
          <t>IA</t>
        </is>
      </c>
      <c r="E3433" t="inlineStr">
        <is>
          <t>Stage 2</t>
        </is>
      </c>
      <c r="F3433" t="inlineStr">
        <is>
          <t>N/A</t>
        </is>
      </c>
      <c r="G3433" s="26">
        <v>2314967</v>
      </c>
      <c r="H3433" s="26">
        <v>138898</v>
      </c>
      <c r="I3433" s="26">
        <v>0</v>
      </c>
      <c r="J3433" s="26">
        <v>48</v>
      </c>
      <c r="K3433" t="inlineStr">
        <is>
          <t>Non</t>
        </is>
      </c>
      <c r="L3433">
        <f>SUBTOTAL(103,A3433)</f>
        <v>1</v>
      </c>
    </row>
    <row r="3434">
      <c r="A3434" t="inlineStr">
        <is>
          <t>SOCIETE C522</t>
        </is>
      </c>
      <c r="B3434" t="inlineStr">
        <is>
          <t>C522</t>
        </is>
      </c>
      <c r="C3434" t="inlineStr">
        <is>
          <t>CORPORATE BANKING</t>
        </is>
      </c>
      <c r="D3434" t="inlineStr">
        <is>
          <t>V</t>
        </is>
      </c>
      <c r="E3434" t="inlineStr">
        <is>
          <t>Stage 3</t>
        </is>
      </c>
      <c r="F3434" t="inlineStr">
        <is>
          <t>N/A</t>
        </is>
      </c>
      <c r="G3434" s="26">
        <v>1382960764</v>
      </c>
      <c r="H3434" s="26">
        <v>760628420</v>
      </c>
      <c r="I3434" s="26">
        <v>0</v>
      </c>
      <c r="J3434" s="26">
        <v>101</v>
      </c>
      <c r="K3434" t="inlineStr">
        <is>
          <t>Oui</t>
        </is>
      </c>
      <c r="L3434">
        <f>SUBTOTAL(103,A3434)</f>
        <v>1</v>
      </c>
    </row>
    <row r="3435">
      <c r="A3435" t="inlineStr">
        <is>
          <t>SOCIETE C331</t>
        </is>
      </c>
      <c r="B3435" t="inlineStr">
        <is>
          <t>C331</t>
        </is>
      </c>
      <c r="C3435" t="inlineStr">
        <is>
          <t>COMMERCIAL BANKING</t>
        </is>
      </c>
      <c r="D3435" t="inlineStr">
        <is>
          <t>IA</t>
        </is>
      </c>
      <c r="E3435" t="inlineStr">
        <is>
          <t>Stage 2</t>
        </is>
      </c>
      <c r="F3435" t="inlineStr">
        <is>
          <t>N/A</t>
        </is>
      </c>
      <c r="G3435" s="26">
        <v>76171186</v>
      </c>
      <c r="H3435" s="26">
        <v>4570271</v>
      </c>
      <c r="I3435" s="26">
        <v>0</v>
      </c>
      <c r="J3435" s="26">
        <v>11</v>
      </c>
      <c r="K3435" t="inlineStr">
        <is>
          <t>Non</t>
        </is>
      </c>
      <c r="L3435">
        <f>SUBTOTAL(103,A3435)</f>
        <v>1</v>
      </c>
    </row>
    <row r="3436">
      <c r="A3436" t="inlineStr">
        <is>
          <t>SOCIETE C1854</t>
        </is>
      </c>
      <c r="B3436" t="inlineStr">
        <is>
          <t>C1854</t>
        </is>
      </c>
      <c r="C3436" t="inlineStr">
        <is>
          <t>CONSUMER BANKING</t>
        </is>
      </c>
      <c r="D3436" t="inlineStr">
        <is>
          <t>I</t>
        </is>
      </c>
      <c r="E3436" t="inlineStr">
        <is>
          <t>Stage 1</t>
        </is>
      </c>
      <c r="F3436" t="inlineStr">
        <is>
          <t>N/A</t>
        </is>
      </c>
      <c r="G3436" s="26">
        <v>1625747</v>
      </c>
      <c r="H3436" s="26">
        <v>16257</v>
      </c>
      <c r="I3436" s="26">
        <v>0</v>
      </c>
      <c r="J3436" s="26">
        <v>19</v>
      </c>
      <c r="K3436" t="inlineStr">
        <is>
          <t>Non</t>
        </is>
      </c>
      <c r="L3436">
        <f>SUBTOTAL(103,A3436)</f>
        <v>1</v>
      </c>
    </row>
    <row r="3437">
      <c r="A3437" t="inlineStr">
        <is>
          <t>SOCIETE C502</t>
        </is>
      </c>
      <c r="B3437" t="inlineStr">
        <is>
          <t>C502</t>
        </is>
      </c>
      <c r="C3437" t="inlineStr">
        <is>
          <t>SME</t>
        </is>
      </c>
      <c r="D3437" t="inlineStr">
        <is>
          <t>II</t>
        </is>
      </c>
      <c r="E3437" t="inlineStr">
        <is>
          <t>Stage 2</t>
        </is>
      </c>
      <c r="F3437" t="inlineStr">
        <is>
          <t>N/A</t>
        </is>
      </c>
      <c r="G3437" s="26">
        <v>788029002</v>
      </c>
      <c r="H3437" s="26">
        <v>47281740</v>
      </c>
      <c r="I3437" s="26">
        <v>0</v>
      </c>
      <c r="J3437" s="26">
        <v>42</v>
      </c>
      <c r="K3437" t="inlineStr">
        <is>
          <t>Non</t>
        </is>
      </c>
      <c r="L3437">
        <f>SUBTOTAL(103,A3437)</f>
        <v>1</v>
      </c>
    </row>
    <row r="3438">
      <c r="A3438" t="inlineStr">
        <is>
          <t>SOCIETE C2280</t>
        </is>
      </c>
      <c r="B3438" t="inlineStr">
        <is>
          <t>C2280</t>
        </is>
      </c>
      <c r="C3438" t="inlineStr">
        <is>
          <t>SME</t>
        </is>
      </c>
      <c r="D3438" t="inlineStr">
        <is>
          <t>I</t>
        </is>
      </c>
      <c r="E3438" t="inlineStr">
        <is>
          <t>Stage 1</t>
        </is>
      </c>
      <c r="F3438" t="inlineStr">
        <is>
          <t>N/A</t>
        </is>
      </c>
      <c r="G3438" s="26">
        <v>1017390</v>
      </c>
      <c r="H3438" s="26">
        <v>10174</v>
      </c>
      <c r="I3438" s="26">
        <v>0</v>
      </c>
      <c r="J3438" s="26">
        <v>113</v>
      </c>
      <c r="K3438" t="inlineStr">
        <is>
          <t>Non</t>
        </is>
      </c>
      <c r="L3438">
        <f>SUBTOTAL(103,A3438)</f>
        <v>1</v>
      </c>
    </row>
    <row r="3439">
      <c r="A3439" t="inlineStr">
        <is>
          <t>SOCIETE C2067</t>
        </is>
      </c>
      <c r="B3439" t="inlineStr">
        <is>
          <t>C2067</t>
        </is>
      </c>
      <c r="C3439" t="inlineStr">
        <is>
          <t>CORPORATE BANKING</t>
        </is>
      </c>
      <c r="D3439" t="inlineStr">
        <is>
          <t>IV</t>
        </is>
      </c>
      <c r="E3439" t="inlineStr">
        <is>
          <t>Stage 3</t>
        </is>
      </c>
      <c r="F3439" t="inlineStr">
        <is>
          <t>N/A</t>
        </is>
      </c>
      <c r="G3439" s="26">
        <v>1959831633</v>
      </c>
      <c r="H3439" s="26">
        <v>1077907398</v>
      </c>
      <c r="I3439" s="26">
        <v>998076</v>
      </c>
      <c r="J3439" s="26">
        <v>188</v>
      </c>
      <c r="K3439" t="inlineStr">
        <is>
          <t>Oui</t>
        </is>
      </c>
      <c r="L3439">
        <f>SUBTOTAL(103,A3439)</f>
        <v>1</v>
      </c>
    </row>
    <row r="3440">
      <c r="A3440" t="inlineStr">
        <is>
          <t>SOCIETE C2151</t>
        </is>
      </c>
      <c r="B3440" t="inlineStr">
        <is>
          <t>C2151</t>
        </is>
      </c>
      <c r="C3440" t="inlineStr">
        <is>
          <t>CORPORATE BANKING</t>
        </is>
      </c>
      <c r="D3440" t="inlineStr">
        <is>
          <t>V</t>
        </is>
      </c>
      <c r="E3440" t="inlineStr">
        <is>
          <t>Stage 3</t>
        </is>
      </c>
      <c r="F3440" t="inlineStr">
        <is>
          <t>N/A</t>
        </is>
      </c>
      <c r="G3440" s="26">
        <v>26031007</v>
      </c>
      <c r="H3440" s="26">
        <v>14317054</v>
      </c>
      <c r="I3440" s="26">
        <v>2174933</v>
      </c>
      <c r="J3440" s="26">
        <v>39</v>
      </c>
      <c r="K3440" t="inlineStr">
        <is>
          <t>Oui</t>
        </is>
      </c>
      <c r="L3440">
        <f>SUBTOTAL(103,A3440)</f>
        <v>1</v>
      </c>
    </row>
    <row r="3441">
      <c r="A3441" t="inlineStr">
        <is>
          <t>SOCIETE C2448</t>
        </is>
      </c>
      <c r="B3441" t="inlineStr">
        <is>
          <t>C2448</t>
        </is>
      </c>
      <c r="C3441" t="inlineStr">
        <is>
          <t>CORPORATE BANKING</t>
        </is>
      </c>
      <c r="D3441" t="inlineStr">
        <is>
          <t>I</t>
        </is>
      </c>
      <c r="E3441" t="inlineStr">
        <is>
          <t>Stage 1</t>
        </is>
      </c>
      <c r="F3441" t="inlineStr">
        <is>
          <t>N/A</t>
        </is>
      </c>
      <c r="G3441" s="26">
        <v>2137079175</v>
      </c>
      <c r="H3441" s="26">
        <v>21370792</v>
      </c>
      <c r="I3441" s="26">
        <v>246294350</v>
      </c>
      <c r="J3441" s="26">
        <v>328</v>
      </c>
      <c r="K3441" t="inlineStr">
        <is>
          <t>Non</t>
        </is>
      </c>
      <c r="L3441">
        <f>SUBTOTAL(103,A3441)</f>
        <v>1</v>
      </c>
    </row>
    <row r="3442">
      <c r="A3442" t="inlineStr">
        <is>
          <t>SOCIETE C2292</t>
        </is>
      </c>
      <c r="B3442" t="inlineStr">
        <is>
          <t>C2292</t>
        </is>
      </c>
      <c r="C3442" t="inlineStr">
        <is>
          <t>CORPORATE BANKING</t>
        </is>
      </c>
      <c r="D3442" t="inlineStr">
        <is>
          <t>III</t>
        </is>
      </c>
      <c r="E3442" t="inlineStr">
        <is>
          <t>Stage 3</t>
        </is>
      </c>
      <c r="F3442" t="inlineStr">
        <is>
          <t>N/A</t>
        </is>
      </c>
      <c r="G3442" s="26">
        <v>2295379279</v>
      </c>
      <c r="H3442" s="26">
        <v>1262458603</v>
      </c>
      <c r="I3442" s="26">
        <v>0</v>
      </c>
      <c r="J3442" s="26">
        <v>9</v>
      </c>
      <c r="K3442" t="inlineStr">
        <is>
          <t>Oui</t>
        </is>
      </c>
      <c r="L3442">
        <f>SUBTOTAL(103,A3442)</f>
        <v>1</v>
      </c>
    </row>
    <row r="3443">
      <c r="A3443" t="inlineStr">
        <is>
          <t>SOCIETE C1466</t>
        </is>
      </c>
      <c r="B3443" t="inlineStr">
        <is>
          <t>C1466</t>
        </is>
      </c>
      <c r="C3443" t="inlineStr">
        <is>
          <t>COMMERCIAL BANKING</t>
        </is>
      </c>
      <c r="D3443" t="inlineStr">
        <is>
          <t>I</t>
        </is>
      </c>
      <c r="E3443" t="inlineStr">
        <is>
          <t>Stage 1</t>
        </is>
      </c>
      <c r="F3443" t="inlineStr">
        <is>
          <t>N/A</t>
        </is>
      </c>
      <c r="G3443" s="26">
        <v>653325237</v>
      </c>
      <c r="H3443" s="26">
        <v>6533252</v>
      </c>
      <c r="I3443" s="26">
        <v>0</v>
      </c>
      <c r="J3443" s="26">
        <v>12</v>
      </c>
      <c r="K3443" t="inlineStr">
        <is>
          <t>Non</t>
        </is>
      </c>
      <c r="L3443">
        <f>SUBTOTAL(103,A3443)</f>
        <v>1</v>
      </c>
    </row>
    <row r="3444">
      <c r="A3444" t="inlineStr">
        <is>
          <t>SOCIETE C309</t>
        </is>
      </c>
      <c r="B3444" t="inlineStr">
        <is>
          <t>C309</t>
        </is>
      </c>
      <c r="C3444" t="inlineStr">
        <is>
          <t>CORPORATE BANKING</t>
        </is>
      </c>
      <c r="D3444" t="inlineStr">
        <is>
          <t>I</t>
        </is>
      </c>
      <c r="E3444" t="inlineStr">
        <is>
          <t>Stage 1</t>
        </is>
      </c>
      <c r="F3444" t="inlineStr">
        <is>
          <t>N/A</t>
        </is>
      </c>
      <c r="G3444" s="26">
        <v>89141263</v>
      </c>
      <c r="H3444" s="26">
        <v>891413</v>
      </c>
      <c r="I3444" s="26">
        <v>10284342</v>
      </c>
      <c r="J3444" s="26">
        <v>31</v>
      </c>
      <c r="K3444" t="inlineStr">
        <is>
          <t>Non</t>
        </is>
      </c>
      <c r="L3444">
        <f>SUBTOTAL(103,A3444)</f>
        <v>1</v>
      </c>
    </row>
    <row r="3445">
      <c r="A3445" t="inlineStr">
        <is>
          <t>SOCIETE C1264</t>
        </is>
      </c>
      <c r="B3445" t="inlineStr">
        <is>
          <t>C1264</t>
        </is>
      </c>
      <c r="C3445" t="inlineStr">
        <is>
          <t>CONSUMER BANKING</t>
        </is>
      </c>
      <c r="D3445" t="inlineStr">
        <is>
          <t>V</t>
        </is>
      </c>
      <c r="E3445" t="inlineStr">
        <is>
          <t>Stage 3</t>
        </is>
      </c>
      <c r="F3445" t="inlineStr">
        <is>
          <t>N/A</t>
        </is>
      </c>
      <c r="G3445" s="26">
        <v>517104792</v>
      </c>
      <c r="H3445" s="26">
        <v>284407635</v>
      </c>
      <c r="I3445" s="26">
        <v>16414702</v>
      </c>
      <c r="J3445" s="26">
        <v>138</v>
      </c>
      <c r="K3445" t="inlineStr">
        <is>
          <t>Oui</t>
        </is>
      </c>
      <c r="L3445">
        <f>SUBTOTAL(103,A3445)</f>
        <v>1</v>
      </c>
    </row>
    <row r="3446">
      <c r="A3446" t="inlineStr">
        <is>
          <t>SOCIETE C825</t>
        </is>
      </c>
      <c r="B3446" t="inlineStr">
        <is>
          <t>C825</t>
        </is>
      </c>
      <c r="C3446" t="inlineStr">
        <is>
          <t>PUBLIC SECTOR</t>
        </is>
      </c>
      <c r="D3446" t="inlineStr">
        <is>
          <t>I</t>
        </is>
      </c>
      <c r="E3446" t="inlineStr">
        <is>
          <t>Stage 1</t>
        </is>
      </c>
      <c r="F3446" t="inlineStr">
        <is>
          <t>N/A</t>
        </is>
      </c>
      <c r="G3446" s="26">
        <v>432701426</v>
      </c>
      <c r="H3446" s="26">
        <v>4327014</v>
      </c>
      <c r="I3446" s="26">
        <v>18212551</v>
      </c>
      <c r="J3446" s="26">
        <v>0</v>
      </c>
      <c r="K3446" t="inlineStr">
        <is>
          <t>Non</t>
        </is>
      </c>
      <c r="L3446">
        <f>SUBTOTAL(103,A3446)</f>
        <v>1</v>
      </c>
    </row>
    <row r="3447">
      <c r="A3447" t="inlineStr">
        <is>
          <t>SOCIETE C263</t>
        </is>
      </c>
      <c r="B3447" t="inlineStr">
        <is>
          <t>C263</t>
        </is>
      </c>
      <c r="C3447" t="inlineStr">
        <is>
          <t>CONSUMER BANKING</t>
        </is>
      </c>
      <c r="D3447" t="inlineStr">
        <is>
          <t>I</t>
        </is>
      </c>
      <c r="E3447" t="inlineStr">
        <is>
          <t>Stage 1</t>
        </is>
      </c>
      <c r="F3447" t="inlineStr">
        <is>
          <t>N/A</t>
        </is>
      </c>
      <c r="G3447" s="26">
        <v>2891202</v>
      </c>
      <c r="H3447" s="26">
        <v>28912</v>
      </c>
      <c r="I3447" s="26">
        <v>283429</v>
      </c>
      <c r="J3447" s="26">
        <v>13</v>
      </c>
      <c r="K3447" t="inlineStr">
        <is>
          <t>Non</t>
        </is>
      </c>
      <c r="L3447">
        <f>SUBTOTAL(103,A3447)</f>
        <v>1</v>
      </c>
    </row>
    <row r="3448">
      <c r="A3448" t="inlineStr">
        <is>
          <t>SOCIETE C2108</t>
        </is>
      </c>
      <c r="B3448" t="inlineStr">
        <is>
          <t>C2108</t>
        </is>
      </c>
      <c r="C3448" t="inlineStr">
        <is>
          <t>COMMERCIAL BANKING</t>
        </is>
      </c>
      <c r="D3448" t="inlineStr">
        <is>
          <t>III</t>
        </is>
      </c>
      <c r="E3448" t="inlineStr">
        <is>
          <t>Stage 3</t>
        </is>
      </c>
      <c r="F3448" t="inlineStr">
        <is>
          <t>N/A</t>
        </is>
      </c>
      <c r="G3448" s="26">
        <v>567409959</v>
      </c>
      <c r="H3448" s="26">
        <v>312075477</v>
      </c>
      <c r="I3448" s="26">
        <v>0</v>
      </c>
      <c r="J3448" s="26">
        <v>117</v>
      </c>
      <c r="K3448" t="inlineStr">
        <is>
          <t>Oui</t>
        </is>
      </c>
      <c r="L3448">
        <f>SUBTOTAL(103,A3448)</f>
        <v>1</v>
      </c>
    </row>
    <row r="3449">
      <c r="A3449" t="inlineStr">
        <is>
          <t>SOCIETE C136</t>
        </is>
      </c>
      <c r="B3449" t="inlineStr">
        <is>
          <t>C136</t>
        </is>
      </c>
      <c r="C3449" t="inlineStr">
        <is>
          <t>COMMERCIAL BANKING</t>
        </is>
      </c>
      <c r="D3449" t="inlineStr">
        <is>
          <t>I</t>
        </is>
      </c>
      <c r="E3449" t="inlineStr">
        <is>
          <t>Stage 1</t>
        </is>
      </c>
      <c r="F3449" t="inlineStr">
        <is>
          <t>N/A</t>
        </is>
      </c>
      <c r="G3449" s="26">
        <v>970356903</v>
      </c>
      <c r="H3449" s="26">
        <v>9703569</v>
      </c>
      <c r="I3449" s="26">
        <v>24427132</v>
      </c>
      <c r="J3449" s="26">
        <v>61</v>
      </c>
      <c r="K3449" t="inlineStr">
        <is>
          <t>Non</t>
        </is>
      </c>
      <c r="L3449">
        <f>SUBTOTAL(103,A3449)</f>
        <v>1</v>
      </c>
    </row>
    <row r="3450">
      <c r="A3450" t="inlineStr">
        <is>
          <t>SOCIETE C1762</t>
        </is>
      </c>
      <c r="B3450" t="inlineStr">
        <is>
          <t>C1762</t>
        </is>
      </c>
      <c r="C3450" t="inlineStr">
        <is>
          <t>CORPORATE BANKING</t>
        </is>
      </c>
      <c r="D3450" t="inlineStr">
        <is>
          <t>II</t>
        </is>
      </c>
      <c r="E3450" t="inlineStr">
        <is>
          <t>Stage 2</t>
        </is>
      </c>
      <c r="F3450" t="inlineStr">
        <is>
          <t>N/A</t>
        </is>
      </c>
      <c r="G3450" s="26">
        <v>1001798</v>
      </c>
      <c r="H3450" s="26">
        <v>60108</v>
      </c>
      <c r="I3450" s="26">
        <v>0</v>
      </c>
      <c r="J3450" s="26">
        <v>42</v>
      </c>
      <c r="K3450" t="inlineStr">
        <is>
          <t>Non</t>
        </is>
      </c>
      <c r="L3450">
        <f>SUBTOTAL(103,A3450)</f>
        <v>1</v>
      </c>
    </row>
    <row r="3451">
      <c r="A3451" t="inlineStr">
        <is>
          <t>SOCIETE C548</t>
        </is>
      </c>
      <c r="B3451" t="inlineStr">
        <is>
          <t>C548</t>
        </is>
      </c>
      <c r="C3451" t="inlineStr">
        <is>
          <t>PUBLIC SECTOR</t>
        </is>
      </c>
      <c r="D3451" t="inlineStr">
        <is>
          <t>I</t>
        </is>
      </c>
      <c r="E3451" t="inlineStr">
        <is>
          <t>Stage 1</t>
        </is>
      </c>
      <c r="F3451" t="inlineStr">
        <is>
          <t>N/A</t>
        </is>
      </c>
      <c r="G3451" s="26">
        <v>1021140</v>
      </c>
      <c r="H3451" s="26">
        <v>10211</v>
      </c>
      <c r="I3451" s="26">
        <v>0</v>
      </c>
      <c r="J3451" s="26">
        <v>1</v>
      </c>
      <c r="K3451" t="inlineStr">
        <is>
          <t>Non</t>
        </is>
      </c>
      <c r="L3451">
        <f>SUBTOTAL(103,A3451)</f>
        <v>1</v>
      </c>
    </row>
    <row r="3452">
      <c r="A3452" t="inlineStr">
        <is>
          <t>SOCIETE C1234</t>
        </is>
      </c>
      <c r="B3452" t="inlineStr">
        <is>
          <t>C1234</t>
        </is>
      </c>
      <c r="C3452" t="inlineStr">
        <is>
          <t>CORPORATE BANKING</t>
        </is>
      </c>
      <c r="D3452" t="inlineStr">
        <is>
          <t>I</t>
        </is>
      </c>
      <c r="E3452" t="inlineStr">
        <is>
          <t>Stage 1</t>
        </is>
      </c>
      <c r="F3452" t="inlineStr">
        <is>
          <t>N/A</t>
        </is>
      </c>
      <c r="G3452" s="26">
        <v>244454134</v>
      </c>
      <c r="H3452" s="26">
        <v>2444541</v>
      </c>
      <c r="I3452" s="26">
        <v>0</v>
      </c>
      <c r="J3452" s="26">
        <v>168</v>
      </c>
      <c r="K3452" t="inlineStr">
        <is>
          <t>Non</t>
        </is>
      </c>
      <c r="L3452">
        <f>SUBTOTAL(103,A3452)</f>
        <v>1</v>
      </c>
    </row>
    <row r="3453">
      <c r="A3453" t="inlineStr">
        <is>
          <t>SOCIETE C1417</t>
        </is>
      </c>
      <c r="B3453" t="inlineStr">
        <is>
          <t>C1417</t>
        </is>
      </c>
      <c r="C3453" t="inlineStr">
        <is>
          <t>SME</t>
        </is>
      </c>
      <c r="D3453" t="inlineStr">
        <is>
          <t>I</t>
        </is>
      </c>
      <c r="E3453" t="inlineStr">
        <is>
          <t>Stage 1</t>
        </is>
      </c>
      <c r="F3453" t="inlineStr">
        <is>
          <t>N/A</t>
        </is>
      </c>
      <c r="G3453" s="26">
        <v>1390434709</v>
      </c>
      <c r="H3453" s="26">
        <v>13904347</v>
      </c>
      <c r="I3453" s="26">
        <v>0</v>
      </c>
      <c r="J3453" s="26">
        <v>103</v>
      </c>
      <c r="K3453" t="inlineStr">
        <is>
          <t>Non</t>
        </is>
      </c>
      <c r="L3453">
        <f>SUBTOTAL(103,A3453)</f>
        <v>1</v>
      </c>
    </row>
    <row r="3454">
      <c r="A3454" t="inlineStr">
        <is>
          <t>SOCIETE C122</t>
        </is>
      </c>
      <c r="B3454" t="inlineStr">
        <is>
          <t>C122</t>
        </is>
      </c>
      <c r="C3454" t="inlineStr">
        <is>
          <t>COMMERCIAL BANKING</t>
        </is>
      </c>
      <c r="D3454" t="inlineStr">
        <is>
          <t>III</t>
        </is>
      </c>
      <c r="E3454" t="inlineStr">
        <is>
          <t>Stage 3</t>
        </is>
      </c>
      <c r="F3454" t="inlineStr">
        <is>
          <t>N/A</t>
        </is>
      </c>
      <c r="G3454" s="26">
        <v>1708713647</v>
      </c>
      <c r="H3454" s="26">
        <v>939792506</v>
      </c>
      <c r="I3454" s="26">
        <v>38589629</v>
      </c>
      <c r="J3454" s="26">
        <v>26</v>
      </c>
      <c r="K3454" t="inlineStr">
        <is>
          <t>Oui</t>
        </is>
      </c>
      <c r="L3454">
        <f>SUBTOTAL(103,A3454)</f>
        <v>1</v>
      </c>
    </row>
    <row r="3455">
      <c r="A3455" t="inlineStr">
        <is>
          <t>SOCIETE C2192</t>
        </is>
      </c>
      <c r="B3455" t="inlineStr">
        <is>
          <t>C2192</t>
        </is>
      </c>
      <c r="C3455" t="inlineStr">
        <is>
          <t>CORPORATE BANKING</t>
        </is>
      </c>
      <c r="D3455" t="inlineStr">
        <is>
          <t>IA</t>
        </is>
      </c>
      <c r="E3455" t="inlineStr">
        <is>
          <t>Stage 2</t>
        </is>
      </c>
      <c r="F3455" t="inlineStr">
        <is>
          <t>N/A</t>
        </is>
      </c>
      <c r="G3455" s="26">
        <v>1481570183</v>
      </c>
      <c r="H3455" s="26">
        <v>88894211</v>
      </c>
      <c r="I3455" s="26">
        <v>84084927</v>
      </c>
      <c r="J3455" s="26">
        <v>83</v>
      </c>
      <c r="K3455" t="inlineStr">
        <is>
          <t>Non</t>
        </is>
      </c>
      <c r="L3455">
        <f>SUBTOTAL(103,A3455)</f>
        <v>1</v>
      </c>
    </row>
    <row r="3456">
      <c r="A3456" t="inlineStr">
        <is>
          <t>SOCIETE C2414</t>
        </is>
      </c>
      <c r="B3456" t="inlineStr">
        <is>
          <t>C2414</t>
        </is>
      </c>
      <c r="C3456" t="inlineStr">
        <is>
          <t>COMMERCIAL BANKING</t>
        </is>
      </c>
      <c r="D3456" t="inlineStr">
        <is>
          <t>III</t>
        </is>
      </c>
      <c r="E3456" t="inlineStr">
        <is>
          <t>Stage 3</t>
        </is>
      </c>
      <c r="F3456" t="inlineStr">
        <is>
          <t>N/A</t>
        </is>
      </c>
      <c r="G3456" s="26">
        <v>1666577</v>
      </c>
      <c r="H3456" s="26">
        <v>916617</v>
      </c>
      <c r="I3456" s="26">
        <v>0</v>
      </c>
      <c r="J3456" s="26">
        <v>211</v>
      </c>
      <c r="K3456" t="inlineStr">
        <is>
          <t>Oui</t>
        </is>
      </c>
      <c r="L3456">
        <f>SUBTOTAL(103,A3456)</f>
        <v>1</v>
      </c>
    </row>
    <row r="3457">
      <c r="A3457" t="inlineStr">
        <is>
          <t>SOCIETE C1338</t>
        </is>
      </c>
      <c r="B3457" t="inlineStr">
        <is>
          <t>C1338</t>
        </is>
      </c>
      <c r="C3457" t="inlineStr">
        <is>
          <t>CORPORATE BANKING</t>
        </is>
      </c>
      <c r="D3457" t="inlineStr">
        <is>
          <t>IA</t>
        </is>
      </c>
      <c r="E3457" t="inlineStr">
        <is>
          <t>Stage 2</t>
        </is>
      </c>
      <c r="F3457" t="inlineStr">
        <is>
          <t>N/A</t>
        </is>
      </c>
      <c r="G3457" s="26">
        <v>89264290</v>
      </c>
      <c r="H3457" s="26">
        <v>5355857</v>
      </c>
      <c r="I3457" s="26">
        <v>0</v>
      </c>
      <c r="J3457" s="26">
        <v>248</v>
      </c>
      <c r="K3457" t="inlineStr">
        <is>
          <t>Non</t>
        </is>
      </c>
      <c r="L3457">
        <f>SUBTOTAL(103,A3457)</f>
        <v>1</v>
      </c>
    </row>
    <row r="3458">
      <c r="A3458" t="inlineStr">
        <is>
          <t>SOCIETE C117</t>
        </is>
      </c>
      <c r="B3458" t="inlineStr">
        <is>
          <t>C117</t>
        </is>
      </c>
      <c r="C3458" t="inlineStr">
        <is>
          <t>PUBLIC SECTOR</t>
        </is>
      </c>
      <c r="D3458" t="inlineStr">
        <is>
          <t>IA</t>
        </is>
      </c>
      <c r="E3458" t="inlineStr">
        <is>
          <t>Stage 2</t>
        </is>
      </c>
      <c r="F3458" t="inlineStr">
        <is>
          <t>N/A</t>
        </is>
      </c>
      <c r="G3458" s="26">
        <v>926650251</v>
      </c>
      <c r="H3458" s="26">
        <v>55599015</v>
      </c>
      <c r="I3458" s="26">
        <v>53826789</v>
      </c>
      <c r="J3458" s="26">
        <v>30</v>
      </c>
      <c r="K3458" t="inlineStr">
        <is>
          <t>Non</t>
        </is>
      </c>
      <c r="L3458">
        <f>SUBTOTAL(103,A3458)</f>
        <v>1</v>
      </c>
    </row>
    <row r="3459">
      <c r="A3459" t="inlineStr">
        <is>
          <t>SOCIETE C53</t>
        </is>
      </c>
      <c r="B3459" t="inlineStr">
        <is>
          <t>C53</t>
        </is>
      </c>
      <c r="C3459" t="inlineStr">
        <is>
          <t>CORPORATE BANKING</t>
        </is>
      </c>
      <c r="D3459" t="inlineStr">
        <is>
          <t>I</t>
        </is>
      </c>
      <c r="E3459" t="inlineStr">
        <is>
          <t>Stage 1</t>
        </is>
      </c>
      <c r="F3459" t="inlineStr">
        <is>
          <t>N/A</t>
        </is>
      </c>
      <c r="G3459" s="26">
        <v>1618766</v>
      </c>
      <c r="H3459" s="26">
        <v>16188</v>
      </c>
      <c r="I3459" s="26">
        <v>0</v>
      </c>
      <c r="J3459" s="26">
        <v>46</v>
      </c>
      <c r="K3459" t="inlineStr">
        <is>
          <t>Non</t>
        </is>
      </c>
      <c r="L3459">
        <f>SUBTOTAL(103,A3459)</f>
        <v>1</v>
      </c>
    </row>
    <row r="3460">
      <c r="A3460" t="inlineStr">
        <is>
          <t>SOCIETE C638</t>
        </is>
      </c>
      <c r="B3460" t="inlineStr">
        <is>
          <t>C638</t>
        </is>
      </c>
      <c r="C3460" t="inlineStr">
        <is>
          <t>COMMERCIAL BANKING</t>
        </is>
      </c>
      <c r="D3460" t="inlineStr">
        <is>
          <t>I</t>
        </is>
      </c>
      <c r="E3460" t="inlineStr">
        <is>
          <t>Stage 1</t>
        </is>
      </c>
      <c r="F3460" t="inlineStr">
        <is>
          <t>N/A</t>
        </is>
      </c>
      <c r="G3460" s="26">
        <v>2358802948</v>
      </c>
      <c r="H3460" s="26">
        <v>23588029</v>
      </c>
      <c r="I3460" s="26">
        <v>0</v>
      </c>
      <c r="J3460" s="26">
        <v>131</v>
      </c>
      <c r="K3460" t="inlineStr">
        <is>
          <t>Non</t>
        </is>
      </c>
      <c r="L3460">
        <f>SUBTOTAL(103,A3460)</f>
        <v>1</v>
      </c>
    </row>
    <row r="3461">
      <c r="A3461" t="inlineStr">
        <is>
          <t>SOCIETE C314</t>
        </is>
      </c>
      <c r="B3461" t="inlineStr">
        <is>
          <t>C314</t>
        </is>
      </c>
      <c r="C3461" t="inlineStr">
        <is>
          <t>COMMERCIAL BANKING</t>
        </is>
      </c>
      <c r="D3461" t="inlineStr">
        <is>
          <t>I</t>
        </is>
      </c>
      <c r="E3461" t="inlineStr">
        <is>
          <t>Stage 1</t>
        </is>
      </c>
      <c r="F3461" t="inlineStr">
        <is>
          <t>N/A</t>
        </is>
      </c>
      <c r="G3461" s="26">
        <v>89039441</v>
      </c>
      <c r="H3461" s="26">
        <v>890394</v>
      </c>
      <c r="I3461" s="26">
        <v>0</v>
      </c>
      <c r="J3461" s="26">
        <v>15</v>
      </c>
      <c r="K3461" t="inlineStr">
        <is>
          <t>Non</t>
        </is>
      </c>
      <c r="L3461">
        <f>SUBTOTAL(103,A3461)</f>
        <v>1</v>
      </c>
    </row>
    <row r="3462">
      <c r="A3462" t="inlineStr">
        <is>
          <t>SOCIETE C794</t>
        </is>
      </c>
      <c r="B3462" t="inlineStr">
        <is>
          <t>C794</t>
        </is>
      </c>
      <c r="C3462" t="inlineStr">
        <is>
          <t>INSTITUTIONAL</t>
        </is>
      </c>
      <c r="D3462" t="inlineStr">
        <is>
          <t>IA</t>
        </is>
      </c>
      <c r="E3462" t="inlineStr">
        <is>
          <t>Stage 2</t>
        </is>
      </c>
      <c r="F3462" t="inlineStr">
        <is>
          <t>N/A</t>
        </is>
      </c>
      <c r="G3462" s="26">
        <v>2295110965</v>
      </c>
      <c r="H3462" s="26">
        <v>137706658</v>
      </c>
      <c r="I3462" s="26">
        <v>0</v>
      </c>
      <c r="J3462" s="26">
        <v>41</v>
      </c>
      <c r="K3462" t="inlineStr">
        <is>
          <t>Non</t>
        </is>
      </c>
      <c r="L3462">
        <f>SUBTOTAL(103,A3462)</f>
        <v>1</v>
      </c>
    </row>
    <row r="3463">
      <c r="A3463" t="inlineStr">
        <is>
          <t>SOCIETE C1729</t>
        </is>
      </c>
      <c r="B3463" t="inlineStr">
        <is>
          <t>C1729</t>
        </is>
      </c>
      <c r="C3463" t="inlineStr">
        <is>
          <t>COMMERCIAL BANKING</t>
        </is>
      </c>
      <c r="D3463" t="inlineStr">
        <is>
          <t>III</t>
        </is>
      </c>
      <c r="E3463" t="inlineStr">
        <is>
          <t>Stage 3</t>
        </is>
      </c>
      <c r="F3463" t="inlineStr">
        <is>
          <t>N/A</t>
        </is>
      </c>
      <c r="G3463" s="26">
        <v>1293146814</v>
      </c>
      <c r="H3463" s="26">
        <v>711230748</v>
      </c>
      <c r="I3463" s="26">
        <v>0</v>
      </c>
      <c r="J3463" s="26">
        <v>0</v>
      </c>
      <c r="K3463" t="inlineStr">
        <is>
          <t>Oui</t>
        </is>
      </c>
      <c r="L3463">
        <f>SUBTOTAL(103,A3463)</f>
        <v>1</v>
      </c>
    </row>
    <row r="3464">
      <c r="A3464" t="inlineStr">
        <is>
          <t>SOCIETE C2350</t>
        </is>
      </c>
      <c r="B3464" t="inlineStr">
        <is>
          <t>C2350</t>
        </is>
      </c>
      <c r="C3464" t="inlineStr">
        <is>
          <t>PUBLIC SECTOR</t>
        </is>
      </c>
      <c r="D3464" t="inlineStr">
        <is>
          <t>I</t>
        </is>
      </c>
      <c r="E3464" t="inlineStr">
        <is>
          <t>Stage 1</t>
        </is>
      </c>
      <c r="F3464" t="inlineStr">
        <is>
          <t>N/A</t>
        </is>
      </c>
      <c r="G3464" s="26">
        <v>1394874</v>
      </c>
      <c r="H3464" s="26">
        <v>13949</v>
      </c>
      <c r="I3464" s="26">
        <v>0</v>
      </c>
      <c r="J3464" s="26">
        <v>39</v>
      </c>
      <c r="K3464" t="inlineStr">
        <is>
          <t>Non</t>
        </is>
      </c>
      <c r="L3464">
        <f>SUBTOTAL(103,A3464)</f>
        <v>1</v>
      </c>
    </row>
    <row r="3465">
      <c r="A3465" t="inlineStr">
        <is>
          <t>SOCIETE C1393</t>
        </is>
      </c>
      <c r="B3465" t="inlineStr">
        <is>
          <t>C1393</t>
        </is>
      </c>
      <c r="C3465" t="inlineStr">
        <is>
          <t>CORPORATE BANKING</t>
        </is>
      </c>
      <c r="D3465" t="inlineStr">
        <is>
          <t>I</t>
        </is>
      </c>
      <c r="E3465" t="inlineStr">
        <is>
          <t>Stage 1</t>
        </is>
      </c>
      <c r="F3465" t="inlineStr">
        <is>
          <t>N/A</t>
        </is>
      </c>
      <c r="G3465" s="26">
        <v>452590150</v>
      </c>
      <c r="H3465" s="26">
        <v>4525902</v>
      </c>
      <c r="I3465" s="26">
        <v>0</v>
      </c>
      <c r="J3465" s="26">
        <v>27</v>
      </c>
      <c r="K3465" t="inlineStr">
        <is>
          <t>Non</t>
        </is>
      </c>
      <c r="L3465">
        <f>SUBTOTAL(103,A3465)</f>
        <v>1</v>
      </c>
    </row>
    <row r="3466">
      <c r="A3466" t="inlineStr">
        <is>
          <t>SOCIETE C1708</t>
        </is>
      </c>
      <c r="B3466" t="inlineStr">
        <is>
          <t>C1708</t>
        </is>
      </c>
      <c r="C3466" t="inlineStr">
        <is>
          <t>CORPORATE BANKING</t>
        </is>
      </c>
      <c r="D3466" t="inlineStr">
        <is>
          <t>I</t>
        </is>
      </c>
      <c r="E3466" t="inlineStr">
        <is>
          <t>Stage 1</t>
        </is>
      </c>
      <c r="F3466" t="inlineStr">
        <is>
          <t>N/A</t>
        </is>
      </c>
      <c r="G3466" s="26">
        <v>1025207</v>
      </c>
      <c r="H3466" s="26">
        <v>10252</v>
      </c>
      <c r="I3466" s="26">
        <v>166960</v>
      </c>
      <c r="J3466" s="26">
        <v>79</v>
      </c>
      <c r="K3466" t="inlineStr">
        <is>
          <t>Non</t>
        </is>
      </c>
      <c r="L3466">
        <f>SUBTOTAL(103,A3466)</f>
        <v>1</v>
      </c>
    </row>
    <row r="3467">
      <c r="A3467" t="inlineStr">
        <is>
          <t>SOCIETE C399</t>
        </is>
      </c>
      <c r="B3467" t="inlineStr">
        <is>
          <t>C399</t>
        </is>
      </c>
      <c r="C3467" t="inlineStr">
        <is>
          <t>CONSUMER BANKING</t>
        </is>
      </c>
      <c r="D3467" t="inlineStr">
        <is>
          <t>I</t>
        </is>
      </c>
      <c r="E3467" t="inlineStr">
        <is>
          <t>Stage 1</t>
        </is>
      </c>
      <c r="F3467" t="inlineStr">
        <is>
          <t>N/A</t>
        </is>
      </c>
      <c r="G3467" s="26">
        <v>1000528</v>
      </c>
      <c r="H3467" s="26">
        <v>10005</v>
      </c>
      <c r="I3467" s="26">
        <v>0</v>
      </c>
      <c r="J3467" s="26">
        <v>4</v>
      </c>
      <c r="K3467" t="inlineStr">
        <is>
          <t>Non</t>
        </is>
      </c>
      <c r="L3467">
        <f>SUBTOTAL(103,A3467)</f>
        <v>1</v>
      </c>
    </row>
    <row r="3468">
      <c r="A3468" t="inlineStr">
        <is>
          <t>SOCIETE C816</t>
        </is>
      </c>
      <c r="B3468" t="inlineStr">
        <is>
          <t>C816</t>
        </is>
      </c>
      <c r="C3468" t="inlineStr">
        <is>
          <t>CONSUMER BANKING</t>
        </is>
      </c>
      <c r="D3468" t="inlineStr">
        <is>
          <t>I</t>
        </is>
      </c>
      <c r="E3468" t="inlineStr">
        <is>
          <t>Stage 1</t>
        </is>
      </c>
      <c r="F3468" t="inlineStr">
        <is>
          <t>N/A</t>
        </is>
      </c>
      <c r="G3468" s="26">
        <v>804630514</v>
      </c>
      <c r="H3468" s="26">
        <v>8046305</v>
      </c>
      <c r="I3468" s="26">
        <v>0</v>
      </c>
      <c r="J3468" s="26">
        <v>141</v>
      </c>
      <c r="K3468" t="inlineStr">
        <is>
          <t>Non</t>
        </is>
      </c>
      <c r="L3468">
        <f>SUBTOTAL(103,A3468)</f>
        <v>1</v>
      </c>
    </row>
    <row r="3469">
      <c r="A3469" t="inlineStr">
        <is>
          <t>SOCIETE C2262</t>
        </is>
      </c>
      <c r="B3469" t="inlineStr">
        <is>
          <t>C2262</t>
        </is>
      </c>
      <c r="C3469" t="inlineStr">
        <is>
          <t>CORPORATE BANKING</t>
        </is>
      </c>
      <c r="D3469" t="inlineStr">
        <is>
          <t>IV</t>
        </is>
      </c>
      <c r="E3469" t="inlineStr">
        <is>
          <t>Stage 3</t>
        </is>
      </c>
      <c r="F3469" t="inlineStr">
        <is>
          <t>N/A</t>
        </is>
      </c>
      <c r="G3469" s="26">
        <v>34641402</v>
      </c>
      <c r="H3469" s="26">
        <v>19052771</v>
      </c>
      <c r="I3469" s="26">
        <v>0</v>
      </c>
      <c r="J3469" s="26">
        <v>84</v>
      </c>
      <c r="K3469" t="inlineStr">
        <is>
          <t>Oui</t>
        </is>
      </c>
      <c r="L3469">
        <f>SUBTOTAL(103,A3469)</f>
        <v>1</v>
      </c>
    </row>
    <row r="3470">
      <c r="A3470" t="inlineStr">
        <is>
          <t>SOCIETE C1190</t>
        </is>
      </c>
      <c r="B3470" t="inlineStr">
        <is>
          <t>C1190</t>
        </is>
      </c>
      <c r="C3470" t="inlineStr">
        <is>
          <t>CORPORATE BANKING</t>
        </is>
      </c>
      <c r="D3470" t="inlineStr">
        <is>
          <t>IA</t>
        </is>
      </c>
      <c r="E3470" t="inlineStr">
        <is>
          <t>Stage 2</t>
        </is>
      </c>
      <c r="F3470" t="inlineStr">
        <is>
          <t>N/A</t>
        </is>
      </c>
      <c r="G3470" s="26">
        <v>99646347</v>
      </c>
      <c r="H3470" s="26">
        <v>5978781</v>
      </c>
      <c r="I3470" s="26">
        <v>0</v>
      </c>
      <c r="J3470" s="26">
        <v>17</v>
      </c>
      <c r="K3470" t="inlineStr">
        <is>
          <t>Non</t>
        </is>
      </c>
      <c r="L3470">
        <f>SUBTOTAL(103,A3470)</f>
        <v>1</v>
      </c>
    </row>
    <row r="3471">
      <c r="A3471" t="inlineStr">
        <is>
          <t>SOCIETE C970</t>
        </is>
      </c>
      <c r="B3471" t="inlineStr">
        <is>
          <t>C970</t>
        </is>
      </c>
      <c r="C3471" t="inlineStr">
        <is>
          <t>CORPORATE BANKING</t>
        </is>
      </c>
      <c r="D3471" t="inlineStr">
        <is>
          <t>I</t>
        </is>
      </c>
      <c r="E3471" t="inlineStr">
        <is>
          <t>Stage 1</t>
        </is>
      </c>
      <c r="F3471" t="inlineStr">
        <is>
          <t>N/A</t>
        </is>
      </c>
      <c r="G3471" s="26">
        <v>1017821</v>
      </c>
      <c r="H3471" s="26">
        <v>10178</v>
      </c>
      <c r="I3471" s="26">
        <v>86618</v>
      </c>
      <c r="J3471" s="26">
        <v>25</v>
      </c>
      <c r="K3471" t="inlineStr">
        <is>
          <t>Non</t>
        </is>
      </c>
      <c r="L3471">
        <f>SUBTOTAL(103,A3471)</f>
        <v>1</v>
      </c>
    </row>
    <row r="3472">
      <c r="A3472" t="inlineStr">
        <is>
          <t>SOCIETE C505</t>
        </is>
      </c>
      <c r="B3472" t="inlineStr">
        <is>
          <t>C505</t>
        </is>
      </c>
      <c r="C3472" t="inlineStr">
        <is>
          <t>PUBLIC SECTOR</t>
        </is>
      </c>
      <c r="D3472" t="inlineStr">
        <is>
          <t>IA</t>
        </is>
      </c>
      <c r="E3472" t="inlineStr">
        <is>
          <t>Stage 2</t>
        </is>
      </c>
      <c r="F3472" t="inlineStr">
        <is>
          <t>N/A</t>
        </is>
      </c>
      <c r="G3472" s="26">
        <v>5390599</v>
      </c>
      <c r="H3472" s="26">
        <v>323436</v>
      </c>
      <c r="I3472" s="26">
        <v>254987</v>
      </c>
      <c r="J3472" s="26">
        <v>12</v>
      </c>
      <c r="K3472" t="inlineStr">
        <is>
          <t>Non</t>
        </is>
      </c>
      <c r="L3472">
        <f>SUBTOTAL(103,A3472)</f>
        <v>1</v>
      </c>
    </row>
    <row r="3473">
      <c r="A3473" t="inlineStr">
        <is>
          <t>SOCIETE C983</t>
        </is>
      </c>
      <c r="B3473" t="inlineStr">
        <is>
          <t>C983</t>
        </is>
      </c>
      <c r="C3473" t="inlineStr">
        <is>
          <t>COMMERCIAL BANKING</t>
        </is>
      </c>
      <c r="D3473" t="inlineStr">
        <is>
          <t>III</t>
        </is>
      </c>
      <c r="E3473" t="inlineStr">
        <is>
          <t>Stage 3</t>
        </is>
      </c>
      <c r="F3473" t="inlineStr">
        <is>
          <t>N/A</t>
        </is>
      </c>
      <c r="G3473" s="26">
        <v>2305459632</v>
      </c>
      <c r="H3473" s="26">
        <v>1268002798</v>
      </c>
      <c r="I3473" s="26">
        <v>0</v>
      </c>
      <c r="J3473" s="26">
        <v>99</v>
      </c>
      <c r="K3473" t="inlineStr">
        <is>
          <t>Oui</t>
        </is>
      </c>
      <c r="L3473">
        <f>SUBTOTAL(103,A3473)</f>
        <v>1</v>
      </c>
    </row>
    <row r="3474">
      <c r="A3474" t="inlineStr">
        <is>
          <t>SOCIETE C2380</t>
        </is>
      </c>
      <c r="B3474" t="inlineStr">
        <is>
          <t>C2380</t>
        </is>
      </c>
      <c r="C3474" t="inlineStr">
        <is>
          <t>COMMERCIAL BANKING</t>
        </is>
      </c>
      <c r="D3474" t="inlineStr">
        <is>
          <t>II</t>
        </is>
      </c>
      <c r="E3474" t="inlineStr">
        <is>
          <t>Stage 2</t>
        </is>
      </c>
      <c r="F3474" t="inlineStr">
        <is>
          <t>N/A</t>
        </is>
      </c>
      <c r="G3474" s="26">
        <v>28818019</v>
      </c>
      <c r="H3474" s="26">
        <v>1729081</v>
      </c>
      <c r="I3474" s="26">
        <v>4727247</v>
      </c>
      <c r="J3474" s="26">
        <v>96</v>
      </c>
      <c r="K3474" t="inlineStr">
        <is>
          <t>Non</t>
        </is>
      </c>
      <c r="L3474">
        <f>SUBTOTAL(103,A3474)</f>
        <v>1</v>
      </c>
    </row>
    <row r="3475">
      <c r="A3475" t="inlineStr">
        <is>
          <t>SOCIETE C431</t>
        </is>
      </c>
      <c r="B3475" t="inlineStr">
        <is>
          <t>C431</t>
        </is>
      </c>
      <c r="C3475" t="inlineStr">
        <is>
          <t>CONSUMER BANKING</t>
        </is>
      </c>
      <c r="D3475" t="inlineStr">
        <is>
          <t>I</t>
        </is>
      </c>
      <c r="E3475" t="inlineStr">
        <is>
          <t>Stage 1</t>
        </is>
      </c>
      <c r="F3475" t="inlineStr">
        <is>
          <t>N/A</t>
        </is>
      </c>
      <c r="G3475" s="26">
        <v>54395141</v>
      </c>
      <c r="H3475" s="26">
        <v>543951</v>
      </c>
      <c r="I3475" s="26">
        <v>6629329</v>
      </c>
      <c r="J3475" s="26">
        <v>68</v>
      </c>
      <c r="K3475" t="inlineStr">
        <is>
          <t>Non</t>
        </is>
      </c>
      <c r="L3475">
        <f>SUBTOTAL(103,A3475)</f>
        <v>1</v>
      </c>
    </row>
    <row r="3476">
      <c r="A3476" t="inlineStr">
        <is>
          <t>SOCIETE C1231</t>
        </is>
      </c>
      <c r="B3476" t="inlineStr">
        <is>
          <t>C1231</t>
        </is>
      </c>
      <c r="C3476" t="inlineStr">
        <is>
          <t>COMMERCIAL BANKING</t>
        </is>
      </c>
      <c r="D3476" t="inlineStr">
        <is>
          <t>IA</t>
        </is>
      </c>
      <c r="E3476" t="inlineStr">
        <is>
          <t>Stage 2</t>
        </is>
      </c>
      <c r="F3476" t="inlineStr">
        <is>
          <t>N/A</t>
        </is>
      </c>
      <c r="G3476" s="26">
        <v>920902782</v>
      </c>
      <c r="H3476" s="26">
        <v>55254167</v>
      </c>
      <c r="I3476" s="26">
        <v>0</v>
      </c>
      <c r="J3476" s="26">
        <v>15</v>
      </c>
      <c r="K3476" t="inlineStr">
        <is>
          <t>Non</t>
        </is>
      </c>
      <c r="L3476">
        <f>SUBTOTAL(103,A3476)</f>
        <v>1</v>
      </c>
    </row>
    <row r="3477">
      <c r="A3477" t="inlineStr">
        <is>
          <t>SOCIETE C1060</t>
        </is>
      </c>
      <c r="B3477" t="inlineStr">
        <is>
          <t>C1060</t>
        </is>
      </c>
      <c r="C3477" t="inlineStr">
        <is>
          <t>COMMERCIAL BANKING</t>
        </is>
      </c>
      <c r="D3477" t="inlineStr">
        <is>
          <t>IV</t>
        </is>
      </c>
      <c r="E3477" t="inlineStr">
        <is>
          <t>Stage 3</t>
        </is>
      </c>
      <c r="F3477" t="inlineStr">
        <is>
          <t>N/A</t>
        </is>
      </c>
      <c r="G3477" s="26">
        <v>708207674</v>
      </c>
      <c r="H3477" s="26">
        <v>389514221</v>
      </c>
      <c r="I3477" s="26">
        <v>0</v>
      </c>
      <c r="J3477" s="26">
        <v>75</v>
      </c>
      <c r="K3477" t="inlineStr">
        <is>
          <t>Oui</t>
        </is>
      </c>
      <c r="L3477">
        <f>SUBTOTAL(103,A3477)</f>
        <v>1</v>
      </c>
    </row>
    <row r="3478">
      <c r="A3478" t="inlineStr">
        <is>
          <t>SOCIETE C2226</t>
        </is>
      </c>
      <c r="B3478" t="inlineStr">
        <is>
          <t>C2226</t>
        </is>
      </c>
      <c r="C3478" t="inlineStr">
        <is>
          <t>CORPORATE BANKING</t>
        </is>
      </c>
      <c r="D3478" t="inlineStr">
        <is>
          <t>I</t>
        </is>
      </c>
      <c r="E3478" t="inlineStr">
        <is>
          <t>Stage 1</t>
        </is>
      </c>
      <c r="F3478" t="inlineStr">
        <is>
          <t>N/A</t>
        </is>
      </c>
      <c r="G3478" s="26">
        <v>140024250</v>
      </c>
      <c r="H3478" s="26">
        <v>1400243</v>
      </c>
      <c r="I3478" s="26">
        <v>0</v>
      </c>
      <c r="J3478" s="26">
        <v>55</v>
      </c>
      <c r="K3478" t="inlineStr">
        <is>
          <t>Non</t>
        </is>
      </c>
      <c r="L3478">
        <f>SUBTOTAL(103,A3478)</f>
        <v>1</v>
      </c>
    </row>
    <row r="3479">
      <c r="A3479" t="inlineStr">
        <is>
          <t>SOCIETE C1470</t>
        </is>
      </c>
      <c r="B3479" t="inlineStr">
        <is>
          <t>C1470</t>
        </is>
      </c>
      <c r="C3479" t="inlineStr">
        <is>
          <t>COMMERCIAL BANKING</t>
        </is>
      </c>
      <c r="D3479" t="inlineStr">
        <is>
          <t>II</t>
        </is>
      </c>
      <c r="E3479" t="inlineStr">
        <is>
          <t>Stage 2</t>
        </is>
      </c>
      <c r="F3479" t="inlineStr">
        <is>
          <t>N/A</t>
        </is>
      </c>
      <c r="G3479" s="26">
        <v>14453544</v>
      </c>
      <c r="H3479" s="26">
        <v>867213</v>
      </c>
      <c r="I3479" s="26">
        <v>917685</v>
      </c>
      <c r="J3479" s="26">
        <v>13</v>
      </c>
      <c r="K3479" t="inlineStr">
        <is>
          <t>Non</t>
        </is>
      </c>
      <c r="L3479">
        <f>SUBTOTAL(103,A3479)</f>
        <v>1</v>
      </c>
    </row>
    <row r="3480">
      <c r="A3480" t="inlineStr">
        <is>
          <t>SOCIETE C546</t>
        </is>
      </c>
      <c r="B3480" t="inlineStr">
        <is>
          <t>C546</t>
        </is>
      </c>
      <c r="C3480" t="inlineStr">
        <is>
          <t>CORPORATE BANKING</t>
        </is>
      </c>
      <c r="D3480" t="inlineStr">
        <is>
          <t>IV</t>
        </is>
      </c>
      <c r="E3480" t="inlineStr">
        <is>
          <t>Stage 3</t>
        </is>
      </c>
      <c r="F3480" t="inlineStr">
        <is>
          <t>N/A</t>
        </is>
      </c>
      <c r="G3480" s="26">
        <v>2091816987</v>
      </c>
      <c r="H3480" s="26">
        <v>1150499343</v>
      </c>
      <c r="I3480" s="26">
        <v>0</v>
      </c>
      <c r="J3480" s="26">
        <v>54</v>
      </c>
      <c r="K3480" t="inlineStr">
        <is>
          <t>Oui</t>
        </is>
      </c>
      <c r="L3480">
        <f>SUBTOTAL(103,A3480)</f>
        <v>1</v>
      </c>
    </row>
    <row r="3481">
      <c r="A3481" t="inlineStr">
        <is>
          <t>SOCIETE C121</t>
        </is>
      </c>
      <c r="B3481" t="inlineStr">
        <is>
          <t>C121</t>
        </is>
      </c>
      <c r="C3481" t="inlineStr">
        <is>
          <t>PUBLIC SECTOR</t>
        </is>
      </c>
      <c r="D3481" t="inlineStr">
        <is>
          <t>V</t>
        </is>
      </c>
      <c r="E3481" t="inlineStr">
        <is>
          <t>Stage 3</t>
        </is>
      </c>
      <c r="F3481" t="inlineStr">
        <is>
          <t>N/A</t>
        </is>
      </c>
      <c r="G3481" s="26">
        <v>800570059</v>
      </c>
      <c r="H3481" s="26">
        <v>440313532</v>
      </c>
      <c r="I3481" s="26">
        <v>106005570</v>
      </c>
      <c r="J3481" s="26">
        <v>35</v>
      </c>
      <c r="K3481" t="inlineStr">
        <is>
          <t>Oui</t>
        </is>
      </c>
      <c r="L3481">
        <f>SUBTOTAL(103,A3481)</f>
        <v>1</v>
      </c>
    </row>
    <row r="3482">
      <c r="A3482" t="inlineStr">
        <is>
          <t>SOCIETE C626</t>
        </is>
      </c>
      <c r="B3482" t="inlineStr">
        <is>
          <t>C626</t>
        </is>
      </c>
      <c r="C3482" t="inlineStr">
        <is>
          <t>CORPORATE BANKING</t>
        </is>
      </c>
      <c r="D3482" t="inlineStr">
        <is>
          <t>I</t>
        </is>
      </c>
      <c r="E3482" t="inlineStr">
        <is>
          <t>Stage 1</t>
        </is>
      </c>
      <c r="F3482" t="inlineStr">
        <is>
          <t>N/A</t>
        </is>
      </c>
      <c r="G3482" s="26">
        <v>1108632081</v>
      </c>
      <c r="H3482" s="26">
        <v>11086321</v>
      </c>
      <c r="I3482" s="26">
        <v>0</v>
      </c>
      <c r="J3482" s="26">
        <v>94</v>
      </c>
      <c r="K3482" t="inlineStr">
        <is>
          <t>Non</t>
        </is>
      </c>
      <c r="L3482">
        <f>SUBTOTAL(103,A3482)</f>
        <v>1</v>
      </c>
    </row>
    <row r="3483">
      <c r="A3483" t="inlineStr">
        <is>
          <t>SOCIETE C870</t>
        </is>
      </c>
      <c r="B3483" t="inlineStr">
        <is>
          <t>C870</t>
        </is>
      </c>
      <c r="C3483" t="inlineStr">
        <is>
          <t>CORPORATE BANKING</t>
        </is>
      </c>
      <c r="D3483" t="inlineStr">
        <is>
          <t>I</t>
        </is>
      </c>
      <c r="E3483" t="inlineStr">
        <is>
          <t>Stage 1</t>
        </is>
      </c>
      <c r="F3483" t="inlineStr">
        <is>
          <t>N/A</t>
        </is>
      </c>
      <c r="G3483" s="26">
        <v>75131275</v>
      </c>
      <c r="H3483" s="26">
        <v>751313</v>
      </c>
      <c r="I3483" s="26">
        <v>0</v>
      </c>
      <c r="J3483" s="26">
        <v>54</v>
      </c>
      <c r="K3483" t="inlineStr">
        <is>
          <t>Non</t>
        </is>
      </c>
      <c r="L3483">
        <f>SUBTOTAL(103,A3483)</f>
        <v>1</v>
      </c>
    </row>
    <row r="3484">
      <c r="A3484" t="inlineStr">
        <is>
          <t>SOCIETE C1571</t>
        </is>
      </c>
      <c r="B3484" t="inlineStr">
        <is>
          <t>C1571</t>
        </is>
      </c>
      <c r="C3484" t="inlineStr">
        <is>
          <t>SME</t>
        </is>
      </c>
      <c r="D3484" t="inlineStr">
        <is>
          <t>IA</t>
        </is>
      </c>
      <c r="E3484" t="inlineStr">
        <is>
          <t>Stage 2</t>
        </is>
      </c>
      <c r="F3484" t="inlineStr">
        <is>
          <t>N/A</t>
        </is>
      </c>
      <c r="G3484" s="26">
        <v>999534764</v>
      </c>
      <c r="H3484" s="26">
        <v>59972086</v>
      </c>
      <c r="I3484" s="26">
        <v>0</v>
      </c>
      <c r="J3484" s="26">
        <v>142</v>
      </c>
      <c r="K3484" t="inlineStr">
        <is>
          <t>Non</t>
        </is>
      </c>
      <c r="L3484">
        <f>SUBTOTAL(103,A3484)</f>
        <v>1</v>
      </c>
    </row>
    <row r="3485">
      <c r="A3485" t="inlineStr">
        <is>
          <t>SOCIETE C1367</t>
        </is>
      </c>
      <c r="B3485" t="inlineStr">
        <is>
          <t>C1367</t>
        </is>
      </c>
      <c r="C3485" t="inlineStr">
        <is>
          <t>COMMERCIAL BANKING</t>
        </is>
      </c>
      <c r="D3485" t="inlineStr">
        <is>
          <t>IA</t>
        </is>
      </c>
      <c r="E3485" t="inlineStr">
        <is>
          <t>Stage 2</t>
        </is>
      </c>
      <c r="F3485" t="inlineStr">
        <is>
          <t>N/A</t>
        </is>
      </c>
      <c r="G3485" s="26">
        <v>2470093710</v>
      </c>
      <c r="H3485" s="26">
        <v>148205623</v>
      </c>
      <c r="I3485" s="26">
        <v>0</v>
      </c>
      <c r="J3485" s="26">
        <v>27</v>
      </c>
      <c r="K3485" t="inlineStr">
        <is>
          <t>Non</t>
        </is>
      </c>
      <c r="L3485">
        <f>SUBTOTAL(103,A3485)</f>
        <v>1</v>
      </c>
    </row>
    <row r="3486">
      <c r="A3486" t="inlineStr">
        <is>
          <t>SOCIETE C2227</t>
        </is>
      </c>
      <c r="B3486" t="inlineStr">
        <is>
          <t>C2227</t>
        </is>
      </c>
      <c r="C3486" t="inlineStr">
        <is>
          <t>SME</t>
        </is>
      </c>
      <c r="D3486" t="inlineStr">
        <is>
          <t>III</t>
        </is>
      </c>
      <c r="E3486" t="inlineStr">
        <is>
          <t>Stage 3</t>
        </is>
      </c>
      <c r="F3486" t="inlineStr">
        <is>
          <t>N/A</t>
        </is>
      </c>
      <c r="G3486" s="26">
        <v>1003679</v>
      </c>
      <c r="H3486" s="26">
        <v>552023</v>
      </c>
      <c r="I3486" s="26">
        <v>0</v>
      </c>
      <c r="J3486" s="26">
        <v>213</v>
      </c>
      <c r="K3486" t="inlineStr">
        <is>
          <t>Oui</t>
        </is>
      </c>
      <c r="L3486">
        <f>SUBTOTAL(103,A3486)</f>
        <v>1</v>
      </c>
    </row>
    <row r="3487">
      <c r="A3487" t="inlineStr">
        <is>
          <t>SOCIETE C1635</t>
        </is>
      </c>
      <c r="B3487" t="inlineStr">
        <is>
          <t>C1635</t>
        </is>
      </c>
      <c r="C3487" t="inlineStr">
        <is>
          <t>COMMERCIAL BANKING</t>
        </is>
      </c>
      <c r="D3487" t="inlineStr">
        <is>
          <t>IV</t>
        </is>
      </c>
      <c r="E3487" t="inlineStr">
        <is>
          <t>Stage 3</t>
        </is>
      </c>
      <c r="F3487" t="inlineStr">
        <is>
          <t>N/A</t>
        </is>
      </c>
      <c r="G3487" s="26">
        <v>21122700</v>
      </c>
      <c r="H3487" s="26">
        <v>11617485</v>
      </c>
      <c r="I3487" s="26">
        <v>1950907</v>
      </c>
      <c r="J3487" s="26">
        <v>82</v>
      </c>
      <c r="K3487" t="inlineStr">
        <is>
          <t>Oui</t>
        </is>
      </c>
      <c r="L3487">
        <f>SUBTOTAL(103,A3487)</f>
        <v>1</v>
      </c>
    </row>
    <row r="3488">
      <c r="A3488" t="inlineStr">
        <is>
          <t>SOCIETE C1239</t>
        </is>
      </c>
      <c r="B3488" t="inlineStr">
        <is>
          <t>C1239</t>
        </is>
      </c>
      <c r="C3488" t="inlineStr">
        <is>
          <t>COMMERCIAL BANKING</t>
        </is>
      </c>
      <c r="D3488" t="inlineStr">
        <is>
          <t>V</t>
        </is>
      </c>
      <c r="E3488" t="inlineStr">
        <is>
          <t>Stage 3</t>
        </is>
      </c>
      <c r="F3488" t="inlineStr">
        <is>
          <t>N/A</t>
        </is>
      </c>
      <c r="G3488" s="26">
        <v>570526650</v>
      </c>
      <c r="H3488" s="26">
        <v>313789657</v>
      </c>
      <c r="I3488" s="26">
        <v>0</v>
      </c>
      <c r="J3488" s="26">
        <v>9</v>
      </c>
      <c r="K3488" t="inlineStr">
        <is>
          <t>Oui</t>
        </is>
      </c>
      <c r="L3488">
        <f>SUBTOTAL(103,A3488)</f>
        <v>1</v>
      </c>
    </row>
    <row r="3489">
      <c r="A3489" t="inlineStr">
        <is>
          <t>SOCIETE C875</t>
        </is>
      </c>
      <c r="B3489" t="inlineStr">
        <is>
          <t>C875</t>
        </is>
      </c>
      <c r="C3489" t="inlineStr">
        <is>
          <t>CORPORATE BANKING</t>
        </is>
      </c>
      <c r="D3489" t="inlineStr">
        <is>
          <t>IA</t>
        </is>
      </c>
      <c r="E3489" t="inlineStr">
        <is>
          <t>Stage 2</t>
        </is>
      </c>
      <c r="F3489" t="inlineStr">
        <is>
          <t>N/A</t>
        </is>
      </c>
      <c r="G3489" s="26">
        <v>73328980</v>
      </c>
      <c r="H3489" s="26">
        <v>4399739</v>
      </c>
      <c r="I3489" s="26">
        <v>0</v>
      </c>
      <c r="J3489" s="26">
        <v>97</v>
      </c>
      <c r="K3489" t="inlineStr">
        <is>
          <t>Non</t>
        </is>
      </c>
      <c r="L3489">
        <f>SUBTOTAL(103,A3489)</f>
        <v>1</v>
      </c>
    </row>
    <row r="3490">
      <c r="A3490" t="inlineStr">
        <is>
          <t>SOCIETE C605</t>
        </is>
      </c>
      <c r="B3490" t="inlineStr">
        <is>
          <t>C605</t>
        </is>
      </c>
      <c r="C3490" t="inlineStr">
        <is>
          <t>COMMERCIAL BANKING</t>
        </is>
      </c>
      <c r="D3490" t="inlineStr">
        <is>
          <t>IV</t>
        </is>
      </c>
      <c r="E3490" t="inlineStr">
        <is>
          <t>Stage 3</t>
        </is>
      </c>
      <c r="F3490" t="inlineStr">
        <is>
          <t>N/A</t>
        </is>
      </c>
      <c r="G3490" s="26">
        <v>464464371</v>
      </c>
      <c r="H3490" s="26">
        <v>255455404</v>
      </c>
      <c r="I3490" s="26">
        <v>62562407</v>
      </c>
      <c r="J3490" s="26">
        <v>48</v>
      </c>
      <c r="K3490" t="inlineStr">
        <is>
          <t>Oui</t>
        </is>
      </c>
      <c r="L3490">
        <f>SUBTOTAL(103,A3490)</f>
        <v>1</v>
      </c>
    </row>
    <row r="3491">
      <c r="A3491" t="inlineStr">
        <is>
          <t>SOCIETE C1436</t>
        </is>
      </c>
      <c r="B3491" t="inlineStr">
        <is>
          <t>C1436</t>
        </is>
      </c>
      <c r="C3491" t="inlineStr">
        <is>
          <t>CORPORATE BANKING</t>
        </is>
      </c>
      <c r="D3491" t="inlineStr">
        <is>
          <t>IV</t>
        </is>
      </c>
      <c r="E3491" t="inlineStr">
        <is>
          <t>Stage 3</t>
        </is>
      </c>
      <c r="F3491" t="inlineStr">
        <is>
          <t>N/A</t>
        </is>
      </c>
      <c r="G3491" s="26">
        <v>392305482</v>
      </c>
      <c r="H3491" s="26">
        <v>215768015</v>
      </c>
      <c r="I3491" s="26">
        <v>0</v>
      </c>
      <c r="J3491" s="26">
        <v>13</v>
      </c>
      <c r="K3491" t="inlineStr">
        <is>
          <t>Oui</t>
        </is>
      </c>
      <c r="L3491">
        <f>SUBTOTAL(103,A3491)</f>
        <v>1</v>
      </c>
    </row>
    <row r="3492">
      <c r="A3492" t="inlineStr">
        <is>
          <t>SOCIETE C829</t>
        </is>
      </c>
      <c r="B3492" t="inlineStr">
        <is>
          <t>C829</t>
        </is>
      </c>
      <c r="C3492" t="inlineStr">
        <is>
          <t>CORPORATE BANKING</t>
        </is>
      </c>
      <c r="D3492" t="inlineStr">
        <is>
          <t>I</t>
        </is>
      </c>
      <c r="E3492" t="inlineStr">
        <is>
          <t>Stage 1</t>
        </is>
      </c>
      <c r="F3492" t="inlineStr">
        <is>
          <t>N/A</t>
        </is>
      </c>
      <c r="G3492" s="26">
        <v>1182441211</v>
      </c>
      <c r="H3492" s="26">
        <v>11824412</v>
      </c>
      <c r="I3492" s="26">
        <v>0</v>
      </c>
      <c r="J3492" s="26">
        <v>42</v>
      </c>
      <c r="K3492" t="inlineStr">
        <is>
          <t>Non</t>
        </is>
      </c>
      <c r="L3492">
        <f>SUBTOTAL(103,A3492)</f>
        <v>1</v>
      </c>
    </row>
    <row r="3493">
      <c r="A3493" t="inlineStr">
        <is>
          <t>SOCIETE C832</t>
        </is>
      </c>
      <c r="B3493" t="inlineStr">
        <is>
          <t>C832</t>
        </is>
      </c>
      <c r="C3493" t="inlineStr">
        <is>
          <t>CORPORATE BANKING</t>
        </is>
      </c>
      <c r="D3493" t="inlineStr">
        <is>
          <t>IA</t>
        </is>
      </c>
      <c r="E3493" t="inlineStr">
        <is>
          <t>Stage 2</t>
        </is>
      </c>
      <c r="F3493" t="inlineStr">
        <is>
          <t>N/A</t>
        </is>
      </c>
      <c r="G3493" s="26">
        <v>111932681</v>
      </c>
      <c r="H3493" s="26">
        <v>6715961</v>
      </c>
      <c r="I3493" s="26">
        <v>19079265</v>
      </c>
      <c r="J3493" s="26">
        <v>0</v>
      </c>
      <c r="K3493" t="inlineStr">
        <is>
          <t>Non</t>
        </is>
      </c>
      <c r="L3493">
        <f>SUBTOTAL(103,A3493)</f>
        <v>1</v>
      </c>
    </row>
    <row r="3494">
      <c r="A3494" t="inlineStr">
        <is>
          <t>SOCIETE C783</t>
        </is>
      </c>
      <c r="B3494" t="inlineStr">
        <is>
          <t>C783</t>
        </is>
      </c>
      <c r="C3494" t="inlineStr">
        <is>
          <t>CORPORATE BANKING</t>
        </is>
      </c>
      <c r="D3494" t="inlineStr">
        <is>
          <t>IV</t>
        </is>
      </c>
      <c r="E3494" t="inlineStr">
        <is>
          <t>Stage 3</t>
        </is>
      </c>
      <c r="F3494" t="inlineStr">
        <is>
          <t>N/A</t>
        </is>
      </c>
      <c r="G3494" s="26">
        <v>1000000</v>
      </c>
      <c r="H3494" s="26">
        <v>550000</v>
      </c>
      <c r="I3494" s="26">
        <v>187667</v>
      </c>
      <c r="J3494" s="26">
        <v>144</v>
      </c>
      <c r="K3494" t="inlineStr">
        <is>
          <t>Oui</t>
        </is>
      </c>
      <c r="L3494">
        <f>SUBTOTAL(103,A3494)</f>
        <v>1</v>
      </c>
    </row>
    <row r="3495">
      <c r="A3495" t="inlineStr">
        <is>
          <t>SOCIETE C825</t>
        </is>
      </c>
      <c r="B3495" t="inlineStr">
        <is>
          <t>C825</t>
        </is>
      </c>
      <c r="C3495" t="inlineStr">
        <is>
          <t>CONSUMER BANKING</t>
        </is>
      </c>
      <c r="D3495" t="inlineStr">
        <is>
          <t>IV</t>
        </is>
      </c>
      <c r="E3495" t="inlineStr">
        <is>
          <t>Stage 3</t>
        </is>
      </c>
      <c r="F3495" t="inlineStr">
        <is>
          <t>N/A</t>
        </is>
      </c>
      <c r="G3495" s="26">
        <v>311528391</v>
      </c>
      <c r="H3495" s="26">
        <v>171340615</v>
      </c>
      <c r="I3495" s="26">
        <v>57828768</v>
      </c>
      <c r="J3495" s="26">
        <v>52</v>
      </c>
      <c r="K3495" t="inlineStr">
        <is>
          <t>Oui</t>
        </is>
      </c>
      <c r="L3495">
        <f>SUBTOTAL(103,A3495)</f>
        <v>1</v>
      </c>
    </row>
    <row r="3496">
      <c r="A3496" t="inlineStr">
        <is>
          <t>SOCIETE C370</t>
        </is>
      </c>
      <c r="B3496" t="inlineStr">
        <is>
          <t>C370</t>
        </is>
      </c>
      <c r="C3496" t="inlineStr">
        <is>
          <t>COMMERCIAL BANKING</t>
        </is>
      </c>
      <c r="D3496" t="inlineStr">
        <is>
          <t>I</t>
        </is>
      </c>
      <c r="E3496" t="inlineStr">
        <is>
          <t>Stage 1</t>
        </is>
      </c>
      <c r="F3496" t="inlineStr">
        <is>
          <t>N/A</t>
        </is>
      </c>
      <c r="G3496" s="26">
        <v>279832584</v>
      </c>
      <c r="H3496" s="26">
        <v>2798326</v>
      </c>
      <c r="I3496" s="26">
        <v>0</v>
      </c>
      <c r="J3496" s="26">
        <v>40</v>
      </c>
      <c r="K3496" t="inlineStr">
        <is>
          <t>Non</t>
        </is>
      </c>
      <c r="L3496">
        <f>SUBTOTAL(103,A3496)</f>
        <v>1</v>
      </c>
    </row>
    <row r="3497">
      <c r="A3497" t="inlineStr">
        <is>
          <t>SOCIETE C645</t>
        </is>
      </c>
      <c r="B3497" t="inlineStr">
        <is>
          <t>C645</t>
        </is>
      </c>
      <c r="C3497" t="inlineStr">
        <is>
          <t>CORPORATE BANKING</t>
        </is>
      </c>
      <c r="D3497" t="inlineStr">
        <is>
          <t>IA</t>
        </is>
      </c>
      <c r="E3497" t="inlineStr">
        <is>
          <t>Stage 2</t>
        </is>
      </c>
      <c r="F3497" t="inlineStr">
        <is>
          <t>N/A</t>
        </is>
      </c>
      <c r="G3497" s="26">
        <v>21210518</v>
      </c>
      <c r="H3497" s="26">
        <v>1272631</v>
      </c>
      <c r="I3497" s="26">
        <v>1535805</v>
      </c>
      <c r="J3497" s="26">
        <v>201</v>
      </c>
      <c r="K3497" t="inlineStr">
        <is>
          <t>Non</t>
        </is>
      </c>
      <c r="L3497">
        <f>SUBTOTAL(103,A3497)</f>
        <v>1</v>
      </c>
    </row>
    <row r="3498">
      <c r="A3498" t="inlineStr">
        <is>
          <t>SOCIETE C1143</t>
        </is>
      </c>
      <c r="B3498" t="inlineStr">
        <is>
          <t>C1143</t>
        </is>
      </c>
      <c r="C3498" t="inlineStr">
        <is>
          <t>CORPORATE BANKING</t>
        </is>
      </c>
      <c r="D3498" t="inlineStr">
        <is>
          <t>III</t>
        </is>
      </c>
      <c r="E3498" t="inlineStr">
        <is>
          <t>Stage 3</t>
        </is>
      </c>
      <c r="F3498" t="inlineStr">
        <is>
          <t>N/A</t>
        </is>
      </c>
      <c r="G3498" s="26">
        <v>75454698</v>
      </c>
      <c r="H3498" s="26">
        <v>41500084</v>
      </c>
      <c r="I3498" s="26">
        <v>0</v>
      </c>
      <c r="J3498" s="26">
        <v>178</v>
      </c>
      <c r="K3498" t="inlineStr">
        <is>
          <t>Oui</t>
        </is>
      </c>
      <c r="L3498">
        <f>SUBTOTAL(103,A3498)</f>
        <v>1</v>
      </c>
    </row>
    <row r="3499">
      <c r="A3499" t="inlineStr">
        <is>
          <t>SOCIETE C444</t>
        </is>
      </c>
      <c r="B3499" t="inlineStr">
        <is>
          <t>C444</t>
        </is>
      </c>
      <c r="C3499" t="inlineStr">
        <is>
          <t>PUBLIC SECTOR</t>
        </is>
      </c>
      <c r="D3499" t="inlineStr">
        <is>
          <t>I</t>
        </is>
      </c>
      <c r="E3499" t="inlineStr">
        <is>
          <t>Stage 1</t>
        </is>
      </c>
      <c r="F3499" t="inlineStr">
        <is>
          <t>N/A</t>
        </is>
      </c>
      <c r="G3499" s="26">
        <v>7476446</v>
      </c>
      <c r="H3499" s="26">
        <v>74764</v>
      </c>
      <c r="I3499" s="26">
        <v>0</v>
      </c>
      <c r="J3499" s="26">
        <v>66</v>
      </c>
      <c r="K3499" t="inlineStr">
        <is>
          <t>Non</t>
        </is>
      </c>
      <c r="L3499">
        <f>SUBTOTAL(103,A3499)</f>
        <v>1</v>
      </c>
    </row>
    <row r="3500">
      <c r="A3500" t="inlineStr">
        <is>
          <t>SOCIETE C970</t>
        </is>
      </c>
      <c r="B3500" t="inlineStr">
        <is>
          <t>C970</t>
        </is>
      </c>
      <c r="C3500" t="inlineStr">
        <is>
          <t>CORPORATE BANKING</t>
        </is>
      </c>
      <c r="D3500" t="inlineStr">
        <is>
          <t>III</t>
        </is>
      </c>
      <c r="E3500" t="inlineStr">
        <is>
          <t>Stage 3</t>
        </is>
      </c>
      <c r="F3500" t="inlineStr">
        <is>
          <t>N/A</t>
        </is>
      </c>
      <c r="G3500" s="26">
        <v>1691243842</v>
      </c>
      <c r="H3500" s="26">
        <v>930184113</v>
      </c>
      <c r="I3500" s="26">
        <v>0</v>
      </c>
      <c r="J3500" s="26">
        <v>74</v>
      </c>
      <c r="K3500" t="inlineStr">
        <is>
          <t>Oui</t>
        </is>
      </c>
      <c r="L3500">
        <f>SUBTOTAL(103,A3500)</f>
        <v>1</v>
      </c>
    </row>
    <row r="3501">
      <c r="A3501" t="inlineStr">
        <is>
          <t>SOCIETE C1964</t>
        </is>
      </c>
      <c r="B3501" t="inlineStr">
        <is>
          <t>C1964</t>
        </is>
      </c>
      <c r="C3501" t="inlineStr">
        <is>
          <t>CORPORATE BANKING</t>
        </is>
      </c>
      <c r="D3501" t="inlineStr">
        <is>
          <t>V</t>
        </is>
      </c>
      <c r="E3501" t="inlineStr">
        <is>
          <t>Stage 3</t>
        </is>
      </c>
      <c r="F3501" t="inlineStr">
        <is>
          <t>N/A</t>
        </is>
      </c>
      <c r="G3501" s="26">
        <v>289797939</v>
      </c>
      <c r="H3501" s="26">
        <v>159388866</v>
      </c>
      <c r="I3501" s="26">
        <v>41374308</v>
      </c>
      <c r="J3501" s="26">
        <v>28</v>
      </c>
      <c r="K3501" t="inlineStr">
        <is>
          <t>Oui</t>
        </is>
      </c>
      <c r="L3501">
        <f>SUBTOTAL(103,A3501)</f>
        <v>1</v>
      </c>
    </row>
    <row r="3502">
      <c r="A3502" t="inlineStr">
        <is>
          <t>SOCIETE C0</t>
        </is>
      </c>
      <c r="B3502" t="inlineStr">
        <is>
          <t>C0</t>
        </is>
      </c>
      <c r="C3502" t="inlineStr">
        <is>
          <t>CONSUMER BANKING</t>
        </is>
      </c>
      <c r="D3502" t="inlineStr">
        <is>
          <t>III</t>
        </is>
      </c>
      <c r="E3502" t="inlineStr">
        <is>
          <t>Stage 3</t>
        </is>
      </c>
      <c r="F3502" t="inlineStr">
        <is>
          <t>N/A</t>
        </is>
      </c>
      <c r="G3502" s="26">
        <v>4115513</v>
      </c>
      <c r="H3502" s="26">
        <v>2263532</v>
      </c>
      <c r="I3502" s="26">
        <v>0</v>
      </c>
      <c r="J3502" s="26">
        <v>241</v>
      </c>
      <c r="K3502" t="inlineStr">
        <is>
          <t>Oui</t>
        </is>
      </c>
      <c r="L3502">
        <f>SUBTOTAL(103,A3502)</f>
        <v>1</v>
      </c>
    </row>
    <row r="3503">
      <c r="A3503" t="inlineStr">
        <is>
          <t>SOCIETE C229</t>
        </is>
      </c>
      <c r="B3503" t="inlineStr">
        <is>
          <t>C229</t>
        </is>
      </c>
      <c r="C3503" t="inlineStr">
        <is>
          <t>CORPORATE BANKING</t>
        </is>
      </c>
      <c r="D3503" t="inlineStr">
        <is>
          <t>I</t>
        </is>
      </c>
      <c r="E3503" t="inlineStr">
        <is>
          <t>Stage 1</t>
        </is>
      </c>
      <c r="F3503" t="inlineStr">
        <is>
          <t>N/A</t>
        </is>
      </c>
      <c r="G3503" s="26">
        <v>958063244</v>
      </c>
      <c r="H3503" s="26">
        <v>9580632</v>
      </c>
      <c r="I3503" s="26">
        <v>0</v>
      </c>
      <c r="J3503" s="26">
        <v>254</v>
      </c>
      <c r="K3503" t="inlineStr">
        <is>
          <t>Non</t>
        </is>
      </c>
      <c r="L3503">
        <f>SUBTOTAL(103,A3503)</f>
        <v>1</v>
      </c>
    </row>
    <row r="3504">
      <c r="A3504" t="inlineStr">
        <is>
          <t>SOCIETE C350</t>
        </is>
      </c>
      <c r="B3504" t="inlineStr">
        <is>
          <t>C350</t>
        </is>
      </c>
      <c r="C3504" t="inlineStr">
        <is>
          <t>CORPORATE BANKING</t>
        </is>
      </c>
      <c r="D3504" t="inlineStr">
        <is>
          <t>IA</t>
        </is>
      </c>
      <c r="E3504" t="inlineStr">
        <is>
          <t>Stage 2</t>
        </is>
      </c>
      <c r="F3504" t="inlineStr">
        <is>
          <t>N/A</t>
        </is>
      </c>
      <c r="G3504" s="26">
        <v>437099781</v>
      </c>
      <c r="H3504" s="26">
        <v>26225987</v>
      </c>
      <c r="I3504" s="26">
        <v>0</v>
      </c>
      <c r="J3504" s="26">
        <v>6</v>
      </c>
      <c r="K3504" t="inlineStr">
        <is>
          <t>Non</t>
        </is>
      </c>
      <c r="L3504">
        <f>SUBTOTAL(103,A3504)</f>
        <v>1</v>
      </c>
    </row>
    <row r="3505">
      <c r="A3505" t="inlineStr">
        <is>
          <t>SOCIETE C2302</t>
        </is>
      </c>
      <c r="B3505" t="inlineStr">
        <is>
          <t>C2302</t>
        </is>
      </c>
      <c r="C3505" t="inlineStr">
        <is>
          <t>CORPORATE BANKING</t>
        </is>
      </c>
      <c r="D3505" t="inlineStr">
        <is>
          <t>II</t>
        </is>
      </c>
      <c r="E3505" t="inlineStr">
        <is>
          <t>Stage 2</t>
        </is>
      </c>
      <c r="F3505" t="inlineStr">
        <is>
          <t>N/A</t>
        </is>
      </c>
      <c r="G3505" s="26">
        <v>606718672</v>
      </c>
      <c r="H3505" s="26">
        <v>36403120</v>
      </c>
      <c r="I3505" s="26">
        <v>0</v>
      </c>
      <c r="J3505" s="26">
        <v>2</v>
      </c>
      <c r="K3505" t="inlineStr">
        <is>
          <t>Non</t>
        </is>
      </c>
      <c r="L3505">
        <f>SUBTOTAL(103,A3505)</f>
        <v>1</v>
      </c>
    </row>
    <row r="3506">
      <c r="A3506" t="inlineStr">
        <is>
          <t>SOCIETE C718</t>
        </is>
      </c>
      <c r="B3506" t="inlineStr">
        <is>
          <t>C718</t>
        </is>
      </c>
      <c r="C3506" t="inlineStr">
        <is>
          <t>CORPORATE BANKING</t>
        </is>
      </c>
      <c r="D3506" t="inlineStr">
        <is>
          <t>IA</t>
        </is>
      </c>
      <c r="E3506" t="inlineStr">
        <is>
          <t>Stage 2</t>
        </is>
      </c>
      <c r="F3506" t="inlineStr">
        <is>
          <t>N/A</t>
        </is>
      </c>
      <c r="G3506" s="26">
        <v>7273850</v>
      </c>
      <c r="H3506" s="26">
        <v>436431</v>
      </c>
      <c r="I3506" s="26">
        <v>0</v>
      </c>
      <c r="J3506" s="26">
        <v>191</v>
      </c>
      <c r="K3506" t="inlineStr">
        <is>
          <t>Non</t>
        </is>
      </c>
      <c r="L3506">
        <f>SUBTOTAL(103,A3506)</f>
        <v>1</v>
      </c>
    </row>
    <row r="3507">
      <c r="A3507" t="inlineStr">
        <is>
          <t>SOCIETE C1409</t>
        </is>
      </c>
      <c r="B3507" t="inlineStr">
        <is>
          <t>C1409</t>
        </is>
      </c>
      <c r="C3507" t="inlineStr">
        <is>
          <t>CORPORATE BANKING</t>
        </is>
      </c>
      <c r="D3507" t="inlineStr">
        <is>
          <t>IV</t>
        </is>
      </c>
      <c r="E3507" t="inlineStr">
        <is>
          <t>Stage 3</t>
        </is>
      </c>
      <c r="F3507" t="inlineStr">
        <is>
          <t>N/A</t>
        </is>
      </c>
      <c r="G3507" s="26">
        <v>632252131</v>
      </c>
      <c r="H3507" s="26">
        <v>347738672</v>
      </c>
      <c r="I3507" s="26">
        <v>24870177</v>
      </c>
      <c r="J3507" s="26">
        <v>148</v>
      </c>
      <c r="K3507" t="inlineStr">
        <is>
          <t>Oui</t>
        </is>
      </c>
      <c r="L3507">
        <f>SUBTOTAL(103,A3507)</f>
        <v>1</v>
      </c>
    </row>
    <row r="3508">
      <c r="A3508" t="inlineStr">
        <is>
          <t>SOCIETE C1511</t>
        </is>
      </c>
      <c r="B3508" t="inlineStr">
        <is>
          <t>C1511</t>
        </is>
      </c>
      <c r="C3508" t="inlineStr">
        <is>
          <t>COMMERCIAL BANKING</t>
        </is>
      </c>
      <c r="D3508" t="inlineStr">
        <is>
          <t>I</t>
        </is>
      </c>
      <c r="E3508" t="inlineStr">
        <is>
          <t>Stage 1</t>
        </is>
      </c>
      <c r="F3508" t="inlineStr">
        <is>
          <t>N/A</t>
        </is>
      </c>
      <c r="G3508" s="26">
        <v>16986132</v>
      </c>
      <c r="H3508" s="26">
        <v>169861</v>
      </c>
      <c r="I3508" s="26">
        <v>0</v>
      </c>
      <c r="J3508" s="26">
        <v>41</v>
      </c>
      <c r="K3508" t="inlineStr">
        <is>
          <t>Non</t>
        </is>
      </c>
      <c r="L3508">
        <f>SUBTOTAL(103,A3508)</f>
        <v>1</v>
      </c>
    </row>
    <row r="3509">
      <c r="A3509" t="inlineStr">
        <is>
          <t>SOCIETE C894</t>
        </is>
      </c>
      <c r="B3509" t="inlineStr">
        <is>
          <t>C894</t>
        </is>
      </c>
      <c r="C3509" t="inlineStr">
        <is>
          <t>CORPORATE BANKING</t>
        </is>
      </c>
      <c r="D3509" t="inlineStr">
        <is>
          <t>IA</t>
        </is>
      </c>
      <c r="E3509" t="inlineStr">
        <is>
          <t>Stage 2</t>
        </is>
      </c>
      <c r="F3509" t="inlineStr">
        <is>
          <t>N/A</t>
        </is>
      </c>
      <c r="G3509" s="26">
        <v>349456907</v>
      </c>
      <c r="H3509" s="26">
        <v>20967414</v>
      </c>
      <c r="I3509" s="26">
        <v>0</v>
      </c>
      <c r="J3509" s="26">
        <v>38</v>
      </c>
      <c r="K3509" t="inlineStr">
        <is>
          <t>Non</t>
        </is>
      </c>
      <c r="L3509">
        <f>SUBTOTAL(103,A3509)</f>
        <v>1</v>
      </c>
    </row>
    <row r="3510">
      <c r="A3510" t="inlineStr">
        <is>
          <t>SOCIETE C1517</t>
        </is>
      </c>
      <c r="B3510" t="inlineStr">
        <is>
          <t>C1517</t>
        </is>
      </c>
      <c r="C3510" t="inlineStr">
        <is>
          <t>CORPORATE BANKING</t>
        </is>
      </c>
      <c r="D3510" t="inlineStr">
        <is>
          <t>III</t>
        </is>
      </c>
      <c r="E3510" t="inlineStr">
        <is>
          <t>Stage 3</t>
        </is>
      </c>
      <c r="F3510" t="inlineStr">
        <is>
          <t>N/A</t>
        </is>
      </c>
      <c r="G3510" s="26">
        <v>2180503</v>
      </c>
      <c r="H3510" s="26">
        <v>1199277</v>
      </c>
      <c r="I3510" s="26">
        <v>211771</v>
      </c>
      <c r="J3510" s="26">
        <v>91</v>
      </c>
      <c r="K3510" t="inlineStr">
        <is>
          <t>Oui</t>
        </is>
      </c>
      <c r="L3510">
        <f>SUBTOTAL(103,A3510)</f>
        <v>1</v>
      </c>
    </row>
    <row r="3511">
      <c r="A3511" t="inlineStr">
        <is>
          <t>SOCIETE C1339</t>
        </is>
      </c>
      <c r="B3511" t="inlineStr">
        <is>
          <t>C1339</t>
        </is>
      </c>
      <c r="C3511" t="inlineStr">
        <is>
          <t>COMMERCIAL BANKING</t>
        </is>
      </c>
      <c r="D3511" t="inlineStr">
        <is>
          <t>I</t>
        </is>
      </c>
      <c r="E3511" t="inlineStr">
        <is>
          <t>Stage 1</t>
        </is>
      </c>
      <c r="F3511" t="inlineStr">
        <is>
          <t>N/A</t>
        </is>
      </c>
      <c r="G3511" s="26">
        <v>636233448</v>
      </c>
      <c r="H3511" s="26">
        <v>6362334</v>
      </c>
      <c r="I3511" s="26">
        <v>0</v>
      </c>
      <c r="J3511" s="26">
        <v>82</v>
      </c>
      <c r="K3511" t="inlineStr">
        <is>
          <t>Non</t>
        </is>
      </c>
      <c r="L3511">
        <f>SUBTOTAL(103,A3511)</f>
        <v>1</v>
      </c>
    </row>
    <row r="3512">
      <c r="A3512" t="inlineStr">
        <is>
          <t>SOCIETE C6</t>
        </is>
      </c>
      <c r="B3512" t="inlineStr">
        <is>
          <t>C6</t>
        </is>
      </c>
      <c r="C3512" t="inlineStr">
        <is>
          <t>PUBLIC SECTOR</t>
        </is>
      </c>
      <c r="D3512" t="inlineStr">
        <is>
          <t>I</t>
        </is>
      </c>
      <c r="E3512" t="inlineStr">
        <is>
          <t>Stage 1</t>
        </is>
      </c>
      <c r="F3512" t="inlineStr">
        <is>
          <t>N/A</t>
        </is>
      </c>
      <c r="G3512" s="26">
        <v>171986270</v>
      </c>
      <c r="H3512" s="26">
        <v>1719863</v>
      </c>
      <c r="I3512" s="26">
        <v>20723815</v>
      </c>
      <c r="J3512" s="26">
        <v>51</v>
      </c>
      <c r="K3512" t="inlineStr">
        <is>
          <t>Non</t>
        </is>
      </c>
      <c r="L3512">
        <f>SUBTOTAL(103,A3512)</f>
        <v>1</v>
      </c>
    </row>
    <row r="3513">
      <c r="A3513" t="inlineStr">
        <is>
          <t>SOCIETE C1136</t>
        </is>
      </c>
      <c r="B3513" t="inlineStr">
        <is>
          <t>C1136</t>
        </is>
      </c>
      <c r="C3513" t="inlineStr">
        <is>
          <t>CORPORATE BANKING</t>
        </is>
      </c>
      <c r="D3513" t="inlineStr">
        <is>
          <t>I</t>
        </is>
      </c>
      <c r="E3513" t="inlineStr">
        <is>
          <t>Stage 1</t>
        </is>
      </c>
      <c r="F3513" t="inlineStr">
        <is>
          <t>N/A</t>
        </is>
      </c>
      <c r="G3513" s="26">
        <v>1000700</v>
      </c>
      <c r="H3513" s="26">
        <v>10007</v>
      </c>
      <c r="I3513" s="26">
        <v>79109</v>
      </c>
      <c r="J3513" s="26">
        <v>25</v>
      </c>
      <c r="K3513" t="inlineStr">
        <is>
          <t>Non</t>
        </is>
      </c>
      <c r="L3513">
        <f>SUBTOTAL(103,A3513)</f>
        <v>1</v>
      </c>
    </row>
    <row r="3514">
      <c r="A3514" t="inlineStr">
        <is>
          <t>SOCIETE C1907</t>
        </is>
      </c>
      <c r="B3514" t="inlineStr">
        <is>
          <t>C1907</t>
        </is>
      </c>
      <c r="C3514" t="inlineStr">
        <is>
          <t>SME</t>
        </is>
      </c>
      <c r="D3514" t="inlineStr">
        <is>
          <t>I</t>
        </is>
      </c>
      <c r="E3514" t="inlineStr">
        <is>
          <t>Stage 1</t>
        </is>
      </c>
      <c r="F3514" t="inlineStr">
        <is>
          <t>N/A</t>
        </is>
      </c>
      <c r="G3514" s="26">
        <v>366873067</v>
      </c>
      <c r="H3514" s="26">
        <v>3668731</v>
      </c>
      <c r="I3514" s="26">
        <v>0</v>
      </c>
      <c r="J3514" s="26">
        <v>28</v>
      </c>
      <c r="K3514" t="inlineStr">
        <is>
          <t>Non</t>
        </is>
      </c>
      <c r="L3514">
        <f>SUBTOTAL(103,A3514)</f>
        <v>1</v>
      </c>
    </row>
    <row r="3515">
      <c r="A3515" t="inlineStr">
        <is>
          <t>SOCIETE C689</t>
        </is>
      </c>
      <c r="B3515" t="inlineStr">
        <is>
          <t>C689</t>
        </is>
      </c>
      <c r="C3515" t="inlineStr">
        <is>
          <t>CONSUMER BANKING</t>
        </is>
      </c>
      <c r="D3515" t="inlineStr">
        <is>
          <t>V</t>
        </is>
      </c>
      <c r="E3515" t="inlineStr">
        <is>
          <t>Stage 3</t>
        </is>
      </c>
      <c r="F3515" t="inlineStr">
        <is>
          <t>N/A</t>
        </is>
      </c>
      <c r="G3515" s="26">
        <v>19199495</v>
      </c>
      <c r="H3515" s="26">
        <v>10559722</v>
      </c>
      <c r="I3515" s="26">
        <v>3084022</v>
      </c>
      <c r="J3515" s="26">
        <v>121</v>
      </c>
      <c r="K3515" t="inlineStr">
        <is>
          <t>Oui</t>
        </is>
      </c>
      <c r="L3515">
        <f>SUBTOTAL(103,A3515)</f>
        <v>1</v>
      </c>
    </row>
    <row r="3516">
      <c r="A3516" t="inlineStr">
        <is>
          <t>SOCIETE C1070</t>
        </is>
      </c>
      <c r="B3516" t="inlineStr">
        <is>
          <t>C1070</t>
        </is>
      </c>
      <c r="C3516" t="inlineStr">
        <is>
          <t>SME</t>
        </is>
      </c>
      <c r="D3516" t="inlineStr">
        <is>
          <t>I</t>
        </is>
      </c>
      <c r="E3516" t="inlineStr">
        <is>
          <t>Stage 1</t>
        </is>
      </c>
      <c r="F3516" t="inlineStr">
        <is>
          <t>N/A</t>
        </is>
      </c>
      <c r="G3516" s="26">
        <v>127276498</v>
      </c>
      <c r="H3516" s="26">
        <v>1272765</v>
      </c>
      <c r="I3516" s="26">
        <v>0</v>
      </c>
      <c r="J3516" s="26">
        <v>51</v>
      </c>
      <c r="K3516" t="inlineStr">
        <is>
          <t>Non</t>
        </is>
      </c>
      <c r="L3516">
        <f>SUBTOTAL(103,A3516)</f>
        <v>1</v>
      </c>
    </row>
    <row r="3517">
      <c r="A3517" t="inlineStr">
        <is>
          <t>SOCIETE C1586</t>
        </is>
      </c>
      <c r="B3517" t="inlineStr">
        <is>
          <t>C1586</t>
        </is>
      </c>
      <c r="C3517" t="inlineStr">
        <is>
          <t>INSTITUTIONAL</t>
        </is>
      </c>
      <c r="D3517" t="inlineStr">
        <is>
          <t>I</t>
        </is>
      </c>
      <c r="E3517" t="inlineStr">
        <is>
          <t>Stage 1</t>
        </is>
      </c>
      <c r="F3517" t="inlineStr">
        <is>
          <t>N/A</t>
        </is>
      </c>
      <c r="G3517" s="26">
        <v>1430912073</v>
      </c>
      <c r="H3517" s="26">
        <v>14309121</v>
      </c>
      <c r="I3517" s="26">
        <v>166967410</v>
      </c>
      <c r="J3517" s="26">
        <v>89</v>
      </c>
      <c r="K3517" t="inlineStr">
        <is>
          <t>Non</t>
        </is>
      </c>
      <c r="L3517">
        <f>SUBTOTAL(103,A3517)</f>
        <v>1</v>
      </c>
    </row>
    <row r="3518">
      <c r="A3518" t="inlineStr">
        <is>
          <t>SOCIETE C975</t>
        </is>
      </c>
      <c r="B3518" t="inlineStr">
        <is>
          <t>C975</t>
        </is>
      </c>
      <c r="C3518" t="inlineStr">
        <is>
          <t>COMMERCIAL BANKING</t>
        </is>
      </c>
      <c r="D3518" t="inlineStr">
        <is>
          <t>IV</t>
        </is>
      </c>
      <c r="E3518" t="inlineStr">
        <is>
          <t>Stage 3</t>
        </is>
      </c>
      <c r="F3518" t="inlineStr">
        <is>
          <t>N/A</t>
        </is>
      </c>
      <c r="G3518" s="26">
        <v>682564869</v>
      </c>
      <c r="H3518" s="26">
        <v>375410678</v>
      </c>
      <c r="I3518" s="26">
        <v>0</v>
      </c>
      <c r="J3518" s="26">
        <v>40</v>
      </c>
      <c r="K3518" t="inlineStr">
        <is>
          <t>Oui</t>
        </is>
      </c>
      <c r="L3518">
        <f>SUBTOTAL(103,A3518)</f>
        <v>1</v>
      </c>
    </row>
    <row r="3519">
      <c r="A3519" t="inlineStr">
        <is>
          <t>SOCIETE C312</t>
        </is>
      </c>
      <c r="B3519" t="inlineStr">
        <is>
          <t>C312</t>
        </is>
      </c>
      <c r="C3519" t="inlineStr">
        <is>
          <t>CONSUMER BANKING</t>
        </is>
      </c>
      <c r="D3519" t="inlineStr">
        <is>
          <t>I</t>
        </is>
      </c>
      <c r="E3519" t="inlineStr">
        <is>
          <t>Stage 1</t>
        </is>
      </c>
      <c r="F3519" t="inlineStr">
        <is>
          <t>N/A</t>
        </is>
      </c>
      <c r="G3519" s="26">
        <v>589777066</v>
      </c>
      <c r="H3519" s="26">
        <v>5897771</v>
      </c>
      <c r="I3519" s="26">
        <v>46165030</v>
      </c>
      <c r="J3519" s="26">
        <v>235</v>
      </c>
      <c r="K3519" t="inlineStr">
        <is>
          <t>Non</t>
        </is>
      </c>
      <c r="L3519">
        <f>SUBTOTAL(103,A3519)</f>
        <v>1</v>
      </c>
    </row>
    <row r="3520">
      <c r="A3520" t="inlineStr">
        <is>
          <t>SOCIETE C1474</t>
        </is>
      </c>
      <c r="B3520" t="inlineStr">
        <is>
          <t>C1474</t>
        </is>
      </c>
      <c r="C3520" t="inlineStr">
        <is>
          <t>CORPORATE BANKING</t>
        </is>
      </c>
      <c r="D3520" t="inlineStr">
        <is>
          <t>I</t>
        </is>
      </c>
      <c r="E3520" t="inlineStr">
        <is>
          <t>Stage 1</t>
        </is>
      </c>
      <c r="F3520" t="inlineStr">
        <is>
          <t>N/A</t>
        </is>
      </c>
      <c r="G3520" s="26">
        <v>1195799876</v>
      </c>
      <c r="H3520" s="26">
        <v>11957999</v>
      </c>
      <c r="I3520" s="26">
        <v>0</v>
      </c>
      <c r="J3520" s="26">
        <v>101</v>
      </c>
      <c r="K3520" t="inlineStr">
        <is>
          <t>Non</t>
        </is>
      </c>
      <c r="L3520">
        <f>SUBTOTAL(103,A3520)</f>
        <v>1</v>
      </c>
    </row>
    <row r="3521">
      <c r="A3521" t="inlineStr">
        <is>
          <t>SOCIETE C1772</t>
        </is>
      </c>
      <c r="B3521" t="inlineStr">
        <is>
          <t>C1772</t>
        </is>
      </c>
      <c r="C3521" t="inlineStr">
        <is>
          <t>CONSUMER BANKING</t>
        </is>
      </c>
      <c r="D3521" t="inlineStr">
        <is>
          <t>IV</t>
        </is>
      </c>
      <c r="E3521" t="inlineStr">
        <is>
          <t>Stage 3</t>
        </is>
      </c>
      <c r="F3521" t="inlineStr">
        <is>
          <t>N/A</t>
        </is>
      </c>
      <c r="G3521" s="26">
        <v>1639658395</v>
      </c>
      <c r="H3521" s="26">
        <v>901812117</v>
      </c>
      <c r="I3521" s="26">
        <v>227145474</v>
      </c>
      <c r="J3521" s="26">
        <v>203</v>
      </c>
      <c r="K3521" t="inlineStr">
        <is>
          <t>Oui</t>
        </is>
      </c>
      <c r="L3521">
        <f>SUBTOTAL(103,A3521)</f>
        <v>1</v>
      </c>
    </row>
    <row r="3522">
      <c r="A3522" t="inlineStr">
        <is>
          <t>SOCIETE C2456</t>
        </is>
      </c>
      <c r="B3522" t="inlineStr">
        <is>
          <t>C2456</t>
        </is>
      </c>
      <c r="C3522" t="inlineStr">
        <is>
          <t>CORPORATE BANKING</t>
        </is>
      </c>
      <c r="D3522" t="inlineStr">
        <is>
          <t>IA</t>
        </is>
      </c>
      <c r="E3522" t="inlineStr">
        <is>
          <t>Stage 2</t>
        </is>
      </c>
      <c r="F3522" t="inlineStr">
        <is>
          <t>N/A</t>
        </is>
      </c>
      <c r="G3522" s="26">
        <v>2051984393</v>
      </c>
      <c r="H3522" s="26">
        <v>123119064</v>
      </c>
      <c r="I3522" s="26">
        <v>0</v>
      </c>
      <c r="J3522" s="26">
        <v>19</v>
      </c>
      <c r="K3522" t="inlineStr">
        <is>
          <t>Non</t>
        </is>
      </c>
      <c r="L3522">
        <f>SUBTOTAL(103,A3522)</f>
        <v>1</v>
      </c>
    </row>
    <row r="3523">
      <c r="A3523" t="inlineStr">
        <is>
          <t>SOCIETE C1347</t>
        </is>
      </c>
      <c r="B3523" t="inlineStr">
        <is>
          <t>C1347</t>
        </is>
      </c>
      <c r="C3523" t="inlineStr">
        <is>
          <t>CORPORATE BANKING</t>
        </is>
      </c>
      <c r="D3523" t="inlineStr">
        <is>
          <t>IV</t>
        </is>
      </c>
      <c r="E3523" t="inlineStr">
        <is>
          <t>Stage 3</t>
        </is>
      </c>
      <c r="F3523" t="inlineStr">
        <is>
          <t>N/A</t>
        </is>
      </c>
      <c r="G3523" s="26">
        <v>22803159</v>
      </c>
      <c r="H3523" s="26">
        <v>12541737</v>
      </c>
      <c r="I3523" s="26">
        <v>1373151</v>
      </c>
      <c r="J3523" s="26">
        <v>142</v>
      </c>
      <c r="K3523" t="inlineStr">
        <is>
          <t>Oui</t>
        </is>
      </c>
      <c r="L3523">
        <f>SUBTOTAL(103,A3523)</f>
        <v>1</v>
      </c>
    </row>
    <row r="3524">
      <c r="A3524" t="inlineStr">
        <is>
          <t>SOCIETE C2350</t>
        </is>
      </c>
      <c r="B3524" t="inlineStr">
        <is>
          <t>C2350</t>
        </is>
      </c>
      <c r="C3524" t="inlineStr">
        <is>
          <t>COMMERCIAL BANKING</t>
        </is>
      </c>
      <c r="D3524" t="inlineStr">
        <is>
          <t>I</t>
        </is>
      </c>
      <c r="E3524" t="inlineStr">
        <is>
          <t>Stage 1</t>
        </is>
      </c>
      <c r="F3524" t="inlineStr">
        <is>
          <t>N/A</t>
        </is>
      </c>
      <c r="G3524" s="26">
        <v>36639079</v>
      </c>
      <c r="H3524" s="26">
        <v>366391</v>
      </c>
      <c r="I3524" s="26">
        <v>0</v>
      </c>
      <c r="J3524" s="26">
        <v>272</v>
      </c>
      <c r="K3524" t="inlineStr">
        <is>
          <t>Non</t>
        </is>
      </c>
      <c r="L3524">
        <f>SUBTOTAL(103,A3524)</f>
        <v>1</v>
      </c>
    </row>
    <row r="3525">
      <c r="A3525" t="inlineStr">
        <is>
          <t>SOCIETE C1899</t>
        </is>
      </c>
      <c r="B3525" t="inlineStr">
        <is>
          <t>C1899</t>
        </is>
      </c>
      <c r="C3525" t="inlineStr">
        <is>
          <t>COMMERCIAL BANKING</t>
        </is>
      </c>
      <c r="D3525" t="inlineStr">
        <is>
          <t>I</t>
        </is>
      </c>
      <c r="E3525" t="inlineStr">
        <is>
          <t>Stage 1</t>
        </is>
      </c>
      <c r="F3525" t="inlineStr">
        <is>
          <t>N/A</t>
        </is>
      </c>
      <c r="G3525" s="26">
        <v>3816762</v>
      </c>
      <c r="H3525" s="26">
        <v>38168</v>
      </c>
      <c r="I3525" s="26">
        <v>0</v>
      </c>
      <c r="J3525" s="26">
        <v>150</v>
      </c>
      <c r="K3525" t="inlineStr">
        <is>
          <t>Non</t>
        </is>
      </c>
      <c r="L3525">
        <f>SUBTOTAL(103,A3525)</f>
        <v>1</v>
      </c>
    </row>
    <row r="3526">
      <c r="A3526" t="inlineStr">
        <is>
          <t>SOCIETE C2375</t>
        </is>
      </c>
      <c r="B3526" t="inlineStr">
        <is>
          <t>C2375</t>
        </is>
      </c>
      <c r="C3526" t="inlineStr">
        <is>
          <t>CORPORATE BANKING</t>
        </is>
      </c>
      <c r="D3526" t="inlineStr">
        <is>
          <t>I</t>
        </is>
      </c>
      <c r="E3526" t="inlineStr">
        <is>
          <t>Stage 1</t>
        </is>
      </c>
      <c r="F3526" t="inlineStr">
        <is>
          <t>N/A</t>
        </is>
      </c>
      <c r="G3526" s="26">
        <v>956029151</v>
      </c>
      <c r="H3526" s="26">
        <v>9560292</v>
      </c>
      <c r="I3526" s="26">
        <v>0</v>
      </c>
      <c r="J3526" s="26">
        <v>165</v>
      </c>
      <c r="K3526" t="inlineStr">
        <is>
          <t>Non</t>
        </is>
      </c>
      <c r="L3526">
        <f>SUBTOTAL(103,A3526)</f>
        <v>1</v>
      </c>
    </row>
    <row r="3527">
      <c r="A3527" t="inlineStr">
        <is>
          <t>SOCIETE C2299</t>
        </is>
      </c>
      <c r="B3527" t="inlineStr">
        <is>
          <t>C2299</t>
        </is>
      </c>
      <c r="C3527" t="inlineStr">
        <is>
          <t>CORPORATE BANKING</t>
        </is>
      </c>
      <c r="D3527" t="inlineStr">
        <is>
          <t>IA</t>
        </is>
      </c>
      <c r="E3527" t="inlineStr">
        <is>
          <t>Stage 2</t>
        </is>
      </c>
      <c r="F3527" t="inlineStr">
        <is>
          <t>N/A</t>
        </is>
      </c>
      <c r="G3527" s="26">
        <v>173650523</v>
      </c>
      <c r="H3527" s="26">
        <v>10419031</v>
      </c>
      <c r="I3527" s="26">
        <v>0</v>
      </c>
      <c r="J3527" s="26">
        <v>80</v>
      </c>
      <c r="K3527" t="inlineStr">
        <is>
          <t>Non</t>
        </is>
      </c>
      <c r="L3527">
        <f>SUBTOTAL(103,A3527)</f>
        <v>1</v>
      </c>
    </row>
    <row r="3528">
      <c r="A3528" t="inlineStr">
        <is>
          <t>SOCIETE C2354</t>
        </is>
      </c>
      <c r="B3528" t="inlineStr">
        <is>
          <t>C2354</t>
        </is>
      </c>
      <c r="C3528" t="inlineStr">
        <is>
          <t>CORPORATE BANKING</t>
        </is>
      </c>
      <c r="D3528" t="inlineStr">
        <is>
          <t>I</t>
        </is>
      </c>
      <c r="E3528" t="inlineStr">
        <is>
          <t>Stage 1</t>
        </is>
      </c>
      <c r="F3528" t="inlineStr">
        <is>
          <t>N/A</t>
        </is>
      </c>
      <c r="G3528" s="26">
        <v>142879694</v>
      </c>
      <c r="H3528" s="26">
        <v>1428797</v>
      </c>
      <c r="I3528" s="26">
        <v>0</v>
      </c>
      <c r="J3528" s="26">
        <v>224</v>
      </c>
      <c r="K3528" t="inlineStr">
        <is>
          <t>Non</t>
        </is>
      </c>
      <c r="L3528">
        <f>SUBTOTAL(103,A3528)</f>
        <v>1</v>
      </c>
    </row>
    <row r="3529">
      <c r="A3529" t="inlineStr">
        <is>
          <t>SOCIETE C2178</t>
        </is>
      </c>
      <c r="B3529" t="inlineStr">
        <is>
          <t>C2178</t>
        </is>
      </c>
      <c r="C3529" t="inlineStr">
        <is>
          <t>CORPORATE BANKING</t>
        </is>
      </c>
      <c r="D3529" t="inlineStr">
        <is>
          <t>III</t>
        </is>
      </c>
      <c r="E3529" t="inlineStr">
        <is>
          <t>Stage 3</t>
        </is>
      </c>
      <c r="F3529" t="inlineStr">
        <is>
          <t>N/A</t>
        </is>
      </c>
      <c r="G3529" s="26">
        <v>8899578</v>
      </c>
      <c r="H3529" s="26">
        <v>4894768</v>
      </c>
      <c r="I3529" s="26">
        <v>1485652</v>
      </c>
      <c r="J3529" s="26">
        <v>143</v>
      </c>
      <c r="K3529" t="inlineStr">
        <is>
          <t>Oui</t>
        </is>
      </c>
      <c r="L3529">
        <f>SUBTOTAL(103,A3529)</f>
        <v>1</v>
      </c>
    </row>
    <row r="3530">
      <c r="A3530" t="inlineStr">
        <is>
          <t>SOCIETE C787</t>
        </is>
      </c>
      <c r="B3530" t="inlineStr">
        <is>
          <t>C787</t>
        </is>
      </c>
      <c r="C3530" t="inlineStr">
        <is>
          <t>CORPORATE BANKING</t>
        </is>
      </c>
      <c r="D3530" t="inlineStr">
        <is>
          <t>V</t>
        </is>
      </c>
      <c r="E3530" t="inlineStr">
        <is>
          <t>Stage 3</t>
        </is>
      </c>
      <c r="F3530" t="inlineStr">
        <is>
          <t>N/A</t>
        </is>
      </c>
      <c r="G3530" s="26">
        <v>1738034175</v>
      </c>
      <c r="H3530" s="26">
        <v>955918796</v>
      </c>
      <c r="I3530" s="26">
        <v>0</v>
      </c>
      <c r="J3530" s="26">
        <v>42</v>
      </c>
      <c r="K3530" t="inlineStr">
        <is>
          <t>Oui</t>
        </is>
      </c>
      <c r="L3530">
        <f>SUBTOTAL(103,A3530)</f>
        <v>1</v>
      </c>
    </row>
    <row r="3531">
      <c r="A3531" t="inlineStr">
        <is>
          <t>SOCIETE C614</t>
        </is>
      </c>
      <c r="B3531" t="inlineStr">
        <is>
          <t>C614</t>
        </is>
      </c>
      <c r="C3531" t="inlineStr">
        <is>
          <t>PUBLIC SECTOR</t>
        </is>
      </c>
      <c r="D3531" t="inlineStr">
        <is>
          <t>I</t>
        </is>
      </c>
      <c r="E3531" t="inlineStr">
        <is>
          <t>Stage 1</t>
        </is>
      </c>
      <c r="F3531" t="inlineStr">
        <is>
          <t>N/A</t>
        </is>
      </c>
      <c r="G3531" s="26">
        <v>1874224601</v>
      </c>
      <c r="H3531" s="26">
        <v>18742246</v>
      </c>
      <c r="I3531" s="26">
        <v>0</v>
      </c>
      <c r="J3531" s="26">
        <v>65</v>
      </c>
      <c r="K3531" t="inlineStr">
        <is>
          <t>Non</t>
        </is>
      </c>
      <c r="L3531">
        <f>SUBTOTAL(103,A3531)</f>
        <v>1</v>
      </c>
    </row>
    <row r="3532">
      <c r="A3532" t="inlineStr">
        <is>
          <t>SOCIETE C1104</t>
        </is>
      </c>
      <c r="B3532" t="inlineStr">
        <is>
          <t>C1104</t>
        </is>
      </c>
      <c r="C3532" t="inlineStr">
        <is>
          <t>SME</t>
        </is>
      </c>
      <c r="D3532" t="inlineStr">
        <is>
          <t>IA</t>
        </is>
      </c>
      <c r="E3532" t="inlineStr">
        <is>
          <t>Stage 2</t>
        </is>
      </c>
      <c r="F3532" t="inlineStr">
        <is>
          <t>N/A</t>
        </is>
      </c>
      <c r="G3532" s="26">
        <v>146232196</v>
      </c>
      <c r="H3532" s="26">
        <v>8773932</v>
      </c>
      <c r="I3532" s="26">
        <v>0</v>
      </c>
      <c r="J3532" s="26">
        <v>243</v>
      </c>
      <c r="K3532" t="inlineStr">
        <is>
          <t>Non</t>
        </is>
      </c>
      <c r="L3532">
        <f>SUBTOTAL(103,A3532)</f>
        <v>1</v>
      </c>
    </row>
    <row r="3533">
      <c r="A3533" t="inlineStr">
        <is>
          <t>SOCIETE C180</t>
        </is>
      </c>
      <c r="B3533" t="inlineStr">
        <is>
          <t>C180</t>
        </is>
      </c>
      <c r="C3533" t="inlineStr">
        <is>
          <t>CORPORATE BANKING</t>
        </is>
      </c>
      <c r="D3533" t="inlineStr">
        <is>
          <t>II</t>
        </is>
      </c>
      <c r="E3533" t="inlineStr">
        <is>
          <t>Stage 2</t>
        </is>
      </c>
      <c r="F3533" t="inlineStr">
        <is>
          <t>N/A</t>
        </is>
      </c>
      <c r="G3533" s="26">
        <v>96417315</v>
      </c>
      <c r="H3533" s="26">
        <v>5785039</v>
      </c>
      <c r="I3533" s="26">
        <v>0</v>
      </c>
      <c r="J3533" s="26">
        <v>174</v>
      </c>
      <c r="K3533" t="inlineStr">
        <is>
          <t>Non</t>
        </is>
      </c>
      <c r="L3533">
        <f>SUBTOTAL(103,A3533)</f>
        <v>1</v>
      </c>
    </row>
    <row r="3534">
      <c r="A3534" t="inlineStr">
        <is>
          <t>SOCIETE C323</t>
        </is>
      </c>
      <c r="B3534" t="inlineStr">
        <is>
          <t>C323</t>
        </is>
      </c>
      <c r="C3534" t="inlineStr">
        <is>
          <t>CORPORATE BANKING</t>
        </is>
      </c>
      <c r="D3534" t="inlineStr">
        <is>
          <t>I</t>
        </is>
      </c>
      <c r="E3534" t="inlineStr">
        <is>
          <t>Stage 1</t>
        </is>
      </c>
      <c r="F3534" t="inlineStr">
        <is>
          <t>N/A</t>
        </is>
      </c>
      <c r="G3534" s="26">
        <v>147207961</v>
      </c>
      <c r="H3534" s="26">
        <v>1472080</v>
      </c>
      <c r="I3534" s="26">
        <v>0</v>
      </c>
      <c r="J3534" s="26">
        <v>44</v>
      </c>
      <c r="K3534" t="inlineStr">
        <is>
          <t>Non</t>
        </is>
      </c>
      <c r="L3534">
        <f>SUBTOTAL(103,A3534)</f>
        <v>1</v>
      </c>
    </row>
    <row r="3535">
      <c r="A3535" t="inlineStr">
        <is>
          <t>SOCIETE C968</t>
        </is>
      </c>
      <c r="B3535" t="inlineStr">
        <is>
          <t>C968</t>
        </is>
      </c>
      <c r="C3535" t="inlineStr">
        <is>
          <t>CONSUMER BANKING</t>
        </is>
      </c>
      <c r="D3535" t="inlineStr">
        <is>
          <t>IA</t>
        </is>
      </c>
      <c r="E3535" t="inlineStr">
        <is>
          <t>Stage 2</t>
        </is>
      </c>
      <c r="F3535" t="inlineStr">
        <is>
          <t>N/A</t>
        </is>
      </c>
      <c r="G3535" s="26">
        <v>807540355</v>
      </c>
      <c r="H3535" s="26">
        <v>48452421</v>
      </c>
      <c r="I3535" s="26">
        <v>0</v>
      </c>
      <c r="J3535" s="26">
        <v>89</v>
      </c>
      <c r="K3535" t="inlineStr">
        <is>
          <t>Non</t>
        </is>
      </c>
      <c r="L3535">
        <f>SUBTOTAL(103,A3535)</f>
        <v>1</v>
      </c>
    </row>
    <row r="3536">
      <c r="A3536" t="inlineStr">
        <is>
          <t>SOCIETE C30</t>
        </is>
      </c>
      <c r="B3536" t="inlineStr">
        <is>
          <t>C30</t>
        </is>
      </c>
      <c r="C3536" t="inlineStr">
        <is>
          <t>COMMERCIAL BANKING</t>
        </is>
      </c>
      <c r="D3536" t="inlineStr">
        <is>
          <t>V</t>
        </is>
      </c>
      <c r="E3536" t="inlineStr">
        <is>
          <t>Stage 3</t>
        </is>
      </c>
      <c r="F3536" t="inlineStr">
        <is>
          <t>N/A</t>
        </is>
      </c>
      <c r="G3536" s="26">
        <v>2333246255</v>
      </c>
      <c r="H3536" s="26">
        <v>1283285440</v>
      </c>
      <c r="I3536" s="26">
        <v>0</v>
      </c>
      <c r="J3536" s="26">
        <v>28</v>
      </c>
      <c r="K3536" t="inlineStr">
        <is>
          <t>Oui</t>
        </is>
      </c>
      <c r="L3536">
        <f>SUBTOTAL(103,A3536)</f>
        <v>1</v>
      </c>
    </row>
    <row r="3537">
      <c r="A3537" t="inlineStr">
        <is>
          <t>SOCIETE C1655</t>
        </is>
      </c>
      <c r="B3537" t="inlineStr">
        <is>
          <t>C1655</t>
        </is>
      </c>
      <c r="C3537" t="inlineStr">
        <is>
          <t>CORPORATE BANKING</t>
        </is>
      </c>
      <c r="D3537" t="inlineStr">
        <is>
          <t>IA</t>
        </is>
      </c>
      <c r="E3537" t="inlineStr">
        <is>
          <t>Stage 2</t>
        </is>
      </c>
      <c r="F3537" t="inlineStr">
        <is>
          <t>N/A</t>
        </is>
      </c>
      <c r="G3537" s="26">
        <v>7103556</v>
      </c>
      <c r="H3537" s="26">
        <v>426213</v>
      </c>
      <c r="I3537" s="26">
        <v>579092</v>
      </c>
      <c r="J3537" s="26">
        <v>226</v>
      </c>
      <c r="K3537" t="inlineStr">
        <is>
          <t>Non</t>
        </is>
      </c>
      <c r="L3537">
        <f>SUBTOTAL(103,A3537)</f>
        <v>1</v>
      </c>
    </row>
    <row r="3538">
      <c r="A3538" t="inlineStr">
        <is>
          <t>SOCIETE C2215</t>
        </is>
      </c>
      <c r="B3538" t="inlineStr">
        <is>
          <t>C2215</t>
        </is>
      </c>
      <c r="C3538" t="inlineStr">
        <is>
          <t>PUBLIC SECTOR</t>
        </is>
      </c>
      <c r="D3538" t="inlineStr">
        <is>
          <t>V</t>
        </is>
      </c>
      <c r="E3538" t="inlineStr">
        <is>
          <t>Stage 3</t>
        </is>
      </c>
      <c r="F3538" t="inlineStr">
        <is>
          <t>N/A</t>
        </is>
      </c>
      <c r="G3538" s="26">
        <v>302012682</v>
      </c>
      <c r="H3538" s="26">
        <v>166106975</v>
      </c>
      <c r="I3538" s="26">
        <v>0</v>
      </c>
      <c r="J3538" s="26">
        <v>30</v>
      </c>
      <c r="K3538" t="inlineStr">
        <is>
          <t>Oui</t>
        </is>
      </c>
      <c r="L3538">
        <f>SUBTOTAL(103,A3538)</f>
        <v>1</v>
      </c>
    </row>
    <row r="3539">
      <c r="A3539" t="inlineStr">
        <is>
          <t>SOCIETE C1167</t>
        </is>
      </c>
      <c r="B3539" t="inlineStr">
        <is>
          <t>C1167</t>
        </is>
      </c>
      <c r="C3539" t="inlineStr">
        <is>
          <t>CORPORATE BANKING</t>
        </is>
      </c>
      <c r="D3539" t="inlineStr">
        <is>
          <t>III</t>
        </is>
      </c>
      <c r="E3539" t="inlineStr">
        <is>
          <t>Stage 3</t>
        </is>
      </c>
      <c r="F3539" t="inlineStr">
        <is>
          <t>N/A</t>
        </is>
      </c>
      <c r="G3539" s="26">
        <v>314030312</v>
      </c>
      <c r="H3539" s="26">
        <v>172716671</v>
      </c>
      <c r="I3539" s="26">
        <v>0</v>
      </c>
      <c r="J3539" s="26">
        <v>88</v>
      </c>
      <c r="K3539" t="inlineStr">
        <is>
          <t>Oui</t>
        </is>
      </c>
      <c r="L3539">
        <f>SUBTOTAL(103,A3539)</f>
        <v>1</v>
      </c>
    </row>
    <row r="3540">
      <c r="A3540" t="inlineStr">
        <is>
          <t>SOCIETE C1821</t>
        </is>
      </c>
      <c r="B3540" t="inlineStr">
        <is>
          <t>C1821</t>
        </is>
      </c>
      <c r="C3540" t="inlineStr">
        <is>
          <t>CONSUMER BANKING</t>
        </is>
      </c>
      <c r="D3540" t="inlineStr">
        <is>
          <t>I</t>
        </is>
      </c>
      <c r="E3540" t="inlineStr">
        <is>
          <t>Stage 1</t>
        </is>
      </c>
      <c r="F3540" t="inlineStr">
        <is>
          <t>N/A</t>
        </is>
      </c>
      <c r="G3540" s="26">
        <v>1301114921</v>
      </c>
      <c r="H3540" s="26">
        <v>13011149</v>
      </c>
      <c r="I3540" s="26">
        <v>153402002</v>
      </c>
      <c r="J3540" s="26">
        <v>193</v>
      </c>
      <c r="K3540" t="inlineStr">
        <is>
          <t>Non</t>
        </is>
      </c>
      <c r="L3540">
        <f>SUBTOTAL(103,A3540)</f>
        <v>1</v>
      </c>
    </row>
    <row r="3541">
      <c r="A3541" t="inlineStr">
        <is>
          <t>SOCIETE C2086</t>
        </is>
      </c>
      <c r="B3541" t="inlineStr">
        <is>
          <t>C2086</t>
        </is>
      </c>
      <c r="C3541" t="inlineStr">
        <is>
          <t>COMMERCIAL BANKING</t>
        </is>
      </c>
      <c r="D3541" t="inlineStr">
        <is>
          <t>II</t>
        </is>
      </c>
      <c r="E3541" t="inlineStr">
        <is>
          <t>Stage 2</t>
        </is>
      </c>
      <c r="F3541" t="inlineStr">
        <is>
          <t>N/A</t>
        </is>
      </c>
      <c r="G3541" s="26">
        <v>1088794294</v>
      </c>
      <c r="H3541" s="26">
        <v>65327658</v>
      </c>
      <c r="I3541" s="26">
        <v>0</v>
      </c>
      <c r="J3541" s="26">
        <v>188</v>
      </c>
      <c r="K3541" t="inlineStr">
        <is>
          <t>Non</t>
        </is>
      </c>
      <c r="L3541">
        <f>SUBTOTAL(103,A3541)</f>
        <v>1</v>
      </c>
    </row>
    <row r="3542">
      <c r="A3542" t="inlineStr">
        <is>
          <t>SOCIETE C1593</t>
        </is>
      </c>
      <c r="B3542" t="inlineStr">
        <is>
          <t>C1593</t>
        </is>
      </c>
      <c r="C3542" t="inlineStr">
        <is>
          <t>CORPORATE BANKING</t>
        </is>
      </c>
      <c r="D3542" t="inlineStr">
        <is>
          <t>III</t>
        </is>
      </c>
      <c r="E3542" t="inlineStr">
        <is>
          <t>Stage 3</t>
        </is>
      </c>
      <c r="F3542" t="inlineStr">
        <is>
          <t>N/A</t>
        </is>
      </c>
      <c r="G3542" s="26">
        <v>2432703673</v>
      </c>
      <c r="H3542" s="26">
        <v>1337987020</v>
      </c>
      <c r="I3542" s="26">
        <v>464666542</v>
      </c>
      <c r="J3542" s="26">
        <v>19</v>
      </c>
      <c r="K3542" t="inlineStr">
        <is>
          <t>Oui</t>
        </is>
      </c>
      <c r="L3542">
        <f>SUBTOTAL(103,A3542)</f>
        <v>1</v>
      </c>
    </row>
    <row r="3543">
      <c r="A3543" t="inlineStr">
        <is>
          <t>SOCIETE C1550</t>
        </is>
      </c>
      <c r="B3543" t="inlineStr">
        <is>
          <t>C1550</t>
        </is>
      </c>
      <c r="C3543" t="inlineStr">
        <is>
          <t>CONSUMER BANKING</t>
        </is>
      </c>
      <c r="D3543" t="inlineStr">
        <is>
          <t>IV</t>
        </is>
      </c>
      <c r="E3543" t="inlineStr">
        <is>
          <t>Stage 3</t>
        </is>
      </c>
      <c r="F3543" t="inlineStr">
        <is>
          <t>N/A</t>
        </is>
      </c>
      <c r="G3543" s="26">
        <v>1768956</v>
      </c>
      <c r="H3543" s="26">
        <v>972926</v>
      </c>
      <c r="I3543" s="26">
        <v>0</v>
      </c>
      <c r="J3543" s="26">
        <v>228</v>
      </c>
      <c r="K3543" t="inlineStr">
        <is>
          <t>Oui</t>
        </is>
      </c>
      <c r="L3543">
        <f>SUBTOTAL(103,A3543)</f>
        <v>1</v>
      </c>
    </row>
    <row r="3544">
      <c r="A3544" t="inlineStr">
        <is>
          <t>SOCIETE C704</t>
        </is>
      </c>
      <c r="B3544" t="inlineStr">
        <is>
          <t>C704</t>
        </is>
      </c>
      <c r="C3544" t="inlineStr">
        <is>
          <t>CORPORATE BANKING</t>
        </is>
      </c>
      <c r="D3544" t="inlineStr">
        <is>
          <t>IA</t>
        </is>
      </c>
      <c r="E3544" t="inlineStr">
        <is>
          <t>Stage 2</t>
        </is>
      </c>
      <c r="F3544" t="inlineStr">
        <is>
          <t>N/A</t>
        </is>
      </c>
      <c r="G3544" s="26">
        <v>22220597</v>
      </c>
      <c r="H3544" s="26">
        <v>1333236</v>
      </c>
      <c r="I3544" s="26">
        <v>2350844</v>
      </c>
      <c r="J3544" s="26">
        <v>161</v>
      </c>
      <c r="K3544" t="inlineStr">
        <is>
          <t>Non</t>
        </is>
      </c>
      <c r="L3544">
        <f>SUBTOTAL(103,A3544)</f>
        <v>1</v>
      </c>
    </row>
    <row r="3545">
      <c r="A3545" t="inlineStr">
        <is>
          <t>SOCIETE C1269</t>
        </is>
      </c>
      <c r="B3545" t="inlineStr">
        <is>
          <t>C1269</t>
        </is>
      </c>
      <c r="C3545" t="inlineStr">
        <is>
          <t>CORPORATE BANKING</t>
        </is>
      </c>
      <c r="D3545" t="inlineStr">
        <is>
          <t>IA</t>
        </is>
      </c>
      <c r="E3545" t="inlineStr">
        <is>
          <t>Stage 2</t>
        </is>
      </c>
      <c r="F3545" t="inlineStr">
        <is>
          <t>N/A</t>
        </is>
      </c>
      <c r="G3545" s="26">
        <v>878004633</v>
      </c>
      <c r="H3545" s="26">
        <v>52680278</v>
      </c>
      <c r="I3545" s="26">
        <v>0</v>
      </c>
      <c r="J3545" s="26">
        <v>177</v>
      </c>
      <c r="K3545" t="inlineStr">
        <is>
          <t>Non</t>
        </is>
      </c>
      <c r="L3545">
        <f>SUBTOTAL(103,A3545)</f>
        <v>1</v>
      </c>
    </row>
    <row r="3546">
      <c r="A3546" t="inlineStr">
        <is>
          <t>SOCIETE C1864</t>
        </is>
      </c>
      <c r="B3546" t="inlineStr">
        <is>
          <t>C1864</t>
        </is>
      </c>
      <c r="C3546" t="inlineStr">
        <is>
          <t>CORPORATE BANKING</t>
        </is>
      </c>
      <c r="D3546" t="inlineStr">
        <is>
          <t>V</t>
        </is>
      </c>
      <c r="E3546" t="inlineStr">
        <is>
          <t>Stage 3</t>
        </is>
      </c>
      <c r="F3546" t="inlineStr">
        <is>
          <t>N/A</t>
        </is>
      </c>
      <c r="G3546" s="26">
        <v>227523317</v>
      </c>
      <c r="H3546" s="26">
        <v>125137824</v>
      </c>
      <c r="I3546" s="26">
        <v>20173741</v>
      </c>
      <c r="J3546" s="26">
        <v>25</v>
      </c>
      <c r="K3546" t="inlineStr">
        <is>
          <t>Oui</t>
        </is>
      </c>
      <c r="L3546">
        <f>SUBTOTAL(103,A3546)</f>
        <v>1</v>
      </c>
    </row>
    <row r="3547">
      <c r="A3547" t="inlineStr">
        <is>
          <t>SOCIETE C773</t>
        </is>
      </c>
      <c r="B3547" t="inlineStr">
        <is>
          <t>C773</t>
        </is>
      </c>
      <c r="C3547" t="inlineStr">
        <is>
          <t>COMMERCIAL BANKING</t>
        </is>
      </c>
      <c r="D3547" t="inlineStr">
        <is>
          <t>II</t>
        </is>
      </c>
      <c r="E3547" t="inlineStr">
        <is>
          <t>Stage 2</t>
        </is>
      </c>
      <c r="F3547" t="inlineStr">
        <is>
          <t>N/A</t>
        </is>
      </c>
      <c r="G3547" s="26">
        <v>1000365</v>
      </c>
      <c r="H3547" s="26">
        <v>60022</v>
      </c>
      <c r="I3547" s="26">
        <v>0</v>
      </c>
      <c r="J3547" s="26">
        <v>11</v>
      </c>
      <c r="K3547" t="inlineStr">
        <is>
          <t>Non</t>
        </is>
      </c>
      <c r="L3547">
        <f>SUBTOTAL(103,A3547)</f>
        <v>1</v>
      </c>
    </row>
    <row r="3548">
      <c r="A3548" t="inlineStr">
        <is>
          <t>SOCIETE C1400</t>
        </is>
      </c>
      <c r="B3548" t="inlineStr">
        <is>
          <t>C1400</t>
        </is>
      </c>
      <c r="C3548" t="inlineStr">
        <is>
          <t>CONSUMER BANKING</t>
        </is>
      </c>
      <c r="D3548" t="inlineStr">
        <is>
          <t>II</t>
        </is>
      </c>
      <c r="E3548" t="inlineStr">
        <is>
          <t>Stage 2</t>
        </is>
      </c>
      <c r="F3548" t="inlineStr">
        <is>
          <t>N/A</t>
        </is>
      </c>
      <c r="G3548" s="26">
        <v>2532699660</v>
      </c>
      <c r="H3548" s="26">
        <v>151961980</v>
      </c>
      <c r="I3548" s="26">
        <v>64417069</v>
      </c>
      <c r="J3548" s="26">
        <v>80</v>
      </c>
      <c r="K3548" t="inlineStr">
        <is>
          <t>Non</t>
        </is>
      </c>
      <c r="L3548">
        <f>SUBTOTAL(103,A3548)</f>
        <v>1</v>
      </c>
    </row>
    <row r="3549">
      <c r="A3549" t="inlineStr">
        <is>
          <t>SOCIETE C70</t>
        </is>
      </c>
      <c r="B3549" t="inlineStr">
        <is>
          <t>C70</t>
        </is>
      </c>
      <c r="C3549" t="inlineStr">
        <is>
          <t>CONSUMER BANKING</t>
        </is>
      </c>
      <c r="D3549" t="inlineStr">
        <is>
          <t>II</t>
        </is>
      </c>
      <c r="E3549" t="inlineStr">
        <is>
          <t>Stage 2</t>
        </is>
      </c>
      <c r="F3549" t="inlineStr">
        <is>
          <t>N/A</t>
        </is>
      </c>
      <c r="G3549" s="26">
        <v>13535132</v>
      </c>
      <c r="H3549" s="26">
        <v>812108</v>
      </c>
      <c r="I3549" s="26">
        <v>0</v>
      </c>
      <c r="J3549" s="26">
        <v>52</v>
      </c>
      <c r="K3549" t="inlineStr">
        <is>
          <t>Non</t>
        </is>
      </c>
      <c r="L3549">
        <f>SUBTOTAL(103,A3549)</f>
        <v>1</v>
      </c>
    </row>
    <row r="3550">
      <c r="A3550" t="inlineStr">
        <is>
          <t>SOCIETE C2459</t>
        </is>
      </c>
      <c r="B3550" t="inlineStr">
        <is>
          <t>C2459</t>
        </is>
      </c>
      <c r="C3550" t="inlineStr">
        <is>
          <t>CORPORATE BANKING</t>
        </is>
      </c>
      <c r="D3550" t="inlineStr">
        <is>
          <t>I</t>
        </is>
      </c>
      <c r="E3550" t="inlineStr">
        <is>
          <t>Stage 1</t>
        </is>
      </c>
      <c r="F3550" t="inlineStr">
        <is>
          <t>N/A</t>
        </is>
      </c>
      <c r="G3550" s="26">
        <v>1000710</v>
      </c>
      <c r="H3550" s="26">
        <v>10007</v>
      </c>
      <c r="I3550" s="26">
        <v>52820</v>
      </c>
      <c r="J3550" s="26">
        <v>45</v>
      </c>
      <c r="K3550" t="inlineStr">
        <is>
          <t>Non</t>
        </is>
      </c>
      <c r="L3550">
        <f>SUBTOTAL(103,A3550)</f>
        <v>1</v>
      </c>
    </row>
    <row r="3551">
      <c r="A3551" t="inlineStr">
        <is>
          <t>SOCIETE C986</t>
        </is>
      </c>
      <c r="B3551" t="inlineStr">
        <is>
          <t>C986</t>
        </is>
      </c>
      <c r="C3551" t="inlineStr">
        <is>
          <t>CORPORATE BANKING</t>
        </is>
      </c>
      <c r="D3551" t="inlineStr">
        <is>
          <t>I</t>
        </is>
      </c>
      <c r="E3551" t="inlineStr">
        <is>
          <t>Stage 1</t>
        </is>
      </c>
      <c r="F3551" t="inlineStr">
        <is>
          <t>N/A</t>
        </is>
      </c>
      <c r="G3551" s="26">
        <v>1890368132</v>
      </c>
      <c r="H3551" s="26">
        <v>18903681</v>
      </c>
      <c r="I3551" s="26">
        <v>151274859</v>
      </c>
      <c r="J3551" s="26">
        <v>167</v>
      </c>
      <c r="K3551" t="inlineStr">
        <is>
          <t>Non</t>
        </is>
      </c>
      <c r="L3551">
        <f>SUBTOTAL(103,A3551)</f>
        <v>1</v>
      </c>
    </row>
    <row r="3552">
      <c r="A3552" t="inlineStr">
        <is>
          <t>SOCIETE C240</t>
        </is>
      </c>
      <c r="B3552" t="inlineStr">
        <is>
          <t>C240</t>
        </is>
      </c>
      <c r="C3552" t="inlineStr">
        <is>
          <t>PUBLIC SECTOR</t>
        </is>
      </c>
      <c r="D3552" t="inlineStr">
        <is>
          <t>IV</t>
        </is>
      </c>
      <c r="E3552" t="inlineStr">
        <is>
          <t>Stage 3</t>
        </is>
      </c>
      <c r="F3552" t="inlineStr">
        <is>
          <t>N/A</t>
        </is>
      </c>
      <c r="G3552" s="26">
        <v>740498230</v>
      </c>
      <c r="H3552" s="26">
        <v>407274026</v>
      </c>
      <c r="I3552" s="26">
        <v>0</v>
      </c>
      <c r="J3552" s="26">
        <v>155</v>
      </c>
      <c r="K3552" t="inlineStr">
        <is>
          <t>Oui</t>
        </is>
      </c>
      <c r="L3552">
        <f>SUBTOTAL(103,A3552)</f>
        <v>1</v>
      </c>
    </row>
    <row r="3553">
      <c r="A3553" t="inlineStr">
        <is>
          <t>SOCIETE C1757</t>
        </is>
      </c>
      <c r="B3553" t="inlineStr">
        <is>
          <t>C1757</t>
        </is>
      </c>
      <c r="C3553" t="inlineStr">
        <is>
          <t>SME</t>
        </is>
      </c>
      <c r="D3553" t="inlineStr">
        <is>
          <t>IV</t>
        </is>
      </c>
      <c r="E3553" t="inlineStr">
        <is>
          <t>Stage 3</t>
        </is>
      </c>
      <c r="F3553" t="inlineStr">
        <is>
          <t>N/A</t>
        </is>
      </c>
      <c r="G3553" s="26">
        <v>561414514</v>
      </c>
      <c r="H3553" s="26">
        <v>308777983</v>
      </c>
      <c r="I3553" s="26">
        <v>15620573</v>
      </c>
      <c r="J3553" s="26">
        <v>34</v>
      </c>
      <c r="K3553" t="inlineStr">
        <is>
          <t>Oui</t>
        </is>
      </c>
      <c r="L3553">
        <f>SUBTOTAL(103,A3553)</f>
        <v>1</v>
      </c>
    </row>
    <row r="3554">
      <c r="A3554" t="inlineStr">
        <is>
          <t>SOCIETE C1472</t>
        </is>
      </c>
      <c r="B3554" t="inlineStr">
        <is>
          <t>C1472</t>
        </is>
      </c>
      <c r="C3554" t="inlineStr">
        <is>
          <t>CONSUMER BANKING</t>
        </is>
      </c>
      <c r="D3554" t="inlineStr">
        <is>
          <t>I</t>
        </is>
      </c>
      <c r="E3554" t="inlineStr">
        <is>
          <t>Stage 1</t>
        </is>
      </c>
      <c r="F3554" t="inlineStr">
        <is>
          <t>N/A</t>
        </is>
      </c>
      <c r="G3554" s="26">
        <v>133476613</v>
      </c>
      <c r="H3554" s="26">
        <v>1334766</v>
      </c>
      <c r="I3554" s="26">
        <v>0</v>
      </c>
      <c r="J3554" s="26">
        <v>108</v>
      </c>
      <c r="K3554" t="inlineStr">
        <is>
          <t>Non</t>
        </is>
      </c>
      <c r="L3554">
        <f>SUBTOTAL(103,A3554)</f>
        <v>1</v>
      </c>
    </row>
    <row r="3555">
      <c r="A3555" t="inlineStr">
        <is>
          <t>SOCIETE C1810</t>
        </is>
      </c>
      <c r="B3555" t="inlineStr">
        <is>
          <t>C1810</t>
        </is>
      </c>
      <c r="C3555" t="inlineStr">
        <is>
          <t>COMMERCIAL BANKING</t>
        </is>
      </c>
      <c r="D3555" t="inlineStr">
        <is>
          <t>I</t>
        </is>
      </c>
      <c r="E3555" t="inlineStr">
        <is>
          <t>Stage 1</t>
        </is>
      </c>
      <c r="F3555" t="inlineStr">
        <is>
          <t>N/A</t>
        </is>
      </c>
      <c r="G3555" s="26">
        <v>5843834</v>
      </c>
      <c r="H3555" s="26">
        <v>58438</v>
      </c>
      <c r="I3555" s="26">
        <v>110087</v>
      </c>
      <c r="J3555" s="26">
        <v>2</v>
      </c>
      <c r="K3555" t="inlineStr">
        <is>
          <t>Non</t>
        </is>
      </c>
      <c r="L3555">
        <f>SUBTOTAL(103,A3555)</f>
        <v>1</v>
      </c>
    </row>
    <row r="3556">
      <c r="A3556" t="inlineStr">
        <is>
          <t>SOCIETE C289</t>
        </is>
      </c>
      <c r="B3556" t="inlineStr">
        <is>
          <t>C289</t>
        </is>
      </c>
      <c r="C3556" t="inlineStr">
        <is>
          <t>CORPORATE BANKING</t>
        </is>
      </c>
      <c r="D3556" t="inlineStr">
        <is>
          <t>I</t>
        </is>
      </c>
      <c r="E3556" t="inlineStr">
        <is>
          <t>Stage 1</t>
        </is>
      </c>
      <c r="F3556" t="inlineStr">
        <is>
          <t>N/A</t>
        </is>
      </c>
      <c r="G3556" s="26">
        <v>2382073843</v>
      </c>
      <c r="H3556" s="26">
        <v>23820738</v>
      </c>
      <c r="I3556" s="26">
        <v>251738573</v>
      </c>
      <c r="J3556" s="26">
        <v>20</v>
      </c>
      <c r="K3556" t="inlineStr">
        <is>
          <t>Non</t>
        </is>
      </c>
      <c r="L3556">
        <f>SUBTOTAL(103,A3556)</f>
        <v>1</v>
      </c>
    </row>
    <row r="3557">
      <c r="A3557" t="inlineStr">
        <is>
          <t>SOCIETE C1007</t>
        </is>
      </c>
      <c r="B3557" t="inlineStr">
        <is>
          <t>C1007</t>
        </is>
      </c>
      <c r="C3557" t="inlineStr">
        <is>
          <t>CONSUMER BANKING</t>
        </is>
      </c>
      <c r="D3557" t="inlineStr">
        <is>
          <t>I</t>
        </is>
      </c>
      <c r="E3557" t="inlineStr">
        <is>
          <t>Stage 1</t>
        </is>
      </c>
      <c r="F3557" t="inlineStr">
        <is>
          <t>N/A</t>
        </is>
      </c>
      <c r="G3557" s="26">
        <v>993573382</v>
      </c>
      <c r="H3557" s="26">
        <v>9935734</v>
      </c>
      <c r="I3557" s="26">
        <v>0</v>
      </c>
      <c r="J3557" s="26">
        <v>67</v>
      </c>
      <c r="K3557" t="inlineStr">
        <is>
          <t>Non</t>
        </is>
      </c>
      <c r="L3557">
        <f>SUBTOTAL(103,A3557)</f>
        <v>1</v>
      </c>
    </row>
    <row r="3558">
      <c r="A3558" t="inlineStr">
        <is>
          <t>SOCIETE C587</t>
        </is>
      </c>
      <c r="B3558" t="inlineStr">
        <is>
          <t>C587</t>
        </is>
      </c>
      <c r="C3558" t="inlineStr">
        <is>
          <t>CORPORATE BANKING</t>
        </is>
      </c>
      <c r="D3558" t="inlineStr">
        <is>
          <t>IA</t>
        </is>
      </c>
      <c r="E3558" t="inlineStr">
        <is>
          <t>Stage 2</t>
        </is>
      </c>
      <c r="F3558" t="inlineStr">
        <is>
          <t>N/A</t>
        </is>
      </c>
      <c r="G3558" s="26">
        <v>88638039</v>
      </c>
      <c r="H3558" s="26">
        <v>5318282</v>
      </c>
      <c r="I3558" s="26">
        <v>8864841</v>
      </c>
      <c r="J3558" s="26">
        <v>182</v>
      </c>
      <c r="K3558" t="inlineStr">
        <is>
          <t>Non</t>
        </is>
      </c>
      <c r="L3558">
        <f>SUBTOTAL(103,A3558)</f>
        <v>1</v>
      </c>
    </row>
    <row r="3559">
      <c r="A3559" t="inlineStr">
        <is>
          <t>SOCIETE C946</t>
        </is>
      </c>
      <c r="B3559" t="inlineStr">
        <is>
          <t>C946</t>
        </is>
      </c>
      <c r="C3559" t="inlineStr">
        <is>
          <t>CORPORATE BANKING</t>
        </is>
      </c>
      <c r="D3559" t="inlineStr">
        <is>
          <t>I</t>
        </is>
      </c>
      <c r="E3559" t="inlineStr">
        <is>
          <t>Stage 1</t>
        </is>
      </c>
      <c r="F3559" t="inlineStr">
        <is>
          <t>N/A</t>
        </is>
      </c>
      <c r="G3559" s="26">
        <v>119283730</v>
      </c>
      <c r="H3559" s="26">
        <v>1192837</v>
      </c>
      <c r="I3559" s="26">
        <v>0</v>
      </c>
      <c r="J3559" s="26">
        <v>82</v>
      </c>
      <c r="K3559" t="inlineStr">
        <is>
          <t>Non</t>
        </is>
      </c>
      <c r="L3559">
        <f>SUBTOTAL(103,A3559)</f>
        <v>1</v>
      </c>
    </row>
    <row r="3560">
      <c r="A3560" t="inlineStr">
        <is>
          <t>SOCIETE C2356</t>
        </is>
      </c>
      <c r="B3560" t="inlineStr">
        <is>
          <t>C2356</t>
        </is>
      </c>
      <c r="C3560" t="inlineStr">
        <is>
          <t>CORPORATE BANKING</t>
        </is>
      </c>
      <c r="D3560" t="inlineStr">
        <is>
          <t>III</t>
        </is>
      </c>
      <c r="E3560" t="inlineStr">
        <is>
          <t>Stage 3</t>
        </is>
      </c>
      <c r="F3560" t="inlineStr">
        <is>
          <t>N/A</t>
        </is>
      </c>
      <c r="G3560" s="26">
        <v>1327111567</v>
      </c>
      <c r="H3560" s="26">
        <v>729911362</v>
      </c>
      <c r="I3560" s="26">
        <v>0</v>
      </c>
      <c r="J3560" s="26">
        <v>27</v>
      </c>
      <c r="K3560" t="inlineStr">
        <is>
          <t>Oui</t>
        </is>
      </c>
      <c r="L3560">
        <f>SUBTOTAL(103,A3560)</f>
        <v>1</v>
      </c>
    </row>
    <row r="3561">
      <c r="A3561" t="inlineStr">
        <is>
          <t>SOCIETE C1933</t>
        </is>
      </c>
      <c r="B3561" t="inlineStr">
        <is>
          <t>C1933</t>
        </is>
      </c>
      <c r="C3561" t="inlineStr">
        <is>
          <t>CORPORATE BANKING</t>
        </is>
      </c>
      <c r="D3561" t="inlineStr">
        <is>
          <t>IV</t>
        </is>
      </c>
      <c r="E3561" t="inlineStr">
        <is>
          <t>Stage 3</t>
        </is>
      </c>
      <c r="F3561" t="inlineStr">
        <is>
          <t>N/A</t>
        </is>
      </c>
      <c r="G3561" s="26">
        <v>768351098</v>
      </c>
      <c r="H3561" s="26">
        <v>422593104</v>
      </c>
      <c r="I3561" s="26">
        <v>0</v>
      </c>
      <c r="J3561" s="26">
        <v>6</v>
      </c>
      <c r="K3561" t="inlineStr">
        <is>
          <t>Oui</t>
        </is>
      </c>
      <c r="L3561">
        <f>SUBTOTAL(103,A3561)</f>
        <v>1</v>
      </c>
    </row>
    <row r="3562">
      <c r="A3562" t="inlineStr">
        <is>
          <t>SOCIETE C1037</t>
        </is>
      </c>
      <c r="B3562" t="inlineStr">
        <is>
          <t>C1037</t>
        </is>
      </c>
      <c r="C3562" t="inlineStr">
        <is>
          <t>PUBLIC SECTOR</t>
        </is>
      </c>
      <c r="D3562" t="inlineStr">
        <is>
          <t>IV</t>
        </is>
      </c>
      <c r="E3562" t="inlineStr">
        <is>
          <t>Stage 3</t>
        </is>
      </c>
      <c r="F3562" t="inlineStr">
        <is>
          <t>N/A</t>
        </is>
      </c>
      <c r="G3562" s="26">
        <v>144600485</v>
      </c>
      <c r="H3562" s="26">
        <v>79530267</v>
      </c>
      <c r="I3562" s="26">
        <v>0</v>
      </c>
      <c r="J3562" s="26">
        <v>122</v>
      </c>
      <c r="K3562" t="inlineStr">
        <is>
          <t>Oui</t>
        </is>
      </c>
      <c r="L3562">
        <f>SUBTOTAL(103,A3562)</f>
        <v>1</v>
      </c>
    </row>
    <row r="3563">
      <c r="A3563" t="inlineStr">
        <is>
          <t>SOCIETE C139</t>
        </is>
      </c>
      <c r="B3563" t="inlineStr">
        <is>
          <t>C139</t>
        </is>
      </c>
      <c r="C3563" t="inlineStr">
        <is>
          <t>COMMERCIAL BANKING</t>
        </is>
      </c>
      <c r="D3563" t="inlineStr">
        <is>
          <t>III</t>
        </is>
      </c>
      <c r="E3563" t="inlineStr">
        <is>
          <t>Stage 3</t>
        </is>
      </c>
      <c r="F3563" t="inlineStr">
        <is>
          <t>N/A</t>
        </is>
      </c>
      <c r="G3563" s="26">
        <v>205805584</v>
      </c>
      <c r="H3563" s="26">
        <v>113193071</v>
      </c>
      <c r="I3563" s="26">
        <v>28078764</v>
      </c>
      <c r="J3563" s="26">
        <v>15</v>
      </c>
      <c r="K3563" t="inlineStr">
        <is>
          <t>Oui</t>
        </is>
      </c>
      <c r="L3563">
        <f>SUBTOTAL(103,A3563)</f>
        <v>1</v>
      </c>
    </row>
    <row r="3564">
      <c r="A3564" t="inlineStr">
        <is>
          <t>SOCIETE C1607</t>
        </is>
      </c>
      <c r="B3564" t="inlineStr">
        <is>
          <t>C1607</t>
        </is>
      </c>
      <c r="C3564" t="inlineStr">
        <is>
          <t>CORPORATE BANKING</t>
        </is>
      </c>
      <c r="D3564" t="inlineStr">
        <is>
          <t>V</t>
        </is>
      </c>
      <c r="E3564" t="inlineStr">
        <is>
          <t>Stage 3</t>
        </is>
      </c>
      <c r="F3564" t="inlineStr">
        <is>
          <t>N/A</t>
        </is>
      </c>
      <c r="G3564" s="26">
        <v>11120097</v>
      </c>
      <c r="H3564" s="26">
        <v>6116054</v>
      </c>
      <c r="I3564" s="26">
        <v>0</v>
      </c>
      <c r="J3564" s="26">
        <v>210</v>
      </c>
      <c r="K3564" t="inlineStr">
        <is>
          <t>Oui</t>
        </is>
      </c>
      <c r="L3564">
        <f>SUBTOTAL(103,A3564)</f>
        <v>1</v>
      </c>
    </row>
    <row r="3565">
      <c r="A3565" t="inlineStr">
        <is>
          <t>SOCIETE C7</t>
        </is>
      </c>
      <c r="B3565" t="inlineStr">
        <is>
          <t>C7</t>
        </is>
      </c>
      <c r="C3565" t="inlineStr">
        <is>
          <t>COMMERCIAL BANKING</t>
        </is>
      </c>
      <c r="D3565" t="inlineStr">
        <is>
          <t>I</t>
        </is>
      </c>
      <c r="E3565" t="inlineStr">
        <is>
          <t>Stage 1</t>
        </is>
      </c>
      <c r="F3565" t="inlineStr">
        <is>
          <t>N/A</t>
        </is>
      </c>
      <c r="G3565" s="26">
        <v>1033441918</v>
      </c>
      <c r="H3565" s="26">
        <v>10334419</v>
      </c>
      <c r="I3565" s="26">
        <v>115839308</v>
      </c>
      <c r="J3565" s="26">
        <v>9</v>
      </c>
      <c r="K3565" t="inlineStr">
        <is>
          <t>Non</t>
        </is>
      </c>
      <c r="L3565">
        <f>SUBTOTAL(103,A3565)</f>
        <v>1</v>
      </c>
    </row>
    <row r="3566">
      <c r="A3566" t="inlineStr">
        <is>
          <t>SOCIETE C1677</t>
        </is>
      </c>
      <c r="B3566" t="inlineStr">
        <is>
          <t>C1677</t>
        </is>
      </c>
      <c r="C3566" t="inlineStr">
        <is>
          <t>CONSUMER BANKING</t>
        </is>
      </c>
      <c r="D3566" t="inlineStr">
        <is>
          <t>I</t>
        </is>
      </c>
      <c r="E3566" t="inlineStr">
        <is>
          <t>Stage 1</t>
        </is>
      </c>
      <c r="F3566" t="inlineStr">
        <is>
          <t>N/A</t>
        </is>
      </c>
      <c r="G3566" s="26">
        <v>741251061</v>
      </c>
      <c r="H3566" s="26">
        <v>7412511</v>
      </c>
      <c r="I3566" s="26">
        <v>0</v>
      </c>
      <c r="J3566" s="26">
        <v>185</v>
      </c>
      <c r="K3566" t="inlineStr">
        <is>
          <t>Non</t>
        </is>
      </c>
      <c r="L3566">
        <f>SUBTOTAL(103,A3566)</f>
        <v>1</v>
      </c>
    </row>
    <row r="3567">
      <c r="A3567" t="inlineStr">
        <is>
          <t>SOCIETE C512</t>
        </is>
      </c>
      <c r="B3567" t="inlineStr">
        <is>
          <t>C512</t>
        </is>
      </c>
      <c r="C3567" t="inlineStr">
        <is>
          <t>CONSUMER BANKING</t>
        </is>
      </c>
      <c r="D3567" t="inlineStr">
        <is>
          <t>I</t>
        </is>
      </c>
      <c r="E3567" t="inlineStr">
        <is>
          <t>Stage 1</t>
        </is>
      </c>
      <c r="F3567" t="inlineStr">
        <is>
          <t>N/A</t>
        </is>
      </c>
      <c r="G3567" s="26">
        <v>2136748534</v>
      </c>
      <c r="H3567" s="26">
        <v>21367485</v>
      </c>
      <c r="I3567" s="26">
        <v>0</v>
      </c>
      <c r="J3567" s="26">
        <v>178</v>
      </c>
      <c r="K3567" t="inlineStr">
        <is>
          <t>Non</t>
        </is>
      </c>
      <c r="L3567">
        <f>SUBTOTAL(103,A3567)</f>
        <v>1</v>
      </c>
    </row>
    <row r="3568">
      <c r="A3568" t="inlineStr">
        <is>
          <t>SOCIETE C1432</t>
        </is>
      </c>
      <c r="B3568" t="inlineStr">
        <is>
          <t>C1432</t>
        </is>
      </c>
      <c r="C3568" t="inlineStr">
        <is>
          <t>PUBLIC SECTOR</t>
        </is>
      </c>
      <c r="D3568" t="inlineStr">
        <is>
          <t>I</t>
        </is>
      </c>
      <c r="E3568" t="inlineStr">
        <is>
          <t>Stage 1</t>
        </is>
      </c>
      <c r="F3568" t="inlineStr">
        <is>
          <t>N/A</t>
        </is>
      </c>
      <c r="G3568" s="26">
        <v>8544596</v>
      </c>
      <c r="H3568" s="26">
        <v>85446</v>
      </c>
      <c r="I3568" s="26">
        <v>278685</v>
      </c>
      <c r="J3568" s="26">
        <v>56</v>
      </c>
      <c r="K3568" t="inlineStr">
        <is>
          <t>Non</t>
        </is>
      </c>
      <c r="L3568">
        <f>SUBTOTAL(103,A3568)</f>
        <v>1</v>
      </c>
    </row>
    <row r="3569">
      <c r="A3569" t="inlineStr">
        <is>
          <t>SOCIETE C2185</t>
        </is>
      </c>
      <c r="B3569" t="inlineStr">
        <is>
          <t>C2185</t>
        </is>
      </c>
      <c r="C3569" t="inlineStr">
        <is>
          <t>CONSUMER BANKING</t>
        </is>
      </c>
      <c r="D3569" t="inlineStr">
        <is>
          <t>I</t>
        </is>
      </c>
      <c r="E3569" t="inlineStr">
        <is>
          <t>Stage 1</t>
        </is>
      </c>
      <c r="F3569" t="inlineStr">
        <is>
          <t>N/A</t>
        </is>
      </c>
      <c r="G3569" s="26">
        <v>169843805</v>
      </c>
      <c r="H3569" s="26">
        <v>1698438</v>
      </c>
      <c r="I3569" s="26">
        <v>0</v>
      </c>
      <c r="J3569" s="26">
        <v>31</v>
      </c>
      <c r="K3569" t="inlineStr">
        <is>
          <t>Non</t>
        </is>
      </c>
      <c r="L3569">
        <f>SUBTOTAL(103,A3569)</f>
        <v>1</v>
      </c>
    </row>
    <row r="3570">
      <c r="A3570" t="inlineStr">
        <is>
          <t>SOCIETE C254</t>
        </is>
      </c>
      <c r="B3570" t="inlineStr">
        <is>
          <t>C254</t>
        </is>
      </c>
      <c r="C3570" t="inlineStr">
        <is>
          <t>COMMERCIAL BANKING</t>
        </is>
      </c>
      <c r="D3570" t="inlineStr">
        <is>
          <t>I</t>
        </is>
      </c>
      <c r="E3570" t="inlineStr">
        <is>
          <t>Stage 1</t>
        </is>
      </c>
      <c r="F3570" t="inlineStr">
        <is>
          <t>N/A</t>
        </is>
      </c>
      <c r="G3570" s="26">
        <v>762825175</v>
      </c>
      <c r="H3570" s="26">
        <v>7628252</v>
      </c>
      <c r="I3570" s="26">
        <v>132900611</v>
      </c>
      <c r="J3570" s="26">
        <v>39</v>
      </c>
      <c r="K3570" t="inlineStr">
        <is>
          <t>Non</t>
        </is>
      </c>
      <c r="L3570">
        <f>SUBTOTAL(103,A3570)</f>
        <v>1</v>
      </c>
    </row>
    <row r="3571">
      <c r="A3571" t="inlineStr">
        <is>
          <t>SOCIETE C1029</t>
        </is>
      </c>
      <c r="B3571" t="inlineStr">
        <is>
          <t>C1029</t>
        </is>
      </c>
      <c r="C3571" t="inlineStr">
        <is>
          <t>INSTITUTIONAL</t>
        </is>
      </c>
      <c r="D3571" t="inlineStr">
        <is>
          <t>I</t>
        </is>
      </c>
      <c r="E3571" t="inlineStr">
        <is>
          <t>Stage 1</t>
        </is>
      </c>
      <c r="F3571" t="inlineStr">
        <is>
          <t>N/A</t>
        </is>
      </c>
      <c r="G3571" s="26">
        <v>2837800</v>
      </c>
      <c r="H3571" s="26">
        <v>28378</v>
      </c>
      <c r="I3571" s="26">
        <v>0</v>
      </c>
      <c r="J3571" s="26">
        <v>156</v>
      </c>
      <c r="K3571" t="inlineStr">
        <is>
          <t>Non</t>
        </is>
      </c>
      <c r="L3571">
        <f>SUBTOTAL(103,A3571)</f>
        <v>1</v>
      </c>
    </row>
    <row r="3572">
      <c r="A3572" t="inlineStr">
        <is>
          <t>SOCIETE C1113</t>
        </is>
      </c>
      <c r="B3572" t="inlineStr">
        <is>
          <t>C1113</t>
        </is>
      </c>
      <c r="C3572" t="inlineStr">
        <is>
          <t>CORPORATE BANKING</t>
        </is>
      </c>
      <c r="D3572" t="inlineStr">
        <is>
          <t>IV</t>
        </is>
      </c>
      <c r="E3572" t="inlineStr">
        <is>
          <t>Stage 3</t>
        </is>
      </c>
      <c r="F3572" t="inlineStr">
        <is>
          <t>N/A</t>
        </is>
      </c>
      <c r="G3572" s="26">
        <v>2143689687</v>
      </c>
      <c r="H3572" s="26">
        <v>1179029328</v>
      </c>
      <c r="I3572" s="26">
        <v>0</v>
      </c>
      <c r="J3572" s="26">
        <v>26</v>
      </c>
      <c r="K3572" t="inlineStr">
        <is>
          <t>Oui</t>
        </is>
      </c>
      <c r="L3572">
        <f>SUBTOTAL(103,A3572)</f>
        <v>1</v>
      </c>
    </row>
    <row r="3573">
      <c r="A3573" t="inlineStr">
        <is>
          <t>SOCIETE C1639</t>
        </is>
      </c>
      <c r="B3573" t="inlineStr">
        <is>
          <t>C1639</t>
        </is>
      </c>
      <c r="C3573" t="inlineStr">
        <is>
          <t>CORPORATE BANKING</t>
        </is>
      </c>
      <c r="D3573" t="inlineStr">
        <is>
          <t>I</t>
        </is>
      </c>
      <c r="E3573" t="inlineStr">
        <is>
          <t>Stage 1</t>
        </is>
      </c>
      <c r="F3573" t="inlineStr">
        <is>
          <t>N/A</t>
        </is>
      </c>
      <c r="G3573" s="26">
        <v>256404373</v>
      </c>
      <c r="H3573" s="26">
        <v>2564044</v>
      </c>
      <c r="I3573" s="26">
        <v>40528277</v>
      </c>
      <c r="J3573" s="26">
        <v>19</v>
      </c>
      <c r="K3573" t="inlineStr">
        <is>
          <t>Non</t>
        </is>
      </c>
      <c r="L3573">
        <f>SUBTOTAL(103,A3573)</f>
        <v>1</v>
      </c>
    </row>
    <row r="3574">
      <c r="A3574" t="inlineStr">
        <is>
          <t>SOCIETE C104</t>
        </is>
      </c>
      <c r="B3574" t="inlineStr">
        <is>
          <t>C104</t>
        </is>
      </c>
      <c r="C3574" t="inlineStr">
        <is>
          <t>SME</t>
        </is>
      </c>
      <c r="D3574" t="inlineStr">
        <is>
          <t>II</t>
        </is>
      </c>
      <c r="E3574" t="inlineStr">
        <is>
          <t>Stage 2</t>
        </is>
      </c>
      <c r="F3574" t="inlineStr">
        <is>
          <t>N/A</t>
        </is>
      </c>
      <c r="G3574" s="26">
        <v>2489186936</v>
      </c>
      <c r="H3574" s="26">
        <v>149351216</v>
      </c>
      <c r="I3574" s="26">
        <v>475271890</v>
      </c>
      <c r="J3574" s="26">
        <v>4</v>
      </c>
      <c r="K3574" t="inlineStr">
        <is>
          <t>Non</t>
        </is>
      </c>
      <c r="L3574">
        <f>SUBTOTAL(103,A3574)</f>
        <v>1</v>
      </c>
    </row>
    <row r="3575">
      <c r="A3575" t="inlineStr">
        <is>
          <t>SOCIETE C1356</t>
        </is>
      </c>
      <c r="B3575" t="inlineStr">
        <is>
          <t>C1356</t>
        </is>
      </c>
      <c r="C3575" t="inlineStr">
        <is>
          <t>CORPORATE BANKING</t>
        </is>
      </c>
      <c r="D3575" t="inlineStr">
        <is>
          <t>II</t>
        </is>
      </c>
      <c r="E3575" t="inlineStr">
        <is>
          <t>Stage 2</t>
        </is>
      </c>
      <c r="F3575" t="inlineStr">
        <is>
          <t>N/A</t>
        </is>
      </c>
      <c r="G3575" s="26">
        <v>678218283</v>
      </c>
      <c r="H3575" s="26">
        <v>40693097</v>
      </c>
      <c r="I3575" s="26">
        <v>0</v>
      </c>
      <c r="J3575" s="26">
        <v>13</v>
      </c>
      <c r="K3575" t="inlineStr">
        <is>
          <t>Non</t>
        </is>
      </c>
      <c r="L3575">
        <f>SUBTOTAL(103,A3575)</f>
        <v>1</v>
      </c>
    </row>
    <row r="3576">
      <c r="A3576" t="inlineStr">
        <is>
          <t>SOCIETE C614</t>
        </is>
      </c>
      <c r="B3576" t="inlineStr">
        <is>
          <t>C614</t>
        </is>
      </c>
      <c r="C3576" t="inlineStr">
        <is>
          <t>COMMERCIAL BANKING</t>
        </is>
      </c>
      <c r="D3576" t="inlineStr">
        <is>
          <t>I</t>
        </is>
      </c>
      <c r="E3576" t="inlineStr">
        <is>
          <t>Stage 1</t>
        </is>
      </c>
      <c r="F3576" t="inlineStr">
        <is>
          <t>N/A</t>
        </is>
      </c>
      <c r="G3576" s="26">
        <v>1321000478</v>
      </c>
      <c r="H3576" s="26">
        <v>13210005</v>
      </c>
      <c r="I3576" s="26">
        <v>0</v>
      </c>
      <c r="J3576" s="26">
        <v>44</v>
      </c>
      <c r="K3576" t="inlineStr">
        <is>
          <t>Non</t>
        </is>
      </c>
      <c r="L3576">
        <f>SUBTOTAL(103,A3576)</f>
        <v>1</v>
      </c>
    </row>
    <row r="3577">
      <c r="A3577" t="inlineStr">
        <is>
          <t>SOCIETE C608</t>
        </is>
      </c>
      <c r="B3577" t="inlineStr">
        <is>
          <t>C608</t>
        </is>
      </c>
      <c r="C3577" t="inlineStr">
        <is>
          <t>CORPORATE BANKING</t>
        </is>
      </c>
      <c r="D3577" t="inlineStr">
        <is>
          <t>II</t>
        </is>
      </c>
      <c r="E3577" t="inlineStr">
        <is>
          <t>Stage 2</t>
        </is>
      </c>
      <c r="F3577" t="inlineStr">
        <is>
          <t>N/A</t>
        </is>
      </c>
      <c r="G3577" s="26">
        <v>488455901</v>
      </c>
      <c r="H3577" s="26">
        <v>29307354</v>
      </c>
      <c r="I3577" s="26">
        <v>72410547</v>
      </c>
      <c r="J3577" s="26">
        <v>231</v>
      </c>
      <c r="K3577" t="inlineStr">
        <is>
          <t>Non</t>
        </is>
      </c>
      <c r="L3577">
        <f>SUBTOTAL(103,A3577)</f>
        <v>1</v>
      </c>
    </row>
    <row r="3578">
      <c r="A3578" t="inlineStr">
        <is>
          <t>SOCIETE C1032</t>
        </is>
      </c>
      <c r="B3578" t="inlineStr">
        <is>
          <t>C1032</t>
        </is>
      </c>
      <c r="C3578" t="inlineStr">
        <is>
          <t>CORPORATE BANKING</t>
        </is>
      </c>
      <c r="D3578" t="inlineStr">
        <is>
          <t>III</t>
        </is>
      </c>
      <c r="E3578" t="inlineStr">
        <is>
          <t>Stage 3</t>
        </is>
      </c>
      <c r="F3578" t="inlineStr">
        <is>
          <t>N/A</t>
        </is>
      </c>
      <c r="G3578" s="26">
        <v>887688391</v>
      </c>
      <c r="H3578" s="26">
        <v>488228615</v>
      </c>
      <c r="I3578" s="26">
        <v>0</v>
      </c>
      <c r="J3578" s="26">
        <v>57</v>
      </c>
      <c r="K3578" t="inlineStr">
        <is>
          <t>Oui</t>
        </is>
      </c>
      <c r="L3578">
        <f>SUBTOTAL(103,A3578)</f>
        <v>1</v>
      </c>
    </row>
    <row r="3579">
      <c r="A3579" t="inlineStr">
        <is>
          <t>SOCIETE C1653</t>
        </is>
      </c>
      <c r="B3579" t="inlineStr">
        <is>
          <t>C1653</t>
        </is>
      </c>
      <c r="C3579" t="inlineStr">
        <is>
          <t>COMMERCIAL BANKING</t>
        </is>
      </c>
      <c r="D3579" t="inlineStr">
        <is>
          <t>I</t>
        </is>
      </c>
      <c r="E3579" t="inlineStr">
        <is>
          <t>Stage 1</t>
        </is>
      </c>
      <c r="F3579" t="inlineStr">
        <is>
          <t>N/A</t>
        </is>
      </c>
      <c r="G3579" s="26">
        <v>2166339</v>
      </c>
      <c r="H3579" s="26">
        <v>21663</v>
      </c>
      <c r="I3579" s="26">
        <v>0</v>
      </c>
      <c r="J3579" s="26">
        <v>24</v>
      </c>
      <c r="K3579" t="inlineStr">
        <is>
          <t>Non</t>
        </is>
      </c>
      <c r="L3579">
        <f>SUBTOTAL(103,A3579)</f>
        <v>1</v>
      </c>
    </row>
    <row r="3580">
      <c r="A3580" t="inlineStr">
        <is>
          <t>SOCIETE C1761</t>
        </is>
      </c>
      <c r="B3580" t="inlineStr">
        <is>
          <t>C1761</t>
        </is>
      </c>
      <c r="C3580" t="inlineStr">
        <is>
          <t>COMMERCIAL BANKING</t>
        </is>
      </c>
      <c r="D3580" t="inlineStr">
        <is>
          <t>I</t>
        </is>
      </c>
      <c r="E3580" t="inlineStr">
        <is>
          <t>Stage 1</t>
        </is>
      </c>
      <c r="F3580" t="inlineStr">
        <is>
          <t>N/A</t>
        </is>
      </c>
      <c r="G3580" s="26">
        <v>21353084</v>
      </c>
      <c r="H3580" s="26">
        <v>213531</v>
      </c>
      <c r="I3580" s="26">
        <v>1803917</v>
      </c>
      <c r="J3580" s="26">
        <v>96</v>
      </c>
      <c r="K3580" t="inlineStr">
        <is>
          <t>Non</t>
        </is>
      </c>
      <c r="L3580">
        <f>SUBTOTAL(103,A3580)</f>
        <v>1</v>
      </c>
    </row>
    <row r="3581">
      <c r="A3581" t="inlineStr">
        <is>
          <t>SOCIETE C1665</t>
        </is>
      </c>
      <c r="B3581" t="inlineStr">
        <is>
          <t>C1665</t>
        </is>
      </c>
      <c r="C3581" t="inlineStr">
        <is>
          <t>COMMERCIAL BANKING</t>
        </is>
      </c>
      <c r="D3581" t="inlineStr">
        <is>
          <t>III</t>
        </is>
      </c>
      <c r="E3581" t="inlineStr">
        <is>
          <t>Stage 3</t>
        </is>
      </c>
      <c r="F3581" t="inlineStr">
        <is>
          <t>N/A</t>
        </is>
      </c>
      <c r="G3581" s="26">
        <v>1788667</v>
      </c>
      <c r="H3581" s="26">
        <v>983767</v>
      </c>
      <c r="I3581" s="26">
        <v>0</v>
      </c>
      <c r="J3581" s="26">
        <v>2</v>
      </c>
      <c r="K3581" t="inlineStr">
        <is>
          <t>Oui</t>
        </is>
      </c>
      <c r="L3581">
        <f>SUBTOTAL(103,A3581)</f>
        <v>1</v>
      </c>
    </row>
    <row r="3582">
      <c r="A3582" t="inlineStr">
        <is>
          <t>SOCIETE C1350</t>
        </is>
      </c>
      <c r="B3582" t="inlineStr">
        <is>
          <t>C1350</t>
        </is>
      </c>
      <c r="C3582" t="inlineStr">
        <is>
          <t>CORPORATE BANKING</t>
        </is>
      </c>
      <c r="D3582" t="inlineStr">
        <is>
          <t>I</t>
        </is>
      </c>
      <c r="E3582" t="inlineStr">
        <is>
          <t>Stage 1</t>
        </is>
      </c>
      <c r="F3582" t="inlineStr">
        <is>
          <t>N/A</t>
        </is>
      </c>
      <c r="G3582" s="26">
        <v>374267691</v>
      </c>
      <c r="H3582" s="26">
        <v>3742677</v>
      </c>
      <c r="I3582" s="26">
        <v>0</v>
      </c>
      <c r="J3582" s="26">
        <v>61</v>
      </c>
      <c r="K3582" t="inlineStr">
        <is>
          <t>Non</t>
        </is>
      </c>
      <c r="L3582">
        <f>SUBTOTAL(103,A3582)</f>
        <v>1</v>
      </c>
    </row>
    <row r="3583">
      <c r="A3583" t="inlineStr">
        <is>
          <t>SOCIETE C1261</t>
        </is>
      </c>
      <c r="B3583" t="inlineStr">
        <is>
          <t>C1261</t>
        </is>
      </c>
      <c r="C3583" t="inlineStr">
        <is>
          <t>CORPORATE BANKING</t>
        </is>
      </c>
      <c r="D3583" t="inlineStr">
        <is>
          <t>I</t>
        </is>
      </c>
      <c r="E3583" t="inlineStr">
        <is>
          <t>Stage 1</t>
        </is>
      </c>
      <c r="F3583" t="inlineStr">
        <is>
          <t>N/A</t>
        </is>
      </c>
      <c r="G3583" s="26">
        <v>1857942755</v>
      </c>
      <c r="H3583" s="26">
        <v>18579428</v>
      </c>
      <c r="I3583" s="26">
        <v>177247287</v>
      </c>
      <c r="J3583" s="26">
        <v>235</v>
      </c>
      <c r="K3583" t="inlineStr">
        <is>
          <t>Non</t>
        </is>
      </c>
      <c r="L3583">
        <f>SUBTOTAL(103,A3583)</f>
        <v>1</v>
      </c>
    </row>
    <row r="3584">
      <c r="A3584" t="inlineStr">
        <is>
          <t>SOCIETE C30</t>
        </is>
      </c>
      <c r="B3584" t="inlineStr">
        <is>
          <t>C30</t>
        </is>
      </c>
      <c r="C3584" t="inlineStr">
        <is>
          <t>COMMERCIAL BANKING</t>
        </is>
      </c>
      <c r="D3584" t="inlineStr">
        <is>
          <t>IA</t>
        </is>
      </c>
      <c r="E3584" t="inlineStr">
        <is>
          <t>Stage 2</t>
        </is>
      </c>
      <c r="F3584" t="inlineStr">
        <is>
          <t>N/A</t>
        </is>
      </c>
      <c r="G3584" s="26">
        <v>1244394933</v>
      </c>
      <c r="H3584" s="26">
        <v>74663696</v>
      </c>
      <c r="I3584" s="26">
        <v>51260325</v>
      </c>
      <c r="J3584" s="26">
        <v>128</v>
      </c>
      <c r="K3584" t="inlineStr">
        <is>
          <t>Non</t>
        </is>
      </c>
      <c r="L3584">
        <f>SUBTOTAL(103,A3584)</f>
        <v>1</v>
      </c>
    </row>
    <row r="3585">
      <c r="A3585" t="inlineStr">
        <is>
          <t>SOCIETE C211</t>
        </is>
      </c>
      <c r="B3585" t="inlineStr">
        <is>
          <t>C211</t>
        </is>
      </c>
      <c r="C3585" t="inlineStr">
        <is>
          <t>PUBLIC SECTOR</t>
        </is>
      </c>
      <c r="D3585" t="inlineStr">
        <is>
          <t>IA</t>
        </is>
      </c>
      <c r="E3585" t="inlineStr">
        <is>
          <t>Stage 2</t>
        </is>
      </c>
      <c r="F3585" t="inlineStr">
        <is>
          <t>N/A</t>
        </is>
      </c>
      <c r="G3585" s="26">
        <v>310791670</v>
      </c>
      <c r="H3585" s="26">
        <v>18647500</v>
      </c>
      <c r="I3585" s="26">
        <v>0</v>
      </c>
      <c r="J3585" s="26">
        <v>62</v>
      </c>
      <c r="K3585" t="inlineStr">
        <is>
          <t>Non</t>
        </is>
      </c>
      <c r="L3585">
        <f>SUBTOTAL(103,A3585)</f>
        <v>1</v>
      </c>
    </row>
    <row r="3586">
      <c r="A3586" t="inlineStr">
        <is>
          <t>SOCIETE C1639</t>
        </is>
      </c>
      <c r="B3586" t="inlineStr">
        <is>
          <t>C1639</t>
        </is>
      </c>
      <c r="C3586" t="inlineStr">
        <is>
          <t>CONSUMER BANKING</t>
        </is>
      </c>
      <c r="D3586" t="inlineStr">
        <is>
          <t>III</t>
        </is>
      </c>
      <c r="E3586" t="inlineStr">
        <is>
          <t>Stage 3</t>
        </is>
      </c>
      <c r="F3586" t="inlineStr">
        <is>
          <t>N/A</t>
        </is>
      </c>
      <c r="G3586" s="26">
        <v>1335392</v>
      </c>
      <c r="H3586" s="26">
        <v>734465</v>
      </c>
      <c r="I3586" s="26">
        <v>0</v>
      </c>
      <c r="J3586" s="26">
        <v>46</v>
      </c>
      <c r="K3586" t="inlineStr">
        <is>
          <t>Oui</t>
        </is>
      </c>
      <c r="L3586">
        <f>SUBTOTAL(103,A3586)</f>
        <v>1</v>
      </c>
    </row>
    <row r="3587">
      <c r="A3587" t="inlineStr">
        <is>
          <t>SOCIETE C2215</t>
        </is>
      </c>
      <c r="B3587" t="inlineStr">
        <is>
          <t>C2215</t>
        </is>
      </c>
      <c r="C3587" t="inlineStr">
        <is>
          <t>PUBLIC SECTOR</t>
        </is>
      </c>
      <c r="D3587" t="inlineStr">
        <is>
          <t>III</t>
        </is>
      </c>
      <c r="E3587" t="inlineStr">
        <is>
          <t>Stage 3</t>
        </is>
      </c>
      <c r="F3587" t="inlineStr">
        <is>
          <t>N/A</t>
        </is>
      </c>
      <c r="G3587" s="26">
        <v>903336172</v>
      </c>
      <c r="H3587" s="26">
        <v>496834895</v>
      </c>
      <c r="I3587" s="26">
        <v>0</v>
      </c>
      <c r="J3587" s="26">
        <v>56</v>
      </c>
      <c r="K3587" t="inlineStr">
        <is>
          <t>Oui</t>
        </is>
      </c>
      <c r="L3587">
        <f>SUBTOTAL(103,A3587)</f>
        <v>1</v>
      </c>
    </row>
    <row r="3588">
      <c r="A3588" t="inlineStr">
        <is>
          <t>SOCIETE C1888</t>
        </is>
      </c>
      <c r="B3588" t="inlineStr">
        <is>
          <t>C1888</t>
        </is>
      </c>
      <c r="C3588" t="inlineStr">
        <is>
          <t>CORPORATE BANKING</t>
        </is>
      </c>
      <c r="D3588" t="inlineStr">
        <is>
          <t>I</t>
        </is>
      </c>
      <c r="E3588" t="inlineStr">
        <is>
          <t>Stage 1</t>
        </is>
      </c>
      <c r="F3588" t="inlineStr">
        <is>
          <t>N/A</t>
        </is>
      </c>
      <c r="G3588" s="26">
        <v>1431605107</v>
      </c>
      <c r="H3588" s="26">
        <v>14316051</v>
      </c>
      <c r="I3588" s="26">
        <v>245639214</v>
      </c>
      <c r="J3588" s="26">
        <v>299</v>
      </c>
      <c r="K3588" t="inlineStr">
        <is>
          <t>Non</t>
        </is>
      </c>
      <c r="L3588">
        <f>SUBTOTAL(103,A3588)</f>
        <v>1</v>
      </c>
    </row>
    <row r="3589">
      <c r="A3589" t="inlineStr">
        <is>
          <t>SOCIETE C1126</t>
        </is>
      </c>
      <c r="B3589" t="inlineStr">
        <is>
          <t>C1126</t>
        </is>
      </c>
      <c r="C3589" t="inlineStr">
        <is>
          <t>CORPORATE BANKING</t>
        </is>
      </c>
      <c r="D3589" t="inlineStr">
        <is>
          <t>IA</t>
        </is>
      </c>
      <c r="E3589" t="inlineStr">
        <is>
          <t>Stage 2</t>
        </is>
      </c>
      <c r="F3589" t="inlineStr">
        <is>
          <t>N/A</t>
        </is>
      </c>
      <c r="G3589" s="26">
        <v>13471650</v>
      </c>
      <c r="H3589" s="26">
        <v>808299</v>
      </c>
      <c r="I3589" s="26">
        <v>0</v>
      </c>
      <c r="J3589" s="26">
        <v>9</v>
      </c>
      <c r="K3589" t="inlineStr">
        <is>
          <t>Non</t>
        </is>
      </c>
      <c r="L3589">
        <f>SUBTOTAL(103,A3589)</f>
        <v>1</v>
      </c>
    </row>
    <row r="3590">
      <c r="A3590" t="inlineStr">
        <is>
          <t>SOCIETE C159</t>
        </is>
      </c>
      <c r="B3590" t="inlineStr">
        <is>
          <t>C159</t>
        </is>
      </c>
      <c r="C3590" t="inlineStr">
        <is>
          <t>CORPORATE BANKING</t>
        </is>
      </c>
      <c r="D3590" t="inlineStr">
        <is>
          <t>IA</t>
        </is>
      </c>
      <c r="E3590" t="inlineStr">
        <is>
          <t>Stage 2</t>
        </is>
      </c>
      <c r="F3590" t="inlineStr">
        <is>
          <t>N/A</t>
        </is>
      </c>
      <c r="G3590" s="26">
        <v>568330497</v>
      </c>
      <c r="H3590" s="26">
        <v>34099830</v>
      </c>
      <c r="I3590" s="26">
        <v>86315957</v>
      </c>
      <c r="J3590" s="26">
        <v>148</v>
      </c>
      <c r="K3590" t="inlineStr">
        <is>
          <t>Non</t>
        </is>
      </c>
      <c r="L3590">
        <f>SUBTOTAL(103,A3590)</f>
        <v>1</v>
      </c>
    </row>
    <row r="3591">
      <c r="A3591" t="inlineStr">
        <is>
          <t>SOCIETE C2141</t>
        </is>
      </c>
      <c r="B3591" t="inlineStr">
        <is>
          <t>C2141</t>
        </is>
      </c>
      <c r="C3591" t="inlineStr">
        <is>
          <t>CORPORATE BANKING</t>
        </is>
      </c>
      <c r="D3591" t="inlineStr">
        <is>
          <t>II</t>
        </is>
      </c>
      <c r="E3591" t="inlineStr">
        <is>
          <t>Stage 2</t>
        </is>
      </c>
      <c r="F3591" t="inlineStr">
        <is>
          <t>N/A</t>
        </is>
      </c>
      <c r="G3591" s="26">
        <v>2929212192</v>
      </c>
      <c r="H3591" s="26">
        <v>175752732</v>
      </c>
      <c r="I3591" s="26">
        <v>0</v>
      </c>
      <c r="J3591" s="26">
        <v>112</v>
      </c>
      <c r="K3591" t="inlineStr">
        <is>
          <t>Non</t>
        </is>
      </c>
      <c r="L3591">
        <f>SUBTOTAL(103,A3591)</f>
        <v>1</v>
      </c>
    </row>
    <row r="3592">
      <c r="A3592" t="inlineStr">
        <is>
          <t>SOCIETE C2356</t>
        </is>
      </c>
      <c r="B3592" t="inlineStr">
        <is>
          <t>C2356</t>
        </is>
      </c>
      <c r="C3592" t="inlineStr">
        <is>
          <t>COMMERCIAL BANKING</t>
        </is>
      </c>
      <c r="D3592" t="inlineStr">
        <is>
          <t>I</t>
        </is>
      </c>
      <c r="E3592" t="inlineStr">
        <is>
          <t>Stage 1</t>
        </is>
      </c>
      <c r="F3592" t="inlineStr">
        <is>
          <t>N/A</t>
        </is>
      </c>
      <c r="G3592" s="26">
        <v>34911418</v>
      </c>
      <c r="H3592" s="26">
        <v>349114</v>
      </c>
      <c r="I3592" s="26">
        <v>0</v>
      </c>
      <c r="J3592" s="26">
        <v>16</v>
      </c>
      <c r="K3592" t="inlineStr">
        <is>
          <t>Non</t>
        </is>
      </c>
      <c r="L3592">
        <f>SUBTOTAL(103,A3592)</f>
        <v>1</v>
      </c>
    </row>
    <row r="3593">
      <c r="A3593" t="inlineStr">
        <is>
          <t>SOCIETE C346</t>
        </is>
      </c>
      <c r="B3593" t="inlineStr">
        <is>
          <t>C346</t>
        </is>
      </c>
      <c r="C3593" t="inlineStr">
        <is>
          <t>COMMERCIAL BANKING</t>
        </is>
      </c>
      <c r="D3593" t="inlineStr">
        <is>
          <t>III</t>
        </is>
      </c>
      <c r="E3593" t="inlineStr">
        <is>
          <t>Stage 3</t>
        </is>
      </c>
      <c r="F3593" t="inlineStr">
        <is>
          <t>N/A</t>
        </is>
      </c>
      <c r="G3593" s="26">
        <v>1092420884</v>
      </c>
      <c r="H3593" s="26">
        <v>600831486</v>
      </c>
      <c r="I3593" s="26">
        <v>0</v>
      </c>
      <c r="J3593" s="26">
        <v>11</v>
      </c>
      <c r="K3593" t="inlineStr">
        <is>
          <t>Oui</t>
        </is>
      </c>
      <c r="L3593">
        <f>SUBTOTAL(103,A3593)</f>
        <v>1</v>
      </c>
    </row>
    <row r="3594">
      <c r="A3594" t="inlineStr">
        <is>
          <t>SOCIETE C1917</t>
        </is>
      </c>
      <c r="B3594" t="inlineStr">
        <is>
          <t>C1917</t>
        </is>
      </c>
      <c r="C3594" t="inlineStr">
        <is>
          <t>COMMERCIAL BANKING</t>
        </is>
      </c>
      <c r="D3594" t="inlineStr">
        <is>
          <t>I</t>
        </is>
      </c>
      <c r="E3594" t="inlineStr">
        <is>
          <t>Stage 1</t>
        </is>
      </c>
      <c r="F3594" t="inlineStr">
        <is>
          <t>N/A</t>
        </is>
      </c>
      <c r="G3594" s="26">
        <v>42136305</v>
      </c>
      <c r="H3594" s="26">
        <v>421363</v>
      </c>
      <c r="I3594" s="26">
        <v>1216461</v>
      </c>
      <c r="J3594" s="26">
        <v>21</v>
      </c>
      <c r="K3594" t="inlineStr">
        <is>
          <t>Non</t>
        </is>
      </c>
      <c r="L3594">
        <f>SUBTOTAL(103,A3594)</f>
        <v>1</v>
      </c>
    </row>
    <row r="3595">
      <c r="A3595" t="inlineStr">
        <is>
          <t>SOCIETE C1667</t>
        </is>
      </c>
      <c r="B3595" t="inlineStr">
        <is>
          <t>C1667</t>
        </is>
      </c>
      <c r="C3595" t="inlineStr">
        <is>
          <t>SME</t>
        </is>
      </c>
      <c r="D3595" t="inlineStr">
        <is>
          <t>I</t>
        </is>
      </c>
      <c r="E3595" t="inlineStr">
        <is>
          <t>Stage 1</t>
        </is>
      </c>
      <c r="F3595" t="inlineStr">
        <is>
          <t>N/A</t>
        </is>
      </c>
      <c r="G3595" s="26">
        <v>17515669</v>
      </c>
      <c r="H3595" s="26">
        <v>175157</v>
      </c>
      <c r="I3595" s="26">
        <v>0</v>
      </c>
      <c r="J3595" s="26">
        <v>128</v>
      </c>
      <c r="K3595" t="inlineStr">
        <is>
          <t>Non</t>
        </is>
      </c>
      <c r="L3595">
        <f>SUBTOTAL(103,A3595)</f>
        <v>1</v>
      </c>
    </row>
    <row r="3596">
      <c r="A3596" t="inlineStr">
        <is>
          <t>SOCIETE C1652</t>
        </is>
      </c>
      <c r="B3596" t="inlineStr">
        <is>
          <t>C1652</t>
        </is>
      </c>
      <c r="C3596" t="inlineStr">
        <is>
          <t>COMMERCIAL BANKING</t>
        </is>
      </c>
      <c r="D3596" t="inlineStr">
        <is>
          <t>I</t>
        </is>
      </c>
      <c r="E3596" t="inlineStr">
        <is>
          <t>Stage 1</t>
        </is>
      </c>
      <c r="F3596" t="inlineStr">
        <is>
          <t>N/A</t>
        </is>
      </c>
      <c r="G3596" s="26">
        <v>73387569</v>
      </c>
      <c r="H3596" s="26">
        <v>733876</v>
      </c>
      <c r="I3596" s="26">
        <v>4476600</v>
      </c>
      <c r="J3596" s="26">
        <v>9</v>
      </c>
      <c r="K3596" t="inlineStr">
        <is>
          <t>Non</t>
        </is>
      </c>
      <c r="L3596">
        <f>SUBTOTAL(103,A3596)</f>
        <v>1</v>
      </c>
    </row>
    <row r="3597">
      <c r="A3597" t="inlineStr">
        <is>
          <t>SOCIETE C1335</t>
        </is>
      </c>
      <c r="B3597" t="inlineStr">
        <is>
          <t>C1335</t>
        </is>
      </c>
      <c r="C3597" t="inlineStr">
        <is>
          <t>CORPORATE BANKING</t>
        </is>
      </c>
      <c r="D3597" t="inlineStr">
        <is>
          <t>V</t>
        </is>
      </c>
      <c r="E3597" t="inlineStr">
        <is>
          <t>Stage 3</t>
        </is>
      </c>
      <c r="F3597" t="inlineStr">
        <is>
          <t>N/A</t>
        </is>
      </c>
      <c r="G3597" s="26">
        <v>2768723737</v>
      </c>
      <c r="H3597" s="26">
        <v>1522798055</v>
      </c>
      <c r="I3597" s="26">
        <v>0</v>
      </c>
      <c r="J3597" s="26">
        <v>5</v>
      </c>
      <c r="K3597" t="inlineStr">
        <is>
          <t>Oui</t>
        </is>
      </c>
      <c r="L3597">
        <f>SUBTOTAL(103,A3597)</f>
        <v>1</v>
      </c>
    </row>
    <row r="3598">
      <c r="A3598" t="inlineStr">
        <is>
          <t>SOCIETE C1916</t>
        </is>
      </c>
      <c r="B3598" t="inlineStr">
        <is>
          <t>C1916</t>
        </is>
      </c>
      <c r="C3598" t="inlineStr">
        <is>
          <t>COMMERCIAL BANKING</t>
        </is>
      </c>
      <c r="D3598" t="inlineStr">
        <is>
          <t>I</t>
        </is>
      </c>
      <c r="E3598" t="inlineStr">
        <is>
          <t>Stage 1</t>
        </is>
      </c>
      <c r="F3598" t="inlineStr">
        <is>
          <t>N/A</t>
        </is>
      </c>
      <c r="G3598" s="26">
        <v>2052725878</v>
      </c>
      <c r="H3598" s="26">
        <v>20527259</v>
      </c>
      <c r="I3598" s="26">
        <v>36695577</v>
      </c>
      <c r="J3598" s="26">
        <v>72</v>
      </c>
      <c r="K3598" t="inlineStr">
        <is>
          <t>Non</t>
        </is>
      </c>
      <c r="L3598">
        <f>SUBTOTAL(103,A3598)</f>
        <v>1</v>
      </c>
    </row>
    <row r="3599">
      <c r="A3599" t="inlineStr">
        <is>
          <t>SOCIETE C815</t>
        </is>
      </c>
      <c r="B3599" t="inlineStr">
        <is>
          <t>C815</t>
        </is>
      </c>
      <c r="C3599" t="inlineStr">
        <is>
          <t>CORPORATE BANKING</t>
        </is>
      </c>
      <c r="D3599" t="inlineStr">
        <is>
          <t>III</t>
        </is>
      </c>
      <c r="E3599" t="inlineStr">
        <is>
          <t>Stage 3</t>
        </is>
      </c>
      <c r="F3599" t="inlineStr">
        <is>
          <t>N/A</t>
        </is>
      </c>
      <c r="G3599" s="26">
        <v>407051688</v>
      </c>
      <c r="H3599" s="26">
        <v>223878429</v>
      </c>
      <c r="I3599" s="26">
        <v>0</v>
      </c>
      <c r="J3599" s="26">
        <v>40</v>
      </c>
      <c r="K3599" t="inlineStr">
        <is>
          <t>Oui</t>
        </is>
      </c>
      <c r="L3599">
        <f>SUBTOTAL(103,A3599)</f>
        <v>1</v>
      </c>
    </row>
    <row r="3600">
      <c r="A3600" t="inlineStr">
        <is>
          <t>SOCIETE C1893</t>
        </is>
      </c>
      <c r="B3600" t="inlineStr">
        <is>
          <t>C1893</t>
        </is>
      </c>
      <c r="C3600" t="inlineStr">
        <is>
          <t>COMMERCIAL BANKING</t>
        </is>
      </c>
      <c r="D3600" t="inlineStr">
        <is>
          <t>IA</t>
        </is>
      </c>
      <c r="E3600" t="inlineStr">
        <is>
          <t>Stage 2</t>
        </is>
      </c>
      <c r="F3600" t="inlineStr">
        <is>
          <t>N/A</t>
        </is>
      </c>
      <c r="G3600" s="26">
        <v>2146756</v>
      </c>
      <c r="H3600" s="26">
        <v>128805</v>
      </c>
      <c r="I3600" s="26">
        <v>0</v>
      </c>
      <c r="J3600" s="26">
        <v>5</v>
      </c>
      <c r="K3600" t="inlineStr">
        <is>
          <t>Non</t>
        </is>
      </c>
      <c r="L3600">
        <f>SUBTOTAL(103,A3600)</f>
        <v>1</v>
      </c>
    </row>
    <row r="3601">
      <c r="A3601" t="inlineStr">
        <is>
          <t>SOCIETE C571</t>
        </is>
      </c>
      <c r="B3601" t="inlineStr">
        <is>
          <t>C571</t>
        </is>
      </c>
      <c r="C3601" t="inlineStr">
        <is>
          <t>CORPORATE BANKING</t>
        </is>
      </c>
      <c r="D3601" t="inlineStr">
        <is>
          <t>I</t>
        </is>
      </c>
      <c r="E3601" t="inlineStr">
        <is>
          <t>Stage 1</t>
        </is>
      </c>
      <c r="F3601" t="inlineStr">
        <is>
          <t>N/A</t>
        </is>
      </c>
      <c r="G3601" s="26">
        <v>455121054</v>
      </c>
      <c r="H3601" s="26">
        <v>4551211</v>
      </c>
      <c r="I3601" s="26">
        <v>0</v>
      </c>
      <c r="J3601" s="26">
        <v>16</v>
      </c>
      <c r="K3601" t="inlineStr">
        <is>
          <t>Non</t>
        </is>
      </c>
      <c r="L3601">
        <f>SUBTOTAL(103,A3601)</f>
        <v>1</v>
      </c>
    </row>
    <row r="3602">
      <c r="A3602" t="inlineStr">
        <is>
          <t>SOCIETE C556</t>
        </is>
      </c>
      <c r="B3602" t="inlineStr">
        <is>
          <t>C556</t>
        </is>
      </c>
      <c r="C3602" t="inlineStr">
        <is>
          <t>INSTITUTIONAL</t>
        </is>
      </c>
      <c r="D3602" t="inlineStr">
        <is>
          <t>I</t>
        </is>
      </c>
      <c r="E3602" t="inlineStr">
        <is>
          <t>Stage 1</t>
        </is>
      </c>
      <c r="F3602" t="inlineStr">
        <is>
          <t>N/A</t>
        </is>
      </c>
      <c r="G3602" s="26">
        <v>184677281</v>
      </c>
      <c r="H3602" s="26">
        <v>1846773</v>
      </c>
      <c r="I3602" s="26">
        <v>0</v>
      </c>
      <c r="J3602" s="26">
        <v>148</v>
      </c>
      <c r="K3602" t="inlineStr">
        <is>
          <t>Non</t>
        </is>
      </c>
      <c r="L3602">
        <f>SUBTOTAL(103,A3602)</f>
        <v>1</v>
      </c>
    </row>
    <row r="3603">
      <c r="A3603" t="inlineStr">
        <is>
          <t>SOCIETE C1986</t>
        </is>
      </c>
      <c r="B3603" t="inlineStr">
        <is>
          <t>C1986</t>
        </is>
      </c>
      <c r="C3603" t="inlineStr">
        <is>
          <t>CORPORATE BANKING</t>
        </is>
      </c>
      <c r="D3603" t="inlineStr">
        <is>
          <t>V</t>
        </is>
      </c>
      <c r="E3603" t="inlineStr">
        <is>
          <t>Stage 3</t>
        </is>
      </c>
      <c r="F3603" t="inlineStr">
        <is>
          <t>N/A</t>
        </is>
      </c>
      <c r="G3603" s="26">
        <v>9953361</v>
      </c>
      <c r="H3603" s="26">
        <v>5474348</v>
      </c>
      <c r="I3603" s="26">
        <v>0</v>
      </c>
      <c r="J3603" s="26">
        <v>122</v>
      </c>
      <c r="K3603" t="inlineStr">
        <is>
          <t>Oui</t>
        </is>
      </c>
      <c r="L3603">
        <f>SUBTOTAL(103,A3603)</f>
        <v>1</v>
      </c>
    </row>
    <row r="3604">
      <c r="A3604" t="inlineStr">
        <is>
          <t>SOCIETE C1043</t>
        </is>
      </c>
      <c r="B3604" t="inlineStr">
        <is>
          <t>C1043</t>
        </is>
      </c>
      <c r="C3604" t="inlineStr">
        <is>
          <t>COMMERCIAL BANKING</t>
        </is>
      </c>
      <c r="D3604" t="inlineStr">
        <is>
          <t>I</t>
        </is>
      </c>
      <c r="E3604" t="inlineStr">
        <is>
          <t>Stage 1</t>
        </is>
      </c>
      <c r="F3604" t="inlineStr">
        <is>
          <t>N/A</t>
        </is>
      </c>
      <c r="G3604" s="26">
        <v>1259459797</v>
      </c>
      <c r="H3604" s="26">
        <v>12594598</v>
      </c>
      <c r="I3604" s="26">
        <v>0</v>
      </c>
      <c r="J3604" s="26">
        <v>61</v>
      </c>
      <c r="K3604" t="inlineStr">
        <is>
          <t>Non</t>
        </is>
      </c>
      <c r="L3604">
        <f>SUBTOTAL(103,A3604)</f>
        <v>1</v>
      </c>
    </row>
    <row r="3605">
      <c r="A3605" t="inlineStr">
        <is>
          <t>SOCIETE C248</t>
        </is>
      </c>
      <c r="B3605" t="inlineStr">
        <is>
          <t>C248</t>
        </is>
      </c>
      <c r="C3605" t="inlineStr">
        <is>
          <t>CORPORATE BANKING</t>
        </is>
      </c>
      <c r="D3605" t="inlineStr">
        <is>
          <t>I</t>
        </is>
      </c>
      <c r="E3605" t="inlineStr">
        <is>
          <t>Stage 1</t>
        </is>
      </c>
      <c r="F3605" t="inlineStr">
        <is>
          <t>N/A</t>
        </is>
      </c>
      <c r="G3605" s="26">
        <v>2378395876</v>
      </c>
      <c r="H3605" s="26">
        <v>23783959</v>
      </c>
      <c r="I3605" s="26">
        <v>365321634</v>
      </c>
      <c r="J3605" s="26">
        <v>91</v>
      </c>
      <c r="K3605" t="inlineStr">
        <is>
          <t>Non</t>
        </is>
      </c>
      <c r="L3605">
        <f>SUBTOTAL(103,A3605)</f>
        <v>1</v>
      </c>
    </row>
    <row r="3606">
      <c r="A3606" t="inlineStr">
        <is>
          <t>SOCIETE C732</t>
        </is>
      </c>
      <c r="B3606" t="inlineStr">
        <is>
          <t>C732</t>
        </is>
      </c>
      <c r="C3606" t="inlineStr">
        <is>
          <t>CONSUMER BANKING</t>
        </is>
      </c>
      <c r="D3606" t="inlineStr">
        <is>
          <t>I</t>
        </is>
      </c>
      <c r="E3606" t="inlineStr">
        <is>
          <t>Stage 1</t>
        </is>
      </c>
      <c r="F3606" t="inlineStr">
        <is>
          <t>N/A</t>
        </is>
      </c>
      <c r="G3606" s="26">
        <v>126362793</v>
      </c>
      <c r="H3606" s="26">
        <v>1263628</v>
      </c>
      <c r="I3606" s="26">
        <v>20440656</v>
      </c>
      <c r="J3606" s="26">
        <v>191</v>
      </c>
      <c r="K3606" t="inlineStr">
        <is>
          <t>Non</t>
        </is>
      </c>
      <c r="L3606">
        <f>SUBTOTAL(103,A3606)</f>
        <v>1</v>
      </c>
    </row>
    <row r="3607">
      <c r="A3607" t="inlineStr">
        <is>
          <t>SOCIETE C1193</t>
        </is>
      </c>
      <c r="B3607" t="inlineStr">
        <is>
          <t>C1193</t>
        </is>
      </c>
      <c r="C3607" t="inlineStr">
        <is>
          <t>PUBLIC SECTOR</t>
        </is>
      </c>
      <c r="D3607" t="inlineStr">
        <is>
          <t>I</t>
        </is>
      </c>
      <c r="E3607" t="inlineStr">
        <is>
          <t>Stage 1</t>
        </is>
      </c>
      <c r="F3607" t="inlineStr">
        <is>
          <t>N/A</t>
        </is>
      </c>
      <c r="G3607" s="26">
        <v>99481627</v>
      </c>
      <c r="H3607" s="26">
        <v>994816</v>
      </c>
      <c r="I3607" s="26">
        <v>16155405</v>
      </c>
      <c r="J3607" s="26">
        <v>66</v>
      </c>
      <c r="K3607" t="inlineStr">
        <is>
          <t>Non</t>
        </is>
      </c>
      <c r="L3607">
        <f>SUBTOTAL(103,A3607)</f>
        <v>1</v>
      </c>
    </row>
    <row r="3608">
      <c r="A3608" t="inlineStr">
        <is>
          <t>SOCIETE C1071</t>
        </is>
      </c>
      <c r="B3608" t="inlineStr">
        <is>
          <t>C1071</t>
        </is>
      </c>
      <c r="C3608" t="inlineStr">
        <is>
          <t>CORPORATE BANKING</t>
        </is>
      </c>
      <c r="D3608" t="inlineStr">
        <is>
          <t>II</t>
        </is>
      </c>
      <c r="E3608" t="inlineStr">
        <is>
          <t>Stage 2</t>
        </is>
      </c>
      <c r="F3608" t="inlineStr">
        <is>
          <t>N/A</t>
        </is>
      </c>
      <c r="G3608" s="26">
        <v>823716808</v>
      </c>
      <c r="H3608" s="26">
        <v>49423008</v>
      </c>
      <c r="I3608" s="26">
        <v>0</v>
      </c>
      <c r="J3608" s="26">
        <v>36</v>
      </c>
      <c r="K3608" t="inlineStr">
        <is>
          <t>Non</t>
        </is>
      </c>
      <c r="L3608">
        <f>SUBTOTAL(103,A3608)</f>
        <v>1</v>
      </c>
    </row>
    <row r="3609">
      <c r="A3609" t="inlineStr">
        <is>
          <t>SOCIETE C1624</t>
        </is>
      </c>
      <c r="B3609" t="inlineStr">
        <is>
          <t>C1624</t>
        </is>
      </c>
      <c r="C3609" t="inlineStr">
        <is>
          <t>CORPORATE BANKING</t>
        </is>
      </c>
      <c r="D3609" t="inlineStr">
        <is>
          <t>IA</t>
        </is>
      </c>
      <c r="E3609" t="inlineStr">
        <is>
          <t>Stage 2</t>
        </is>
      </c>
      <c r="F3609" t="inlineStr">
        <is>
          <t>N/A</t>
        </is>
      </c>
      <c r="G3609" s="26">
        <v>2174732468</v>
      </c>
      <c r="H3609" s="26">
        <v>130483948</v>
      </c>
      <c r="I3609" s="26">
        <v>0</v>
      </c>
      <c r="J3609" s="26">
        <v>85</v>
      </c>
      <c r="K3609" t="inlineStr">
        <is>
          <t>Non</t>
        </is>
      </c>
      <c r="L3609">
        <f>SUBTOTAL(103,A3609)</f>
        <v>1</v>
      </c>
    </row>
    <row r="3610">
      <c r="A3610" t="inlineStr">
        <is>
          <t>SOCIETE C1704</t>
        </is>
      </c>
      <c r="B3610" t="inlineStr">
        <is>
          <t>C1704</t>
        </is>
      </c>
      <c r="C3610" t="inlineStr">
        <is>
          <t>CORPORATE BANKING</t>
        </is>
      </c>
      <c r="D3610" t="inlineStr">
        <is>
          <t>I</t>
        </is>
      </c>
      <c r="E3610" t="inlineStr">
        <is>
          <t>Stage 1</t>
        </is>
      </c>
      <c r="F3610" t="inlineStr">
        <is>
          <t>N/A</t>
        </is>
      </c>
      <c r="G3610" s="26">
        <v>1495594550</v>
      </c>
      <c r="H3610" s="26">
        <v>14955946</v>
      </c>
      <c r="I3610" s="26">
        <v>19061525</v>
      </c>
      <c r="J3610" s="26">
        <v>0</v>
      </c>
      <c r="K3610" t="inlineStr">
        <is>
          <t>Non</t>
        </is>
      </c>
      <c r="L3610">
        <f>SUBTOTAL(103,A3610)</f>
        <v>1</v>
      </c>
    </row>
    <row r="3611">
      <c r="A3611" t="inlineStr">
        <is>
          <t>SOCIETE C1627</t>
        </is>
      </c>
      <c r="B3611" t="inlineStr">
        <is>
          <t>C1627</t>
        </is>
      </c>
      <c r="C3611" t="inlineStr">
        <is>
          <t>CORPORATE BANKING</t>
        </is>
      </c>
      <c r="D3611" t="inlineStr">
        <is>
          <t>IA</t>
        </is>
      </c>
      <c r="E3611" t="inlineStr">
        <is>
          <t>Stage 2</t>
        </is>
      </c>
      <c r="F3611" t="inlineStr">
        <is>
          <t>N/A</t>
        </is>
      </c>
      <c r="G3611" s="26">
        <v>2127985127</v>
      </c>
      <c r="H3611" s="26">
        <v>127679108</v>
      </c>
      <c r="I3611" s="26">
        <v>382674140</v>
      </c>
      <c r="J3611" s="26">
        <v>35</v>
      </c>
      <c r="K3611" t="inlineStr">
        <is>
          <t>Non</t>
        </is>
      </c>
      <c r="L3611">
        <f>SUBTOTAL(103,A3611)</f>
        <v>1</v>
      </c>
    </row>
    <row r="3612">
      <c r="A3612" t="inlineStr">
        <is>
          <t>SOCIETE C1602</t>
        </is>
      </c>
      <c r="B3612" t="inlineStr">
        <is>
          <t>C1602</t>
        </is>
      </c>
      <c r="C3612" t="inlineStr">
        <is>
          <t>CONSUMER BANKING</t>
        </is>
      </c>
      <c r="D3612" t="inlineStr">
        <is>
          <t>II</t>
        </is>
      </c>
      <c r="E3612" t="inlineStr">
        <is>
          <t>Stage 2</t>
        </is>
      </c>
      <c r="F3612" t="inlineStr">
        <is>
          <t>N/A</t>
        </is>
      </c>
      <c r="G3612" s="26">
        <v>175149168</v>
      </c>
      <c r="H3612" s="26">
        <v>10508950</v>
      </c>
      <c r="I3612" s="26">
        <v>0</v>
      </c>
      <c r="J3612" s="26">
        <v>182</v>
      </c>
      <c r="K3612" t="inlineStr">
        <is>
          <t>Non</t>
        </is>
      </c>
      <c r="L3612">
        <f>SUBTOTAL(103,A3612)</f>
        <v>1</v>
      </c>
    </row>
    <row r="3613">
      <c r="A3613" t="inlineStr">
        <is>
          <t>SOCIETE C1281</t>
        </is>
      </c>
      <c r="B3613" t="inlineStr">
        <is>
          <t>C1281</t>
        </is>
      </c>
      <c r="C3613" t="inlineStr">
        <is>
          <t>CORPORATE BANKING</t>
        </is>
      </c>
      <c r="D3613" t="inlineStr">
        <is>
          <t>I</t>
        </is>
      </c>
      <c r="E3613" t="inlineStr">
        <is>
          <t>Stage 1</t>
        </is>
      </c>
      <c r="F3613" t="inlineStr">
        <is>
          <t>N/A</t>
        </is>
      </c>
      <c r="G3613" s="26">
        <v>93251338</v>
      </c>
      <c r="H3613" s="26">
        <v>932513</v>
      </c>
      <c r="I3613" s="26">
        <v>0</v>
      </c>
      <c r="J3613" s="26">
        <v>85</v>
      </c>
      <c r="K3613" t="inlineStr">
        <is>
          <t>Non</t>
        </is>
      </c>
      <c r="L3613">
        <f>SUBTOTAL(103,A3613)</f>
        <v>1</v>
      </c>
    </row>
    <row r="3614">
      <c r="A3614" t="inlineStr">
        <is>
          <t>SOCIETE C999</t>
        </is>
      </c>
      <c r="B3614" t="inlineStr">
        <is>
          <t>C999</t>
        </is>
      </c>
      <c r="C3614" t="inlineStr">
        <is>
          <t>CORPORATE BANKING</t>
        </is>
      </c>
      <c r="D3614" t="inlineStr">
        <is>
          <t>I</t>
        </is>
      </c>
      <c r="E3614" t="inlineStr">
        <is>
          <t>Stage 1</t>
        </is>
      </c>
      <c r="F3614" t="inlineStr">
        <is>
          <t>N/A</t>
        </is>
      </c>
      <c r="G3614" s="26">
        <v>1760481724</v>
      </c>
      <c r="H3614" s="26">
        <v>17604817</v>
      </c>
      <c r="I3614" s="26">
        <v>0</v>
      </c>
      <c r="J3614" s="26">
        <v>18</v>
      </c>
      <c r="K3614" t="inlineStr">
        <is>
          <t>Non</t>
        </is>
      </c>
      <c r="L3614">
        <f>SUBTOTAL(103,A3614)</f>
        <v>1</v>
      </c>
    </row>
    <row r="3615">
      <c r="A3615" t="inlineStr">
        <is>
          <t>SOCIETE C1014</t>
        </is>
      </c>
      <c r="B3615" t="inlineStr">
        <is>
          <t>C1014</t>
        </is>
      </c>
      <c r="C3615" t="inlineStr">
        <is>
          <t>COMMERCIAL BANKING</t>
        </is>
      </c>
      <c r="D3615" t="inlineStr">
        <is>
          <t>IA</t>
        </is>
      </c>
      <c r="E3615" t="inlineStr">
        <is>
          <t>Stage 2</t>
        </is>
      </c>
      <c r="F3615" t="inlineStr">
        <is>
          <t>N/A</t>
        </is>
      </c>
      <c r="G3615" s="26">
        <v>1828502743</v>
      </c>
      <c r="H3615" s="26">
        <v>109710165</v>
      </c>
      <c r="I3615" s="26">
        <v>0</v>
      </c>
      <c r="J3615" s="26">
        <v>13</v>
      </c>
      <c r="K3615" t="inlineStr">
        <is>
          <t>Non</t>
        </is>
      </c>
      <c r="L3615">
        <f>SUBTOTAL(103,A3615)</f>
        <v>1</v>
      </c>
    </row>
    <row r="3616">
      <c r="A3616" t="inlineStr">
        <is>
          <t>SOCIETE C511</t>
        </is>
      </c>
      <c r="B3616" t="inlineStr">
        <is>
          <t>C511</t>
        </is>
      </c>
      <c r="C3616" t="inlineStr">
        <is>
          <t>CORPORATE BANKING</t>
        </is>
      </c>
      <c r="D3616" t="inlineStr">
        <is>
          <t>III</t>
        </is>
      </c>
      <c r="E3616" t="inlineStr">
        <is>
          <t>Stage 3</t>
        </is>
      </c>
      <c r="F3616" t="inlineStr">
        <is>
          <t>N/A</t>
        </is>
      </c>
      <c r="G3616" s="26">
        <v>2874415104</v>
      </c>
      <c r="H3616" s="26">
        <v>1580928307</v>
      </c>
      <c r="I3616" s="26">
        <v>0</v>
      </c>
      <c r="J3616" s="26">
        <v>4</v>
      </c>
      <c r="K3616" t="inlineStr">
        <is>
          <t>Oui</t>
        </is>
      </c>
      <c r="L3616">
        <f>SUBTOTAL(103,A3616)</f>
        <v>1</v>
      </c>
    </row>
    <row r="3617">
      <c r="A3617" t="inlineStr">
        <is>
          <t>SOCIETE C2464</t>
        </is>
      </c>
      <c r="B3617" t="inlineStr">
        <is>
          <t>C2464</t>
        </is>
      </c>
      <c r="C3617" t="inlineStr">
        <is>
          <t>SME</t>
        </is>
      </c>
      <c r="D3617" t="inlineStr">
        <is>
          <t>V</t>
        </is>
      </c>
      <c r="E3617" t="inlineStr">
        <is>
          <t>Stage 3</t>
        </is>
      </c>
      <c r="F3617" t="inlineStr">
        <is>
          <t>N/A</t>
        </is>
      </c>
      <c r="G3617" s="26">
        <v>938174927</v>
      </c>
      <c r="H3617" s="26">
        <v>515996210</v>
      </c>
      <c r="I3617" s="26">
        <v>0</v>
      </c>
      <c r="J3617" s="26">
        <v>2</v>
      </c>
      <c r="K3617" t="inlineStr">
        <is>
          <t>Oui</t>
        </is>
      </c>
      <c r="L3617">
        <f>SUBTOTAL(103,A3617)</f>
        <v>1</v>
      </c>
    </row>
    <row r="3618">
      <c r="A3618" t="inlineStr">
        <is>
          <t>SOCIETE C2192</t>
        </is>
      </c>
      <c r="B3618" t="inlineStr">
        <is>
          <t>C2192</t>
        </is>
      </c>
      <c r="C3618" t="inlineStr">
        <is>
          <t>CORPORATE BANKING</t>
        </is>
      </c>
      <c r="D3618" t="inlineStr">
        <is>
          <t>I</t>
        </is>
      </c>
      <c r="E3618" t="inlineStr">
        <is>
          <t>Stage 1</t>
        </is>
      </c>
      <c r="F3618" t="inlineStr">
        <is>
          <t>N/A</t>
        </is>
      </c>
      <c r="G3618" s="26">
        <v>1411151453</v>
      </c>
      <c r="H3618" s="26">
        <v>14111515</v>
      </c>
      <c r="I3618" s="26">
        <v>0</v>
      </c>
      <c r="J3618" s="26">
        <v>92</v>
      </c>
      <c r="K3618" t="inlineStr">
        <is>
          <t>Non</t>
        </is>
      </c>
      <c r="L3618">
        <f>SUBTOTAL(103,A3618)</f>
        <v>1</v>
      </c>
    </row>
    <row r="3619">
      <c r="A3619" t="inlineStr">
        <is>
          <t>SOCIETE C1975</t>
        </is>
      </c>
      <c r="B3619" t="inlineStr">
        <is>
          <t>C1975</t>
        </is>
      </c>
      <c r="C3619" t="inlineStr">
        <is>
          <t>COMMERCIAL BANKING</t>
        </is>
      </c>
      <c r="D3619" t="inlineStr">
        <is>
          <t>II</t>
        </is>
      </c>
      <c r="E3619" t="inlineStr">
        <is>
          <t>Stage 2</t>
        </is>
      </c>
      <c r="F3619" t="inlineStr">
        <is>
          <t>N/A</t>
        </is>
      </c>
      <c r="G3619" s="26">
        <v>120679434</v>
      </c>
      <c r="H3619" s="26">
        <v>7240766</v>
      </c>
      <c r="I3619" s="26">
        <v>0</v>
      </c>
      <c r="J3619" s="26">
        <v>24</v>
      </c>
      <c r="K3619" t="inlineStr">
        <is>
          <t>Non</t>
        </is>
      </c>
      <c r="L3619">
        <f>SUBTOTAL(103,A3619)</f>
        <v>1</v>
      </c>
    </row>
    <row r="3620">
      <c r="A3620" t="inlineStr">
        <is>
          <t>SOCIETE C1950</t>
        </is>
      </c>
      <c r="B3620" t="inlineStr">
        <is>
          <t>C1950</t>
        </is>
      </c>
      <c r="C3620" t="inlineStr">
        <is>
          <t>CORPORATE BANKING</t>
        </is>
      </c>
      <c r="D3620" t="inlineStr">
        <is>
          <t>I</t>
        </is>
      </c>
      <c r="E3620" t="inlineStr">
        <is>
          <t>Stage 1</t>
        </is>
      </c>
      <c r="F3620" t="inlineStr">
        <is>
          <t>N/A</t>
        </is>
      </c>
      <c r="G3620" s="26">
        <v>1982063089</v>
      </c>
      <c r="H3620" s="26">
        <v>19820631</v>
      </c>
      <c r="I3620" s="26">
        <v>69222253</v>
      </c>
      <c r="J3620" s="26">
        <v>239</v>
      </c>
      <c r="K3620" t="inlineStr">
        <is>
          <t>Non</t>
        </is>
      </c>
      <c r="L3620">
        <f>SUBTOTAL(103,A3620)</f>
        <v>1</v>
      </c>
    </row>
    <row r="3621">
      <c r="A3621" t="inlineStr">
        <is>
          <t>SOCIETE C1580</t>
        </is>
      </c>
      <c r="B3621" t="inlineStr">
        <is>
          <t>C1580</t>
        </is>
      </c>
      <c r="C3621" t="inlineStr">
        <is>
          <t>CONSUMER BANKING</t>
        </is>
      </c>
      <c r="D3621" t="inlineStr">
        <is>
          <t>IV</t>
        </is>
      </c>
      <c r="E3621" t="inlineStr">
        <is>
          <t>Stage 3</t>
        </is>
      </c>
      <c r="F3621" t="inlineStr">
        <is>
          <t>N/A</t>
        </is>
      </c>
      <c r="G3621" s="26">
        <v>11847357</v>
      </c>
      <c r="H3621" s="26">
        <v>6516047</v>
      </c>
      <c r="I3621" s="26">
        <v>610330</v>
      </c>
      <c r="J3621" s="26">
        <v>38</v>
      </c>
      <c r="K3621" t="inlineStr">
        <is>
          <t>Oui</t>
        </is>
      </c>
      <c r="L3621">
        <f>SUBTOTAL(103,A3621)</f>
        <v>1</v>
      </c>
    </row>
    <row r="3622">
      <c r="A3622" t="inlineStr">
        <is>
          <t>SOCIETE C1634</t>
        </is>
      </c>
      <c r="B3622" t="inlineStr">
        <is>
          <t>C1634</t>
        </is>
      </c>
      <c r="C3622" t="inlineStr">
        <is>
          <t>CORPORATE BANKING</t>
        </is>
      </c>
      <c r="D3622" t="inlineStr">
        <is>
          <t>I</t>
        </is>
      </c>
      <c r="E3622" t="inlineStr">
        <is>
          <t>Stage 1</t>
        </is>
      </c>
      <c r="F3622" t="inlineStr">
        <is>
          <t>N/A</t>
        </is>
      </c>
      <c r="G3622" s="26">
        <v>169747826</v>
      </c>
      <c r="H3622" s="26">
        <v>1697478</v>
      </c>
      <c r="I3622" s="26">
        <v>32048427</v>
      </c>
      <c r="J3622" s="26">
        <v>240</v>
      </c>
      <c r="K3622" t="inlineStr">
        <is>
          <t>Non</t>
        </is>
      </c>
      <c r="L3622">
        <f>SUBTOTAL(103,A3622)</f>
        <v>1</v>
      </c>
    </row>
    <row r="3623">
      <c r="A3623" t="inlineStr">
        <is>
          <t>SOCIETE C444</t>
        </is>
      </c>
      <c r="B3623" t="inlineStr">
        <is>
          <t>C444</t>
        </is>
      </c>
      <c r="C3623" t="inlineStr">
        <is>
          <t>CORPORATE BANKING</t>
        </is>
      </c>
      <c r="D3623" t="inlineStr">
        <is>
          <t>III</t>
        </is>
      </c>
      <c r="E3623" t="inlineStr">
        <is>
          <t>Stage 3</t>
        </is>
      </c>
      <c r="F3623" t="inlineStr">
        <is>
          <t>N/A</t>
        </is>
      </c>
      <c r="G3623" s="26">
        <v>2343295995</v>
      </c>
      <c r="H3623" s="26">
        <v>1288812797</v>
      </c>
      <c r="I3623" s="26">
        <v>249952872</v>
      </c>
      <c r="J3623" s="26">
        <v>66</v>
      </c>
      <c r="K3623" t="inlineStr">
        <is>
          <t>Oui</t>
        </is>
      </c>
      <c r="L3623">
        <f>SUBTOTAL(103,A3623)</f>
        <v>1</v>
      </c>
    </row>
    <row r="3624">
      <c r="A3624" t="inlineStr">
        <is>
          <t>SOCIETE C96</t>
        </is>
      </c>
      <c r="B3624" t="inlineStr">
        <is>
          <t>C96</t>
        </is>
      </c>
      <c r="C3624" t="inlineStr">
        <is>
          <t>PUBLIC SECTOR</t>
        </is>
      </c>
      <c r="D3624" t="inlineStr">
        <is>
          <t>IA</t>
        </is>
      </c>
      <c r="E3624" t="inlineStr">
        <is>
          <t>Stage 2</t>
        </is>
      </c>
      <c r="F3624" t="inlineStr">
        <is>
          <t>N/A</t>
        </is>
      </c>
      <c r="G3624" s="26">
        <v>1183508031</v>
      </c>
      <c r="H3624" s="26">
        <v>71010482</v>
      </c>
      <c r="I3624" s="26">
        <v>0</v>
      </c>
      <c r="J3624" s="26">
        <v>72</v>
      </c>
      <c r="K3624" t="inlineStr">
        <is>
          <t>Non</t>
        </is>
      </c>
      <c r="L3624">
        <f>SUBTOTAL(103,A3624)</f>
        <v>1</v>
      </c>
    </row>
    <row r="3625">
      <c r="A3625" t="inlineStr">
        <is>
          <t>SOCIETE C895</t>
        </is>
      </c>
      <c r="B3625" t="inlineStr">
        <is>
          <t>C895</t>
        </is>
      </c>
      <c r="C3625" t="inlineStr">
        <is>
          <t>PUBLIC SECTOR</t>
        </is>
      </c>
      <c r="D3625" t="inlineStr">
        <is>
          <t>I</t>
        </is>
      </c>
      <c r="E3625" t="inlineStr">
        <is>
          <t>Stage 1</t>
        </is>
      </c>
      <c r="F3625" t="inlineStr">
        <is>
          <t>N/A</t>
        </is>
      </c>
      <c r="G3625" s="26">
        <v>2121905356</v>
      </c>
      <c r="H3625" s="26">
        <v>21219054</v>
      </c>
      <c r="I3625" s="26">
        <v>0</v>
      </c>
      <c r="J3625" s="26">
        <v>101</v>
      </c>
      <c r="K3625" t="inlineStr">
        <is>
          <t>Non</t>
        </is>
      </c>
      <c r="L3625">
        <f>SUBTOTAL(103,A3625)</f>
        <v>1</v>
      </c>
    </row>
    <row r="3626">
      <c r="A3626" t="inlineStr">
        <is>
          <t>SOCIETE C13</t>
        </is>
      </c>
      <c r="B3626" t="inlineStr">
        <is>
          <t>C13</t>
        </is>
      </c>
      <c r="C3626" t="inlineStr">
        <is>
          <t>CORPORATE BANKING</t>
        </is>
      </c>
      <c r="D3626" t="inlineStr">
        <is>
          <t>V</t>
        </is>
      </c>
      <c r="E3626" t="inlineStr">
        <is>
          <t>Stage 3</t>
        </is>
      </c>
      <c r="F3626" t="inlineStr">
        <is>
          <t>N/A</t>
        </is>
      </c>
      <c r="G3626" s="26">
        <v>875294346</v>
      </c>
      <c r="H3626" s="26">
        <v>481411890</v>
      </c>
      <c r="I3626" s="26">
        <v>138380016</v>
      </c>
      <c r="J3626" s="26">
        <v>63</v>
      </c>
      <c r="K3626" t="inlineStr">
        <is>
          <t>Oui</t>
        </is>
      </c>
      <c r="L3626">
        <f>SUBTOTAL(103,A3626)</f>
        <v>1</v>
      </c>
    </row>
    <row r="3627">
      <c r="A3627" t="inlineStr">
        <is>
          <t>SOCIETE C1769</t>
        </is>
      </c>
      <c r="B3627" t="inlineStr">
        <is>
          <t>C1769</t>
        </is>
      </c>
      <c r="C3627" t="inlineStr">
        <is>
          <t>CORPORATE BANKING</t>
        </is>
      </c>
      <c r="D3627" t="inlineStr">
        <is>
          <t>IA</t>
        </is>
      </c>
      <c r="E3627" t="inlineStr">
        <is>
          <t>Stage 2</t>
        </is>
      </c>
      <c r="F3627" t="inlineStr">
        <is>
          <t>N/A</t>
        </is>
      </c>
      <c r="G3627" s="26">
        <v>226087772</v>
      </c>
      <c r="H3627" s="26">
        <v>13565266</v>
      </c>
      <c r="I3627" s="26">
        <v>0</v>
      </c>
      <c r="J3627" s="26">
        <v>91</v>
      </c>
      <c r="K3627" t="inlineStr">
        <is>
          <t>Non</t>
        </is>
      </c>
      <c r="L3627">
        <f>SUBTOTAL(103,A3627)</f>
        <v>1</v>
      </c>
    </row>
    <row r="3628">
      <c r="A3628" t="inlineStr">
        <is>
          <t>SOCIETE C616</t>
        </is>
      </c>
      <c r="B3628" t="inlineStr">
        <is>
          <t>C616</t>
        </is>
      </c>
      <c r="C3628" t="inlineStr">
        <is>
          <t>CORPORATE BANKING</t>
        </is>
      </c>
      <c r="D3628" t="inlineStr">
        <is>
          <t>II</t>
        </is>
      </c>
      <c r="E3628" t="inlineStr">
        <is>
          <t>Stage 2</t>
        </is>
      </c>
      <c r="F3628" t="inlineStr">
        <is>
          <t>N/A</t>
        </is>
      </c>
      <c r="G3628" s="26">
        <v>192182646</v>
      </c>
      <c r="H3628" s="26">
        <v>11530959</v>
      </c>
      <c r="I3628" s="26">
        <v>0</v>
      </c>
      <c r="J3628" s="26">
        <v>22</v>
      </c>
      <c r="K3628" t="inlineStr">
        <is>
          <t>Non</t>
        </is>
      </c>
      <c r="L3628">
        <f>SUBTOTAL(103,A3628)</f>
        <v>1</v>
      </c>
    </row>
    <row r="3629">
      <c r="A3629" t="inlineStr">
        <is>
          <t>SOCIETE C1817</t>
        </is>
      </c>
      <c r="B3629" t="inlineStr">
        <is>
          <t>C1817</t>
        </is>
      </c>
      <c r="C3629" t="inlineStr">
        <is>
          <t>SME</t>
        </is>
      </c>
      <c r="D3629" t="inlineStr">
        <is>
          <t>I</t>
        </is>
      </c>
      <c r="E3629" t="inlineStr">
        <is>
          <t>Stage 1</t>
        </is>
      </c>
      <c r="F3629" t="inlineStr">
        <is>
          <t>N/A</t>
        </is>
      </c>
      <c r="G3629" s="26">
        <v>308398413</v>
      </c>
      <c r="H3629" s="26">
        <v>3083984</v>
      </c>
      <c r="I3629" s="26">
        <v>52669239</v>
      </c>
      <c r="J3629" s="26">
        <v>148</v>
      </c>
      <c r="K3629" t="inlineStr">
        <is>
          <t>Non</t>
        </is>
      </c>
      <c r="L3629">
        <f>SUBTOTAL(103,A3629)</f>
        <v>1</v>
      </c>
    </row>
    <row r="3630">
      <c r="A3630" t="inlineStr">
        <is>
          <t>SOCIETE C1059</t>
        </is>
      </c>
      <c r="B3630" t="inlineStr">
        <is>
          <t>C1059</t>
        </is>
      </c>
      <c r="C3630" t="inlineStr">
        <is>
          <t>CONSUMER BANKING</t>
        </is>
      </c>
      <c r="D3630" t="inlineStr">
        <is>
          <t>I</t>
        </is>
      </c>
      <c r="E3630" t="inlineStr">
        <is>
          <t>Stage 1</t>
        </is>
      </c>
      <c r="F3630" t="inlineStr">
        <is>
          <t>N/A</t>
        </is>
      </c>
      <c r="G3630" s="26">
        <v>3387102</v>
      </c>
      <c r="H3630" s="26">
        <v>33871</v>
      </c>
      <c r="I3630" s="26">
        <v>0</v>
      </c>
      <c r="J3630" s="26">
        <v>251</v>
      </c>
      <c r="K3630" t="inlineStr">
        <is>
          <t>Non</t>
        </is>
      </c>
      <c r="L3630">
        <f>SUBTOTAL(103,A3630)</f>
        <v>1</v>
      </c>
    </row>
    <row r="3631">
      <c r="A3631" t="inlineStr">
        <is>
          <t>SOCIETE C1940</t>
        </is>
      </c>
      <c r="B3631" t="inlineStr">
        <is>
          <t>C1940</t>
        </is>
      </c>
      <c r="C3631" t="inlineStr">
        <is>
          <t>CONSUMER BANKING</t>
        </is>
      </c>
      <c r="D3631" t="inlineStr">
        <is>
          <t>IV</t>
        </is>
      </c>
      <c r="E3631" t="inlineStr">
        <is>
          <t>Stage 3</t>
        </is>
      </c>
      <c r="F3631" t="inlineStr">
        <is>
          <t>N/A</t>
        </is>
      </c>
      <c r="G3631" s="26">
        <v>2835346564</v>
      </c>
      <c r="H3631" s="26">
        <v>1559440610</v>
      </c>
      <c r="I3631" s="26">
        <v>412543285</v>
      </c>
      <c r="J3631" s="26">
        <v>7</v>
      </c>
      <c r="K3631" t="inlineStr">
        <is>
          <t>Oui</t>
        </is>
      </c>
      <c r="L3631">
        <f>SUBTOTAL(103,A3631)</f>
        <v>1</v>
      </c>
    </row>
    <row r="3632">
      <c r="A3632" t="inlineStr">
        <is>
          <t>SOCIETE C1749</t>
        </is>
      </c>
      <c r="B3632" t="inlineStr">
        <is>
          <t>C1749</t>
        </is>
      </c>
      <c r="C3632" t="inlineStr">
        <is>
          <t>CORPORATE BANKING</t>
        </is>
      </c>
      <c r="D3632" t="inlineStr">
        <is>
          <t>I</t>
        </is>
      </c>
      <c r="E3632" t="inlineStr">
        <is>
          <t>Stage 1</t>
        </is>
      </c>
      <c r="F3632" t="inlineStr">
        <is>
          <t>N/A</t>
        </is>
      </c>
      <c r="G3632" s="26">
        <v>14266732</v>
      </c>
      <c r="H3632" s="26">
        <v>142667</v>
      </c>
      <c r="I3632" s="26">
        <v>260594</v>
      </c>
      <c r="J3632" s="26">
        <v>197</v>
      </c>
      <c r="K3632" t="inlineStr">
        <is>
          <t>Non</t>
        </is>
      </c>
      <c r="L3632">
        <f>SUBTOTAL(103,A3632)</f>
        <v>1</v>
      </c>
    </row>
    <row r="3633">
      <c r="A3633" t="inlineStr">
        <is>
          <t>SOCIETE C598</t>
        </is>
      </c>
      <c r="B3633" t="inlineStr">
        <is>
          <t>C598</t>
        </is>
      </c>
      <c r="C3633" t="inlineStr">
        <is>
          <t>CONSUMER BANKING</t>
        </is>
      </c>
      <c r="D3633" t="inlineStr">
        <is>
          <t>V</t>
        </is>
      </c>
      <c r="E3633" t="inlineStr">
        <is>
          <t>Stage 3</t>
        </is>
      </c>
      <c r="F3633" t="inlineStr">
        <is>
          <t>N/A</t>
        </is>
      </c>
      <c r="G3633" s="26">
        <v>1161217</v>
      </c>
      <c r="H3633" s="26">
        <v>638669</v>
      </c>
      <c r="I3633" s="26">
        <v>0</v>
      </c>
      <c r="J3633" s="26">
        <v>55</v>
      </c>
      <c r="K3633" t="inlineStr">
        <is>
          <t>Oui</t>
        </is>
      </c>
      <c r="L3633">
        <f>SUBTOTAL(103,A3633)</f>
        <v>1</v>
      </c>
    </row>
    <row r="3634">
      <c r="A3634" t="inlineStr">
        <is>
          <t>SOCIETE C1900</t>
        </is>
      </c>
      <c r="B3634" t="inlineStr">
        <is>
          <t>C1900</t>
        </is>
      </c>
      <c r="C3634" t="inlineStr">
        <is>
          <t>CORPORATE BANKING</t>
        </is>
      </c>
      <c r="D3634" t="inlineStr">
        <is>
          <t>IA</t>
        </is>
      </c>
      <c r="E3634" t="inlineStr">
        <is>
          <t>Stage 2</t>
        </is>
      </c>
      <c r="F3634" t="inlineStr">
        <is>
          <t>N/A</t>
        </is>
      </c>
      <c r="G3634" s="26">
        <v>33157519</v>
      </c>
      <c r="H3634" s="26">
        <v>1989451</v>
      </c>
      <c r="I3634" s="26">
        <v>0</v>
      </c>
      <c r="J3634" s="26">
        <v>13</v>
      </c>
      <c r="K3634" t="inlineStr">
        <is>
          <t>Non</t>
        </is>
      </c>
      <c r="L3634">
        <f>SUBTOTAL(103,A3634)</f>
        <v>1</v>
      </c>
    </row>
    <row r="3635">
      <c r="A3635" t="inlineStr">
        <is>
          <t>SOCIETE C506</t>
        </is>
      </c>
      <c r="B3635" t="inlineStr">
        <is>
          <t>C506</t>
        </is>
      </c>
      <c r="C3635" t="inlineStr">
        <is>
          <t>COMMERCIAL BANKING</t>
        </is>
      </c>
      <c r="D3635" t="inlineStr">
        <is>
          <t>III</t>
        </is>
      </c>
      <c r="E3635" t="inlineStr">
        <is>
          <t>Stage 3</t>
        </is>
      </c>
      <c r="F3635" t="inlineStr">
        <is>
          <t>N/A</t>
        </is>
      </c>
      <c r="G3635" s="26">
        <v>2181025251</v>
      </c>
      <c r="H3635" s="26">
        <v>1199563888</v>
      </c>
      <c r="I3635" s="26">
        <v>227884115</v>
      </c>
      <c r="J3635" s="26">
        <v>151</v>
      </c>
      <c r="K3635" t="inlineStr">
        <is>
          <t>Oui</t>
        </is>
      </c>
      <c r="L3635">
        <f>SUBTOTAL(103,A3635)</f>
        <v>1</v>
      </c>
    </row>
    <row r="3636">
      <c r="A3636" t="inlineStr">
        <is>
          <t>SOCIETE C1994</t>
        </is>
      </c>
      <c r="B3636" t="inlineStr">
        <is>
          <t>C1994</t>
        </is>
      </c>
      <c r="C3636" t="inlineStr">
        <is>
          <t>CORPORATE BANKING</t>
        </is>
      </c>
      <c r="D3636" t="inlineStr">
        <is>
          <t>II</t>
        </is>
      </c>
      <c r="E3636" t="inlineStr">
        <is>
          <t>Stage 2</t>
        </is>
      </c>
      <c r="F3636" t="inlineStr">
        <is>
          <t>N/A</t>
        </is>
      </c>
      <c r="G3636" s="26">
        <v>49125886</v>
      </c>
      <c r="H3636" s="26">
        <v>2947553</v>
      </c>
      <c r="I3636" s="26">
        <v>0</v>
      </c>
      <c r="J3636" s="26">
        <v>35</v>
      </c>
      <c r="K3636" t="inlineStr">
        <is>
          <t>Non</t>
        </is>
      </c>
      <c r="L3636">
        <f>SUBTOTAL(103,A3636)</f>
        <v>1</v>
      </c>
    </row>
    <row r="3637">
      <c r="A3637" t="inlineStr">
        <is>
          <t>SOCIETE C1074</t>
        </is>
      </c>
      <c r="B3637" t="inlineStr">
        <is>
          <t>C1074</t>
        </is>
      </c>
      <c r="C3637" t="inlineStr">
        <is>
          <t>COMMERCIAL BANKING</t>
        </is>
      </c>
      <c r="D3637" t="inlineStr">
        <is>
          <t>IA</t>
        </is>
      </c>
      <c r="E3637" t="inlineStr">
        <is>
          <t>Stage 2</t>
        </is>
      </c>
      <c r="F3637" t="inlineStr">
        <is>
          <t>N/A</t>
        </is>
      </c>
      <c r="G3637" s="26">
        <v>985405606</v>
      </c>
      <c r="H3637" s="26">
        <v>59124336</v>
      </c>
      <c r="I3637" s="26">
        <v>0</v>
      </c>
      <c r="J3637" s="26">
        <v>113</v>
      </c>
      <c r="K3637" t="inlineStr">
        <is>
          <t>Non</t>
        </is>
      </c>
      <c r="L3637">
        <f>SUBTOTAL(103,A3637)</f>
        <v>1</v>
      </c>
    </row>
    <row r="3638">
      <c r="A3638" t="inlineStr">
        <is>
          <t>SOCIETE C91</t>
        </is>
      </c>
      <c r="B3638" t="inlineStr">
        <is>
          <t>C91</t>
        </is>
      </c>
      <c r="C3638" t="inlineStr">
        <is>
          <t>SME</t>
        </is>
      </c>
      <c r="D3638" t="inlineStr">
        <is>
          <t>IA</t>
        </is>
      </c>
      <c r="E3638" t="inlineStr">
        <is>
          <t>Stage 2</t>
        </is>
      </c>
      <c r="F3638" t="inlineStr">
        <is>
          <t>N/A</t>
        </is>
      </c>
      <c r="G3638" s="26">
        <v>3308043</v>
      </c>
      <c r="H3638" s="26">
        <v>198483</v>
      </c>
      <c r="I3638" s="26">
        <v>0</v>
      </c>
      <c r="J3638" s="26">
        <v>0</v>
      </c>
      <c r="K3638" t="inlineStr">
        <is>
          <t>Non</t>
        </is>
      </c>
      <c r="L3638">
        <f>SUBTOTAL(103,A3638)</f>
        <v>1</v>
      </c>
    </row>
    <row r="3639">
      <c r="A3639" t="inlineStr">
        <is>
          <t>SOCIETE C409</t>
        </is>
      </c>
      <c r="B3639" t="inlineStr">
        <is>
          <t>C409</t>
        </is>
      </c>
      <c r="C3639" t="inlineStr">
        <is>
          <t>CORPORATE BANKING</t>
        </is>
      </c>
      <c r="D3639" t="inlineStr">
        <is>
          <t>I</t>
        </is>
      </c>
      <c r="E3639" t="inlineStr">
        <is>
          <t>Stage 1</t>
        </is>
      </c>
      <c r="F3639" t="inlineStr">
        <is>
          <t>N/A</t>
        </is>
      </c>
      <c r="G3639" s="26">
        <v>208961965</v>
      </c>
      <c r="H3639" s="26">
        <v>2089620</v>
      </c>
      <c r="I3639" s="26">
        <v>0</v>
      </c>
      <c r="J3639" s="26">
        <v>178</v>
      </c>
      <c r="K3639" t="inlineStr">
        <is>
          <t>Non</t>
        </is>
      </c>
      <c r="L3639">
        <f>SUBTOTAL(103,A3639)</f>
        <v>1</v>
      </c>
    </row>
    <row r="3640">
      <c r="A3640" t="inlineStr">
        <is>
          <t>SOCIETE C19</t>
        </is>
      </c>
      <c r="B3640" t="inlineStr">
        <is>
          <t>C19</t>
        </is>
      </c>
      <c r="C3640" t="inlineStr">
        <is>
          <t>COMMERCIAL BANKING</t>
        </is>
      </c>
      <c r="D3640" t="inlineStr">
        <is>
          <t>IA</t>
        </is>
      </c>
      <c r="E3640" t="inlineStr">
        <is>
          <t>Stage 2</t>
        </is>
      </c>
      <c r="F3640" t="inlineStr">
        <is>
          <t>N/A</t>
        </is>
      </c>
      <c r="G3640" s="26">
        <v>78014463</v>
      </c>
      <c r="H3640" s="26">
        <v>4680868</v>
      </c>
      <c r="I3640" s="26">
        <v>0</v>
      </c>
      <c r="J3640" s="26">
        <v>26</v>
      </c>
      <c r="K3640" t="inlineStr">
        <is>
          <t>Non</t>
        </is>
      </c>
      <c r="L3640">
        <f>SUBTOTAL(103,A3640)</f>
        <v>1</v>
      </c>
    </row>
    <row r="3641">
      <c r="A3641" t="inlineStr">
        <is>
          <t>SOCIETE C480</t>
        </is>
      </c>
      <c r="B3641" t="inlineStr">
        <is>
          <t>C480</t>
        </is>
      </c>
      <c r="C3641" t="inlineStr">
        <is>
          <t>PUBLIC SECTOR</t>
        </is>
      </c>
      <c r="D3641" t="inlineStr">
        <is>
          <t>I</t>
        </is>
      </c>
      <c r="E3641" t="inlineStr">
        <is>
          <t>Stage 1</t>
        </is>
      </c>
      <c r="F3641" t="inlineStr">
        <is>
          <t>N/A</t>
        </is>
      </c>
      <c r="G3641" s="26">
        <v>1946559</v>
      </c>
      <c r="H3641" s="26">
        <v>19466</v>
      </c>
      <c r="I3641" s="26">
        <v>0</v>
      </c>
      <c r="J3641" s="26">
        <v>0</v>
      </c>
      <c r="K3641" t="inlineStr">
        <is>
          <t>Non</t>
        </is>
      </c>
      <c r="L3641">
        <f>SUBTOTAL(103,A3641)</f>
        <v>1</v>
      </c>
    </row>
    <row r="3642">
      <c r="A3642" t="inlineStr">
        <is>
          <t>SOCIETE C2090</t>
        </is>
      </c>
      <c r="B3642" t="inlineStr">
        <is>
          <t>C2090</t>
        </is>
      </c>
      <c r="C3642" t="inlineStr">
        <is>
          <t>COMMERCIAL BANKING</t>
        </is>
      </c>
      <c r="D3642" t="inlineStr">
        <is>
          <t>V</t>
        </is>
      </c>
      <c r="E3642" t="inlineStr">
        <is>
          <t>Stage 3</t>
        </is>
      </c>
      <c r="F3642" t="inlineStr">
        <is>
          <t>N/A</t>
        </is>
      </c>
      <c r="G3642" s="26">
        <v>17022615</v>
      </c>
      <c r="H3642" s="26">
        <v>9362439</v>
      </c>
      <c r="I3642" s="26">
        <v>0</v>
      </c>
      <c r="J3642" s="26">
        <v>16</v>
      </c>
      <c r="K3642" t="inlineStr">
        <is>
          <t>Oui</t>
        </is>
      </c>
      <c r="L3642">
        <f>SUBTOTAL(103,A3642)</f>
        <v>1</v>
      </c>
    </row>
    <row r="3643">
      <c r="A3643" t="inlineStr">
        <is>
          <t>SOCIETE C355</t>
        </is>
      </c>
      <c r="B3643" t="inlineStr">
        <is>
          <t>C355</t>
        </is>
      </c>
      <c r="C3643" t="inlineStr">
        <is>
          <t>COMMERCIAL BANKING</t>
        </is>
      </c>
      <c r="D3643" t="inlineStr">
        <is>
          <t>I</t>
        </is>
      </c>
      <c r="E3643" t="inlineStr">
        <is>
          <t>Stage 1</t>
        </is>
      </c>
      <c r="F3643" t="inlineStr">
        <is>
          <t>N/A</t>
        </is>
      </c>
      <c r="G3643" s="26">
        <v>19882333</v>
      </c>
      <c r="H3643" s="26">
        <v>198823</v>
      </c>
      <c r="I3643" s="26">
        <v>1578078</v>
      </c>
      <c r="J3643" s="26">
        <v>113</v>
      </c>
      <c r="K3643" t="inlineStr">
        <is>
          <t>Non</t>
        </is>
      </c>
      <c r="L3643">
        <f>SUBTOTAL(103,A3643)</f>
        <v>1</v>
      </c>
    </row>
    <row r="3644">
      <c r="A3644" t="inlineStr">
        <is>
          <t>SOCIETE C819</t>
        </is>
      </c>
      <c r="B3644" t="inlineStr">
        <is>
          <t>C819</t>
        </is>
      </c>
      <c r="C3644" t="inlineStr">
        <is>
          <t>CONSUMER BANKING</t>
        </is>
      </c>
      <c r="D3644" t="inlineStr">
        <is>
          <t>IA</t>
        </is>
      </c>
      <c r="E3644" t="inlineStr">
        <is>
          <t>Stage 2</t>
        </is>
      </c>
      <c r="F3644" t="inlineStr">
        <is>
          <t>N/A</t>
        </is>
      </c>
      <c r="G3644" s="26">
        <v>241239800</v>
      </c>
      <c r="H3644" s="26">
        <v>14474388</v>
      </c>
      <c r="I3644" s="26">
        <v>819176</v>
      </c>
      <c r="J3644" s="26">
        <v>90</v>
      </c>
      <c r="K3644" t="inlineStr">
        <is>
          <t>Non</t>
        </is>
      </c>
      <c r="L3644">
        <f>SUBTOTAL(103,A3644)</f>
        <v>1</v>
      </c>
    </row>
    <row r="3645">
      <c r="A3645" t="inlineStr">
        <is>
          <t>SOCIETE C835</t>
        </is>
      </c>
      <c r="B3645" t="inlineStr">
        <is>
          <t>C835</t>
        </is>
      </c>
      <c r="C3645" t="inlineStr">
        <is>
          <t>CONSUMER BANKING</t>
        </is>
      </c>
      <c r="D3645" t="inlineStr">
        <is>
          <t>I</t>
        </is>
      </c>
      <c r="E3645" t="inlineStr">
        <is>
          <t>Stage 1</t>
        </is>
      </c>
      <c r="F3645" t="inlineStr">
        <is>
          <t>N/A</t>
        </is>
      </c>
      <c r="G3645" s="26">
        <v>1207357616</v>
      </c>
      <c r="H3645" s="26">
        <v>12073576</v>
      </c>
      <c r="I3645" s="26">
        <v>10495141</v>
      </c>
      <c r="J3645" s="26">
        <v>147</v>
      </c>
      <c r="K3645" t="inlineStr">
        <is>
          <t>Non</t>
        </is>
      </c>
      <c r="L3645">
        <f>SUBTOTAL(103,A3645)</f>
        <v>1</v>
      </c>
    </row>
    <row r="3646">
      <c r="A3646" t="inlineStr">
        <is>
          <t>SOCIETE C588</t>
        </is>
      </c>
      <c r="B3646" t="inlineStr">
        <is>
          <t>C588</t>
        </is>
      </c>
      <c r="C3646" t="inlineStr">
        <is>
          <t>CONSUMER BANKING</t>
        </is>
      </c>
      <c r="D3646" t="inlineStr">
        <is>
          <t>I</t>
        </is>
      </c>
      <c r="E3646" t="inlineStr">
        <is>
          <t>Stage 1</t>
        </is>
      </c>
      <c r="F3646" t="inlineStr">
        <is>
          <t>N/A</t>
        </is>
      </c>
      <c r="G3646" s="26">
        <v>1282348368</v>
      </c>
      <c r="H3646" s="26">
        <v>12823484</v>
      </c>
      <c r="I3646" s="26">
        <v>0</v>
      </c>
      <c r="J3646" s="26">
        <v>52</v>
      </c>
      <c r="K3646" t="inlineStr">
        <is>
          <t>Non</t>
        </is>
      </c>
      <c r="L3646">
        <f>SUBTOTAL(103,A3646)</f>
        <v>1</v>
      </c>
    </row>
    <row r="3647">
      <c r="A3647" t="inlineStr">
        <is>
          <t>SOCIETE C282</t>
        </is>
      </c>
      <c r="B3647" t="inlineStr">
        <is>
          <t>C282</t>
        </is>
      </c>
      <c r="C3647" t="inlineStr">
        <is>
          <t>PUBLIC SECTOR</t>
        </is>
      </c>
      <c r="D3647" t="inlineStr">
        <is>
          <t>I</t>
        </is>
      </c>
      <c r="E3647" t="inlineStr">
        <is>
          <t>Stage 1</t>
        </is>
      </c>
      <c r="F3647" t="inlineStr">
        <is>
          <t>N/A</t>
        </is>
      </c>
      <c r="G3647" s="26">
        <v>872028355</v>
      </c>
      <c r="H3647" s="26">
        <v>8720284</v>
      </c>
      <c r="I3647" s="26">
        <v>0</v>
      </c>
      <c r="J3647" s="26">
        <v>223</v>
      </c>
      <c r="K3647" t="inlineStr">
        <is>
          <t>Non</t>
        </is>
      </c>
      <c r="L3647">
        <f>SUBTOTAL(103,A3647)</f>
        <v>1</v>
      </c>
    </row>
    <row r="3648">
      <c r="A3648" t="inlineStr">
        <is>
          <t>SOCIETE C506</t>
        </is>
      </c>
      <c r="B3648" t="inlineStr">
        <is>
          <t>C506</t>
        </is>
      </c>
      <c r="C3648" t="inlineStr">
        <is>
          <t>COMMERCIAL BANKING</t>
        </is>
      </c>
      <c r="D3648" t="inlineStr">
        <is>
          <t>I</t>
        </is>
      </c>
      <c r="E3648" t="inlineStr">
        <is>
          <t>Stage 1</t>
        </is>
      </c>
      <c r="F3648" t="inlineStr">
        <is>
          <t>N/A</t>
        </is>
      </c>
      <c r="G3648" s="26">
        <v>716985403</v>
      </c>
      <c r="H3648" s="26">
        <v>7169854</v>
      </c>
      <c r="I3648" s="26">
        <v>105538940</v>
      </c>
      <c r="J3648" s="26">
        <v>225</v>
      </c>
      <c r="K3648" t="inlineStr">
        <is>
          <t>Non</t>
        </is>
      </c>
      <c r="L3648">
        <f>SUBTOTAL(103,A3648)</f>
        <v>1</v>
      </c>
    </row>
    <row r="3649">
      <c r="A3649" t="inlineStr">
        <is>
          <t>SOCIETE C740</t>
        </is>
      </c>
      <c r="B3649" t="inlineStr">
        <is>
          <t>C740</t>
        </is>
      </c>
      <c r="C3649" t="inlineStr">
        <is>
          <t>COMMERCIAL BANKING</t>
        </is>
      </c>
      <c r="D3649" t="inlineStr">
        <is>
          <t>III</t>
        </is>
      </c>
      <c r="E3649" t="inlineStr">
        <is>
          <t>Stage 3</t>
        </is>
      </c>
      <c r="F3649" t="inlineStr">
        <is>
          <t>N/A</t>
        </is>
      </c>
      <c r="G3649" s="26">
        <v>1860974923</v>
      </c>
      <c r="H3649" s="26">
        <v>1023536208</v>
      </c>
      <c r="I3649" s="26">
        <v>0</v>
      </c>
      <c r="J3649" s="26">
        <v>18</v>
      </c>
      <c r="K3649" t="inlineStr">
        <is>
          <t>Oui</t>
        </is>
      </c>
      <c r="L3649">
        <f>SUBTOTAL(103,A3649)</f>
        <v>1</v>
      </c>
    </row>
    <row r="3650">
      <c r="A3650" t="inlineStr">
        <is>
          <t>SOCIETE C2405</t>
        </is>
      </c>
      <c r="B3650" t="inlineStr">
        <is>
          <t>C2405</t>
        </is>
      </c>
      <c r="C3650" t="inlineStr">
        <is>
          <t>CONSUMER BANKING</t>
        </is>
      </c>
      <c r="D3650" t="inlineStr">
        <is>
          <t>IA</t>
        </is>
      </c>
      <c r="E3650" t="inlineStr">
        <is>
          <t>Stage 2</t>
        </is>
      </c>
      <c r="F3650" t="inlineStr">
        <is>
          <t>N/A</t>
        </is>
      </c>
      <c r="G3650" s="26">
        <v>339683418</v>
      </c>
      <c r="H3650" s="26">
        <v>20381005</v>
      </c>
      <c r="I3650" s="26">
        <v>33838356</v>
      </c>
      <c r="J3650" s="26">
        <v>68</v>
      </c>
      <c r="K3650" t="inlineStr">
        <is>
          <t>Non</t>
        </is>
      </c>
      <c r="L3650">
        <f>SUBTOTAL(103,A3650)</f>
        <v>1</v>
      </c>
    </row>
    <row r="3651">
      <c r="A3651" t="inlineStr">
        <is>
          <t>SOCIETE C873</t>
        </is>
      </c>
      <c r="B3651" t="inlineStr">
        <is>
          <t>C873</t>
        </is>
      </c>
      <c r="C3651" t="inlineStr">
        <is>
          <t>CONSUMER BANKING</t>
        </is>
      </c>
      <c r="D3651" t="inlineStr">
        <is>
          <t>IA</t>
        </is>
      </c>
      <c r="E3651" t="inlineStr">
        <is>
          <t>Stage 2</t>
        </is>
      </c>
      <c r="F3651" t="inlineStr">
        <is>
          <t>N/A</t>
        </is>
      </c>
      <c r="G3651" s="26">
        <v>2896103</v>
      </c>
      <c r="H3651" s="26">
        <v>173766</v>
      </c>
      <c r="I3651" s="26">
        <v>0</v>
      </c>
      <c r="J3651" s="26">
        <v>40</v>
      </c>
      <c r="K3651" t="inlineStr">
        <is>
          <t>Non</t>
        </is>
      </c>
      <c r="L3651">
        <f>SUBTOTAL(103,A3651)</f>
        <v>1</v>
      </c>
    </row>
    <row r="3652">
      <c r="A3652" t="inlineStr">
        <is>
          <t>SOCIETE C852</t>
        </is>
      </c>
      <c r="B3652" t="inlineStr">
        <is>
          <t>C852</t>
        </is>
      </c>
      <c r="C3652" t="inlineStr">
        <is>
          <t>COMMERCIAL BANKING</t>
        </is>
      </c>
      <c r="D3652" t="inlineStr">
        <is>
          <t>IV</t>
        </is>
      </c>
      <c r="E3652" t="inlineStr">
        <is>
          <t>Stage 3</t>
        </is>
      </c>
      <c r="F3652" t="inlineStr">
        <is>
          <t>N/A</t>
        </is>
      </c>
      <c r="G3652" s="26">
        <v>1861381634</v>
      </c>
      <c r="H3652" s="26">
        <v>1023759899</v>
      </c>
      <c r="I3652" s="26">
        <v>0</v>
      </c>
      <c r="J3652" s="26">
        <v>64</v>
      </c>
      <c r="K3652" t="inlineStr">
        <is>
          <t>Oui</t>
        </is>
      </c>
      <c r="L3652">
        <f>SUBTOTAL(103,A3652)</f>
        <v>1</v>
      </c>
    </row>
    <row r="3653">
      <c r="A3653" t="inlineStr">
        <is>
          <t>SOCIETE C2151</t>
        </is>
      </c>
      <c r="B3653" t="inlineStr">
        <is>
          <t>C2151</t>
        </is>
      </c>
      <c r="C3653" t="inlineStr">
        <is>
          <t>PUBLIC SECTOR</t>
        </is>
      </c>
      <c r="D3653" t="inlineStr">
        <is>
          <t>V</t>
        </is>
      </c>
      <c r="E3653" t="inlineStr">
        <is>
          <t>Stage 3</t>
        </is>
      </c>
      <c r="F3653" t="inlineStr">
        <is>
          <t>N/A</t>
        </is>
      </c>
      <c r="G3653" s="26">
        <v>1362193305</v>
      </c>
      <c r="H3653" s="26">
        <v>749206318</v>
      </c>
      <c r="I3653" s="26">
        <v>0</v>
      </c>
      <c r="J3653" s="26">
        <v>17</v>
      </c>
      <c r="K3653" t="inlineStr">
        <is>
          <t>Oui</t>
        </is>
      </c>
      <c r="L3653">
        <f>SUBTOTAL(103,A3653)</f>
        <v>1</v>
      </c>
    </row>
    <row r="3654">
      <c r="A3654" t="inlineStr">
        <is>
          <t>SOCIETE C1706</t>
        </is>
      </c>
      <c r="B3654" t="inlineStr">
        <is>
          <t>C1706</t>
        </is>
      </c>
      <c r="C3654" t="inlineStr">
        <is>
          <t>COMMERCIAL BANKING</t>
        </is>
      </c>
      <c r="D3654" t="inlineStr">
        <is>
          <t>IA</t>
        </is>
      </c>
      <c r="E3654" t="inlineStr">
        <is>
          <t>Stage 2</t>
        </is>
      </c>
      <c r="F3654" t="inlineStr">
        <is>
          <t>N/A</t>
        </is>
      </c>
      <c r="G3654" s="26">
        <v>139320203</v>
      </c>
      <c r="H3654" s="26">
        <v>8359212</v>
      </c>
      <c r="I3654" s="26">
        <v>0</v>
      </c>
      <c r="J3654" s="26">
        <v>38</v>
      </c>
      <c r="K3654" t="inlineStr">
        <is>
          <t>Non</t>
        </is>
      </c>
      <c r="L3654">
        <f>SUBTOTAL(103,A3654)</f>
        <v>1</v>
      </c>
    </row>
    <row r="3655">
      <c r="A3655" t="inlineStr">
        <is>
          <t>SOCIETE C714</t>
        </is>
      </c>
      <c r="B3655" t="inlineStr">
        <is>
          <t>C714</t>
        </is>
      </c>
      <c r="C3655" t="inlineStr">
        <is>
          <t>CORPORATE BANKING</t>
        </is>
      </c>
      <c r="D3655" t="inlineStr">
        <is>
          <t>I</t>
        </is>
      </c>
      <c r="E3655" t="inlineStr">
        <is>
          <t>Stage 1</t>
        </is>
      </c>
      <c r="F3655" t="inlineStr">
        <is>
          <t>N/A</t>
        </is>
      </c>
      <c r="G3655" s="26">
        <v>2296888390</v>
      </c>
      <c r="H3655" s="26">
        <v>22968884</v>
      </c>
      <c r="I3655" s="26">
        <v>0</v>
      </c>
      <c r="J3655" s="26">
        <v>12</v>
      </c>
      <c r="K3655" t="inlineStr">
        <is>
          <t>Non</t>
        </is>
      </c>
      <c r="L3655">
        <f>SUBTOTAL(103,A3655)</f>
        <v>1</v>
      </c>
    </row>
    <row r="3656">
      <c r="A3656" t="inlineStr">
        <is>
          <t>SOCIETE C420</t>
        </is>
      </c>
      <c r="B3656" t="inlineStr">
        <is>
          <t>C420</t>
        </is>
      </c>
      <c r="C3656" t="inlineStr">
        <is>
          <t>CORPORATE BANKING</t>
        </is>
      </c>
      <c r="D3656" t="inlineStr">
        <is>
          <t>I</t>
        </is>
      </c>
      <c r="E3656" t="inlineStr">
        <is>
          <t>Stage 1</t>
        </is>
      </c>
      <c r="F3656" t="inlineStr">
        <is>
          <t>N/A</t>
        </is>
      </c>
      <c r="G3656" s="26">
        <v>612124863</v>
      </c>
      <c r="H3656" s="26">
        <v>6121249</v>
      </c>
      <c r="I3656" s="26">
        <v>12752897</v>
      </c>
      <c r="J3656" s="26">
        <v>256</v>
      </c>
      <c r="K3656" t="inlineStr">
        <is>
          <t>Non</t>
        </is>
      </c>
      <c r="L3656">
        <f>SUBTOTAL(103,A3656)</f>
        <v>1</v>
      </c>
    </row>
    <row r="3657">
      <c r="A3657" t="inlineStr">
        <is>
          <t>SOCIETE C1880</t>
        </is>
      </c>
      <c r="B3657" t="inlineStr">
        <is>
          <t>C1880</t>
        </is>
      </c>
      <c r="C3657" t="inlineStr">
        <is>
          <t>COMMERCIAL BANKING</t>
        </is>
      </c>
      <c r="D3657" t="inlineStr">
        <is>
          <t>IA</t>
        </is>
      </c>
      <c r="E3657" t="inlineStr">
        <is>
          <t>Stage 2</t>
        </is>
      </c>
      <c r="F3657" t="inlineStr">
        <is>
          <t>N/A</t>
        </is>
      </c>
      <c r="G3657" s="26">
        <v>1462548665</v>
      </c>
      <c r="H3657" s="26">
        <v>87752920</v>
      </c>
      <c r="I3657" s="26">
        <v>0</v>
      </c>
      <c r="J3657" s="26">
        <v>74</v>
      </c>
      <c r="K3657" t="inlineStr">
        <is>
          <t>Non</t>
        </is>
      </c>
      <c r="L3657">
        <f>SUBTOTAL(103,A3657)</f>
        <v>1</v>
      </c>
    </row>
    <row r="3658">
      <c r="A3658" t="inlineStr">
        <is>
          <t>SOCIETE C2382</t>
        </is>
      </c>
      <c r="B3658" t="inlineStr">
        <is>
          <t>C2382</t>
        </is>
      </c>
      <c r="C3658" t="inlineStr">
        <is>
          <t>CORPORATE BANKING</t>
        </is>
      </c>
      <c r="D3658" t="inlineStr">
        <is>
          <t>I</t>
        </is>
      </c>
      <c r="E3658" t="inlineStr">
        <is>
          <t>Stage 1</t>
        </is>
      </c>
      <c r="F3658" t="inlineStr">
        <is>
          <t>N/A</t>
        </is>
      </c>
      <c r="G3658" s="26">
        <v>465191020</v>
      </c>
      <c r="H3658" s="26">
        <v>4651910</v>
      </c>
      <c r="I3658" s="26">
        <v>0</v>
      </c>
      <c r="J3658" s="26">
        <v>0</v>
      </c>
      <c r="K3658" t="inlineStr">
        <is>
          <t>Non</t>
        </is>
      </c>
      <c r="L3658">
        <f>SUBTOTAL(103,A3658)</f>
        <v>1</v>
      </c>
    </row>
    <row r="3659">
      <c r="A3659" t="inlineStr">
        <is>
          <t>SOCIETE C741</t>
        </is>
      </c>
      <c r="B3659" t="inlineStr">
        <is>
          <t>C741</t>
        </is>
      </c>
      <c r="C3659" t="inlineStr">
        <is>
          <t>CORPORATE BANKING</t>
        </is>
      </c>
      <c r="D3659" t="inlineStr">
        <is>
          <t>I</t>
        </is>
      </c>
      <c r="E3659" t="inlineStr">
        <is>
          <t>Stage 1</t>
        </is>
      </c>
      <c r="F3659" t="inlineStr">
        <is>
          <t>N/A</t>
        </is>
      </c>
      <c r="G3659" s="26">
        <v>1808906019</v>
      </c>
      <c r="H3659" s="26">
        <v>18089060</v>
      </c>
      <c r="I3659" s="26">
        <v>0</v>
      </c>
      <c r="J3659" s="26">
        <v>36</v>
      </c>
      <c r="K3659" t="inlineStr">
        <is>
          <t>Non</t>
        </is>
      </c>
      <c r="L3659">
        <f>SUBTOTAL(103,A3659)</f>
        <v>1</v>
      </c>
    </row>
    <row r="3660">
      <c r="A3660" t="inlineStr">
        <is>
          <t>SOCIETE C2156</t>
        </is>
      </c>
      <c r="B3660" t="inlineStr">
        <is>
          <t>C2156</t>
        </is>
      </c>
      <c r="C3660" t="inlineStr">
        <is>
          <t>CONSUMER BANKING</t>
        </is>
      </c>
      <c r="D3660" t="inlineStr">
        <is>
          <t>IA</t>
        </is>
      </c>
      <c r="E3660" t="inlineStr">
        <is>
          <t>Stage 2</t>
        </is>
      </c>
      <c r="F3660" t="inlineStr">
        <is>
          <t>N/A</t>
        </is>
      </c>
      <c r="G3660" s="26">
        <v>1202558640</v>
      </c>
      <c r="H3660" s="26">
        <v>72153518</v>
      </c>
      <c r="I3660" s="26">
        <v>0</v>
      </c>
      <c r="J3660" s="26">
        <v>26</v>
      </c>
      <c r="K3660" t="inlineStr">
        <is>
          <t>Non</t>
        </is>
      </c>
      <c r="L3660">
        <f>SUBTOTAL(103,A3660)</f>
        <v>1</v>
      </c>
    </row>
    <row r="3661">
      <c r="A3661" t="inlineStr">
        <is>
          <t>SOCIETE C1999</t>
        </is>
      </c>
      <c r="B3661" t="inlineStr">
        <is>
          <t>C1999</t>
        </is>
      </c>
      <c r="C3661" t="inlineStr">
        <is>
          <t>CONSUMER BANKING</t>
        </is>
      </c>
      <c r="D3661" t="inlineStr">
        <is>
          <t>I</t>
        </is>
      </c>
      <c r="E3661" t="inlineStr">
        <is>
          <t>Stage 1</t>
        </is>
      </c>
      <c r="F3661" t="inlineStr">
        <is>
          <t>N/A</t>
        </is>
      </c>
      <c r="G3661" s="26">
        <v>649887156</v>
      </c>
      <c r="H3661" s="26">
        <v>6498872</v>
      </c>
      <c r="I3661" s="26">
        <v>0</v>
      </c>
      <c r="J3661" s="26">
        <v>153</v>
      </c>
      <c r="K3661" t="inlineStr">
        <is>
          <t>Non</t>
        </is>
      </c>
      <c r="L3661">
        <f>SUBTOTAL(103,A3661)</f>
        <v>1</v>
      </c>
    </row>
    <row r="3662">
      <c r="A3662" t="inlineStr">
        <is>
          <t>SOCIETE C1730</t>
        </is>
      </c>
      <c r="B3662" t="inlineStr">
        <is>
          <t>C1730</t>
        </is>
      </c>
      <c r="C3662" t="inlineStr">
        <is>
          <t>CORPORATE BANKING</t>
        </is>
      </c>
      <c r="D3662" t="inlineStr">
        <is>
          <t>IA</t>
        </is>
      </c>
      <c r="E3662" t="inlineStr">
        <is>
          <t>Stage 2</t>
        </is>
      </c>
      <c r="F3662" t="inlineStr">
        <is>
          <t>N/A</t>
        </is>
      </c>
      <c r="G3662" s="26">
        <v>2744515729</v>
      </c>
      <c r="H3662" s="26">
        <v>164670944</v>
      </c>
      <c r="I3662" s="26">
        <v>0</v>
      </c>
      <c r="J3662" s="26">
        <v>72</v>
      </c>
      <c r="K3662" t="inlineStr">
        <is>
          <t>Non</t>
        </is>
      </c>
      <c r="L3662">
        <f>SUBTOTAL(103,A3662)</f>
        <v>1</v>
      </c>
    </row>
    <row r="3663">
      <c r="A3663" t="inlineStr">
        <is>
          <t>SOCIETE C1867</t>
        </is>
      </c>
      <c r="B3663" t="inlineStr">
        <is>
          <t>C1867</t>
        </is>
      </c>
      <c r="C3663" t="inlineStr">
        <is>
          <t>CONSUMER BANKING</t>
        </is>
      </c>
      <c r="D3663" t="inlineStr">
        <is>
          <t>IV</t>
        </is>
      </c>
      <c r="E3663" t="inlineStr">
        <is>
          <t>Stage 3</t>
        </is>
      </c>
      <c r="F3663" t="inlineStr">
        <is>
          <t>N/A</t>
        </is>
      </c>
      <c r="G3663" s="26">
        <v>1241936278</v>
      </c>
      <c r="H3663" s="26">
        <v>683064953</v>
      </c>
      <c r="I3663" s="26">
        <v>188303021</v>
      </c>
      <c r="J3663" s="26">
        <v>101</v>
      </c>
      <c r="K3663" t="inlineStr">
        <is>
          <t>Oui</t>
        </is>
      </c>
      <c r="L3663">
        <f>SUBTOTAL(103,A3663)</f>
        <v>1</v>
      </c>
    </row>
    <row r="3664">
      <c r="A3664" t="inlineStr">
        <is>
          <t>SOCIETE C2170</t>
        </is>
      </c>
      <c r="B3664" t="inlineStr">
        <is>
          <t>C2170</t>
        </is>
      </c>
      <c r="C3664" t="inlineStr">
        <is>
          <t>CORPORATE BANKING</t>
        </is>
      </c>
      <c r="D3664" t="inlineStr">
        <is>
          <t>II</t>
        </is>
      </c>
      <c r="E3664" t="inlineStr">
        <is>
          <t>Stage 2</t>
        </is>
      </c>
      <c r="F3664" t="inlineStr">
        <is>
          <t>N/A</t>
        </is>
      </c>
      <c r="G3664" s="26">
        <v>829934706</v>
      </c>
      <c r="H3664" s="26">
        <v>49796082</v>
      </c>
      <c r="I3664" s="26">
        <v>0</v>
      </c>
      <c r="J3664" s="26">
        <v>7</v>
      </c>
      <c r="K3664" t="inlineStr">
        <is>
          <t>Non</t>
        </is>
      </c>
      <c r="L3664">
        <f>SUBTOTAL(103,A3664)</f>
        <v>1</v>
      </c>
    </row>
    <row r="3665">
      <c r="A3665" t="inlineStr">
        <is>
          <t>SOCIETE C184</t>
        </is>
      </c>
      <c r="B3665" t="inlineStr">
        <is>
          <t>C184</t>
        </is>
      </c>
      <c r="C3665" t="inlineStr">
        <is>
          <t>CORPORATE BANKING</t>
        </is>
      </c>
      <c r="D3665" t="inlineStr">
        <is>
          <t>IA</t>
        </is>
      </c>
      <c r="E3665" t="inlineStr">
        <is>
          <t>Stage 2</t>
        </is>
      </c>
      <c r="F3665" t="inlineStr">
        <is>
          <t>N/A</t>
        </is>
      </c>
      <c r="G3665" s="26">
        <v>66358247</v>
      </c>
      <c r="H3665" s="26">
        <v>3981495</v>
      </c>
      <c r="I3665" s="26">
        <v>0</v>
      </c>
      <c r="J3665" s="26">
        <v>196</v>
      </c>
      <c r="K3665" t="inlineStr">
        <is>
          <t>Non</t>
        </is>
      </c>
      <c r="L3665">
        <f>SUBTOTAL(103,A3665)</f>
        <v>1</v>
      </c>
    </row>
    <row r="3666">
      <c r="A3666" t="inlineStr">
        <is>
          <t>SOCIETE C1062</t>
        </is>
      </c>
      <c r="B3666" t="inlineStr">
        <is>
          <t>C1062</t>
        </is>
      </c>
      <c r="C3666" t="inlineStr">
        <is>
          <t>CONSUMER BANKING</t>
        </is>
      </c>
      <c r="D3666" t="inlineStr">
        <is>
          <t>V</t>
        </is>
      </c>
      <c r="E3666" t="inlineStr">
        <is>
          <t>Stage 3</t>
        </is>
      </c>
      <c r="F3666" t="inlineStr">
        <is>
          <t>N/A</t>
        </is>
      </c>
      <c r="G3666" s="26">
        <v>268483633</v>
      </c>
      <c r="H3666" s="26">
        <v>147665998</v>
      </c>
      <c r="I3666" s="26">
        <v>0</v>
      </c>
      <c r="J3666" s="26">
        <v>216</v>
      </c>
      <c r="K3666" t="inlineStr">
        <is>
          <t>Oui</t>
        </is>
      </c>
      <c r="L3666">
        <f>SUBTOTAL(103,A3666)</f>
        <v>1</v>
      </c>
    </row>
    <row r="3667">
      <c r="A3667" t="inlineStr">
        <is>
          <t>SOCIETE C1804</t>
        </is>
      </c>
      <c r="B3667" t="inlineStr">
        <is>
          <t>C1804</t>
        </is>
      </c>
      <c r="C3667" t="inlineStr">
        <is>
          <t>PUBLIC SECTOR</t>
        </is>
      </c>
      <c r="D3667" t="inlineStr">
        <is>
          <t>I</t>
        </is>
      </c>
      <c r="E3667" t="inlineStr">
        <is>
          <t>Stage 1</t>
        </is>
      </c>
      <c r="F3667" t="inlineStr">
        <is>
          <t>N/A</t>
        </is>
      </c>
      <c r="G3667" s="26">
        <v>1000043</v>
      </c>
      <c r="H3667" s="26">
        <v>10000</v>
      </c>
      <c r="I3667" s="26">
        <v>0</v>
      </c>
      <c r="J3667" s="26">
        <v>244</v>
      </c>
      <c r="K3667" t="inlineStr">
        <is>
          <t>Non</t>
        </is>
      </c>
      <c r="L3667">
        <f>SUBTOTAL(103,A3667)</f>
        <v>1</v>
      </c>
    </row>
    <row r="3668">
      <c r="A3668" t="inlineStr">
        <is>
          <t>SOCIETE C1364</t>
        </is>
      </c>
      <c r="B3668" t="inlineStr">
        <is>
          <t>C1364</t>
        </is>
      </c>
      <c r="C3668" t="inlineStr">
        <is>
          <t>CORPORATE BANKING</t>
        </is>
      </c>
      <c r="D3668" t="inlineStr">
        <is>
          <t>I</t>
        </is>
      </c>
      <c r="E3668" t="inlineStr">
        <is>
          <t>Stage 1</t>
        </is>
      </c>
      <c r="F3668" t="inlineStr">
        <is>
          <t>N/A</t>
        </is>
      </c>
      <c r="G3668" s="26">
        <v>209086890</v>
      </c>
      <c r="H3668" s="26">
        <v>2090869</v>
      </c>
      <c r="I3668" s="26">
        <v>0</v>
      </c>
      <c r="J3668" s="26">
        <v>24</v>
      </c>
      <c r="K3668" t="inlineStr">
        <is>
          <t>Non</t>
        </is>
      </c>
      <c r="L3668">
        <f>SUBTOTAL(103,A3668)</f>
        <v>1</v>
      </c>
    </row>
    <row r="3669">
      <c r="A3669" t="inlineStr">
        <is>
          <t>SOCIETE C1270</t>
        </is>
      </c>
      <c r="B3669" t="inlineStr">
        <is>
          <t>C1270</t>
        </is>
      </c>
      <c r="C3669" t="inlineStr">
        <is>
          <t>CONSUMER BANKING</t>
        </is>
      </c>
      <c r="D3669" t="inlineStr">
        <is>
          <t>V</t>
        </is>
      </c>
      <c r="E3669" t="inlineStr">
        <is>
          <t>Stage 3</t>
        </is>
      </c>
      <c r="F3669" t="inlineStr">
        <is>
          <t>N/A</t>
        </is>
      </c>
      <c r="G3669" s="26">
        <v>516773977</v>
      </c>
      <c r="H3669" s="26">
        <v>284225687</v>
      </c>
      <c r="I3669" s="26">
        <v>5244075</v>
      </c>
      <c r="J3669" s="26">
        <v>246</v>
      </c>
      <c r="K3669" t="inlineStr">
        <is>
          <t>Oui</t>
        </is>
      </c>
      <c r="L3669">
        <f>SUBTOTAL(103,A3669)</f>
        <v>1</v>
      </c>
    </row>
    <row r="3670">
      <c r="A3670" t="inlineStr">
        <is>
          <t>SOCIETE C1278</t>
        </is>
      </c>
      <c r="B3670" t="inlineStr">
        <is>
          <t>C1278</t>
        </is>
      </c>
      <c r="C3670" t="inlineStr">
        <is>
          <t>COMMERCIAL BANKING</t>
        </is>
      </c>
      <c r="D3670" t="inlineStr">
        <is>
          <t>IV</t>
        </is>
      </c>
      <c r="E3670" t="inlineStr">
        <is>
          <t>Stage 3</t>
        </is>
      </c>
      <c r="F3670" t="inlineStr">
        <is>
          <t>N/A</t>
        </is>
      </c>
      <c r="G3670" s="26">
        <v>1986830517</v>
      </c>
      <c r="H3670" s="26">
        <v>1092756784</v>
      </c>
      <c r="I3670" s="26">
        <v>0</v>
      </c>
      <c r="J3670" s="26">
        <v>130</v>
      </c>
      <c r="K3670" t="inlineStr">
        <is>
          <t>Oui</t>
        </is>
      </c>
      <c r="L3670">
        <f>SUBTOTAL(103,A3670)</f>
        <v>1</v>
      </c>
    </row>
    <row r="3671">
      <c r="A3671" t="inlineStr">
        <is>
          <t>SOCIETE C444</t>
        </is>
      </c>
      <c r="B3671" t="inlineStr">
        <is>
          <t>C444</t>
        </is>
      </c>
      <c r="C3671" t="inlineStr">
        <is>
          <t>COMMERCIAL BANKING</t>
        </is>
      </c>
      <c r="D3671" t="inlineStr">
        <is>
          <t>III</t>
        </is>
      </c>
      <c r="E3671" t="inlineStr">
        <is>
          <t>Stage 3</t>
        </is>
      </c>
      <c r="F3671" t="inlineStr">
        <is>
          <t>N/A</t>
        </is>
      </c>
      <c r="G3671" s="26">
        <v>1730553767</v>
      </c>
      <c r="H3671" s="26">
        <v>951804572</v>
      </c>
      <c r="I3671" s="26">
        <v>0</v>
      </c>
      <c r="J3671" s="26">
        <v>46</v>
      </c>
      <c r="K3671" t="inlineStr">
        <is>
          <t>Oui</t>
        </is>
      </c>
      <c r="L3671">
        <f>SUBTOTAL(103,A3671)</f>
        <v>1</v>
      </c>
    </row>
    <row r="3672">
      <c r="A3672" t="inlineStr">
        <is>
          <t>SOCIETE C2045</t>
        </is>
      </c>
      <c r="B3672" t="inlineStr">
        <is>
          <t>C2045</t>
        </is>
      </c>
      <c r="C3672" t="inlineStr">
        <is>
          <t>CORPORATE BANKING</t>
        </is>
      </c>
      <c r="D3672" t="inlineStr">
        <is>
          <t>II</t>
        </is>
      </c>
      <c r="E3672" t="inlineStr">
        <is>
          <t>Stage 2</t>
        </is>
      </c>
      <c r="F3672" t="inlineStr">
        <is>
          <t>N/A</t>
        </is>
      </c>
      <c r="G3672" s="26">
        <v>17905218</v>
      </c>
      <c r="H3672" s="26">
        <v>1074313</v>
      </c>
      <c r="I3672" s="26">
        <v>0</v>
      </c>
      <c r="J3672" s="26">
        <v>56</v>
      </c>
      <c r="K3672" t="inlineStr">
        <is>
          <t>Non</t>
        </is>
      </c>
      <c r="L3672">
        <f>SUBTOTAL(103,A3672)</f>
        <v>1</v>
      </c>
    </row>
    <row r="3673">
      <c r="A3673" t="inlineStr">
        <is>
          <t>SOCIETE C1465</t>
        </is>
      </c>
      <c r="B3673" t="inlineStr">
        <is>
          <t>C1465</t>
        </is>
      </c>
      <c r="C3673" t="inlineStr">
        <is>
          <t>COMMERCIAL BANKING</t>
        </is>
      </c>
      <c r="D3673" t="inlineStr">
        <is>
          <t>IV</t>
        </is>
      </c>
      <c r="E3673" t="inlineStr">
        <is>
          <t>Stage 3</t>
        </is>
      </c>
      <c r="F3673" t="inlineStr">
        <is>
          <t>N/A</t>
        </is>
      </c>
      <c r="G3673" s="26">
        <v>36323469</v>
      </c>
      <c r="H3673" s="26">
        <v>19977908</v>
      </c>
      <c r="I3673" s="26">
        <v>6194665</v>
      </c>
      <c r="J3673" s="26">
        <v>20</v>
      </c>
      <c r="K3673" t="inlineStr">
        <is>
          <t>Oui</t>
        </is>
      </c>
      <c r="L3673">
        <f>SUBTOTAL(103,A3673)</f>
        <v>1</v>
      </c>
    </row>
    <row r="3674">
      <c r="A3674" t="inlineStr">
        <is>
          <t>SOCIETE C670</t>
        </is>
      </c>
      <c r="B3674" t="inlineStr">
        <is>
          <t>C670</t>
        </is>
      </c>
      <c r="C3674" t="inlineStr">
        <is>
          <t>CORPORATE BANKING</t>
        </is>
      </c>
      <c r="D3674" t="inlineStr">
        <is>
          <t>I</t>
        </is>
      </c>
      <c r="E3674" t="inlineStr">
        <is>
          <t>Stage 1</t>
        </is>
      </c>
      <c r="F3674" t="inlineStr">
        <is>
          <t>N/A</t>
        </is>
      </c>
      <c r="G3674" s="26">
        <v>180143747</v>
      </c>
      <c r="H3674" s="26">
        <v>1801437</v>
      </c>
      <c r="I3674" s="26">
        <v>21914121</v>
      </c>
      <c r="J3674" s="26">
        <v>126</v>
      </c>
      <c r="K3674" t="inlineStr">
        <is>
          <t>Non</t>
        </is>
      </c>
      <c r="L3674">
        <f>SUBTOTAL(103,A3674)</f>
        <v>1</v>
      </c>
    </row>
    <row r="3675">
      <c r="A3675" t="inlineStr">
        <is>
          <t>SOCIETE C996</t>
        </is>
      </c>
      <c r="B3675" t="inlineStr">
        <is>
          <t>C996</t>
        </is>
      </c>
      <c r="C3675" t="inlineStr">
        <is>
          <t>PUBLIC SECTOR</t>
        </is>
      </c>
      <c r="D3675" t="inlineStr">
        <is>
          <t>II</t>
        </is>
      </c>
      <c r="E3675" t="inlineStr">
        <is>
          <t>Stage 2</t>
        </is>
      </c>
      <c r="F3675" t="inlineStr">
        <is>
          <t>N/A</t>
        </is>
      </c>
      <c r="G3675" s="26">
        <v>10297385</v>
      </c>
      <c r="H3675" s="26">
        <v>617843</v>
      </c>
      <c r="I3675" s="26">
        <v>0</v>
      </c>
      <c r="J3675" s="26">
        <v>142</v>
      </c>
      <c r="K3675" t="inlineStr">
        <is>
          <t>Non</t>
        </is>
      </c>
      <c r="L3675">
        <f>SUBTOTAL(103,A3675)</f>
        <v>1</v>
      </c>
    </row>
    <row r="3676">
      <c r="A3676" t="inlineStr">
        <is>
          <t>SOCIETE C1241</t>
        </is>
      </c>
      <c r="B3676" t="inlineStr">
        <is>
          <t>C1241</t>
        </is>
      </c>
      <c r="C3676" t="inlineStr">
        <is>
          <t>CORPORATE BANKING</t>
        </is>
      </c>
      <c r="D3676" t="inlineStr">
        <is>
          <t>III</t>
        </is>
      </c>
      <c r="E3676" t="inlineStr">
        <is>
          <t>Stage 3</t>
        </is>
      </c>
      <c r="F3676" t="inlineStr">
        <is>
          <t>N/A</t>
        </is>
      </c>
      <c r="G3676" s="26">
        <v>1318601354</v>
      </c>
      <c r="H3676" s="26">
        <v>725230745</v>
      </c>
      <c r="I3676" s="26">
        <v>28405159</v>
      </c>
      <c r="J3676" s="26">
        <v>44</v>
      </c>
      <c r="K3676" t="inlineStr">
        <is>
          <t>Oui</t>
        </is>
      </c>
      <c r="L3676">
        <f>SUBTOTAL(103,A3676)</f>
        <v>1</v>
      </c>
    </row>
    <row r="3677">
      <c r="A3677" t="inlineStr">
        <is>
          <t>SOCIETE C51</t>
        </is>
      </c>
      <c r="B3677" t="inlineStr">
        <is>
          <t>C51</t>
        </is>
      </c>
      <c r="C3677" t="inlineStr">
        <is>
          <t>COMMERCIAL BANKING</t>
        </is>
      </c>
      <c r="D3677" t="inlineStr">
        <is>
          <t>V</t>
        </is>
      </c>
      <c r="E3677" t="inlineStr">
        <is>
          <t>Stage 3</t>
        </is>
      </c>
      <c r="F3677" t="inlineStr">
        <is>
          <t>N/A</t>
        </is>
      </c>
      <c r="G3677" s="26">
        <v>36557739</v>
      </c>
      <c r="H3677" s="26">
        <v>20106757</v>
      </c>
      <c r="I3677" s="26">
        <v>0</v>
      </c>
      <c r="J3677" s="26">
        <v>17</v>
      </c>
      <c r="K3677" t="inlineStr">
        <is>
          <t>Oui</t>
        </is>
      </c>
      <c r="L3677">
        <f>SUBTOTAL(103,A3677)</f>
        <v>1</v>
      </c>
    </row>
    <row r="3678">
      <c r="A3678" t="inlineStr">
        <is>
          <t>SOCIETE C115</t>
        </is>
      </c>
      <c r="B3678" t="inlineStr">
        <is>
          <t>C115</t>
        </is>
      </c>
      <c r="C3678" t="inlineStr">
        <is>
          <t>CORPORATE BANKING</t>
        </is>
      </c>
      <c r="D3678" t="inlineStr">
        <is>
          <t>IA</t>
        </is>
      </c>
      <c r="E3678" t="inlineStr">
        <is>
          <t>Stage 2</t>
        </is>
      </c>
      <c r="F3678" t="inlineStr">
        <is>
          <t>N/A</t>
        </is>
      </c>
      <c r="G3678" s="26">
        <v>243406990</v>
      </c>
      <c r="H3678" s="26">
        <v>14604419</v>
      </c>
      <c r="I3678" s="26">
        <v>0</v>
      </c>
      <c r="J3678" s="26">
        <v>2</v>
      </c>
      <c r="K3678" t="inlineStr">
        <is>
          <t>Non</t>
        </is>
      </c>
      <c r="L3678">
        <f>SUBTOTAL(103,A3678)</f>
        <v>1</v>
      </c>
    </row>
    <row r="3679">
      <c r="A3679" t="inlineStr">
        <is>
          <t>SOCIETE C1513</t>
        </is>
      </c>
      <c r="B3679" t="inlineStr">
        <is>
          <t>C1513</t>
        </is>
      </c>
      <c r="C3679" t="inlineStr">
        <is>
          <t>CORPORATE BANKING</t>
        </is>
      </c>
      <c r="D3679" t="inlineStr">
        <is>
          <t>III</t>
        </is>
      </c>
      <c r="E3679" t="inlineStr">
        <is>
          <t>Stage 3</t>
        </is>
      </c>
      <c r="F3679" t="inlineStr">
        <is>
          <t>N/A</t>
        </is>
      </c>
      <c r="G3679" s="26">
        <v>2546460</v>
      </c>
      <c r="H3679" s="26">
        <v>1400553</v>
      </c>
      <c r="I3679" s="26">
        <v>265891</v>
      </c>
      <c r="J3679" s="26">
        <v>225</v>
      </c>
      <c r="K3679" t="inlineStr">
        <is>
          <t>Oui</t>
        </is>
      </c>
      <c r="L3679">
        <f>SUBTOTAL(103,A3679)</f>
        <v>1</v>
      </c>
    </row>
    <row r="3680">
      <c r="A3680" t="inlineStr">
        <is>
          <t>SOCIETE C1069</t>
        </is>
      </c>
      <c r="B3680" t="inlineStr">
        <is>
          <t>C1069</t>
        </is>
      </c>
      <c r="C3680" t="inlineStr">
        <is>
          <t>CORPORATE BANKING</t>
        </is>
      </c>
      <c r="D3680" t="inlineStr">
        <is>
          <t>I</t>
        </is>
      </c>
      <c r="E3680" t="inlineStr">
        <is>
          <t>Stage 1</t>
        </is>
      </c>
      <c r="F3680" t="inlineStr">
        <is>
          <t>N/A</t>
        </is>
      </c>
      <c r="G3680" s="26">
        <v>898906183</v>
      </c>
      <c r="H3680" s="26">
        <v>8989062</v>
      </c>
      <c r="I3680" s="26">
        <v>0</v>
      </c>
      <c r="J3680" s="26">
        <v>84</v>
      </c>
      <c r="K3680" t="inlineStr">
        <is>
          <t>Non</t>
        </is>
      </c>
      <c r="L3680">
        <f>SUBTOTAL(103,A3680)</f>
        <v>1</v>
      </c>
    </row>
    <row r="3681">
      <c r="A3681" t="inlineStr">
        <is>
          <t>SOCIETE C1869</t>
        </is>
      </c>
      <c r="B3681" t="inlineStr">
        <is>
          <t>C1869</t>
        </is>
      </c>
      <c r="C3681" t="inlineStr">
        <is>
          <t>COMMERCIAL BANKING</t>
        </is>
      </c>
      <c r="D3681" t="inlineStr">
        <is>
          <t>V</t>
        </is>
      </c>
      <c r="E3681" t="inlineStr">
        <is>
          <t>Stage 3</t>
        </is>
      </c>
      <c r="F3681" t="inlineStr">
        <is>
          <t>N/A</t>
        </is>
      </c>
      <c r="G3681" s="26">
        <v>2303822646</v>
      </c>
      <c r="H3681" s="26">
        <v>1267102455</v>
      </c>
      <c r="I3681" s="26">
        <v>0</v>
      </c>
      <c r="J3681" s="26">
        <v>67</v>
      </c>
      <c r="K3681" t="inlineStr">
        <is>
          <t>Oui</t>
        </is>
      </c>
      <c r="L3681">
        <f>SUBTOTAL(103,A3681)</f>
        <v>1</v>
      </c>
    </row>
    <row r="3682">
      <c r="A3682" t="inlineStr">
        <is>
          <t>SOCIETE C2423</t>
        </is>
      </c>
      <c r="B3682" t="inlineStr">
        <is>
          <t>C2423</t>
        </is>
      </c>
      <c r="C3682" t="inlineStr">
        <is>
          <t>CORPORATE BANKING</t>
        </is>
      </c>
      <c r="D3682" t="inlineStr">
        <is>
          <t>I</t>
        </is>
      </c>
      <c r="E3682" t="inlineStr">
        <is>
          <t>Stage 1</t>
        </is>
      </c>
      <c r="F3682" t="inlineStr">
        <is>
          <t>N/A</t>
        </is>
      </c>
      <c r="G3682" s="26">
        <v>89951648</v>
      </c>
      <c r="H3682" s="26">
        <v>899516</v>
      </c>
      <c r="I3682" s="26">
        <v>15077855</v>
      </c>
      <c r="J3682" s="26">
        <v>23</v>
      </c>
      <c r="K3682" t="inlineStr">
        <is>
          <t>Non</t>
        </is>
      </c>
      <c r="L3682">
        <f>SUBTOTAL(103,A3682)</f>
        <v>1</v>
      </c>
    </row>
    <row r="3683">
      <c r="A3683" t="inlineStr">
        <is>
          <t>SOCIETE C1391</t>
        </is>
      </c>
      <c r="B3683" t="inlineStr">
        <is>
          <t>C1391</t>
        </is>
      </c>
      <c r="C3683" t="inlineStr">
        <is>
          <t>CORPORATE BANKING</t>
        </is>
      </c>
      <c r="D3683" t="inlineStr">
        <is>
          <t>I</t>
        </is>
      </c>
      <c r="E3683" t="inlineStr">
        <is>
          <t>Stage 1</t>
        </is>
      </c>
      <c r="F3683" t="inlineStr">
        <is>
          <t>N/A</t>
        </is>
      </c>
      <c r="G3683" s="26">
        <v>16420367</v>
      </c>
      <c r="H3683" s="26">
        <v>164204</v>
      </c>
      <c r="I3683" s="26">
        <v>1686317</v>
      </c>
      <c r="J3683" s="26">
        <v>9</v>
      </c>
      <c r="K3683" t="inlineStr">
        <is>
          <t>Non</t>
        </is>
      </c>
      <c r="L3683">
        <f>SUBTOTAL(103,A3683)</f>
        <v>1</v>
      </c>
    </row>
    <row r="3684">
      <c r="A3684" t="inlineStr">
        <is>
          <t>SOCIETE C1515</t>
        </is>
      </c>
      <c r="B3684" t="inlineStr">
        <is>
          <t>C1515</t>
        </is>
      </c>
      <c r="C3684" t="inlineStr">
        <is>
          <t>CORPORATE BANKING</t>
        </is>
      </c>
      <c r="D3684" t="inlineStr">
        <is>
          <t>IV</t>
        </is>
      </c>
      <c r="E3684" t="inlineStr">
        <is>
          <t>Stage 3</t>
        </is>
      </c>
      <c r="F3684" t="inlineStr">
        <is>
          <t>N/A</t>
        </is>
      </c>
      <c r="G3684" s="26">
        <v>408363108</v>
      </c>
      <c r="H3684" s="26">
        <v>224599709</v>
      </c>
      <c r="I3684" s="26">
        <v>0</v>
      </c>
      <c r="J3684" s="26">
        <v>176</v>
      </c>
      <c r="K3684" t="inlineStr">
        <is>
          <t>Oui</t>
        </is>
      </c>
      <c r="L3684">
        <f>SUBTOTAL(103,A3684)</f>
        <v>1</v>
      </c>
    </row>
    <row r="3685">
      <c r="A3685" t="inlineStr">
        <is>
          <t>SOCIETE C797</t>
        </is>
      </c>
      <c r="B3685" t="inlineStr">
        <is>
          <t>C797</t>
        </is>
      </c>
      <c r="C3685" t="inlineStr">
        <is>
          <t>COMMERCIAL BANKING</t>
        </is>
      </c>
      <c r="D3685" t="inlineStr">
        <is>
          <t>I</t>
        </is>
      </c>
      <c r="E3685" t="inlineStr">
        <is>
          <t>Stage 1</t>
        </is>
      </c>
      <c r="F3685" t="inlineStr">
        <is>
          <t>N/A</t>
        </is>
      </c>
      <c r="G3685" s="26">
        <v>1340010226</v>
      </c>
      <c r="H3685" s="26">
        <v>13400102</v>
      </c>
      <c r="I3685" s="26">
        <v>0</v>
      </c>
      <c r="J3685" s="26">
        <v>69</v>
      </c>
      <c r="K3685" t="inlineStr">
        <is>
          <t>Non</t>
        </is>
      </c>
      <c r="L3685">
        <f>SUBTOTAL(103,A3685)</f>
        <v>1</v>
      </c>
    </row>
    <row r="3686">
      <c r="A3686" t="inlineStr">
        <is>
          <t>SOCIETE C1392</t>
        </is>
      </c>
      <c r="B3686" t="inlineStr">
        <is>
          <t>C1392</t>
        </is>
      </c>
      <c r="C3686" t="inlineStr">
        <is>
          <t>CORPORATE BANKING</t>
        </is>
      </c>
      <c r="D3686" t="inlineStr">
        <is>
          <t>II</t>
        </is>
      </c>
      <c r="E3686" t="inlineStr">
        <is>
          <t>Stage 2</t>
        </is>
      </c>
      <c r="F3686" t="inlineStr">
        <is>
          <t>N/A</t>
        </is>
      </c>
      <c r="G3686" s="26">
        <v>18727718</v>
      </c>
      <c r="H3686" s="26">
        <v>1123663</v>
      </c>
      <c r="I3686" s="26">
        <v>1330142</v>
      </c>
      <c r="J3686" s="26">
        <v>229</v>
      </c>
      <c r="K3686" t="inlineStr">
        <is>
          <t>Non</t>
        </is>
      </c>
      <c r="L3686">
        <f>SUBTOTAL(103,A3686)</f>
        <v>1</v>
      </c>
    </row>
    <row r="3687">
      <c r="A3687" t="inlineStr">
        <is>
          <t>SOCIETE C234</t>
        </is>
      </c>
      <c r="B3687" t="inlineStr">
        <is>
          <t>C234</t>
        </is>
      </c>
      <c r="C3687" t="inlineStr">
        <is>
          <t>CONSUMER BANKING</t>
        </is>
      </c>
      <c r="D3687" t="inlineStr">
        <is>
          <t>I</t>
        </is>
      </c>
      <c r="E3687" t="inlineStr">
        <is>
          <t>Stage 1</t>
        </is>
      </c>
      <c r="F3687" t="inlineStr">
        <is>
          <t>N/A</t>
        </is>
      </c>
      <c r="G3687" s="26">
        <v>1640153927</v>
      </c>
      <c r="H3687" s="26">
        <v>16401539</v>
      </c>
      <c r="I3687" s="26">
        <v>0</v>
      </c>
      <c r="J3687" s="26">
        <v>64</v>
      </c>
      <c r="K3687" t="inlineStr">
        <is>
          <t>Non</t>
        </is>
      </c>
      <c r="L3687">
        <f>SUBTOTAL(103,A3687)</f>
        <v>1</v>
      </c>
    </row>
    <row r="3688">
      <c r="A3688" t="inlineStr">
        <is>
          <t>SOCIETE C1183</t>
        </is>
      </c>
      <c r="B3688" t="inlineStr">
        <is>
          <t>C1183</t>
        </is>
      </c>
      <c r="C3688" t="inlineStr">
        <is>
          <t>CORPORATE BANKING</t>
        </is>
      </c>
      <c r="D3688" t="inlineStr">
        <is>
          <t>IA</t>
        </is>
      </c>
      <c r="E3688" t="inlineStr">
        <is>
          <t>Stage 2</t>
        </is>
      </c>
      <c r="F3688" t="inlineStr">
        <is>
          <t>N/A</t>
        </is>
      </c>
      <c r="G3688" s="26">
        <v>1077300381</v>
      </c>
      <c r="H3688" s="26">
        <v>64638023</v>
      </c>
      <c r="I3688" s="26">
        <v>81066551</v>
      </c>
      <c r="J3688" s="26">
        <v>21</v>
      </c>
      <c r="K3688" t="inlineStr">
        <is>
          <t>Non</t>
        </is>
      </c>
      <c r="L3688">
        <f>SUBTOTAL(103,A3688)</f>
        <v>1</v>
      </c>
    </row>
    <row r="3689">
      <c r="A3689" t="inlineStr">
        <is>
          <t>SOCIETE C1467</t>
        </is>
      </c>
      <c r="B3689" t="inlineStr">
        <is>
          <t>C1467</t>
        </is>
      </c>
      <c r="C3689" t="inlineStr">
        <is>
          <t>COMMERCIAL BANKING</t>
        </is>
      </c>
      <c r="D3689" t="inlineStr">
        <is>
          <t>I</t>
        </is>
      </c>
      <c r="E3689" t="inlineStr">
        <is>
          <t>Stage 1</t>
        </is>
      </c>
      <c r="F3689" t="inlineStr">
        <is>
          <t>N/A</t>
        </is>
      </c>
      <c r="G3689" s="26">
        <v>104341798</v>
      </c>
      <c r="H3689" s="26">
        <v>1043418</v>
      </c>
      <c r="I3689" s="26">
        <v>0</v>
      </c>
      <c r="J3689" s="26">
        <v>166</v>
      </c>
      <c r="K3689" t="inlineStr">
        <is>
          <t>Non</t>
        </is>
      </c>
      <c r="L3689">
        <f>SUBTOTAL(103,A3689)</f>
        <v>1</v>
      </c>
    </row>
    <row r="3690">
      <c r="A3690" t="inlineStr">
        <is>
          <t>SOCIETE C659</t>
        </is>
      </c>
      <c r="B3690" t="inlineStr">
        <is>
          <t>C659</t>
        </is>
      </c>
      <c r="C3690" t="inlineStr">
        <is>
          <t>CORPORATE BANKING</t>
        </is>
      </c>
      <c r="D3690" t="inlineStr">
        <is>
          <t>V</t>
        </is>
      </c>
      <c r="E3690" t="inlineStr">
        <is>
          <t>Stage 3</t>
        </is>
      </c>
      <c r="F3690" t="inlineStr">
        <is>
          <t>N/A</t>
        </is>
      </c>
      <c r="G3690" s="26">
        <v>341726581</v>
      </c>
      <c r="H3690" s="26">
        <v>187949620</v>
      </c>
      <c r="I3690" s="26">
        <v>0</v>
      </c>
      <c r="J3690" s="26">
        <v>79</v>
      </c>
      <c r="K3690" t="inlineStr">
        <is>
          <t>Oui</t>
        </is>
      </c>
      <c r="L3690">
        <f>SUBTOTAL(103,A3690)</f>
        <v>1</v>
      </c>
    </row>
    <row r="3691">
      <c r="A3691" t="inlineStr">
        <is>
          <t>SOCIETE C104</t>
        </is>
      </c>
      <c r="B3691" t="inlineStr">
        <is>
          <t>C104</t>
        </is>
      </c>
      <c r="C3691" t="inlineStr">
        <is>
          <t>CORPORATE BANKING</t>
        </is>
      </c>
      <c r="D3691" t="inlineStr">
        <is>
          <t>I</t>
        </is>
      </c>
      <c r="E3691" t="inlineStr">
        <is>
          <t>Stage 1</t>
        </is>
      </c>
      <c r="F3691" t="inlineStr">
        <is>
          <t>N/A</t>
        </is>
      </c>
      <c r="G3691" s="26">
        <v>137562233</v>
      </c>
      <c r="H3691" s="26">
        <v>1375622</v>
      </c>
      <c r="I3691" s="26">
        <v>0</v>
      </c>
      <c r="J3691" s="26">
        <v>94</v>
      </c>
      <c r="K3691" t="inlineStr">
        <is>
          <t>Non</t>
        </is>
      </c>
      <c r="L3691">
        <f>SUBTOTAL(103,A3691)</f>
        <v>1</v>
      </c>
    </row>
    <row r="3692">
      <c r="A3692" t="inlineStr">
        <is>
          <t>SOCIETE C231</t>
        </is>
      </c>
      <c r="B3692" t="inlineStr">
        <is>
          <t>C231</t>
        </is>
      </c>
      <c r="C3692" t="inlineStr">
        <is>
          <t>CONSUMER BANKING</t>
        </is>
      </c>
      <c r="D3692" t="inlineStr">
        <is>
          <t>IA</t>
        </is>
      </c>
      <c r="E3692" t="inlineStr">
        <is>
          <t>Stage 2</t>
        </is>
      </c>
      <c r="F3692" t="inlineStr">
        <is>
          <t>N/A</t>
        </is>
      </c>
      <c r="G3692" s="26">
        <v>173823998</v>
      </c>
      <c r="H3692" s="26">
        <v>10429440</v>
      </c>
      <c r="I3692" s="26">
        <v>0</v>
      </c>
      <c r="J3692" s="26">
        <v>61</v>
      </c>
      <c r="K3692" t="inlineStr">
        <is>
          <t>Non</t>
        </is>
      </c>
      <c r="L3692">
        <f>SUBTOTAL(103,A3692)</f>
        <v>1</v>
      </c>
    </row>
    <row r="3693">
      <c r="A3693" t="inlineStr">
        <is>
          <t>SOCIETE C1465</t>
        </is>
      </c>
      <c r="B3693" t="inlineStr">
        <is>
          <t>C1465</t>
        </is>
      </c>
      <c r="C3693" t="inlineStr">
        <is>
          <t>CORPORATE BANKING</t>
        </is>
      </c>
      <c r="D3693" t="inlineStr">
        <is>
          <t>II</t>
        </is>
      </c>
      <c r="E3693" t="inlineStr">
        <is>
          <t>Stage 2</t>
        </is>
      </c>
      <c r="F3693" t="inlineStr">
        <is>
          <t>N/A</t>
        </is>
      </c>
      <c r="G3693" s="26">
        <v>15853756</v>
      </c>
      <c r="H3693" s="26">
        <v>951225</v>
      </c>
      <c r="I3693" s="26">
        <v>0</v>
      </c>
      <c r="J3693" s="26">
        <v>89</v>
      </c>
      <c r="K3693" t="inlineStr">
        <is>
          <t>Non</t>
        </is>
      </c>
      <c r="L3693">
        <f>SUBTOTAL(103,A3693)</f>
        <v>1</v>
      </c>
    </row>
    <row r="3694">
      <c r="A3694" t="inlineStr">
        <is>
          <t>SOCIETE C2317</t>
        </is>
      </c>
      <c r="B3694" t="inlineStr">
        <is>
          <t>C2317</t>
        </is>
      </c>
      <c r="C3694" t="inlineStr">
        <is>
          <t>CORPORATE BANKING</t>
        </is>
      </c>
      <c r="D3694" t="inlineStr">
        <is>
          <t>IA</t>
        </is>
      </c>
      <c r="E3694" t="inlineStr">
        <is>
          <t>Stage 2</t>
        </is>
      </c>
      <c r="F3694" t="inlineStr">
        <is>
          <t>N/A</t>
        </is>
      </c>
      <c r="G3694" s="26">
        <v>101774793</v>
      </c>
      <c r="H3694" s="26">
        <v>6106488</v>
      </c>
      <c r="I3694" s="26">
        <v>0</v>
      </c>
      <c r="J3694" s="26">
        <v>121</v>
      </c>
      <c r="K3694" t="inlineStr">
        <is>
          <t>Non</t>
        </is>
      </c>
      <c r="L3694">
        <f>SUBTOTAL(103,A3694)</f>
        <v>1</v>
      </c>
    </row>
    <row r="3695">
      <c r="A3695" t="inlineStr">
        <is>
          <t>SOCIETE C1291</t>
        </is>
      </c>
      <c r="B3695" t="inlineStr">
        <is>
          <t>C1291</t>
        </is>
      </c>
      <c r="C3695" t="inlineStr">
        <is>
          <t>SME</t>
        </is>
      </c>
      <c r="D3695" t="inlineStr">
        <is>
          <t>I</t>
        </is>
      </c>
      <c r="E3695" t="inlineStr">
        <is>
          <t>Stage 1</t>
        </is>
      </c>
      <c r="F3695" t="inlineStr">
        <is>
          <t>N/A</t>
        </is>
      </c>
      <c r="G3695" s="26">
        <v>55141224</v>
      </c>
      <c r="H3695" s="26">
        <v>551412</v>
      </c>
      <c r="I3695" s="26">
        <v>7634534</v>
      </c>
      <c r="J3695" s="26">
        <v>261</v>
      </c>
      <c r="K3695" t="inlineStr">
        <is>
          <t>Non</t>
        </is>
      </c>
      <c r="L3695">
        <f>SUBTOTAL(103,A3695)</f>
        <v>1</v>
      </c>
    </row>
    <row r="3696">
      <c r="A3696" t="inlineStr">
        <is>
          <t>SOCIETE C804</t>
        </is>
      </c>
      <c r="B3696" t="inlineStr">
        <is>
          <t>C804</t>
        </is>
      </c>
      <c r="C3696" t="inlineStr">
        <is>
          <t>CORPORATE BANKING</t>
        </is>
      </c>
      <c r="D3696" t="inlineStr">
        <is>
          <t>IV</t>
        </is>
      </c>
      <c r="E3696" t="inlineStr">
        <is>
          <t>Stage 3</t>
        </is>
      </c>
      <c r="F3696" t="inlineStr">
        <is>
          <t>N/A</t>
        </is>
      </c>
      <c r="G3696" s="26">
        <v>2975541069</v>
      </c>
      <c r="H3696" s="26">
        <v>1636547588</v>
      </c>
      <c r="I3696" s="26">
        <v>232915448</v>
      </c>
      <c r="J3696" s="26">
        <v>22</v>
      </c>
      <c r="K3696" t="inlineStr">
        <is>
          <t>Oui</t>
        </is>
      </c>
      <c r="L3696">
        <f>SUBTOTAL(103,A3696)</f>
        <v>1</v>
      </c>
    </row>
    <row r="3697">
      <c r="A3697" t="inlineStr">
        <is>
          <t>SOCIETE C184</t>
        </is>
      </c>
      <c r="B3697" t="inlineStr">
        <is>
          <t>C184</t>
        </is>
      </c>
      <c r="C3697" t="inlineStr">
        <is>
          <t>COMMERCIAL BANKING</t>
        </is>
      </c>
      <c r="D3697" t="inlineStr">
        <is>
          <t>I</t>
        </is>
      </c>
      <c r="E3697" t="inlineStr">
        <is>
          <t>Stage 1</t>
        </is>
      </c>
      <c r="F3697" t="inlineStr">
        <is>
          <t>N/A</t>
        </is>
      </c>
      <c r="G3697" s="26">
        <v>52373388</v>
      </c>
      <c r="H3697" s="26">
        <v>523734</v>
      </c>
      <c r="I3697" s="26">
        <v>0</v>
      </c>
      <c r="J3697" s="26">
        <v>133</v>
      </c>
      <c r="K3697" t="inlineStr">
        <is>
          <t>Non</t>
        </is>
      </c>
      <c r="L3697">
        <f>SUBTOTAL(103,A3697)</f>
        <v>1</v>
      </c>
    </row>
    <row r="3698">
      <c r="A3698" t="inlineStr">
        <is>
          <t>SOCIETE C1566</t>
        </is>
      </c>
      <c r="B3698" t="inlineStr">
        <is>
          <t>C1566</t>
        </is>
      </c>
      <c r="C3698" t="inlineStr">
        <is>
          <t>PUBLIC SECTOR</t>
        </is>
      </c>
      <c r="D3698" t="inlineStr">
        <is>
          <t>IV</t>
        </is>
      </c>
      <c r="E3698" t="inlineStr">
        <is>
          <t>Stage 3</t>
        </is>
      </c>
      <c r="F3698" t="inlineStr">
        <is>
          <t>N/A</t>
        </is>
      </c>
      <c r="G3698" s="26">
        <v>2482850789</v>
      </c>
      <c r="H3698" s="26">
        <v>1365567934</v>
      </c>
      <c r="I3698" s="26">
        <v>286015334</v>
      </c>
      <c r="J3698" s="26">
        <v>17</v>
      </c>
      <c r="K3698" t="inlineStr">
        <is>
          <t>Oui</t>
        </is>
      </c>
      <c r="L3698">
        <f>SUBTOTAL(103,A3698)</f>
        <v>1</v>
      </c>
    </row>
    <row r="3699">
      <c r="A3699" t="inlineStr">
        <is>
          <t>SOCIETE C1524</t>
        </is>
      </c>
      <c r="B3699" t="inlineStr">
        <is>
          <t>C1524</t>
        </is>
      </c>
      <c r="C3699" t="inlineStr">
        <is>
          <t>CONSUMER BANKING</t>
        </is>
      </c>
      <c r="D3699" t="inlineStr">
        <is>
          <t>III</t>
        </is>
      </c>
      <c r="E3699" t="inlineStr">
        <is>
          <t>Stage 3</t>
        </is>
      </c>
      <c r="F3699" t="inlineStr">
        <is>
          <t>N/A</t>
        </is>
      </c>
      <c r="G3699" s="26">
        <v>87091675</v>
      </c>
      <c r="H3699" s="26">
        <v>47900421</v>
      </c>
      <c r="I3699" s="26">
        <v>0</v>
      </c>
      <c r="J3699" s="26">
        <v>78</v>
      </c>
      <c r="K3699" t="inlineStr">
        <is>
          <t>Oui</t>
        </is>
      </c>
      <c r="L3699">
        <f>SUBTOTAL(103,A3699)</f>
        <v>1</v>
      </c>
    </row>
    <row r="3700">
      <c r="A3700" t="inlineStr">
        <is>
          <t>SOCIETE C2377</t>
        </is>
      </c>
      <c r="B3700" t="inlineStr">
        <is>
          <t>C2377</t>
        </is>
      </c>
      <c r="C3700" t="inlineStr">
        <is>
          <t>CORPORATE BANKING</t>
        </is>
      </c>
      <c r="D3700" t="inlineStr">
        <is>
          <t>IA</t>
        </is>
      </c>
      <c r="E3700" t="inlineStr">
        <is>
          <t>Stage 2</t>
        </is>
      </c>
      <c r="F3700" t="inlineStr">
        <is>
          <t>N/A</t>
        </is>
      </c>
      <c r="G3700" s="26">
        <v>1193435</v>
      </c>
      <c r="H3700" s="26">
        <v>71606</v>
      </c>
      <c r="I3700" s="26">
        <v>65451</v>
      </c>
      <c r="J3700" s="26">
        <v>106</v>
      </c>
      <c r="K3700" t="inlineStr">
        <is>
          <t>Non</t>
        </is>
      </c>
      <c r="L3700">
        <f>SUBTOTAL(103,A3700)</f>
        <v>1</v>
      </c>
    </row>
    <row r="3701">
      <c r="A3701" t="inlineStr">
        <is>
          <t>SOCIETE C1635</t>
        </is>
      </c>
      <c r="B3701" t="inlineStr">
        <is>
          <t>C1635</t>
        </is>
      </c>
      <c r="C3701" t="inlineStr">
        <is>
          <t>COMMERCIAL BANKING</t>
        </is>
      </c>
      <c r="D3701" t="inlineStr">
        <is>
          <t>IA</t>
        </is>
      </c>
      <c r="E3701" t="inlineStr">
        <is>
          <t>Stage 2</t>
        </is>
      </c>
      <c r="F3701" t="inlineStr">
        <is>
          <t>N/A</t>
        </is>
      </c>
      <c r="G3701" s="26">
        <v>407662976</v>
      </c>
      <c r="H3701" s="26">
        <v>24459779</v>
      </c>
      <c r="I3701" s="26">
        <v>0</v>
      </c>
      <c r="J3701" s="26">
        <v>163</v>
      </c>
      <c r="K3701" t="inlineStr">
        <is>
          <t>Non</t>
        </is>
      </c>
      <c r="L3701">
        <f>SUBTOTAL(103,A3701)</f>
        <v>1</v>
      </c>
    </row>
    <row r="3702">
      <c r="A3702" t="inlineStr">
        <is>
          <t>SOCIETE C2337</t>
        </is>
      </c>
      <c r="B3702" t="inlineStr">
        <is>
          <t>C2337</t>
        </is>
      </c>
      <c r="C3702" t="inlineStr">
        <is>
          <t>CORPORATE BANKING</t>
        </is>
      </c>
      <c r="D3702" t="inlineStr">
        <is>
          <t>I</t>
        </is>
      </c>
      <c r="E3702" t="inlineStr">
        <is>
          <t>Stage 1</t>
        </is>
      </c>
      <c r="F3702" t="inlineStr">
        <is>
          <t>N/A</t>
        </is>
      </c>
      <c r="G3702" s="26">
        <v>415954088</v>
      </c>
      <c r="H3702" s="26">
        <v>4159541</v>
      </c>
      <c r="I3702" s="26">
        <v>0</v>
      </c>
      <c r="J3702" s="26">
        <v>42</v>
      </c>
      <c r="K3702" t="inlineStr">
        <is>
          <t>Non</t>
        </is>
      </c>
      <c r="L3702">
        <f>SUBTOTAL(103,A3702)</f>
        <v>1</v>
      </c>
    </row>
    <row r="3703">
      <c r="A3703" t="inlineStr">
        <is>
          <t>SOCIETE C2330</t>
        </is>
      </c>
      <c r="B3703" t="inlineStr">
        <is>
          <t>C2330</t>
        </is>
      </c>
      <c r="C3703" t="inlineStr">
        <is>
          <t>CORPORATE BANKING</t>
        </is>
      </c>
      <c r="D3703" t="inlineStr">
        <is>
          <t>IA</t>
        </is>
      </c>
      <c r="E3703" t="inlineStr">
        <is>
          <t>Stage 2</t>
        </is>
      </c>
      <c r="F3703" t="inlineStr">
        <is>
          <t>N/A</t>
        </is>
      </c>
      <c r="G3703" s="26">
        <v>1932994669</v>
      </c>
      <c r="H3703" s="26">
        <v>115979680</v>
      </c>
      <c r="I3703" s="26">
        <v>0</v>
      </c>
      <c r="J3703" s="26">
        <v>296</v>
      </c>
      <c r="K3703" t="inlineStr">
        <is>
          <t>Non</t>
        </is>
      </c>
      <c r="L3703">
        <f>SUBTOTAL(103,A3703)</f>
        <v>1</v>
      </c>
    </row>
    <row r="3704">
      <c r="A3704" t="inlineStr">
        <is>
          <t>SOCIETE C1602</t>
        </is>
      </c>
      <c r="B3704" t="inlineStr">
        <is>
          <t>C1602</t>
        </is>
      </c>
      <c r="C3704" t="inlineStr">
        <is>
          <t>CORPORATE BANKING</t>
        </is>
      </c>
      <c r="D3704" t="inlineStr">
        <is>
          <t>IA</t>
        </is>
      </c>
      <c r="E3704" t="inlineStr">
        <is>
          <t>Stage 2</t>
        </is>
      </c>
      <c r="F3704" t="inlineStr">
        <is>
          <t>N/A</t>
        </is>
      </c>
      <c r="G3704" s="26">
        <v>72940463</v>
      </c>
      <c r="H3704" s="26">
        <v>4376428</v>
      </c>
      <c r="I3704" s="26">
        <v>0</v>
      </c>
      <c r="J3704" s="26">
        <v>123</v>
      </c>
      <c r="K3704" t="inlineStr">
        <is>
          <t>Non</t>
        </is>
      </c>
      <c r="L3704">
        <f>SUBTOTAL(103,A3704)</f>
        <v>1</v>
      </c>
    </row>
    <row r="3705">
      <c r="A3705" t="inlineStr">
        <is>
          <t>SOCIETE C599</t>
        </is>
      </c>
      <c r="B3705" t="inlineStr">
        <is>
          <t>C599</t>
        </is>
      </c>
      <c r="C3705" t="inlineStr">
        <is>
          <t>PUBLIC SECTOR</t>
        </is>
      </c>
      <c r="D3705" t="inlineStr">
        <is>
          <t>III</t>
        </is>
      </c>
      <c r="E3705" t="inlineStr">
        <is>
          <t>Stage 3</t>
        </is>
      </c>
      <c r="F3705" t="inlineStr">
        <is>
          <t>N/A</t>
        </is>
      </c>
      <c r="G3705" s="26">
        <v>2308536069</v>
      </c>
      <c r="H3705" s="26">
        <v>1269694838</v>
      </c>
      <c r="I3705" s="26">
        <v>429033134</v>
      </c>
      <c r="J3705" s="26">
        <v>98</v>
      </c>
      <c r="K3705" t="inlineStr">
        <is>
          <t>Oui</t>
        </is>
      </c>
      <c r="L3705">
        <f>SUBTOTAL(103,A3705)</f>
        <v>1</v>
      </c>
    </row>
    <row r="3706">
      <c r="A3706" t="inlineStr">
        <is>
          <t>SOCIETE C139</t>
        </is>
      </c>
      <c r="B3706" t="inlineStr">
        <is>
          <t>C139</t>
        </is>
      </c>
      <c r="C3706" t="inlineStr">
        <is>
          <t>CORPORATE BANKING</t>
        </is>
      </c>
      <c r="D3706" t="inlineStr">
        <is>
          <t>I</t>
        </is>
      </c>
      <c r="E3706" t="inlineStr">
        <is>
          <t>Stage 1</t>
        </is>
      </c>
      <c r="F3706" t="inlineStr">
        <is>
          <t>N/A</t>
        </is>
      </c>
      <c r="G3706" s="26">
        <v>345355294</v>
      </c>
      <c r="H3706" s="26">
        <v>3453553</v>
      </c>
      <c r="I3706" s="26">
        <v>0</v>
      </c>
      <c r="J3706" s="26">
        <v>187</v>
      </c>
      <c r="K3706" t="inlineStr">
        <is>
          <t>Non</t>
        </is>
      </c>
      <c r="L3706">
        <f>SUBTOTAL(103,A3706)</f>
        <v>1</v>
      </c>
    </row>
    <row r="3707">
      <c r="A3707" t="inlineStr">
        <is>
          <t>SOCIETE C1422</t>
        </is>
      </c>
      <c r="B3707" t="inlineStr">
        <is>
          <t>C1422</t>
        </is>
      </c>
      <c r="C3707" t="inlineStr">
        <is>
          <t>CONSUMER BANKING</t>
        </is>
      </c>
      <c r="D3707" t="inlineStr">
        <is>
          <t>I</t>
        </is>
      </c>
      <c r="E3707" t="inlineStr">
        <is>
          <t>Stage 1</t>
        </is>
      </c>
      <c r="F3707" t="inlineStr">
        <is>
          <t>N/A</t>
        </is>
      </c>
      <c r="G3707" s="26">
        <v>1295859844</v>
      </c>
      <c r="H3707" s="26">
        <v>12958598</v>
      </c>
      <c r="I3707" s="26">
        <v>113636236</v>
      </c>
      <c r="J3707" s="26">
        <v>64</v>
      </c>
      <c r="K3707" t="inlineStr">
        <is>
          <t>Non</t>
        </is>
      </c>
      <c r="L3707">
        <f>SUBTOTAL(103,A3707)</f>
        <v>1</v>
      </c>
    </row>
    <row r="3708">
      <c r="A3708" t="inlineStr">
        <is>
          <t>SOCIETE C1548</t>
        </is>
      </c>
      <c r="B3708" t="inlineStr">
        <is>
          <t>C1548</t>
        </is>
      </c>
      <c r="C3708" t="inlineStr">
        <is>
          <t>CONSUMER BANKING</t>
        </is>
      </c>
      <c r="D3708" t="inlineStr">
        <is>
          <t>IA</t>
        </is>
      </c>
      <c r="E3708" t="inlineStr">
        <is>
          <t>Stage 2</t>
        </is>
      </c>
      <c r="F3708" t="inlineStr">
        <is>
          <t>N/A</t>
        </is>
      </c>
      <c r="G3708" s="26">
        <v>2691845261</v>
      </c>
      <c r="H3708" s="26">
        <v>161510716</v>
      </c>
      <c r="I3708" s="26">
        <v>0</v>
      </c>
      <c r="J3708" s="26">
        <v>57</v>
      </c>
      <c r="K3708" t="inlineStr">
        <is>
          <t>Non</t>
        </is>
      </c>
      <c r="L3708">
        <f>SUBTOTAL(103,A3708)</f>
        <v>1</v>
      </c>
    </row>
    <row r="3709">
      <c r="A3709" t="inlineStr">
        <is>
          <t>SOCIETE C333</t>
        </is>
      </c>
      <c r="B3709" t="inlineStr">
        <is>
          <t>C333</t>
        </is>
      </c>
      <c r="C3709" t="inlineStr">
        <is>
          <t>PUBLIC SECTOR</t>
        </is>
      </c>
      <c r="D3709" t="inlineStr">
        <is>
          <t>I</t>
        </is>
      </c>
      <c r="E3709" t="inlineStr">
        <is>
          <t>Stage 1</t>
        </is>
      </c>
      <c r="F3709" t="inlineStr">
        <is>
          <t>N/A</t>
        </is>
      </c>
      <c r="G3709" s="26">
        <v>1388373440</v>
      </c>
      <c r="H3709" s="26">
        <v>13883734</v>
      </c>
      <c r="I3709" s="26">
        <v>0</v>
      </c>
      <c r="J3709" s="26">
        <v>30</v>
      </c>
      <c r="K3709" t="inlineStr">
        <is>
          <t>Non</t>
        </is>
      </c>
      <c r="L3709">
        <f>SUBTOTAL(103,A3709)</f>
        <v>1</v>
      </c>
    </row>
    <row r="3710">
      <c r="A3710" t="inlineStr">
        <is>
          <t>SOCIETE C2054</t>
        </is>
      </c>
      <c r="B3710" t="inlineStr">
        <is>
          <t>C2054</t>
        </is>
      </c>
      <c r="C3710" t="inlineStr">
        <is>
          <t>CORPORATE BANKING</t>
        </is>
      </c>
      <c r="D3710" t="inlineStr">
        <is>
          <t>IA</t>
        </is>
      </c>
      <c r="E3710" t="inlineStr">
        <is>
          <t>Stage 2</t>
        </is>
      </c>
      <c r="F3710" t="inlineStr">
        <is>
          <t>N/A</t>
        </is>
      </c>
      <c r="G3710" s="26">
        <v>148188422</v>
      </c>
      <c r="H3710" s="26">
        <v>8891305</v>
      </c>
      <c r="I3710" s="26">
        <v>14855574</v>
      </c>
      <c r="J3710" s="26">
        <v>72</v>
      </c>
      <c r="K3710" t="inlineStr">
        <is>
          <t>Non</t>
        </is>
      </c>
      <c r="L3710">
        <f>SUBTOTAL(103,A3710)</f>
        <v>1</v>
      </c>
    </row>
    <row r="3711">
      <c r="A3711" t="inlineStr">
        <is>
          <t>SOCIETE C137</t>
        </is>
      </c>
      <c r="B3711" t="inlineStr">
        <is>
          <t>C137</t>
        </is>
      </c>
      <c r="C3711" t="inlineStr">
        <is>
          <t>CORPORATE BANKING</t>
        </is>
      </c>
      <c r="D3711" t="inlineStr">
        <is>
          <t>IA</t>
        </is>
      </c>
      <c r="E3711" t="inlineStr">
        <is>
          <t>Stage 2</t>
        </is>
      </c>
      <c r="F3711" t="inlineStr">
        <is>
          <t>N/A</t>
        </is>
      </c>
      <c r="G3711" s="26">
        <v>536481869</v>
      </c>
      <c r="H3711" s="26">
        <v>32188912</v>
      </c>
      <c r="I3711" s="26">
        <v>56534039</v>
      </c>
      <c r="J3711" s="26">
        <v>37</v>
      </c>
      <c r="K3711" t="inlineStr">
        <is>
          <t>Non</t>
        </is>
      </c>
      <c r="L3711">
        <f>SUBTOTAL(103,A3711)</f>
        <v>1</v>
      </c>
    </row>
    <row r="3712">
      <c r="A3712" t="inlineStr">
        <is>
          <t>SOCIETE C1297</t>
        </is>
      </c>
      <c r="B3712" t="inlineStr">
        <is>
          <t>C1297</t>
        </is>
      </c>
      <c r="C3712" t="inlineStr">
        <is>
          <t>PUBLIC SECTOR</t>
        </is>
      </c>
      <c r="D3712" t="inlineStr">
        <is>
          <t>IV</t>
        </is>
      </c>
      <c r="E3712" t="inlineStr">
        <is>
          <t>Stage 3</t>
        </is>
      </c>
      <c r="F3712" t="inlineStr">
        <is>
          <t>N/A</t>
        </is>
      </c>
      <c r="G3712" s="26">
        <v>741640459</v>
      </c>
      <c r="H3712" s="26">
        <v>407902252</v>
      </c>
      <c r="I3712" s="26">
        <v>60993480</v>
      </c>
      <c r="J3712" s="26">
        <v>14</v>
      </c>
      <c r="K3712" t="inlineStr">
        <is>
          <t>Oui</t>
        </is>
      </c>
      <c r="L3712">
        <f>SUBTOTAL(103,A3712)</f>
        <v>1</v>
      </c>
    </row>
    <row r="3713">
      <c r="A3713" t="inlineStr">
        <is>
          <t>SOCIETE C662</t>
        </is>
      </c>
      <c r="B3713" t="inlineStr">
        <is>
          <t>C662</t>
        </is>
      </c>
      <c r="C3713" t="inlineStr">
        <is>
          <t>CORPORATE BANKING</t>
        </is>
      </c>
      <c r="D3713" t="inlineStr">
        <is>
          <t>II</t>
        </is>
      </c>
      <c r="E3713" t="inlineStr">
        <is>
          <t>Stage 2</t>
        </is>
      </c>
      <c r="F3713" t="inlineStr">
        <is>
          <t>N/A</t>
        </is>
      </c>
      <c r="G3713" s="26">
        <v>2187117395</v>
      </c>
      <c r="H3713" s="26">
        <v>131227044</v>
      </c>
      <c r="I3713" s="26">
        <v>0</v>
      </c>
      <c r="J3713" s="26">
        <v>42</v>
      </c>
      <c r="K3713" t="inlineStr">
        <is>
          <t>Non</t>
        </is>
      </c>
      <c r="L3713">
        <f>SUBTOTAL(103,A3713)</f>
        <v>1</v>
      </c>
    </row>
    <row r="3714">
      <c r="A3714" t="inlineStr">
        <is>
          <t>SOCIETE C1733</t>
        </is>
      </c>
      <c r="B3714" t="inlineStr">
        <is>
          <t>C1733</t>
        </is>
      </c>
      <c r="C3714" t="inlineStr">
        <is>
          <t>CORPORATE BANKING</t>
        </is>
      </c>
      <c r="D3714" t="inlineStr">
        <is>
          <t>IA</t>
        </is>
      </c>
      <c r="E3714" t="inlineStr">
        <is>
          <t>Stage 2</t>
        </is>
      </c>
      <c r="F3714" t="inlineStr">
        <is>
          <t>N/A</t>
        </is>
      </c>
      <c r="G3714" s="26">
        <v>267658150</v>
      </c>
      <c r="H3714" s="26">
        <v>16059489</v>
      </c>
      <c r="I3714" s="26">
        <v>0</v>
      </c>
      <c r="J3714" s="26">
        <v>362</v>
      </c>
      <c r="K3714" t="inlineStr">
        <is>
          <t>Non</t>
        </is>
      </c>
      <c r="L3714">
        <f>SUBTOTAL(103,A3714)</f>
        <v>1</v>
      </c>
    </row>
    <row r="3715">
      <c r="A3715" t="inlineStr">
        <is>
          <t>SOCIETE C1955</t>
        </is>
      </c>
      <c r="B3715" t="inlineStr">
        <is>
          <t>C1955</t>
        </is>
      </c>
      <c r="C3715" t="inlineStr">
        <is>
          <t>COMMERCIAL BANKING</t>
        </is>
      </c>
      <c r="D3715" t="inlineStr">
        <is>
          <t>IA</t>
        </is>
      </c>
      <c r="E3715" t="inlineStr">
        <is>
          <t>Stage 2</t>
        </is>
      </c>
      <c r="F3715" t="inlineStr">
        <is>
          <t>N/A</t>
        </is>
      </c>
      <c r="G3715" s="26">
        <v>474486203</v>
      </c>
      <c r="H3715" s="26">
        <v>28469172</v>
      </c>
      <c r="I3715" s="26">
        <v>0</v>
      </c>
      <c r="J3715" s="26">
        <v>4</v>
      </c>
      <c r="K3715" t="inlineStr">
        <is>
          <t>Non</t>
        </is>
      </c>
      <c r="L3715">
        <f>SUBTOTAL(103,A3715)</f>
        <v>1</v>
      </c>
    </row>
    <row r="3716">
      <c r="A3716" t="inlineStr">
        <is>
          <t>SOCIETE C693</t>
        </is>
      </c>
      <c r="B3716" t="inlineStr">
        <is>
          <t>C693</t>
        </is>
      </c>
      <c r="C3716" t="inlineStr">
        <is>
          <t>CORPORATE BANKING</t>
        </is>
      </c>
      <c r="D3716" t="inlineStr">
        <is>
          <t>I</t>
        </is>
      </c>
      <c r="E3716" t="inlineStr">
        <is>
          <t>Stage 1</t>
        </is>
      </c>
      <c r="F3716" t="inlineStr">
        <is>
          <t>N/A</t>
        </is>
      </c>
      <c r="G3716" s="26">
        <v>1308965504</v>
      </c>
      <c r="H3716" s="26">
        <v>13089655</v>
      </c>
      <c r="I3716" s="26">
        <v>34148166</v>
      </c>
      <c r="J3716" s="26">
        <v>57</v>
      </c>
      <c r="K3716" t="inlineStr">
        <is>
          <t>Non</t>
        </is>
      </c>
      <c r="L3716">
        <f>SUBTOTAL(103,A3716)</f>
        <v>1</v>
      </c>
    </row>
    <row r="3717">
      <c r="A3717" t="inlineStr">
        <is>
          <t>SOCIETE C2483</t>
        </is>
      </c>
      <c r="B3717" t="inlineStr">
        <is>
          <t>C2483</t>
        </is>
      </c>
      <c r="C3717" t="inlineStr">
        <is>
          <t>COMMERCIAL BANKING</t>
        </is>
      </c>
      <c r="D3717" t="inlineStr">
        <is>
          <t>I</t>
        </is>
      </c>
      <c r="E3717" t="inlineStr">
        <is>
          <t>Stage 1</t>
        </is>
      </c>
      <c r="F3717" t="inlineStr">
        <is>
          <t>N/A</t>
        </is>
      </c>
      <c r="G3717" s="26">
        <v>485075371</v>
      </c>
      <c r="H3717" s="26">
        <v>4850754</v>
      </c>
      <c r="I3717" s="26">
        <v>0</v>
      </c>
      <c r="J3717" s="26">
        <v>139</v>
      </c>
      <c r="K3717" t="inlineStr">
        <is>
          <t>Non</t>
        </is>
      </c>
      <c r="L3717">
        <f>SUBTOTAL(103,A3717)</f>
        <v>1</v>
      </c>
    </row>
    <row r="3718">
      <c r="A3718" t="inlineStr">
        <is>
          <t>SOCIETE C2473</t>
        </is>
      </c>
      <c r="B3718" t="inlineStr">
        <is>
          <t>C2473</t>
        </is>
      </c>
      <c r="C3718" t="inlineStr">
        <is>
          <t>CONSUMER BANKING</t>
        </is>
      </c>
      <c r="D3718" t="inlineStr">
        <is>
          <t>I</t>
        </is>
      </c>
      <c r="E3718" t="inlineStr">
        <is>
          <t>Stage 1</t>
        </is>
      </c>
      <c r="F3718" t="inlineStr">
        <is>
          <t>N/A</t>
        </is>
      </c>
      <c r="G3718" s="26">
        <v>28937237</v>
      </c>
      <c r="H3718" s="26">
        <v>289372</v>
      </c>
      <c r="I3718" s="26">
        <v>0</v>
      </c>
      <c r="J3718" s="26">
        <v>253</v>
      </c>
      <c r="K3718" t="inlineStr">
        <is>
          <t>Non</t>
        </is>
      </c>
      <c r="L3718">
        <f>SUBTOTAL(103,A3718)</f>
        <v>1</v>
      </c>
    </row>
    <row r="3719">
      <c r="A3719" t="inlineStr">
        <is>
          <t>SOCIETE C1315</t>
        </is>
      </c>
      <c r="B3719" t="inlineStr">
        <is>
          <t>C1315</t>
        </is>
      </c>
      <c r="C3719" t="inlineStr">
        <is>
          <t>CORPORATE BANKING</t>
        </is>
      </c>
      <c r="D3719" t="inlineStr">
        <is>
          <t>I</t>
        </is>
      </c>
      <c r="E3719" t="inlineStr">
        <is>
          <t>Stage 1</t>
        </is>
      </c>
      <c r="F3719" t="inlineStr">
        <is>
          <t>N/A</t>
        </is>
      </c>
      <c r="G3719" s="26">
        <v>1377002034</v>
      </c>
      <c r="H3719" s="26">
        <v>13770020</v>
      </c>
      <c r="I3719" s="26">
        <v>141341685</v>
      </c>
      <c r="J3719" s="26">
        <v>24</v>
      </c>
      <c r="K3719" t="inlineStr">
        <is>
          <t>Non</t>
        </is>
      </c>
      <c r="L3719">
        <f>SUBTOTAL(103,A3719)</f>
        <v>1</v>
      </c>
    </row>
    <row r="3720">
      <c r="A3720" t="inlineStr">
        <is>
          <t>SOCIETE C1791</t>
        </is>
      </c>
      <c r="B3720" t="inlineStr">
        <is>
          <t>C1791</t>
        </is>
      </c>
      <c r="C3720" t="inlineStr">
        <is>
          <t>CONSUMER BANKING</t>
        </is>
      </c>
      <c r="D3720" t="inlineStr">
        <is>
          <t>IV</t>
        </is>
      </c>
      <c r="E3720" t="inlineStr">
        <is>
          <t>Stage 3</t>
        </is>
      </c>
      <c r="F3720" t="inlineStr">
        <is>
          <t>N/A</t>
        </is>
      </c>
      <c r="G3720" s="26">
        <v>7845861</v>
      </c>
      <c r="H3720" s="26">
        <v>4315223</v>
      </c>
      <c r="I3720" s="26">
        <v>837503</v>
      </c>
      <c r="J3720" s="26">
        <v>73</v>
      </c>
      <c r="K3720" t="inlineStr">
        <is>
          <t>Oui</t>
        </is>
      </c>
      <c r="L3720">
        <f>SUBTOTAL(103,A3720)</f>
        <v>1</v>
      </c>
    </row>
    <row r="3721">
      <c r="A3721" t="inlineStr">
        <is>
          <t>SOCIETE C1295</t>
        </is>
      </c>
      <c r="B3721" t="inlineStr">
        <is>
          <t>C1295</t>
        </is>
      </c>
      <c r="C3721" t="inlineStr">
        <is>
          <t>COMMERCIAL BANKING</t>
        </is>
      </c>
      <c r="D3721" t="inlineStr">
        <is>
          <t>I</t>
        </is>
      </c>
      <c r="E3721" t="inlineStr">
        <is>
          <t>Stage 1</t>
        </is>
      </c>
      <c r="F3721" t="inlineStr">
        <is>
          <t>N/A</t>
        </is>
      </c>
      <c r="G3721" s="26">
        <v>960672364</v>
      </c>
      <c r="H3721" s="26">
        <v>9606724</v>
      </c>
      <c r="I3721" s="26">
        <v>50614956</v>
      </c>
      <c r="J3721" s="26">
        <v>217</v>
      </c>
      <c r="K3721" t="inlineStr">
        <is>
          <t>Non</t>
        </is>
      </c>
      <c r="L3721">
        <f>SUBTOTAL(103,A3721)</f>
        <v>1</v>
      </c>
    </row>
    <row r="3722">
      <c r="A3722" t="inlineStr">
        <is>
          <t>SOCIETE C2192</t>
        </is>
      </c>
      <c r="B3722" t="inlineStr">
        <is>
          <t>C2192</t>
        </is>
      </c>
      <c r="C3722" t="inlineStr">
        <is>
          <t>CORPORATE BANKING</t>
        </is>
      </c>
      <c r="D3722" t="inlineStr">
        <is>
          <t>I</t>
        </is>
      </c>
      <c r="E3722" t="inlineStr">
        <is>
          <t>Stage 1</t>
        </is>
      </c>
      <c r="F3722" t="inlineStr">
        <is>
          <t>N/A</t>
        </is>
      </c>
      <c r="G3722" s="26">
        <v>1000008</v>
      </c>
      <c r="H3722" s="26">
        <v>10000</v>
      </c>
      <c r="I3722" s="26">
        <v>0</v>
      </c>
      <c r="J3722" s="26">
        <v>289</v>
      </c>
      <c r="K3722" t="inlineStr">
        <is>
          <t>Non</t>
        </is>
      </c>
      <c r="L3722">
        <f>SUBTOTAL(103,A3722)</f>
        <v>1</v>
      </c>
    </row>
    <row r="3723">
      <c r="A3723" t="inlineStr">
        <is>
          <t>SOCIETE C146</t>
        </is>
      </c>
      <c r="B3723" t="inlineStr">
        <is>
          <t>C146</t>
        </is>
      </c>
      <c r="C3723" t="inlineStr">
        <is>
          <t>CORPORATE BANKING</t>
        </is>
      </c>
      <c r="D3723" t="inlineStr">
        <is>
          <t>I</t>
        </is>
      </c>
      <c r="E3723" t="inlineStr">
        <is>
          <t>Stage 1</t>
        </is>
      </c>
      <c r="F3723" t="inlineStr">
        <is>
          <t>N/A</t>
        </is>
      </c>
      <c r="G3723" s="26">
        <v>24188074</v>
      </c>
      <c r="H3723" s="26">
        <v>241881</v>
      </c>
      <c r="I3723" s="26">
        <v>1707430</v>
      </c>
      <c r="J3723" s="26">
        <v>2</v>
      </c>
      <c r="K3723" t="inlineStr">
        <is>
          <t>Non</t>
        </is>
      </c>
      <c r="L3723">
        <f>SUBTOTAL(103,A3723)</f>
        <v>1</v>
      </c>
    </row>
    <row r="3724">
      <c r="A3724" t="inlineStr">
        <is>
          <t>SOCIETE C1016</t>
        </is>
      </c>
      <c r="B3724" t="inlineStr">
        <is>
          <t>C1016</t>
        </is>
      </c>
      <c r="C3724" t="inlineStr">
        <is>
          <t>CORPORATE BANKING</t>
        </is>
      </c>
      <c r="D3724" t="inlineStr">
        <is>
          <t>IA</t>
        </is>
      </c>
      <c r="E3724" t="inlineStr">
        <is>
          <t>Stage 2</t>
        </is>
      </c>
      <c r="F3724" t="inlineStr">
        <is>
          <t>N/A</t>
        </is>
      </c>
      <c r="G3724" s="26">
        <v>905145167</v>
      </c>
      <c r="H3724" s="26">
        <v>54308710</v>
      </c>
      <c r="I3724" s="26">
        <v>0</v>
      </c>
      <c r="J3724" s="26">
        <v>91</v>
      </c>
      <c r="K3724" t="inlineStr">
        <is>
          <t>Non</t>
        </is>
      </c>
      <c r="L3724">
        <f>SUBTOTAL(103,A3724)</f>
        <v>1</v>
      </c>
    </row>
    <row r="3725">
      <c r="A3725" t="inlineStr">
        <is>
          <t>SOCIETE C1110</t>
        </is>
      </c>
      <c r="B3725" t="inlineStr">
        <is>
          <t>C1110</t>
        </is>
      </c>
      <c r="C3725" t="inlineStr">
        <is>
          <t>PUBLIC SECTOR</t>
        </is>
      </c>
      <c r="D3725" t="inlineStr">
        <is>
          <t>I</t>
        </is>
      </c>
      <c r="E3725" t="inlineStr">
        <is>
          <t>Stage 1</t>
        </is>
      </c>
      <c r="F3725" t="inlineStr">
        <is>
          <t>N/A</t>
        </is>
      </c>
      <c r="G3725" s="26">
        <v>895798908</v>
      </c>
      <c r="H3725" s="26">
        <v>8957989</v>
      </c>
      <c r="I3725" s="26">
        <v>0</v>
      </c>
      <c r="J3725" s="26">
        <v>141</v>
      </c>
      <c r="K3725" t="inlineStr">
        <is>
          <t>Non</t>
        </is>
      </c>
      <c r="L3725">
        <f>SUBTOTAL(103,A3725)</f>
        <v>1</v>
      </c>
    </row>
    <row r="3726">
      <c r="A3726" t="inlineStr">
        <is>
          <t>SOCIETE C1308</t>
        </is>
      </c>
      <c r="B3726" t="inlineStr">
        <is>
          <t>C1308</t>
        </is>
      </c>
      <c r="C3726" t="inlineStr">
        <is>
          <t>COMMERCIAL BANKING</t>
        </is>
      </c>
      <c r="D3726" t="inlineStr">
        <is>
          <t>I</t>
        </is>
      </c>
      <c r="E3726" t="inlineStr">
        <is>
          <t>Stage 1</t>
        </is>
      </c>
      <c r="F3726" t="inlineStr">
        <is>
          <t>N/A</t>
        </is>
      </c>
      <c r="G3726" s="26">
        <v>1742952246</v>
      </c>
      <c r="H3726" s="26">
        <v>17429522</v>
      </c>
      <c r="I3726" s="26">
        <v>0</v>
      </c>
      <c r="J3726" s="26">
        <v>138</v>
      </c>
      <c r="K3726" t="inlineStr">
        <is>
          <t>Non</t>
        </is>
      </c>
      <c r="L3726">
        <f>SUBTOTAL(103,A3726)</f>
        <v>1</v>
      </c>
    </row>
    <row r="3727">
      <c r="A3727" t="inlineStr">
        <is>
          <t>SOCIETE C270</t>
        </is>
      </c>
      <c r="B3727" t="inlineStr">
        <is>
          <t>C270</t>
        </is>
      </c>
      <c r="C3727" t="inlineStr">
        <is>
          <t>COMMERCIAL BANKING</t>
        </is>
      </c>
      <c r="D3727" t="inlineStr">
        <is>
          <t>III</t>
        </is>
      </c>
      <c r="E3727" t="inlineStr">
        <is>
          <t>Stage 3</t>
        </is>
      </c>
      <c r="F3727" t="inlineStr">
        <is>
          <t>N/A</t>
        </is>
      </c>
      <c r="G3727" s="26">
        <v>18114473</v>
      </c>
      <c r="H3727" s="26">
        <v>9962960</v>
      </c>
      <c r="I3727" s="26">
        <v>2094191</v>
      </c>
      <c r="J3727" s="26">
        <v>59</v>
      </c>
      <c r="K3727" t="inlineStr">
        <is>
          <t>Oui</t>
        </is>
      </c>
      <c r="L3727">
        <f>SUBTOTAL(103,A3727)</f>
        <v>1</v>
      </c>
    </row>
    <row r="3728">
      <c r="A3728" t="inlineStr">
        <is>
          <t>SOCIETE C271</t>
        </is>
      </c>
      <c r="B3728" t="inlineStr">
        <is>
          <t>C271</t>
        </is>
      </c>
      <c r="C3728" t="inlineStr">
        <is>
          <t>CORPORATE BANKING</t>
        </is>
      </c>
      <c r="D3728" t="inlineStr">
        <is>
          <t>III</t>
        </is>
      </c>
      <c r="E3728" t="inlineStr">
        <is>
          <t>Stage 3</t>
        </is>
      </c>
      <c r="F3728" t="inlineStr">
        <is>
          <t>N/A</t>
        </is>
      </c>
      <c r="G3728" s="26">
        <v>42701550</v>
      </c>
      <c r="H3728" s="26">
        <v>23485853</v>
      </c>
      <c r="I3728" s="26">
        <v>1680669</v>
      </c>
      <c r="J3728" s="26">
        <v>164</v>
      </c>
      <c r="K3728" t="inlineStr">
        <is>
          <t>Oui</t>
        </is>
      </c>
      <c r="L3728">
        <f>SUBTOTAL(103,A3728)</f>
        <v>1</v>
      </c>
    </row>
    <row r="3729">
      <c r="A3729" t="inlineStr">
        <is>
          <t>SOCIETE C1049</t>
        </is>
      </c>
      <c r="B3729" t="inlineStr">
        <is>
          <t>C1049</t>
        </is>
      </c>
      <c r="C3729" t="inlineStr">
        <is>
          <t>COMMERCIAL BANKING</t>
        </is>
      </c>
      <c r="D3729" t="inlineStr">
        <is>
          <t>IV</t>
        </is>
      </c>
      <c r="E3729" t="inlineStr">
        <is>
          <t>Stage 3</t>
        </is>
      </c>
      <c r="F3729" t="inlineStr">
        <is>
          <t>N/A</t>
        </is>
      </c>
      <c r="G3729" s="26">
        <v>223309310</v>
      </c>
      <c r="H3729" s="26">
        <v>122820120</v>
      </c>
      <c r="I3729" s="26">
        <v>0</v>
      </c>
      <c r="J3729" s="26">
        <v>335</v>
      </c>
      <c r="K3729" t="inlineStr">
        <is>
          <t>Oui</t>
        </is>
      </c>
      <c r="L3729">
        <f>SUBTOTAL(103,A3729)</f>
        <v>1</v>
      </c>
    </row>
    <row r="3730">
      <c r="A3730" t="inlineStr">
        <is>
          <t>SOCIETE C2093</t>
        </is>
      </c>
      <c r="B3730" t="inlineStr">
        <is>
          <t>C2093</t>
        </is>
      </c>
      <c r="C3730" t="inlineStr">
        <is>
          <t>COMMERCIAL BANKING</t>
        </is>
      </c>
      <c r="D3730" t="inlineStr">
        <is>
          <t>IA</t>
        </is>
      </c>
      <c r="E3730" t="inlineStr">
        <is>
          <t>Stage 2</t>
        </is>
      </c>
      <c r="F3730" t="inlineStr">
        <is>
          <t>N/A</t>
        </is>
      </c>
      <c r="G3730" s="26">
        <v>336550458</v>
      </c>
      <c r="H3730" s="26">
        <v>20193027</v>
      </c>
      <c r="I3730" s="26">
        <v>0</v>
      </c>
      <c r="J3730" s="26">
        <v>107</v>
      </c>
      <c r="K3730" t="inlineStr">
        <is>
          <t>Non</t>
        </is>
      </c>
      <c r="L3730">
        <f>SUBTOTAL(103,A3730)</f>
        <v>1</v>
      </c>
    </row>
    <row r="3731">
      <c r="A3731" t="inlineStr">
        <is>
          <t>SOCIETE C583</t>
        </is>
      </c>
      <c r="B3731" t="inlineStr">
        <is>
          <t>C583</t>
        </is>
      </c>
      <c r="C3731" t="inlineStr">
        <is>
          <t>CORPORATE BANKING</t>
        </is>
      </c>
      <c r="D3731" t="inlineStr">
        <is>
          <t>IV</t>
        </is>
      </c>
      <c r="E3731" t="inlineStr">
        <is>
          <t>Stage 3</t>
        </is>
      </c>
      <c r="F3731" t="inlineStr">
        <is>
          <t>N/A</t>
        </is>
      </c>
      <c r="G3731" s="26">
        <v>484954762</v>
      </c>
      <c r="H3731" s="26">
        <v>266725119</v>
      </c>
      <c r="I3731" s="26">
        <v>0</v>
      </c>
      <c r="J3731" s="26">
        <v>78</v>
      </c>
      <c r="K3731" t="inlineStr">
        <is>
          <t>Oui</t>
        </is>
      </c>
      <c r="L3731">
        <f>SUBTOTAL(103,A3731)</f>
        <v>1</v>
      </c>
    </row>
    <row r="3732">
      <c r="A3732" t="inlineStr">
        <is>
          <t>SOCIETE C2279</t>
        </is>
      </c>
      <c r="B3732" t="inlineStr">
        <is>
          <t>C2279</t>
        </is>
      </c>
      <c r="C3732" t="inlineStr">
        <is>
          <t>COMMERCIAL BANKING</t>
        </is>
      </c>
      <c r="D3732" t="inlineStr">
        <is>
          <t>III</t>
        </is>
      </c>
      <c r="E3732" t="inlineStr">
        <is>
          <t>Stage 3</t>
        </is>
      </c>
      <c r="F3732" t="inlineStr">
        <is>
          <t>N/A</t>
        </is>
      </c>
      <c r="G3732" s="26">
        <v>1423198</v>
      </c>
      <c r="H3732" s="26">
        <v>782759</v>
      </c>
      <c r="I3732" s="26">
        <v>0</v>
      </c>
      <c r="J3732" s="26">
        <v>241</v>
      </c>
      <c r="K3732" t="inlineStr">
        <is>
          <t>Oui</t>
        </is>
      </c>
      <c r="L3732">
        <f>SUBTOTAL(103,A3732)</f>
        <v>1</v>
      </c>
    </row>
    <row r="3733">
      <c r="A3733" t="inlineStr">
        <is>
          <t>SOCIETE C693</t>
        </is>
      </c>
      <c r="B3733" t="inlineStr">
        <is>
          <t>C693</t>
        </is>
      </c>
      <c r="C3733" t="inlineStr">
        <is>
          <t>CONSUMER BANKING</t>
        </is>
      </c>
      <c r="D3733" t="inlineStr">
        <is>
          <t>I</t>
        </is>
      </c>
      <c r="E3733" t="inlineStr">
        <is>
          <t>Stage 1</t>
        </is>
      </c>
      <c r="F3733" t="inlineStr">
        <is>
          <t>N/A</t>
        </is>
      </c>
      <c r="G3733" s="26">
        <v>874652415</v>
      </c>
      <c r="H3733" s="26">
        <v>8746524</v>
      </c>
      <c r="I3733" s="26">
        <v>0</v>
      </c>
      <c r="J3733" s="26">
        <v>246</v>
      </c>
      <c r="K3733" t="inlineStr">
        <is>
          <t>Non</t>
        </is>
      </c>
      <c r="L3733">
        <f>SUBTOTAL(103,A3733)</f>
        <v>1</v>
      </c>
    </row>
    <row r="3734">
      <c r="A3734" t="inlineStr">
        <is>
          <t>SOCIETE C1838</t>
        </is>
      </c>
      <c r="B3734" t="inlineStr">
        <is>
          <t>C1838</t>
        </is>
      </c>
      <c r="C3734" t="inlineStr">
        <is>
          <t>CORPORATE BANKING</t>
        </is>
      </c>
      <c r="D3734" t="inlineStr">
        <is>
          <t>I</t>
        </is>
      </c>
      <c r="E3734" t="inlineStr">
        <is>
          <t>Stage 1</t>
        </is>
      </c>
      <c r="F3734" t="inlineStr">
        <is>
          <t>N/A</t>
        </is>
      </c>
      <c r="G3734" s="26">
        <v>108894137</v>
      </c>
      <c r="H3734" s="26">
        <v>1088941</v>
      </c>
      <c r="I3734" s="26">
        <v>0</v>
      </c>
      <c r="J3734" s="26">
        <v>85</v>
      </c>
      <c r="K3734" t="inlineStr">
        <is>
          <t>Non</t>
        </is>
      </c>
      <c r="L3734">
        <f>SUBTOTAL(103,A3734)</f>
        <v>1</v>
      </c>
    </row>
    <row r="3735">
      <c r="A3735" t="inlineStr">
        <is>
          <t>SOCIETE C771</t>
        </is>
      </c>
      <c r="B3735" t="inlineStr">
        <is>
          <t>C771</t>
        </is>
      </c>
      <c r="C3735" t="inlineStr">
        <is>
          <t>CORPORATE BANKING</t>
        </is>
      </c>
      <c r="D3735" t="inlineStr">
        <is>
          <t>I</t>
        </is>
      </c>
      <c r="E3735" t="inlineStr">
        <is>
          <t>Stage 1</t>
        </is>
      </c>
      <c r="F3735" t="inlineStr">
        <is>
          <t>N/A</t>
        </is>
      </c>
      <c r="G3735" s="26">
        <v>1789875144</v>
      </c>
      <c r="H3735" s="26">
        <v>17898751</v>
      </c>
      <c r="I3735" s="26">
        <v>0</v>
      </c>
      <c r="J3735" s="26">
        <v>71</v>
      </c>
      <c r="K3735" t="inlineStr">
        <is>
          <t>Non</t>
        </is>
      </c>
      <c r="L3735">
        <f>SUBTOTAL(103,A3735)</f>
        <v>1</v>
      </c>
    </row>
    <row r="3736">
      <c r="A3736" t="inlineStr">
        <is>
          <t>SOCIETE C2344</t>
        </is>
      </c>
      <c r="B3736" t="inlineStr">
        <is>
          <t>C2344</t>
        </is>
      </c>
      <c r="C3736" t="inlineStr">
        <is>
          <t>CONSUMER BANKING</t>
        </is>
      </c>
      <c r="D3736" t="inlineStr">
        <is>
          <t>IV</t>
        </is>
      </c>
      <c r="E3736" t="inlineStr">
        <is>
          <t>Stage 3</t>
        </is>
      </c>
      <c r="F3736" t="inlineStr">
        <is>
          <t>N/A</t>
        </is>
      </c>
      <c r="G3736" s="26">
        <v>2053990</v>
      </c>
      <c r="H3736" s="26">
        <v>1129694</v>
      </c>
      <c r="I3736" s="26">
        <v>0</v>
      </c>
      <c r="J3736" s="26">
        <v>3</v>
      </c>
      <c r="K3736" t="inlineStr">
        <is>
          <t>Oui</t>
        </is>
      </c>
      <c r="L3736">
        <f>SUBTOTAL(103,A3736)</f>
        <v>1</v>
      </c>
    </row>
    <row r="3737">
      <c r="A3737" t="inlineStr">
        <is>
          <t>SOCIETE C1132</t>
        </is>
      </c>
      <c r="B3737" t="inlineStr">
        <is>
          <t>C1132</t>
        </is>
      </c>
      <c r="C3737" t="inlineStr">
        <is>
          <t>CORPORATE BANKING</t>
        </is>
      </c>
      <c r="D3737" t="inlineStr">
        <is>
          <t>II</t>
        </is>
      </c>
      <c r="E3737" t="inlineStr">
        <is>
          <t>Stage 2</t>
        </is>
      </c>
      <c r="F3737" t="inlineStr">
        <is>
          <t>N/A</t>
        </is>
      </c>
      <c r="G3737" s="26">
        <v>2096549510</v>
      </c>
      <c r="H3737" s="26">
        <v>125792971</v>
      </c>
      <c r="I3737" s="26">
        <v>301964001</v>
      </c>
      <c r="J3737" s="26">
        <v>64</v>
      </c>
      <c r="K3737" t="inlineStr">
        <is>
          <t>Non</t>
        </is>
      </c>
      <c r="L3737">
        <f>SUBTOTAL(103,A3737)</f>
        <v>1</v>
      </c>
    </row>
    <row r="3738">
      <c r="A3738" t="inlineStr">
        <is>
          <t>SOCIETE C1010</t>
        </is>
      </c>
      <c r="B3738" t="inlineStr">
        <is>
          <t>C1010</t>
        </is>
      </c>
      <c r="C3738" t="inlineStr">
        <is>
          <t>PUBLIC SECTOR</t>
        </is>
      </c>
      <c r="D3738" t="inlineStr">
        <is>
          <t>I</t>
        </is>
      </c>
      <c r="E3738" t="inlineStr">
        <is>
          <t>Stage 1</t>
        </is>
      </c>
      <c r="F3738" t="inlineStr">
        <is>
          <t>N/A</t>
        </is>
      </c>
      <c r="G3738" s="26">
        <v>313785558</v>
      </c>
      <c r="H3738" s="26">
        <v>3137856</v>
      </c>
      <c r="I3738" s="26">
        <v>157106</v>
      </c>
      <c r="J3738" s="26">
        <v>0</v>
      </c>
      <c r="K3738" t="inlineStr">
        <is>
          <t>Non</t>
        </is>
      </c>
      <c r="L3738">
        <f>SUBTOTAL(103,A3738)</f>
        <v>1</v>
      </c>
    </row>
    <row r="3739">
      <c r="A3739" t="inlineStr">
        <is>
          <t>SOCIETE C338</t>
        </is>
      </c>
      <c r="B3739" t="inlineStr">
        <is>
          <t>C338</t>
        </is>
      </c>
      <c r="C3739" t="inlineStr">
        <is>
          <t>COMMERCIAL BANKING</t>
        </is>
      </c>
      <c r="D3739" t="inlineStr">
        <is>
          <t>IA</t>
        </is>
      </c>
      <c r="E3739" t="inlineStr">
        <is>
          <t>Stage 2</t>
        </is>
      </c>
      <c r="F3739" t="inlineStr">
        <is>
          <t>N/A</t>
        </is>
      </c>
      <c r="G3739" s="26">
        <v>827045589</v>
      </c>
      <c r="H3739" s="26">
        <v>49622735</v>
      </c>
      <c r="I3739" s="26">
        <v>132076074</v>
      </c>
      <c r="J3739" s="26">
        <v>23</v>
      </c>
      <c r="K3739" t="inlineStr">
        <is>
          <t>Non</t>
        </is>
      </c>
      <c r="L3739">
        <f>SUBTOTAL(103,A3739)</f>
        <v>1</v>
      </c>
    </row>
    <row r="3740">
      <c r="A3740" t="inlineStr">
        <is>
          <t>SOCIETE C1579</t>
        </is>
      </c>
      <c r="B3740" t="inlineStr">
        <is>
          <t>C1579</t>
        </is>
      </c>
      <c r="C3740" t="inlineStr">
        <is>
          <t>CONSUMER BANKING</t>
        </is>
      </c>
      <c r="D3740" t="inlineStr">
        <is>
          <t>IV</t>
        </is>
      </c>
      <c r="E3740" t="inlineStr">
        <is>
          <t>Stage 3</t>
        </is>
      </c>
      <c r="F3740" t="inlineStr">
        <is>
          <t>N/A</t>
        </is>
      </c>
      <c r="G3740" s="26">
        <v>1974702512</v>
      </c>
      <c r="H3740" s="26">
        <v>1086086381</v>
      </c>
      <c r="I3740" s="26">
        <v>0</v>
      </c>
      <c r="J3740" s="26">
        <v>27</v>
      </c>
      <c r="K3740" t="inlineStr">
        <is>
          <t>Oui</t>
        </is>
      </c>
      <c r="L3740">
        <f>SUBTOTAL(103,A3740)</f>
        <v>1</v>
      </c>
    </row>
    <row r="3741">
      <c r="A3741" t="inlineStr">
        <is>
          <t>SOCIETE C1037</t>
        </is>
      </c>
      <c r="B3741" t="inlineStr">
        <is>
          <t>C1037</t>
        </is>
      </c>
      <c r="C3741" t="inlineStr">
        <is>
          <t>PUBLIC SECTOR</t>
        </is>
      </c>
      <c r="D3741" t="inlineStr">
        <is>
          <t>IV</t>
        </is>
      </c>
      <c r="E3741" t="inlineStr">
        <is>
          <t>Stage 3</t>
        </is>
      </c>
      <c r="F3741" t="inlineStr">
        <is>
          <t>N/A</t>
        </is>
      </c>
      <c r="G3741" s="26">
        <v>18848020</v>
      </c>
      <c r="H3741" s="26">
        <v>10366411</v>
      </c>
      <c r="I3741" s="26">
        <v>0</v>
      </c>
      <c r="J3741" s="26">
        <v>37</v>
      </c>
      <c r="K3741" t="inlineStr">
        <is>
          <t>Oui</t>
        </is>
      </c>
      <c r="L3741">
        <f>SUBTOTAL(103,A3741)</f>
        <v>1</v>
      </c>
    </row>
    <row r="3742">
      <c r="A3742" t="inlineStr">
        <is>
          <t>SOCIETE C2336</t>
        </is>
      </c>
      <c r="B3742" t="inlineStr">
        <is>
          <t>C2336</t>
        </is>
      </c>
      <c r="C3742" t="inlineStr">
        <is>
          <t>SME</t>
        </is>
      </c>
      <c r="D3742" t="inlineStr">
        <is>
          <t>II</t>
        </is>
      </c>
      <c r="E3742" t="inlineStr">
        <is>
          <t>Stage 2</t>
        </is>
      </c>
      <c r="F3742" t="inlineStr">
        <is>
          <t>N/A</t>
        </is>
      </c>
      <c r="G3742" s="26">
        <v>7062997</v>
      </c>
      <c r="H3742" s="26">
        <v>423780</v>
      </c>
      <c r="I3742" s="26">
        <v>251765</v>
      </c>
      <c r="J3742" s="26">
        <v>165</v>
      </c>
      <c r="K3742" t="inlineStr">
        <is>
          <t>Non</t>
        </is>
      </c>
      <c r="L3742">
        <f>SUBTOTAL(103,A3742)</f>
        <v>1</v>
      </c>
    </row>
    <row r="3743">
      <c r="A3743" t="inlineStr">
        <is>
          <t>SOCIETE C2483</t>
        </is>
      </c>
      <c r="B3743" t="inlineStr">
        <is>
          <t>C2483</t>
        </is>
      </c>
      <c r="C3743" t="inlineStr">
        <is>
          <t>COMMERCIAL BANKING</t>
        </is>
      </c>
      <c r="D3743" t="inlineStr">
        <is>
          <t>I</t>
        </is>
      </c>
      <c r="E3743" t="inlineStr">
        <is>
          <t>Stage 1</t>
        </is>
      </c>
      <c r="F3743" t="inlineStr">
        <is>
          <t>N/A</t>
        </is>
      </c>
      <c r="G3743" s="26">
        <v>1012437</v>
      </c>
      <c r="H3743" s="26">
        <v>10124</v>
      </c>
      <c r="I3743" s="26">
        <v>0</v>
      </c>
      <c r="J3743" s="26">
        <v>51</v>
      </c>
      <c r="K3743" t="inlineStr">
        <is>
          <t>Non</t>
        </is>
      </c>
      <c r="L3743">
        <f>SUBTOTAL(103,A3743)</f>
        <v>1</v>
      </c>
    </row>
    <row r="3744">
      <c r="A3744" t="inlineStr">
        <is>
          <t>SOCIETE C1532</t>
        </is>
      </c>
      <c r="B3744" t="inlineStr">
        <is>
          <t>C1532</t>
        </is>
      </c>
      <c r="C3744" t="inlineStr">
        <is>
          <t>COMMERCIAL BANKING</t>
        </is>
      </c>
      <c r="D3744" t="inlineStr">
        <is>
          <t>I</t>
        </is>
      </c>
      <c r="E3744" t="inlineStr">
        <is>
          <t>Stage 1</t>
        </is>
      </c>
      <c r="F3744" t="inlineStr">
        <is>
          <t>N/A</t>
        </is>
      </c>
      <c r="G3744" s="26">
        <v>39461437</v>
      </c>
      <c r="H3744" s="26">
        <v>394614</v>
      </c>
      <c r="I3744" s="26">
        <v>1257775</v>
      </c>
      <c r="J3744" s="26">
        <v>23</v>
      </c>
      <c r="K3744" t="inlineStr">
        <is>
          <t>Non</t>
        </is>
      </c>
      <c r="L3744">
        <f>SUBTOTAL(103,A3744)</f>
        <v>1</v>
      </c>
    </row>
    <row r="3745">
      <c r="A3745" t="inlineStr">
        <is>
          <t>SOCIETE C1357</t>
        </is>
      </c>
      <c r="B3745" t="inlineStr">
        <is>
          <t>C1357</t>
        </is>
      </c>
      <c r="C3745" t="inlineStr">
        <is>
          <t>COMMERCIAL BANKING</t>
        </is>
      </c>
      <c r="D3745" t="inlineStr">
        <is>
          <t>IV</t>
        </is>
      </c>
      <c r="E3745" t="inlineStr">
        <is>
          <t>Stage 3</t>
        </is>
      </c>
      <c r="F3745" t="inlineStr">
        <is>
          <t>N/A</t>
        </is>
      </c>
      <c r="G3745" s="26">
        <v>15605585</v>
      </c>
      <c r="H3745" s="26">
        <v>8583072</v>
      </c>
      <c r="I3745" s="26">
        <v>0</v>
      </c>
      <c r="J3745" s="26">
        <v>36</v>
      </c>
      <c r="K3745" t="inlineStr">
        <is>
          <t>Oui</t>
        </is>
      </c>
      <c r="L3745">
        <f>SUBTOTAL(103,A3745)</f>
        <v>1</v>
      </c>
    </row>
    <row r="3746">
      <c r="A3746" t="inlineStr">
        <is>
          <t>SOCIETE C2009</t>
        </is>
      </c>
      <c r="B3746" t="inlineStr">
        <is>
          <t>C2009</t>
        </is>
      </c>
      <c r="C3746" t="inlineStr">
        <is>
          <t>COMMERCIAL BANKING</t>
        </is>
      </c>
      <c r="D3746" t="inlineStr">
        <is>
          <t>V</t>
        </is>
      </c>
      <c r="E3746" t="inlineStr">
        <is>
          <t>Stage 3</t>
        </is>
      </c>
      <c r="F3746" t="inlineStr">
        <is>
          <t>N/A</t>
        </is>
      </c>
      <c r="G3746" s="26">
        <v>1784756742</v>
      </c>
      <c r="H3746" s="26">
        <v>981616208</v>
      </c>
      <c r="I3746" s="26">
        <v>0</v>
      </c>
      <c r="J3746" s="26">
        <v>33</v>
      </c>
      <c r="K3746" t="inlineStr">
        <is>
          <t>Oui</t>
        </is>
      </c>
      <c r="L3746">
        <f>SUBTOTAL(103,A3746)</f>
        <v>1</v>
      </c>
    </row>
    <row r="3747">
      <c r="A3747" t="inlineStr">
        <is>
          <t>SOCIETE C2182</t>
        </is>
      </c>
      <c r="B3747" t="inlineStr">
        <is>
          <t>C2182</t>
        </is>
      </c>
      <c r="C3747" t="inlineStr">
        <is>
          <t>CORPORATE BANKING</t>
        </is>
      </c>
      <c r="D3747" t="inlineStr">
        <is>
          <t>IA</t>
        </is>
      </c>
      <c r="E3747" t="inlineStr">
        <is>
          <t>Stage 2</t>
        </is>
      </c>
      <c r="F3747" t="inlineStr">
        <is>
          <t>N/A</t>
        </is>
      </c>
      <c r="G3747" s="26">
        <v>2276602211</v>
      </c>
      <c r="H3747" s="26">
        <v>136596133</v>
      </c>
      <c r="I3747" s="26">
        <v>0</v>
      </c>
      <c r="J3747" s="26">
        <v>3</v>
      </c>
      <c r="K3747" t="inlineStr">
        <is>
          <t>Non</t>
        </is>
      </c>
      <c r="L3747">
        <f>SUBTOTAL(103,A3747)</f>
        <v>1</v>
      </c>
    </row>
    <row r="3748">
      <c r="A3748" t="inlineStr">
        <is>
          <t>SOCIETE C445</t>
        </is>
      </c>
      <c r="B3748" t="inlineStr">
        <is>
          <t>C445</t>
        </is>
      </c>
      <c r="C3748" t="inlineStr">
        <is>
          <t>COMMERCIAL BANKING</t>
        </is>
      </c>
      <c r="D3748" t="inlineStr">
        <is>
          <t>III</t>
        </is>
      </c>
      <c r="E3748" t="inlineStr">
        <is>
          <t>Stage 3</t>
        </is>
      </c>
      <c r="F3748" t="inlineStr">
        <is>
          <t>N/A</t>
        </is>
      </c>
      <c r="G3748" s="26">
        <v>49411899</v>
      </c>
      <c r="H3748" s="26">
        <v>27176544</v>
      </c>
      <c r="I3748" s="26">
        <v>0</v>
      </c>
      <c r="J3748" s="26">
        <v>213</v>
      </c>
      <c r="K3748" t="inlineStr">
        <is>
          <t>Oui</t>
        </is>
      </c>
      <c r="L3748">
        <f>SUBTOTAL(103,A3748)</f>
        <v>1</v>
      </c>
    </row>
    <row r="3749">
      <c r="A3749" t="inlineStr">
        <is>
          <t>SOCIETE C52</t>
        </is>
      </c>
      <c r="B3749" t="inlineStr">
        <is>
          <t>C52</t>
        </is>
      </c>
      <c r="C3749" t="inlineStr">
        <is>
          <t>COMMERCIAL BANKING</t>
        </is>
      </c>
      <c r="D3749" t="inlineStr">
        <is>
          <t>V</t>
        </is>
      </c>
      <c r="E3749" t="inlineStr">
        <is>
          <t>Stage 3</t>
        </is>
      </c>
      <c r="F3749" t="inlineStr">
        <is>
          <t>N/A</t>
        </is>
      </c>
      <c r="G3749" s="26">
        <v>1069893</v>
      </c>
      <c r="H3749" s="26">
        <v>588441</v>
      </c>
      <c r="I3749" s="26">
        <v>0</v>
      </c>
      <c r="J3749" s="26">
        <v>9</v>
      </c>
      <c r="K3749" t="inlineStr">
        <is>
          <t>Oui</t>
        </is>
      </c>
      <c r="L3749">
        <f>SUBTOTAL(103,A3749)</f>
        <v>1</v>
      </c>
    </row>
    <row r="3750">
      <c r="A3750" t="inlineStr">
        <is>
          <t>SOCIETE C1395</t>
        </is>
      </c>
      <c r="B3750" t="inlineStr">
        <is>
          <t>C1395</t>
        </is>
      </c>
      <c r="C3750" t="inlineStr">
        <is>
          <t>COMMERCIAL BANKING</t>
        </is>
      </c>
      <c r="D3750" t="inlineStr">
        <is>
          <t>I</t>
        </is>
      </c>
      <c r="E3750" t="inlineStr">
        <is>
          <t>Stage 1</t>
        </is>
      </c>
      <c r="F3750" t="inlineStr">
        <is>
          <t>N/A</t>
        </is>
      </c>
      <c r="G3750" s="26">
        <v>226359377</v>
      </c>
      <c r="H3750" s="26">
        <v>2263594</v>
      </c>
      <c r="I3750" s="26">
        <v>0</v>
      </c>
      <c r="J3750" s="26">
        <v>308</v>
      </c>
      <c r="K3750" t="inlineStr">
        <is>
          <t>Non</t>
        </is>
      </c>
      <c r="L3750">
        <f>SUBTOTAL(103,A3750)</f>
        <v>1</v>
      </c>
    </row>
    <row r="3751">
      <c r="A3751" t="inlineStr">
        <is>
          <t>SOCIETE C1357</t>
        </is>
      </c>
      <c r="B3751" t="inlineStr">
        <is>
          <t>C1357</t>
        </is>
      </c>
      <c r="C3751" t="inlineStr">
        <is>
          <t>COMMERCIAL BANKING</t>
        </is>
      </c>
      <c r="D3751" t="inlineStr">
        <is>
          <t>II</t>
        </is>
      </c>
      <c r="E3751" t="inlineStr">
        <is>
          <t>Stage 2</t>
        </is>
      </c>
      <c r="F3751" t="inlineStr">
        <is>
          <t>N/A</t>
        </is>
      </c>
      <c r="G3751" s="26">
        <v>354347394</v>
      </c>
      <c r="H3751" s="26">
        <v>21260844</v>
      </c>
      <c r="I3751" s="26">
        <v>8138337</v>
      </c>
      <c r="J3751" s="26">
        <v>15</v>
      </c>
      <c r="K3751" t="inlineStr">
        <is>
          <t>Non</t>
        </is>
      </c>
      <c r="L3751">
        <f>SUBTOTAL(103,A3751)</f>
        <v>1</v>
      </c>
    </row>
    <row r="3752">
      <c r="A3752" t="inlineStr">
        <is>
          <t>SOCIETE C2397</t>
        </is>
      </c>
      <c r="B3752" t="inlineStr">
        <is>
          <t>C2397</t>
        </is>
      </c>
      <c r="C3752" t="inlineStr">
        <is>
          <t>PUBLIC SECTOR</t>
        </is>
      </c>
      <c r="D3752" t="inlineStr">
        <is>
          <t>I</t>
        </is>
      </c>
      <c r="E3752" t="inlineStr">
        <is>
          <t>Stage 1</t>
        </is>
      </c>
      <c r="F3752" t="inlineStr">
        <is>
          <t>N/A</t>
        </is>
      </c>
      <c r="G3752" s="26">
        <v>1712729483</v>
      </c>
      <c r="H3752" s="26">
        <v>17127295</v>
      </c>
      <c r="I3752" s="26">
        <v>312573822</v>
      </c>
      <c r="J3752" s="26">
        <v>159</v>
      </c>
      <c r="K3752" t="inlineStr">
        <is>
          <t>Non</t>
        </is>
      </c>
      <c r="L3752">
        <f>SUBTOTAL(103,A3752)</f>
        <v>1</v>
      </c>
    </row>
    <row r="3753">
      <c r="A3753" t="inlineStr">
        <is>
          <t>SOCIETE C577</t>
        </is>
      </c>
      <c r="B3753" t="inlineStr">
        <is>
          <t>C577</t>
        </is>
      </c>
      <c r="C3753" t="inlineStr">
        <is>
          <t>SME</t>
        </is>
      </c>
      <c r="D3753" t="inlineStr">
        <is>
          <t>I</t>
        </is>
      </c>
      <c r="E3753" t="inlineStr">
        <is>
          <t>Stage 1</t>
        </is>
      </c>
      <c r="F3753" t="inlineStr">
        <is>
          <t>N/A</t>
        </is>
      </c>
      <c r="G3753" s="26">
        <v>35135451</v>
      </c>
      <c r="H3753" s="26">
        <v>351355</v>
      </c>
      <c r="I3753" s="26">
        <v>3962156</v>
      </c>
      <c r="J3753" s="26">
        <v>4</v>
      </c>
      <c r="K3753" t="inlineStr">
        <is>
          <t>Non</t>
        </is>
      </c>
      <c r="L3753">
        <f>SUBTOTAL(103,A3753)</f>
        <v>1</v>
      </c>
    </row>
    <row r="3754">
      <c r="A3754" t="inlineStr">
        <is>
          <t>SOCIETE C1747</t>
        </is>
      </c>
      <c r="B3754" t="inlineStr">
        <is>
          <t>C1747</t>
        </is>
      </c>
      <c r="C3754" t="inlineStr">
        <is>
          <t>COMMERCIAL BANKING</t>
        </is>
      </c>
      <c r="D3754" t="inlineStr">
        <is>
          <t>I</t>
        </is>
      </c>
      <c r="E3754" t="inlineStr">
        <is>
          <t>Stage 1</t>
        </is>
      </c>
      <c r="F3754" t="inlineStr">
        <is>
          <t>N/A</t>
        </is>
      </c>
      <c r="G3754" s="26">
        <v>65635172</v>
      </c>
      <c r="H3754" s="26">
        <v>656352</v>
      </c>
      <c r="I3754" s="26">
        <v>0</v>
      </c>
      <c r="J3754" s="26">
        <v>22</v>
      </c>
      <c r="K3754" t="inlineStr">
        <is>
          <t>Non</t>
        </is>
      </c>
      <c r="L3754">
        <f>SUBTOTAL(103,A3754)</f>
        <v>1</v>
      </c>
    </row>
    <row r="3755">
      <c r="A3755" t="inlineStr">
        <is>
          <t>SOCIETE C2319</t>
        </is>
      </c>
      <c r="B3755" t="inlineStr">
        <is>
          <t>C2319</t>
        </is>
      </c>
      <c r="C3755" t="inlineStr">
        <is>
          <t>CORPORATE BANKING</t>
        </is>
      </c>
      <c r="D3755" t="inlineStr">
        <is>
          <t>IA</t>
        </is>
      </c>
      <c r="E3755" t="inlineStr">
        <is>
          <t>Stage 2</t>
        </is>
      </c>
      <c r="F3755" t="inlineStr">
        <is>
          <t>N/A</t>
        </is>
      </c>
      <c r="G3755" s="26">
        <v>385099344</v>
      </c>
      <c r="H3755" s="26">
        <v>23105961</v>
      </c>
      <c r="I3755" s="26">
        <v>0</v>
      </c>
      <c r="J3755" s="26">
        <v>224</v>
      </c>
      <c r="K3755" t="inlineStr">
        <is>
          <t>Non</t>
        </is>
      </c>
      <c r="L3755">
        <f>SUBTOTAL(103,A3755)</f>
        <v>1</v>
      </c>
    </row>
    <row r="3756">
      <c r="A3756" t="inlineStr">
        <is>
          <t>SOCIETE C1467</t>
        </is>
      </c>
      <c r="B3756" t="inlineStr">
        <is>
          <t>C1467</t>
        </is>
      </c>
      <c r="C3756" t="inlineStr">
        <is>
          <t>PUBLIC SECTOR</t>
        </is>
      </c>
      <c r="D3756" t="inlineStr">
        <is>
          <t>I</t>
        </is>
      </c>
      <c r="E3756" t="inlineStr">
        <is>
          <t>Stage 1</t>
        </is>
      </c>
      <c r="F3756" t="inlineStr">
        <is>
          <t>N/A</t>
        </is>
      </c>
      <c r="G3756" s="26">
        <v>2165215458</v>
      </c>
      <c r="H3756" s="26">
        <v>21652155</v>
      </c>
      <c r="I3756" s="26">
        <v>0</v>
      </c>
      <c r="J3756" s="26">
        <v>246</v>
      </c>
      <c r="K3756" t="inlineStr">
        <is>
          <t>Non</t>
        </is>
      </c>
      <c r="L3756">
        <f>SUBTOTAL(103,A3756)</f>
        <v>1</v>
      </c>
    </row>
    <row r="3757">
      <c r="A3757" t="inlineStr">
        <is>
          <t>SOCIETE C1034</t>
        </is>
      </c>
      <c r="B3757" t="inlineStr">
        <is>
          <t>C1034</t>
        </is>
      </c>
      <c r="C3757" t="inlineStr">
        <is>
          <t>COMMERCIAL BANKING</t>
        </is>
      </c>
      <c r="D3757" t="inlineStr">
        <is>
          <t>V</t>
        </is>
      </c>
      <c r="E3757" t="inlineStr">
        <is>
          <t>Stage 3</t>
        </is>
      </c>
      <c r="F3757" t="inlineStr">
        <is>
          <t>N/A</t>
        </is>
      </c>
      <c r="G3757" s="26">
        <v>310123777</v>
      </c>
      <c r="H3757" s="26">
        <v>170568077</v>
      </c>
      <c r="I3757" s="26">
        <v>40628682</v>
      </c>
      <c r="J3757" s="26">
        <v>13</v>
      </c>
      <c r="K3757" t="inlineStr">
        <is>
          <t>Oui</t>
        </is>
      </c>
      <c r="L3757">
        <f>SUBTOTAL(103,A3757)</f>
        <v>1</v>
      </c>
    </row>
    <row r="3758">
      <c r="A3758" t="inlineStr">
        <is>
          <t>SOCIETE C1260</t>
        </is>
      </c>
      <c r="B3758" t="inlineStr">
        <is>
          <t>C1260</t>
        </is>
      </c>
      <c r="C3758" t="inlineStr">
        <is>
          <t>CORPORATE BANKING</t>
        </is>
      </c>
      <c r="D3758" t="inlineStr">
        <is>
          <t>IV</t>
        </is>
      </c>
      <c r="E3758" t="inlineStr">
        <is>
          <t>Stage 3</t>
        </is>
      </c>
      <c r="F3758" t="inlineStr">
        <is>
          <t>N/A</t>
        </is>
      </c>
      <c r="G3758" s="26">
        <v>832808522</v>
      </c>
      <c r="H3758" s="26">
        <v>458044687</v>
      </c>
      <c r="I3758" s="26">
        <v>107333451</v>
      </c>
      <c r="J3758" s="26">
        <v>21</v>
      </c>
      <c r="K3758" t="inlineStr">
        <is>
          <t>Oui</t>
        </is>
      </c>
      <c r="L3758">
        <f>SUBTOTAL(103,A3758)</f>
        <v>1</v>
      </c>
    </row>
    <row r="3759">
      <c r="A3759" t="inlineStr">
        <is>
          <t>SOCIETE C2359</t>
        </is>
      </c>
      <c r="B3759" t="inlineStr">
        <is>
          <t>C2359</t>
        </is>
      </c>
      <c r="C3759" t="inlineStr">
        <is>
          <t>CONSUMER BANKING</t>
        </is>
      </c>
      <c r="D3759" t="inlineStr">
        <is>
          <t>IV</t>
        </is>
      </c>
      <c r="E3759" t="inlineStr">
        <is>
          <t>Stage 3</t>
        </is>
      </c>
      <c r="F3759" t="inlineStr">
        <is>
          <t>N/A</t>
        </is>
      </c>
      <c r="G3759" s="26">
        <v>10383534</v>
      </c>
      <c r="H3759" s="26">
        <v>5710944</v>
      </c>
      <c r="I3759" s="26">
        <v>285146</v>
      </c>
      <c r="J3759" s="26">
        <v>20</v>
      </c>
      <c r="K3759" t="inlineStr">
        <is>
          <t>Oui</t>
        </is>
      </c>
      <c r="L3759">
        <f>SUBTOTAL(103,A3759)</f>
        <v>1</v>
      </c>
    </row>
    <row r="3760">
      <c r="A3760" t="inlineStr">
        <is>
          <t>SOCIETE C1545</t>
        </is>
      </c>
      <c r="B3760" t="inlineStr">
        <is>
          <t>C1545</t>
        </is>
      </c>
      <c r="C3760" t="inlineStr">
        <is>
          <t>CORPORATE BANKING</t>
        </is>
      </c>
      <c r="D3760" t="inlineStr">
        <is>
          <t>IA</t>
        </is>
      </c>
      <c r="E3760" t="inlineStr">
        <is>
          <t>Stage 2</t>
        </is>
      </c>
      <c r="F3760" t="inlineStr">
        <is>
          <t>N/A</t>
        </is>
      </c>
      <c r="G3760" s="26">
        <v>296694452</v>
      </c>
      <c r="H3760" s="26">
        <v>17801667</v>
      </c>
      <c r="I3760" s="26">
        <v>0</v>
      </c>
      <c r="J3760" s="26">
        <v>21</v>
      </c>
      <c r="K3760" t="inlineStr">
        <is>
          <t>Non</t>
        </is>
      </c>
      <c r="L3760">
        <f>SUBTOTAL(103,A3760)</f>
        <v>1</v>
      </c>
    </row>
    <row r="3761">
      <c r="A3761" t="inlineStr">
        <is>
          <t>SOCIETE C1546</t>
        </is>
      </c>
      <c r="B3761" t="inlineStr">
        <is>
          <t>C1546</t>
        </is>
      </c>
      <c r="C3761" t="inlineStr">
        <is>
          <t>CORPORATE BANKING</t>
        </is>
      </c>
      <c r="D3761" t="inlineStr">
        <is>
          <t>IA</t>
        </is>
      </c>
      <c r="E3761" t="inlineStr">
        <is>
          <t>Stage 2</t>
        </is>
      </c>
      <c r="F3761" t="inlineStr">
        <is>
          <t>N/A</t>
        </is>
      </c>
      <c r="G3761" s="26">
        <v>2086517657</v>
      </c>
      <c r="H3761" s="26">
        <v>125191059</v>
      </c>
      <c r="I3761" s="26">
        <v>0</v>
      </c>
      <c r="J3761" s="26">
        <v>22</v>
      </c>
      <c r="K3761" t="inlineStr">
        <is>
          <t>Non</t>
        </is>
      </c>
      <c r="L3761">
        <f>SUBTOTAL(103,A3761)</f>
        <v>1</v>
      </c>
    </row>
    <row r="3762">
      <c r="A3762" t="inlineStr">
        <is>
          <t>SOCIETE C1999</t>
        </is>
      </c>
      <c r="B3762" t="inlineStr">
        <is>
          <t>C1999</t>
        </is>
      </c>
      <c r="C3762" t="inlineStr">
        <is>
          <t>CONSUMER BANKING</t>
        </is>
      </c>
      <c r="D3762" t="inlineStr">
        <is>
          <t>IA</t>
        </is>
      </c>
      <c r="E3762" t="inlineStr">
        <is>
          <t>Stage 2</t>
        </is>
      </c>
      <c r="F3762" t="inlineStr">
        <is>
          <t>N/A</t>
        </is>
      </c>
      <c r="G3762" s="26">
        <v>182570597</v>
      </c>
      <c r="H3762" s="26">
        <v>10954236</v>
      </c>
      <c r="I3762" s="26">
        <v>0</v>
      </c>
      <c r="J3762" s="26">
        <v>1</v>
      </c>
      <c r="K3762" t="inlineStr">
        <is>
          <t>Non</t>
        </is>
      </c>
      <c r="L3762">
        <f>SUBTOTAL(103,A3762)</f>
        <v>1</v>
      </c>
    </row>
    <row r="3763">
      <c r="A3763" t="inlineStr">
        <is>
          <t>SOCIETE C1916</t>
        </is>
      </c>
      <c r="B3763" t="inlineStr">
        <is>
          <t>C1916</t>
        </is>
      </c>
      <c r="C3763" t="inlineStr">
        <is>
          <t>CORPORATE BANKING</t>
        </is>
      </c>
      <c r="D3763" t="inlineStr">
        <is>
          <t>III</t>
        </is>
      </c>
      <c r="E3763" t="inlineStr">
        <is>
          <t>Stage 3</t>
        </is>
      </c>
      <c r="F3763" t="inlineStr">
        <is>
          <t>N/A</t>
        </is>
      </c>
      <c r="G3763" s="26">
        <v>193340045</v>
      </c>
      <c r="H3763" s="26">
        <v>106337025</v>
      </c>
      <c r="I3763" s="26">
        <v>0</v>
      </c>
      <c r="J3763" s="26">
        <v>369</v>
      </c>
      <c r="K3763" t="inlineStr">
        <is>
          <t>Oui</t>
        </is>
      </c>
      <c r="L3763">
        <f>SUBTOTAL(103,A3763)</f>
        <v>1</v>
      </c>
    </row>
    <row r="3764">
      <c r="A3764" t="inlineStr">
        <is>
          <t>SOCIETE C1239</t>
        </is>
      </c>
      <c r="B3764" t="inlineStr">
        <is>
          <t>C1239</t>
        </is>
      </c>
      <c r="C3764" t="inlineStr">
        <is>
          <t>CORPORATE BANKING</t>
        </is>
      </c>
      <c r="D3764" t="inlineStr">
        <is>
          <t>IV</t>
        </is>
      </c>
      <c r="E3764" t="inlineStr">
        <is>
          <t>Stage 3</t>
        </is>
      </c>
      <c r="F3764" t="inlineStr">
        <is>
          <t>N/A</t>
        </is>
      </c>
      <c r="G3764" s="26">
        <v>1122259226</v>
      </c>
      <c r="H3764" s="26">
        <v>617242574</v>
      </c>
      <c r="I3764" s="26">
        <v>41564914</v>
      </c>
      <c r="J3764" s="26">
        <v>23</v>
      </c>
      <c r="K3764" t="inlineStr">
        <is>
          <t>Oui</t>
        </is>
      </c>
      <c r="L3764">
        <f>SUBTOTAL(103,A3764)</f>
        <v>1</v>
      </c>
    </row>
    <row r="3765">
      <c r="A3765" t="inlineStr">
        <is>
          <t>SOCIETE C332</t>
        </is>
      </c>
      <c r="B3765" t="inlineStr">
        <is>
          <t>C332</t>
        </is>
      </c>
      <c r="C3765" t="inlineStr">
        <is>
          <t>CORPORATE BANKING</t>
        </is>
      </c>
      <c r="D3765" t="inlineStr">
        <is>
          <t>I</t>
        </is>
      </c>
      <c r="E3765" t="inlineStr">
        <is>
          <t>Stage 1</t>
        </is>
      </c>
      <c r="F3765" t="inlineStr">
        <is>
          <t>N/A</t>
        </is>
      </c>
      <c r="G3765" s="26">
        <v>1044825655</v>
      </c>
      <c r="H3765" s="26">
        <v>10448257</v>
      </c>
      <c r="I3765" s="26">
        <v>0</v>
      </c>
      <c r="J3765" s="26">
        <v>190</v>
      </c>
      <c r="K3765" t="inlineStr">
        <is>
          <t>Non</t>
        </is>
      </c>
      <c r="L3765">
        <f>SUBTOTAL(103,A3765)</f>
        <v>1</v>
      </c>
    </row>
    <row r="3766">
      <c r="A3766" t="inlineStr">
        <is>
          <t>SOCIETE C986</t>
        </is>
      </c>
      <c r="B3766" t="inlineStr">
        <is>
          <t>C986</t>
        </is>
      </c>
      <c r="C3766" t="inlineStr">
        <is>
          <t>CORPORATE BANKING</t>
        </is>
      </c>
      <c r="D3766" t="inlineStr">
        <is>
          <t>II</t>
        </is>
      </c>
      <c r="E3766" t="inlineStr">
        <is>
          <t>Stage 2</t>
        </is>
      </c>
      <c r="F3766" t="inlineStr">
        <is>
          <t>N/A</t>
        </is>
      </c>
      <c r="G3766" s="26">
        <v>18239352</v>
      </c>
      <c r="H3766" s="26">
        <v>1094361</v>
      </c>
      <c r="I3766" s="26">
        <v>0</v>
      </c>
      <c r="J3766" s="26">
        <v>115</v>
      </c>
      <c r="K3766" t="inlineStr">
        <is>
          <t>Non</t>
        </is>
      </c>
      <c r="L3766">
        <f>SUBTOTAL(103,A3766)</f>
        <v>1</v>
      </c>
    </row>
    <row r="3767">
      <c r="A3767" t="inlineStr">
        <is>
          <t>SOCIETE C680</t>
        </is>
      </c>
      <c r="B3767" t="inlineStr">
        <is>
          <t>C680</t>
        </is>
      </c>
      <c r="C3767" t="inlineStr">
        <is>
          <t>CORPORATE BANKING</t>
        </is>
      </c>
      <c r="D3767" t="inlineStr">
        <is>
          <t>IA</t>
        </is>
      </c>
      <c r="E3767" t="inlineStr">
        <is>
          <t>Stage 2</t>
        </is>
      </c>
      <c r="F3767" t="inlineStr">
        <is>
          <t>N/A</t>
        </is>
      </c>
      <c r="G3767" s="26">
        <v>6327435</v>
      </c>
      <c r="H3767" s="26">
        <v>379646</v>
      </c>
      <c r="I3767" s="26">
        <v>0</v>
      </c>
      <c r="J3767" s="26">
        <v>14</v>
      </c>
      <c r="K3767" t="inlineStr">
        <is>
          <t>Non</t>
        </is>
      </c>
      <c r="L3767">
        <f>SUBTOTAL(103,A3767)</f>
        <v>1</v>
      </c>
    </row>
    <row r="3768">
      <c r="A3768" t="inlineStr">
        <is>
          <t>SOCIETE C1061</t>
        </is>
      </c>
      <c r="B3768" t="inlineStr">
        <is>
          <t>C1061</t>
        </is>
      </c>
      <c r="C3768" t="inlineStr">
        <is>
          <t>CORPORATE BANKING</t>
        </is>
      </c>
      <c r="D3768" t="inlineStr">
        <is>
          <t>III</t>
        </is>
      </c>
      <c r="E3768" t="inlineStr">
        <is>
          <t>Stage 3</t>
        </is>
      </c>
      <c r="F3768" t="inlineStr">
        <is>
          <t>N/A</t>
        </is>
      </c>
      <c r="G3768" s="26">
        <v>117067381</v>
      </c>
      <c r="H3768" s="26">
        <v>64387060</v>
      </c>
      <c r="I3768" s="26">
        <v>17338363</v>
      </c>
      <c r="J3768" s="26">
        <v>26</v>
      </c>
      <c r="K3768" t="inlineStr">
        <is>
          <t>Oui</t>
        </is>
      </c>
      <c r="L3768">
        <f>SUBTOTAL(103,A3768)</f>
        <v>1</v>
      </c>
    </row>
    <row r="3769">
      <c r="A3769" t="inlineStr">
        <is>
          <t>SOCIETE C1895</t>
        </is>
      </c>
      <c r="B3769" t="inlineStr">
        <is>
          <t>C1895</t>
        </is>
      </c>
      <c r="C3769" t="inlineStr">
        <is>
          <t>CORPORATE BANKING</t>
        </is>
      </c>
      <c r="D3769" t="inlineStr">
        <is>
          <t>IA</t>
        </is>
      </c>
      <c r="E3769" t="inlineStr">
        <is>
          <t>Stage 2</t>
        </is>
      </c>
      <c r="F3769" t="inlineStr">
        <is>
          <t>N/A</t>
        </is>
      </c>
      <c r="G3769" s="26">
        <v>520633035</v>
      </c>
      <c r="H3769" s="26">
        <v>31237982</v>
      </c>
      <c r="I3769" s="26">
        <v>0</v>
      </c>
      <c r="J3769" s="26">
        <v>103</v>
      </c>
      <c r="K3769" t="inlineStr">
        <is>
          <t>Non</t>
        </is>
      </c>
      <c r="L3769">
        <f>SUBTOTAL(103,A3769)</f>
        <v>1</v>
      </c>
    </row>
    <row r="3770">
      <c r="A3770" t="inlineStr">
        <is>
          <t>SOCIETE C208</t>
        </is>
      </c>
      <c r="B3770" t="inlineStr">
        <is>
          <t>C208</t>
        </is>
      </c>
      <c r="C3770" t="inlineStr">
        <is>
          <t>PUBLIC SECTOR</t>
        </is>
      </c>
      <c r="D3770" t="inlineStr">
        <is>
          <t>II</t>
        </is>
      </c>
      <c r="E3770" t="inlineStr">
        <is>
          <t>Stage 2</t>
        </is>
      </c>
      <c r="F3770" t="inlineStr">
        <is>
          <t>N/A</t>
        </is>
      </c>
      <c r="G3770" s="26">
        <v>683501020</v>
      </c>
      <c r="H3770" s="26">
        <v>41010061</v>
      </c>
      <c r="I3770" s="26">
        <v>90805367</v>
      </c>
      <c r="J3770" s="26">
        <v>57</v>
      </c>
      <c r="K3770" t="inlineStr">
        <is>
          <t>Non</t>
        </is>
      </c>
      <c r="L3770">
        <f>SUBTOTAL(103,A3770)</f>
        <v>1</v>
      </c>
    </row>
    <row r="3771">
      <c r="A3771" t="inlineStr">
        <is>
          <t>SOCIETE C1025</t>
        </is>
      </c>
      <c r="B3771" t="inlineStr">
        <is>
          <t>C1025</t>
        </is>
      </c>
      <c r="C3771" t="inlineStr">
        <is>
          <t>COMMERCIAL BANKING</t>
        </is>
      </c>
      <c r="D3771" t="inlineStr">
        <is>
          <t>I</t>
        </is>
      </c>
      <c r="E3771" t="inlineStr">
        <is>
          <t>Stage 1</t>
        </is>
      </c>
      <c r="F3771" t="inlineStr">
        <is>
          <t>N/A</t>
        </is>
      </c>
      <c r="G3771" s="26">
        <v>260127610</v>
      </c>
      <c r="H3771" s="26">
        <v>2601276</v>
      </c>
      <c r="I3771" s="26">
        <v>0</v>
      </c>
      <c r="J3771" s="26">
        <v>239</v>
      </c>
      <c r="K3771" t="inlineStr">
        <is>
          <t>Non</t>
        </is>
      </c>
      <c r="L3771">
        <f>SUBTOTAL(103,A3771)</f>
        <v>1</v>
      </c>
    </row>
    <row r="3772">
      <c r="A3772" t="inlineStr">
        <is>
          <t>SOCIETE C2364</t>
        </is>
      </c>
      <c r="B3772" t="inlineStr">
        <is>
          <t>C2364</t>
        </is>
      </c>
      <c r="C3772" t="inlineStr">
        <is>
          <t>CORPORATE BANKING</t>
        </is>
      </c>
      <c r="D3772" t="inlineStr">
        <is>
          <t>I</t>
        </is>
      </c>
      <c r="E3772" t="inlineStr">
        <is>
          <t>Stage 1</t>
        </is>
      </c>
      <c r="F3772" t="inlineStr">
        <is>
          <t>N/A</t>
        </is>
      </c>
      <c r="G3772" s="26">
        <v>485544118</v>
      </c>
      <c r="H3772" s="26">
        <v>4855441</v>
      </c>
      <c r="I3772" s="26">
        <v>0</v>
      </c>
      <c r="J3772" s="26">
        <v>84</v>
      </c>
      <c r="K3772" t="inlineStr">
        <is>
          <t>Non</t>
        </is>
      </c>
      <c r="L3772">
        <f>SUBTOTAL(103,A3772)</f>
        <v>1</v>
      </c>
    </row>
    <row r="3773">
      <c r="A3773" t="inlineStr">
        <is>
          <t>SOCIETE C1647</t>
        </is>
      </c>
      <c r="B3773" t="inlineStr">
        <is>
          <t>C1647</t>
        </is>
      </c>
      <c r="C3773" t="inlineStr">
        <is>
          <t>CORPORATE BANKING</t>
        </is>
      </c>
      <c r="D3773" t="inlineStr">
        <is>
          <t>II</t>
        </is>
      </c>
      <c r="E3773" t="inlineStr">
        <is>
          <t>Stage 2</t>
        </is>
      </c>
      <c r="F3773" t="inlineStr">
        <is>
          <t>N/A</t>
        </is>
      </c>
      <c r="G3773" s="26">
        <v>331211451</v>
      </c>
      <c r="H3773" s="26">
        <v>19872687</v>
      </c>
      <c r="I3773" s="26">
        <v>56700120</v>
      </c>
      <c r="J3773" s="26">
        <v>319</v>
      </c>
      <c r="K3773" t="inlineStr">
        <is>
          <t>Non</t>
        </is>
      </c>
      <c r="L3773">
        <f>SUBTOTAL(103,A3773)</f>
        <v>1</v>
      </c>
    </row>
    <row r="3774">
      <c r="A3774" t="inlineStr">
        <is>
          <t>SOCIETE C749</t>
        </is>
      </c>
      <c r="B3774" t="inlineStr">
        <is>
          <t>C749</t>
        </is>
      </c>
      <c r="C3774" t="inlineStr">
        <is>
          <t>CORPORATE BANKING</t>
        </is>
      </c>
      <c r="D3774" t="inlineStr">
        <is>
          <t>IV</t>
        </is>
      </c>
      <c r="E3774" t="inlineStr">
        <is>
          <t>Stage 3</t>
        </is>
      </c>
      <c r="F3774" t="inlineStr">
        <is>
          <t>N/A</t>
        </is>
      </c>
      <c r="G3774" s="26">
        <v>1817325393</v>
      </c>
      <c r="H3774" s="26">
        <v>999528966</v>
      </c>
      <c r="I3774" s="26">
        <v>312657876</v>
      </c>
      <c r="J3774" s="26">
        <v>60</v>
      </c>
      <c r="K3774" t="inlineStr">
        <is>
          <t>Oui</t>
        </is>
      </c>
      <c r="L3774">
        <f>SUBTOTAL(103,A3774)</f>
        <v>1</v>
      </c>
    </row>
    <row r="3775">
      <c r="A3775" t="inlineStr">
        <is>
          <t>SOCIETE C1658</t>
        </is>
      </c>
      <c r="B3775" t="inlineStr">
        <is>
          <t>C1658</t>
        </is>
      </c>
      <c r="C3775" t="inlineStr">
        <is>
          <t>INSTITUTIONAL</t>
        </is>
      </c>
      <c r="D3775" t="inlineStr">
        <is>
          <t>I</t>
        </is>
      </c>
      <c r="E3775" t="inlineStr">
        <is>
          <t>Stage 1</t>
        </is>
      </c>
      <c r="F3775" t="inlineStr">
        <is>
          <t>N/A</t>
        </is>
      </c>
      <c r="G3775" s="26">
        <v>2410901361</v>
      </c>
      <c r="H3775" s="26">
        <v>24109014</v>
      </c>
      <c r="I3775" s="26">
        <v>204090592</v>
      </c>
      <c r="J3775" s="26">
        <v>26</v>
      </c>
      <c r="K3775" t="inlineStr">
        <is>
          <t>Non</t>
        </is>
      </c>
      <c r="L3775">
        <f>SUBTOTAL(103,A3775)</f>
        <v>1</v>
      </c>
    </row>
    <row r="3776">
      <c r="A3776" t="inlineStr">
        <is>
          <t>SOCIETE C2484</t>
        </is>
      </c>
      <c r="B3776" t="inlineStr">
        <is>
          <t>C2484</t>
        </is>
      </c>
      <c r="C3776" t="inlineStr">
        <is>
          <t>CONSUMER BANKING</t>
        </is>
      </c>
      <c r="D3776" t="inlineStr">
        <is>
          <t>I</t>
        </is>
      </c>
      <c r="E3776" t="inlineStr">
        <is>
          <t>Stage 1</t>
        </is>
      </c>
      <c r="F3776" t="inlineStr">
        <is>
          <t>N/A</t>
        </is>
      </c>
      <c r="G3776" s="26">
        <v>238629386</v>
      </c>
      <c r="H3776" s="26">
        <v>2386294</v>
      </c>
      <c r="I3776" s="26">
        <v>0</v>
      </c>
      <c r="J3776" s="26">
        <v>58</v>
      </c>
      <c r="K3776" t="inlineStr">
        <is>
          <t>Non</t>
        </is>
      </c>
      <c r="L3776">
        <f>SUBTOTAL(103,A3776)</f>
        <v>1</v>
      </c>
    </row>
    <row r="3777">
      <c r="A3777" t="inlineStr">
        <is>
          <t>SOCIETE C996</t>
        </is>
      </c>
      <c r="B3777" t="inlineStr">
        <is>
          <t>C996</t>
        </is>
      </c>
      <c r="C3777" t="inlineStr">
        <is>
          <t>COMMERCIAL BANKING</t>
        </is>
      </c>
      <c r="D3777" t="inlineStr">
        <is>
          <t>IA</t>
        </is>
      </c>
      <c r="E3777" t="inlineStr">
        <is>
          <t>Stage 2</t>
        </is>
      </c>
      <c r="F3777" t="inlineStr">
        <is>
          <t>N/A</t>
        </is>
      </c>
      <c r="G3777" s="26">
        <v>157385811</v>
      </c>
      <c r="H3777" s="26">
        <v>9443149</v>
      </c>
      <c r="I3777" s="26">
        <v>0</v>
      </c>
      <c r="J3777" s="26">
        <v>137</v>
      </c>
      <c r="K3777" t="inlineStr">
        <is>
          <t>Non</t>
        </is>
      </c>
      <c r="L3777">
        <f>SUBTOTAL(103,A3777)</f>
        <v>1</v>
      </c>
    </row>
    <row r="3778">
      <c r="A3778" t="inlineStr">
        <is>
          <t>SOCIETE C2120</t>
        </is>
      </c>
      <c r="B3778" t="inlineStr">
        <is>
          <t>C2120</t>
        </is>
      </c>
      <c r="C3778" t="inlineStr">
        <is>
          <t>CONSUMER BANKING</t>
        </is>
      </c>
      <c r="D3778" t="inlineStr">
        <is>
          <t>I</t>
        </is>
      </c>
      <c r="E3778" t="inlineStr">
        <is>
          <t>Stage 1</t>
        </is>
      </c>
      <c r="F3778" t="inlineStr">
        <is>
          <t>N/A</t>
        </is>
      </c>
      <c r="G3778" s="26">
        <v>47444519</v>
      </c>
      <c r="H3778" s="26">
        <v>474445</v>
      </c>
      <c r="I3778" s="26">
        <v>0</v>
      </c>
      <c r="J3778" s="26">
        <v>56</v>
      </c>
      <c r="K3778" t="inlineStr">
        <is>
          <t>Non</t>
        </is>
      </c>
      <c r="L3778">
        <f>SUBTOTAL(103,A3778)</f>
        <v>1</v>
      </c>
    </row>
    <row r="3779">
      <c r="A3779" t="inlineStr">
        <is>
          <t>SOCIETE C332</t>
        </is>
      </c>
      <c r="B3779" t="inlineStr">
        <is>
          <t>C332</t>
        </is>
      </c>
      <c r="C3779" t="inlineStr">
        <is>
          <t>INSTITUTIONAL</t>
        </is>
      </c>
      <c r="D3779" t="inlineStr">
        <is>
          <t>III</t>
        </is>
      </c>
      <c r="E3779" t="inlineStr">
        <is>
          <t>Stage 3</t>
        </is>
      </c>
      <c r="F3779" t="inlineStr">
        <is>
          <t>N/A</t>
        </is>
      </c>
      <c r="G3779" s="26">
        <v>456476735</v>
      </c>
      <c r="H3779" s="26">
        <v>251062204</v>
      </c>
      <c r="I3779" s="26">
        <v>0</v>
      </c>
      <c r="J3779" s="26">
        <v>44</v>
      </c>
      <c r="K3779" t="inlineStr">
        <is>
          <t>Oui</t>
        </is>
      </c>
      <c r="L3779">
        <f>SUBTOTAL(103,A3779)</f>
        <v>1</v>
      </c>
    </row>
    <row r="3780">
      <c r="A3780" t="inlineStr">
        <is>
          <t>SOCIETE C1770</t>
        </is>
      </c>
      <c r="B3780" t="inlineStr">
        <is>
          <t>C1770</t>
        </is>
      </c>
      <c r="C3780" t="inlineStr">
        <is>
          <t>COMMERCIAL BANKING</t>
        </is>
      </c>
      <c r="D3780" t="inlineStr">
        <is>
          <t>IV</t>
        </is>
      </c>
      <c r="E3780" t="inlineStr">
        <is>
          <t>Stage 3</t>
        </is>
      </c>
      <c r="F3780" t="inlineStr">
        <is>
          <t>N/A</t>
        </is>
      </c>
      <c r="G3780" s="26">
        <v>120486849</v>
      </c>
      <c r="H3780" s="26">
        <v>66267767</v>
      </c>
      <c r="I3780" s="26">
        <v>0</v>
      </c>
      <c r="J3780" s="26">
        <v>111</v>
      </c>
      <c r="K3780" t="inlineStr">
        <is>
          <t>Oui</t>
        </is>
      </c>
      <c r="L3780">
        <f>SUBTOTAL(103,A3780)</f>
        <v>1</v>
      </c>
    </row>
    <row r="3781">
      <c r="A3781" t="inlineStr">
        <is>
          <t>SOCIETE C230</t>
        </is>
      </c>
      <c r="B3781" t="inlineStr">
        <is>
          <t>C230</t>
        </is>
      </c>
      <c r="C3781" t="inlineStr">
        <is>
          <t>CORPORATE BANKING</t>
        </is>
      </c>
      <c r="D3781" t="inlineStr">
        <is>
          <t>I</t>
        </is>
      </c>
      <c r="E3781" t="inlineStr">
        <is>
          <t>Stage 1</t>
        </is>
      </c>
      <c r="F3781" t="inlineStr">
        <is>
          <t>N/A</t>
        </is>
      </c>
      <c r="G3781" s="26">
        <v>1166619690</v>
      </c>
      <c r="H3781" s="26">
        <v>11666197</v>
      </c>
      <c r="I3781" s="26">
        <v>81254529</v>
      </c>
      <c r="J3781" s="26">
        <v>367</v>
      </c>
      <c r="K3781" t="inlineStr">
        <is>
          <t>Non</t>
        </is>
      </c>
      <c r="L3781">
        <f>SUBTOTAL(103,A3781)</f>
        <v>1</v>
      </c>
    </row>
    <row r="3782">
      <c r="A3782" t="inlineStr">
        <is>
          <t>SOCIETE C1381</t>
        </is>
      </c>
      <c r="B3782" t="inlineStr">
        <is>
          <t>C1381</t>
        </is>
      </c>
      <c r="C3782" t="inlineStr">
        <is>
          <t>CONSUMER BANKING</t>
        </is>
      </c>
      <c r="D3782" t="inlineStr">
        <is>
          <t>I</t>
        </is>
      </c>
      <c r="E3782" t="inlineStr">
        <is>
          <t>Stage 1</t>
        </is>
      </c>
      <c r="F3782" t="inlineStr">
        <is>
          <t>N/A</t>
        </is>
      </c>
      <c r="G3782" s="26">
        <v>1456853558</v>
      </c>
      <c r="H3782" s="26">
        <v>14568536</v>
      </c>
      <c r="I3782" s="26">
        <v>204046225</v>
      </c>
      <c r="J3782" s="26">
        <v>96</v>
      </c>
      <c r="K3782" t="inlineStr">
        <is>
          <t>Non</t>
        </is>
      </c>
      <c r="L3782">
        <f>SUBTOTAL(103,A3782)</f>
        <v>1</v>
      </c>
    </row>
    <row r="3783">
      <c r="A3783" t="inlineStr">
        <is>
          <t>SOCIETE C2178</t>
        </is>
      </c>
      <c r="B3783" t="inlineStr">
        <is>
          <t>C2178</t>
        </is>
      </c>
      <c r="C3783" t="inlineStr">
        <is>
          <t>CORPORATE BANKING</t>
        </is>
      </c>
      <c r="D3783" t="inlineStr">
        <is>
          <t>I</t>
        </is>
      </c>
      <c r="E3783" t="inlineStr">
        <is>
          <t>Stage 1</t>
        </is>
      </c>
      <c r="F3783" t="inlineStr">
        <is>
          <t>N/A</t>
        </is>
      </c>
      <c r="G3783" s="26">
        <v>1596448042</v>
      </c>
      <c r="H3783" s="26">
        <v>15964480</v>
      </c>
      <c r="I3783" s="26">
        <v>0</v>
      </c>
      <c r="J3783" s="26">
        <v>15</v>
      </c>
      <c r="K3783" t="inlineStr">
        <is>
          <t>Non</t>
        </is>
      </c>
      <c r="L3783">
        <f>SUBTOTAL(103,A3783)</f>
        <v>1</v>
      </c>
    </row>
    <row r="3784">
      <c r="A3784" t="inlineStr">
        <is>
          <t>SOCIETE C1330</t>
        </is>
      </c>
      <c r="B3784" t="inlineStr">
        <is>
          <t>C1330</t>
        </is>
      </c>
      <c r="C3784" t="inlineStr">
        <is>
          <t>PUBLIC SECTOR</t>
        </is>
      </c>
      <c r="D3784" t="inlineStr">
        <is>
          <t>IA</t>
        </is>
      </c>
      <c r="E3784" t="inlineStr">
        <is>
          <t>Stage 2</t>
        </is>
      </c>
      <c r="F3784" t="inlineStr">
        <is>
          <t>N/A</t>
        </is>
      </c>
      <c r="G3784" s="26">
        <v>369218115</v>
      </c>
      <c r="H3784" s="26">
        <v>22153087</v>
      </c>
      <c r="I3784" s="26">
        <v>0</v>
      </c>
      <c r="J3784" s="26">
        <v>256</v>
      </c>
      <c r="K3784" t="inlineStr">
        <is>
          <t>Non</t>
        </is>
      </c>
      <c r="L3784">
        <f>SUBTOTAL(103,A3784)</f>
        <v>1</v>
      </c>
    </row>
    <row r="3785">
      <c r="A3785" t="inlineStr">
        <is>
          <t>SOCIETE C441</t>
        </is>
      </c>
      <c r="B3785" t="inlineStr">
        <is>
          <t>C441</t>
        </is>
      </c>
      <c r="C3785" t="inlineStr">
        <is>
          <t>CORPORATE BANKING</t>
        </is>
      </c>
      <c r="D3785" t="inlineStr">
        <is>
          <t>I</t>
        </is>
      </c>
      <c r="E3785" t="inlineStr">
        <is>
          <t>Stage 1</t>
        </is>
      </c>
      <c r="F3785" t="inlineStr">
        <is>
          <t>N/A</t>
        </is>
      </c>
      <c r="G3785" s="26">
        <v>2696109373</v>
      </c>
      <c r="H3785" s="26">
        <v>26961094</v>
      </c>
      <c r="I3785" s="26">
        <v>518208274</v>
      </c>
      <c r="J3785" s="26">
        <v>2</v>
      </c>
      <c r="K3785" t="inlineStr">
        <is>
          <t>Non</t>
        </is>
      </c>
      <c r="L3785">
        <f>SUBTOTAL(103,A3785)</f>
        <v>1</v>
      </c>
    </row>
    <row r="3786">
      <c r="A3786" t="inlineStr">
        <is>
          <t>SOCIETE C1495</t>
        </is>
      </c>
      <c r="B3786" t="inlineStr">
        <is>
          <t>C1495</t>
        </is>
      </c>
      <c r="C3786" t="inlineStr">
        <is>
          <t>CORPORATE BANKING</t>
        </is>
      </c>
      <c r="D3786" t="inlineStr">
        <is>
          <t>II</t>
        </is>
      </c>
      <c r="E3786" t="inlineStr">
        <is>
          <t>Stage 2</t>
        </is>
      </c>
      <c r="F3786" t="inlineStr">
        <is>
          <t>N/A</t>
        </is>
      </c>
      <c r="G3786" s="26">
        <v>1085110</v>
      </c>
      <c r="H3786" s="26">
        <v>65107</v>
      </c>
      <c r="I3786" s="26">
        <v>0</v>
      </c>
      <c r="J3786" s="26">
        <v>54</v>
      </c>
      <c r="K3786" t="inlineStr">
        <is>
          <t>Non</t>
        </is>
      </c>
      <c r="L3786">
        <f>SUBTOTAL(103,A3786)</f>
        <v>1</v>
      </c>
    </row>
    <row r="3787">
      <c r="A3787" t="inlineStr">
        <is>
          <t>SOCIETE C2395</t>
        </is>
      </c>
      <c r="B3787" t="inlineStr">
        <is>
          <t>C2395</t>
        </is>
      </c>
      <c r="C3787" t="inlineStr">
        <is>
          <t>CORPORATE BANKING</t>
        </is>
      </c>
      <c r="D3787" t="inlineStr">
        <is>
          <t>IA</t>
        </is>
      </c>
      <c r="E3787" t="inlineStr">
        <is>
          <t>Stage 2</t>
        </is>
      </c>
      <c r="F3787" t="inlineStr">
        <is>
          <t>N/A</t>
        </is>
      </c>
      <c r="G3787" s="26">
        <v>2459954736</v>
      </c>
      <c r="H3787" s="26">
        <v>147597284</v>
      </c>
      <c r="I3787" s="26">
        <v>315466119</v>
      </c>
      <c r="J3787" s="26">
        <v>91</v>
      </c>
      <c r="K3787" t="inlineStr">
        <is>
          <t>Non</t>
        </is>
      </c>
      <c r="L3787">
        <f>SUBTOTAL(103,A3787)</f>
        <v>1</v>
      </c>
    </row>
    <row r="3788">
      <c r="A3788" t="inlineStr">
        <is>
          <t>SOCIETE C1437</t>
        </is>
      </c>
      <c r="B3788" t="inlineStr">
        <is>
          <t>C1437</t>
        </is>
      </c>
      <c r="C3788" t="inlineStr">
        <is>
          <t>CORPORATE BANKING</t>
        </is>
      </c>
      <c r="D3788" t="inlineStr">
        <is>
          <t>I</t>
        </is>
      </c>
      <c r="E3788" t="inlineStr">
        <is>
          <t>Stage 1</t>
        </is>
      </c>
      <c r="F3788" t="inlineStr">
        <is>
          <t>N/A</t>
        </is>
      </c>
      <c r="G3788" s="26">
        <v>102705761</v>
      </c>
      <c r="H3788" s="26">
        <v>1027058</v>
      </c>
      <c r="I3788" s="26">
        <v>4902514</v>
      </c>
      <c r="J3788" s="26">
        <v>4</v>
      </c>
      <c r="K3788" t="inlineStr">
        <is>
          <t>Non</t>
        </is>
      </c>
      <c r="L3788">
        <f>SUBTOTAL(103,A3788)</f>
        <v>1</v>
      </c>
    </row>
    <row r="3789">
      <c r="A3789" t="inlineStr">
        <is>
          <t>SOCIETE C1047</t>
        </is>
      </c>
      <c r="B3789" t="inlineStr">
        <is>
          <t>C1047</t>
        </is>
      </c>
      <c r="C3789" t="inlineStr">
        <is>
          <t>CORPORATE BANKING</t>
        </is>
      </c>
      <c r="D3789" t="inlineStr">
        <is>
          <t>I</t>
        </is>
      </c>
      <c r="E3789" t="inlineStr">
        <is>
          <t>Stage 1</t>
        </is>
      </c>
      <c r="F3789" t="inlineStr">
        <is>
          <t>N/A</t>
        </is>
      </c>
      <c r="G3789" s="26">
        <v>1599454462</v>
      </c>
      <c r="H3789" s="26">
        <v>15994545</v>
      </c>
      <c r="I3789" s="26">
        <v>0</v>
      </c>
      <c r="J3789" s="26">
        <v>246</v>
      </c>
      <c r="K3789" t="inlineStr">
        <is>
          <t>Non</t>
        </is>
      </c>
      <c r="L3789">
        <f>SUBTOTAL(103,A3789)</f>
        <v>1</v>
      </c>
    </row>
    <row r="3790">
      <c r="A3790" t="inlineStr">
        <is>
          <t>SOCIETE C1719</t>
        </is>
      </c>
      <c r="B3790" t="inlineStr">
        <is>
          <t>C1719</t>
        </is>
      </c>
      <c r="C3790" t="inlineStr">
        <is>
          <t>CORPORATE BANKING</t>
        </is>
      </c>
      <c r="D3790" t="inlineStr">
        <is>
          <t>I</t>
        </is>
      </c>
      <c r="E3790" t="inlineStr">
        <is>
          <t>Stage 1</t>
        </is>
      </c>
      <c r="F3790" t="inlineStr">
        <is>
          <t>N/A</t>
        </is>
      </c>
      <c r="G3790" s="26">
        <v>17020188</v>
      </c>
      <c r="H3790" s="26">
        <v>170202</v>
      </c>
      <c r="I3790" s="26">
        <v>0</v>
      </c>
      <c r="J3790" s="26">
        <v>18</v>
      </c>
      <c r="K3790" t="inlineStr">
        <is>
          <t>Non</t>
        </is>
      </c>
      <c r="L3790">
        <f>SUBTOTAL(103,A3790)</f>
        <v>1</v>
      </c>
    </row>
    <row r="3791">
      <c r="A3791" t="inlineStr">
        <is>
          <t>SOCIETE C1002</t>
        </is>
      </c>
      <c r="B3791" t="inlineStr">
        <is>
          <t>C1002</t>
        </is>
      </c>
      <c r="C3791" t="inlineStr">
        <is>
          <t>CONSUMER BANKING</t>
        </is>
      </c>
      <c r="D3791" t="inlineStr">
        <is>
          <t>IA</t>
        </is>
      </c>
      <c r="E3791" t="inlineStr">
        <is>
          <t>Stage 2</t>
        </is>
      </c>
      <c r="F3791" t="inlineStr">
        <is>
          <t>N/A</t>
        </is>
      </c>
      <c r="G3791" s="26">
        <v>6624347</v>
      </c>
      <c r="H3791" s="26">
        <v>397461</v>
      </c>
      <c r="I3791" s="26">
        <v>0</v>
      </c>
      <c r="J3791" s="26">
        <v>158</v>
      </c>
      <c r="K3791" t="inlineStr">
        <is>
          <t>Non</t>
        </is>
      </c>
      <c r="L3791">
        <f>SUBTOTAL(103,A3791)</f>
        <v>1</v>
      </c>
    </row>
    <row r="3792">
      <c r="A3792" t="inlineStr">
        <is>
          <t>SOCIETE C690</t>
        </is>
      </c>
      <c r="B3792" t="inlineStr">
        <is>
          <t>C690</t>
        </is>
      </c>
      <c r="C3792" t="inlineStr">
        <is>
          <t>CORPORATE BANKING</t>
        </is>
      </c>
      <c r="D3792" t="inlineStr">
        <is>
          <t>I</t>
        </is>
      </c>
      <c r="E3792" t="inlineStr">
        <is>
          <t>Stage 1</t>
        </is>
      </c>
      <c r="F3792" t="inlineStr">
        <is>
          <t>N/A</t>
        </is>
      </c>
      <c r="G3792" s="26">
        <v>33799983</v>
      </c>
      <c r="H3792" s="26">
        <v>338000</v>
      </c>
      <c r="I3792" s="26">
        <v>3255916</v>
      </c>
      <c r="J3792" s="26">
        <v>0</v>
      </c>
      <c r="K3792" t="inlineStr">
        <is>
          <t>Non</t>
        </is>
      </c>
      <c r="L3792">
        <f>SUBTOTAL(103,A3792)</f>
        <v>1</v>
      </c>
    </row>
    <row r="3793">
      <c r="A3793" t="inlineStr">
        <is>
          <t>SOCIETE C1462</t>
        </is>
      </c>
      <c r="B3793" t="inlineStr">
        <is>
          <t>C1462</t>
        </is>
      </c>
      <c r="C3793" t="inlineStr">
        <is>
          <t>CORPORATE BANKING</t>
        </is>
      </c>
      <c r="D3793" t="inlineStr">
        <is>
          <t>II</t>
        </is>
      </c>
      <c r="E3793" t="inlineStr">
        <is>
          <t>Stage 2</t>
        </is>
      </c>
      <c r="F3793" t="inlineStr">
        <is>
          <t>N/A</t>
        </is>
      </c>
      <c r="G3793" s="26">
        <v>59881099</v>
      </c>
      <c r="H3793" s="26">
        <v>3592866</v>
      </c>
      <c r="I3793" s="26">
        <v>0</v>
      </c>
      <c r="J3793" s="26">
        <v>255</v>
      </c>
      <c r="K3793" t="inlineStr">
        <is>
          <t>Non</t>
        </is>
      </c>
      <c r="L3793">
        <f>SUBTOTAL(103,A3793)</f>
        <v>1</v>
      </c>
    </row>
    <row r="3794">
      <c r="A3794" t="inlineStr">
        <is>
          <t>SOCIETE C1030</t>
        </is>
      </c>
      <c r="B3794" t="inlineStr">
        <is>
          <t>C1030</t>
        </is>
      </c>
      <c r="C3794" t="inlineStr">
        <is>
          <t>PUBLIC SECTOR</t>
        </is>
      </c>
      <c r="D3794" t="inlineStr">
        <is>
          <t>II</t>
        </is>
      </c>
      <c r="E3794" t="inlineStr">
        <is>
          <t>Stage 2</t>
        </is>
      </c>
      <c r="F3794" t="inlineStr">
        <is>
          <t>N/A</t>
        </is>
      </c>
      <c r="G3794" s="26">
        <v>1142922465</v>
      </c>
      <c r="H3794" s="26">
        <v>68575348</v>
      </c>
      <c r="I3794" s="26">
        <v>78162287</v>
      </c>
      <c r="J3794" s="26">
        <v>173</v>
      </c>
      <c r="K3794" t="inlineStr">
        <is>
          <t>Non</t>
        </is>
      </c>
      <c r="L3794">
        <f>SUBTOTAL(103,A3794)</f>
        <v>1</v>
      </c>
    </row>
    <row r="3795">
      <c r="A3795" t="inlineStr">
        <is>
          <t>SOCIETE C573</t>
        </is>
      </c>
      <c r="B3795" t="inlineStr">
        <is>
          <t>C573</t>
        </is>
      </c>
      <c r="C3795" t="inlineStr">
        <is>
          <t>COMMERCIAL BANKING</t>
        </is>
      </c>
      <c r="D3795" t="inlineStr">
        <is>
          <t>IA</t>
        </is>
      </c>
      <c r="E3795" t="inlineStr">
        <is>
          <t>Stage 2</t>
        </is>
      </c>
      <c r="F3795" t="inlineStr">
        <is>
          <t>N/A</t>
        </is>
      </c>
      <c r="G3795" s="26">
        <v>2886933821</v>
      </c>
      <c r="H3795" s="26">
        <v>173216029</v>
      </c>
      <c r="I3795" s="26">
        <v>163302128</v>
      </c>
      <c r="J3795" s="26">
        <v>6</v>
      </c>
      <c r="K3795" t="inlineStr">
        <is>
          <t>Non</t>
        </is>
      </c>
      <c r="L3795">
        <f>SUBTOTAL(103,A3795)</f>
        <v>1</v>
      </c>
    </row>
    <row r="3796">
      <c r="A3796" t="inlineStr">
        <is>
          <t>SOCIETE C2238</t>
        </is>
      </c>
      <c r="B3796" t="inlineStr">
        <is>
          <t>C2238</t>
        </is>
      </c>
      <c r="C3796" t="inlineStr">
        <is>
          <t>COMMERCIAL BANKING</t>
        </is>
      </c>
      <c r="D3796" t="inlineStr">
        <is>
          <t>II</t>
        </is>
      </c>
      <c r="E3796" t="inlineStr">
        <is>
          <t>Stage 2</t>
        </is>
      </c>
      <c r="F3796" t="inlineStr">
        <is>
          <t>N/A</t>
        </is>
      </c>
      <c r="G3796" s="26">
        <v>10189632</v>
      </c>
      <c r="H3796" s="26">
        <v>611378</v>
      </c>
      <c r="I3796" s="26">
        <v>21205</v>
      </c>
      <c r="J3796" s="26">
        <v>248</v>
      </c>
      <c r="K3796" t="inlineStr">
        <is>
          <t>Non</t>
        </is>
      </c>
      <c r="L3796">
        <f>SUBTOTAL(103,A3796)</f>
        <v>1</v>
      </c>
    </row>
    <row r="3797">
      <c r="A3797" t="inlineStr">
        <is>
          <t>SOCIETE C1462</t>
        </is>
      </c>
      <c r="B3797" t="inlineStr">
        <is>
          <t>C1462</t>
        </is>
      </c>
      <c r="C3797" t="inlineStr">
        <is>
          <t>SME</t>
        </is>
      </c>
      <c r="D3797" t="inlineStr">
        <is>
          <t>V</t>
        </is>
      </c>
      <c r="E3797" t="inlineStr">
        <is>
          <t>Stage 3</t>
        </is>
      </c>
      <c r="F3797" t="inlineStr">
        <is>
          <t>N/A</t>
        </is>
      </c>
      <c r="G3797" s="26">
        <v>327160408</v>
      </c>
      <c r="H3797" s="26">
        <v>179938225</v>
      </c>
      <c r="I3797" s="26">
        <v>0</v>
      </c>
      <c r="J3797" s="26">
        <v>3</v>
      </c>
      <c r="K3797" t="inlineStr">
        <is>
          <t>Oui</t>
        </is>
      </c>
      <c r="L3797">
        <f>SUBTOTAL(103,A3797)</f>
        <v>1</v>
      </c>
    </row>
    <row r="3798">
      <c r="A3798" t="inlineStr">
        <is>
          <t>SOCIETE C1206</t>
        </is>
      </c>
      <c r="B3798" t="inlineStr">
        <is>
          <t>C1206</t>
        </is>
      </c>
      <c r="C3798" t="inlineStr">
        <is>
          <t>CORPORATE BANKING</t>
        </is>
      </c>
      <c r="D3798" t="inlineStr">
        <is>
          <t>IA</t>
        </is>
      </c>
      <c r="E3798" t="inlineStr">
        <is>
          <t>Stage 2</t>
        </is>
      </c>
      <c r="F3798" t="inlineStr">
        <is>
          <t>N/A</t>
        </is>
      </c>
      <c r="G3798" s="26">
        <v>1246918115</v>
      </c>
      <c r="H3798" s="26">
        <v>74815087</v>
      </c>
      <c r="I3798" s="26">
        <v>0</v>
      </c>
      <c r="J3798" s="26">
        <v>260</v>
      </c>
      <c r="K3798" t="inlineStr">
        <is>
          <t>Non</t>
        </is>
      </c>
      <c r="L3798">
        <f>SUBTOTAL(103,A3798)</f>
        <v>1</v>
      </c>
    </row>
    <row r="3799">
      <c r="A3799" t="inlineStr">
        <is>
          <t>SOCIETE C1810</t>
        </is>
      </c>
      <c r="B3799" t="inlineStr">
        <is>
          <t>C1810</t>
        </is>
      </c>
      <c r="C3799" t="inlineStr">
        <is>
          <t>PUBLIC SECTOR</t>
        </is>
      </c>
      <c r="D3799" t="inlineStr">
        <is>
          <t>I</t>
        </is>
      </c>
      <c r="E3799" t="inlineStr">
        <is>
          <t>Stage 1</t>
        </is>
      </c>
      <c r="F3799" t="inlineStr">
        <is>
          <t>N/A</t>
        </is>
      </c>
      <c r="G3799" s="26">
        <v>627181303</v>
      </c>
      <c r="H3799" s="26">
        <v>6271813</v>
      </c>
      <c r="I3799" s="26">
        <v>0</v>
      </c>
      <c r="J3799" s="26">
        <v>19</v>
      </c>
      <c r="K3799" t="inlineStr">
        <is>
          <t>Non</t>
        </is>
      </c>
      <c r="L3799">
        <f>SUBTOTAL(103,A3799)</f>
        <v>1</v>
      </c>
    </row>
    <row r="3800">
      <c r="A3800" t="inlineStr">
        <is>
          <t>SOCIETE C46</t>
        </is>
      </c>
      <c r="B3800" t="inlineStr">
        <is>
          <t>C46</t>
        </is>
      </c>
      <c r="C3800" t="inlineStr">
        <is>
          <t>CORPORATE BANKING</t>
        </is>
      </c>
      <c r="D3800" t="inlineStr">
        <is>
          <t>III</t>
        </is>
      </c>
      <c r="E3800" t="inlineStr">
        <is>
          <t>Stage 3</t>
        </is>
      </c>
      <c r="F3800" t="inlineStr">
        <is>
          <t>N/A</t>
        </is>
      </c>
      <c r="G3800" s="26">
        <v>766463635</v>
      </c>
      <c r="H3800" s="26">
        <v>421554999</v>
      </c>
      <c r="I3800" s="26">
        <v>0</v>
      </c>
      <c r="J3800" s="26">
        <v>315</v>
      </c>
      <c r="K3800" t="inlineStr">
        <is>
          <t>Oui</t>
        </is>
      </c>
      <c r="L3800">
        <f>SUBTOTAL(103,A3800)</f>
        <v>1</v>
      </c>
    </row>
    <row r="3801">
      <c r="A3801" t="inlineStr">
        <is>
          <t>SOCIETE C1233</t>
        </is>
      </c>
      <c r="B3801" t="inlineStr">
        <is>
          <t>C1233</t>
        </is>
      </c>
      <c r="C3801" t="inlineStr">
        <is>
          <t>PUBLIC SECTOR</t>
        </is>
      </c>
      <c r="D3801" t="inlineStr">
        <is>
          <t>V</t>
        </is>
      </c>
      <c r="E3801" t="inlineStr">
        <is>
          <t>Stage 3</t>
        </is>
      </c>
      <c r="F3801" t="inlineStr">
        <is>
          <t>N/A</t>
        </is>
      </c>
      <c r="G3801" s="26">
        <v>106275973</v>
      </c>
      <c r="H3801" s="26">
        <v>58451785</v>
      </c>
      <c r="I3801" s="26">
        <v>0</v>
      </c>
      <c r="J3801" s="26">
        <v>25</v>
      </c>
      <c r="K3801" t="inlineStr">
        <is>
          <t>Oui</t>
        </is>
      </c>
      <c r="L3801">
        <f>SUBTOTAL(103,A3801)</f>
        <v>1</v>
      </c>
    </row>
    <row r="3802">
      <c r="A3802" t="inlineStr">
        <is>
          <t>SOCIETE C920</t>
        </is>
      </c>
      <c r="B3802" t="inlineStr">
        <is>
          <t>C920</t>
        </is>
      </c>
      <c r="C3802" t="inlineStr">
        <is>
          <t>COMMERCIAL BANKING</t>
        </is>
      </c>
      <c r="D3802" t="inlineStr">
        <is>
          <t>II</t>
        </is>
      </c>
      <c r="E3802" t="inlineStr">
        <is>
          <t>Stage 2</t>
        </is>
      </c>
      <c r="F3802" t="inlineStr">
        <is>
          <t>N/A</t>
        </is>
      </c>
      <c r="G3802" s="26">
        <v>142769534</v>
      </c>
      <c r="H3802" s="26">
        <v>8566172</v>
      </c>
      <c r="I3802" s="26">
        <v>0</v>
      </c>
      <c r="J3802" s="26">
        <v>14</v>
      </c>
      <c r="K3802" t="inlineStr">
        <is>
          <t>Non</t>
        </is>
      </c>
      <c r="L3802">
        <f>SUBTOTAL(103,A3802)</f>
        <v>1</v>
      </c>
    </row>
    <row r="3803">
      <c r="A3803" t="inlineStr">
        <is>
          <t>SOCIETE C1011</t>
        </is>
      </c>
      <c r="B3803" t="inlineStr">
        <is>
          <t>C1011</t>
        </is>
      </c>
      <c r="C3803" t="inlineStr">
        <is>
          <t>PUBLIC SECTOR</t>
        </is>
      </c>
      <c r="D3803" t="inlineStr">
        <is>
          <t>III</t>
        </is>
      </c>
      <c r="E3803" t="inlineStr">
        <is>
          <t>Stage 3</t>
        </is>
      </c>
      <c r="F3803" t="inlineStr">
        <is>
          <t>N/A</t>
        </is>
      </c>
      <c r="G3803" s="26">
        <v>292915634</v>
      </c>
      <c r="H3803" s="26">
        <v>161103599</v>
      </c>
      <c r="I3803" s="26">
        <v>0</v>
      </c>
      <c r="J3803" s="26">
        <v>83</v>
      </c>
      <c r="K3803" t="inlineStr">
        <is>
          <t>Oui</t>
        </is>
      </c>
      <c r="L3803">
        <f>SUBTOTAL(103,A3803)</f>
        <v>1</v>
      </c>
    </row>
    <row r="3804">
      <c r="A3804" t="inlineStr">
        <is>
          <t>SOCIETE C1423</t>
        </is>
      </c>
      <c r="B3804" t="inlineStr">
        <is>
          <t>C1423</t>
        </is>
      </c>
      <c r="C3804" t="inlineStr">
        <is>
          <t>CORPORATE BANKING</t>
        </is>
      </c>
      <c r="D3804" t="inlineStr">
        <is>
          <t>III</t>
        </is>
      </c>
      <c r="E3804" t="inlineStr">
        <is>
          <t>Stage 3</t>
        </is>
      </c>
      <c r="F3804" t="inlineStr">
        <is>
          <t>N/A</t>
        </is>
      </c>
      <c r="G3804" s="26">
        <v>1760170185</v>
      </c>
      <c r="H3804" s="26">
        <v>968093602</v>
      </c>
      <c r="I3804" s="26">
        <v>164948486</v>
      </c>
      <c r="J3804" s="26">
        <v>2</v>
      </c>
      <c r="K3804" t="inlineStr">
        <is>
          <t>Oui</t>
        </is>
      </c>
      <c r="L3804">
        <f>SUBTOTAL(103,A3804)</f>
        <v>1</v>
      </c>
    </row>
    <row r="3805">
      <c r="A3805" t="inlineStr">
        <is>
          <t>SOCIETE C1114</t>
        </is>
      </c>
      <c r="B3805" t="inlineStr">
        <is>
          <t>C1114</t>
        </is>
      </c>
      <c r="C3805" t="inlineStr">
        <is>
          <t>COMMERCIAL BANKING</t>
        </is>
      </c>
      <c r="D3805" t="inlineStr">
        <is>
          <t>I</t>
        </is>
      </c>
      <c r="E3805" t="inlineStr">
        <is>
          <t>Stage 1</t>
        </is>
      </c>
      <c r="F3805" t="inlineStr">
        <is>
          <t>N/A</t>
        </is>
      </c>
      <c r="G3805" s="26">
        <v>1559847</v>
      </c>
      <c r="H3805" s="26">
        <v>15598</v>
      </c>
      <c r="I3805" s="26">
        <v>295699</v>
      </c>
      <c r="J3805" s="26">
        <v>138</v>
      </c>
      <c r="K3805" t="inlineStr">
        <is>
          <t>Non</t>
        </is>
      </c>
      <c r="L3805">
        <f>SUBTOTAL(103,A3805)</f>
        <v>1</v>
      </c>
    </row>
    <row r="3806">
      <c r="A3806" t="inlineStr">
        <is>
          <t>SOCIETE C2170</t>
        </is>
      </c>
      <c r="B3806" t="inlineStr">
        <is>
          <t>C2170</t>
        </is>
      </c>
      <c r="C3806" t="inlineStr">
        <is>
          <t>CORPORATE BANKING</t>
        </is>
      </c>
      <c r="D3806" t="inlineStr">
        <is>
          <t>I</t>
        </is>
      </c>
      <c r="E3806" t="inlineStr">
        <is>
          <t>Stage 1</t>
        </is>
      </c>
      <c r="F3806" t="inlineStr">
        <is>
          <t>N/A</t>
        </is>
      </c>
      <c r="G3806" s="26">
        <v>1481567291</v>
      </c>
      <c r="H3806" s="26">
        <v>14815673</v>
      </c>
      <c r="I3806" s="26">
        <v>0</v>
      </c>
      <c r="J3806" s="26">
        <v>84</v>
      </c>
      <c r="K3806" t="inlineStr">
        <is>
          <t>Non</t>
        </is>
      </c>
      <c r="L3806">
        <f>SUBTOTAL(103,A3806)</f>
        <v>1</v>
      </c>
    </row>
    <row r="3807">
      <c r="A3807" t="inlineStr">
        <is>
          <t>SOCIETE C1095</t>
        </is>
      </c>
      <c r="B3807" t="inlineStr">
        <is>
          <t>C1095</t>
        </is>
      </c>
      <c r="C3807" t="inlineStr">
        <is>
          <t>CORPORATE BANKING</t>
        </is>
      </c>
      <c r="D3807" t="inlineStr">
        <is>
          <t>II</t>
        </is>
      </c>
      <c r="E3807" t="inlineStr">
        <is>
          <t>Stage 2</t>
        </is>
      </c>
      <c r="F3807" t="inlineStr">
        <is>
          <t>N/A</t>
        </is>
      </c>
      <c r="G3807" s="26">
        <v>655622735</v>
      </c>
      <c r="H3807" s="26">
        <v>39337364</v>
      </c>
      <c r="I3807" s="26">
        <v>0</v>
      </c>
      <c r="J3807" s="26">
        <v>73</v>
      </c>
      <c r="K3807" t="inlineStr">
        <is>
          <t>Non</t>
        </is>
      </c>
      <c r="L3807">
        <f>SUBTOTAL(103,A3807)</f>
        <v>1</v>
      </c>
    </row>
    <row r="3808">
      <c r="A3808" t="inlineStr">
        <is>
          <t>SOCIETE C1721</t>
        </is>
      </c>
      <c r="B3808" t="inlineStr">
        <is>
          <t>C1721</t>
        </is>
      </c>
      <c r="C3808" t="inlineStr">
        <is>
          <t>CORPORATE BANKING</t>
        </is>
      </c>
      <c r="D3808" t="inlineStr">
        <is>
          <t>II</t>
        </is>
      </c>
      <c r="E3808" t="inlineStr">
        <is>
          <t>Stage 2</t>
        </is>
      </c>
      <c r="F3808" t="inlineStr">
        <is>
          <t>N/A</t>
        </is>
      </c>
      <c r="G3808" s="26">
        <v>17835286</v>
      </c>
      <c r="H3808" s="26">
        <v>1070117</v>
      </c>
      <c r="I3808" s="26">
        <v>2234193</v>
      </c>
      <c r="J3808" s="26">
        <v>350</v>
      </c>
      <c r="K3808" t="inlineStr">
        <is>
          <t>Non</t>
        </is>
      </c>
      <c r="L3808">
        <f>SUBTOTAL(103,A3808)</f>
        <v>1</v>
      </c>
    </row>
    <row r="3809">
      <c r="A3809" t="inlineStr">
        <is>
          <t>SOCIETE C1496</t>
        </is>
      </c>
      <c r="B3809" t="inlineStr">
        <is>
          <t>C1496</t>
        </is>
      </c>
      <c r="C3809" t="inlineStr">
        <is>
          <t>CONSUMER BANKING</t>
        </is>
      </c>
      <c r="D3809" t="inlineStr">
        <is>
          <t>I</t>
        </is>
      </c>
      <c r="E3809" t="inlineStr">
        <is>
          <t>Stage 1</t>
        </is>
      </c>
      <c r="F3809" t="inlineStr">
        <is>
          <t>N/A</t>
        </is>
      </c>
      <c r="G3809" s="26">
        <v>883936151</v>
      </c>
      <c r="H3809" s="26">
        <v>8839362</v>
      </c>
      <c r="I3809" s="26">
        <v>80765331</v>
      </c>
      <c r="J3809" s="26">
        <v>57</v>
      </c>
      <c r="K3809" t="inlineStr">
        <is>
          <t>Non</t>
        </is>
      </c>
      <c r="L3809">
        <f>SUBTOTAL(103,A3809)</f>
        <v>1</v>
      </c>
    </row>
    <row r="3810">
      <c r="A3810" t="inlineStr">
        <is>
          <t>SOCIETE C1203</t>
        </is>
      </c>
      <c r="B3810" t="inlineStr">
        <is>
          <t>C1203</t>
        </is>
      </c>
      <c r="C3810" t="inlineStr">
        <is>
          <t>CORPORATE BANKING</t>
        </is>
      </c>
      <c r="D3810" t="inlineStr">
        <is>
          <t>I</t>
        </is>
      </c>
      <c r="E3810" t="inlineStr">
        <is>
          <t>Stage 1</t>
        </is>
      </c>
      <c r="F3810" t="inlineStr">
        <is>
          <t>N/A</t>
        </is>
      </c>
      <c r="G3810" s="26">
        <v>119973803</v>
      </c>
      <c r="H3810" s="26">
        <v>1199738</v>
      </c>
      <c r="I3810" s="26">
        <v>0</v>
      </c>
      <c r="J3810" s="26">
        <v>120</v>
      </c>
      <c r="K3810" t="inlineStr">
        <is>
          <t>Non</t>
        </is>
      </c>
      <c r="L3810">
        <f>SUBTOTAL(103,A3810)</f>
        <v>1</v>
      </c>
    </row>
    <row r="3811">
      <c r="A3811" t="inlineStr">
        <is>
          <t>SOCIETE C696</t>
        </is>
      </c>
      <c r="B3811" t="inlineStr">
        <is>
          <t>C696</t>
        </is>
      </c>
      <c r="C3811" t="inlineStr">
        <is>
          <t>CORPORATE BANKING</t>
        </is>
      </c>
      <c r="D3811" t="inlineStr">
        <is>
          <t>V</t>
        </is>
      </c>
      <c r="E3811" t="inlineStr">
        <is>
          <t>Stage 3</t>
        </is>
      </c>
      <c r="F3811" t="inlineStr">
        <is>
          <t>N/A</t>
        </is>
      </c>
      <c r="G3811" s="26">
        <v>979012162</v>
      </c>
      <c r="H3811" s="26">
        <v>538456689</v>
      </c>
      <c r="I3811" s="26">
        <v>189899963</v>
      </c>
      <c r="J3811" s="26">
        <v>64</v>
      </c>
      <c r="K3811" t="inlineStr">
        <is>
          <t>Oui</t>
        </is>
      </c>
      <c r="L3811">
        <f>SUBTOTAL(103,A3811)</f>
        <v>1</v>
      </c>
    </row>
    <row r="3812">
      <c r="A3812" t="inlineStr">
        <is>
          <t>SOCIETE C725</t>
        </is>
      </c>
      <c r="B3812" t="inlineStr">
        <is>
          <t>C725</t>
        </is>
      </c>
      <c r="C3812" t="inlineStr">
        <is>
          <t>CORPORATE BANKING</t>
        </is>
      </c>
      <c r="D3812" t="inlineStr">
        <is>
          <t>I</t>
        </is>
      </c>
      <c r="E3812" t="inlineStr">
        <is>
          <t>Stage 1</t>
        </is>
      </c>
      <c r="F3812" t="inlineStr">
        <is>
          <t>N/A</t>
        </is>
      </c>
      <c r="G3812" s="26">
        <v>276128912</v>
      </c>
      <c r="H3812" s="26">
        <v>2761289</v>
      </c>
      <c r="I3812" s="26">
        <v>0</v>
      </c>
      <c r="J3812" s="26">
        <v>73</v>
      </c>
      <c r="K3812" t="inlineStr">
        <is>
          <t>Non</t>
        </is>
      </c>
      <c r="L3812">
        <f>SUBTOTAL(103,A3812)</f>
        <v>1</v>
      </c>
    </row>
    <row r="3813">
      <c r="A3813" t="inlineStr">
        <is>
          <t>SOCIETE C1833</t>
        </is>
      </c>
      <c r="B3813" t="inlineStr">
        <is>
          <t>C1833</t>
        </is>
      </c>
      <c r="C3813" t="inlineStr">
        <is>
          <t>COMMERCIAL BANKING</t>
        </is>
      </c>
      <c r="D3813" t="inlineStr">
        <is>
          <t>I</t>
        </is>
      </c>
      <c r="E3813" t="inlineStr">
        <is>
          <t>Stage 1</t>
        </is>
      </c>
      <c r="F3813" t="inlineStr">
        <is>
          <t>N/A</t>
        </is>
      </c>
      <c r="G3813" s="26">
        <v>36577584</v>
      </c>
      <c r="H3813" s="26">
        <v>365776</v>
      </c>
      <c r="I3813" s="26">
        <v>5128135</v>
      </c>
      <c r="J3813" s="26">
        <v>240</v>
      </c>
      <c r="K3813" t="inlineStr">
        <is>
          <t>Non</t>
        </is>
      </c>
      <c r="L3813">
        <f>SUBTOTAL(103,A3813)</f>
        <v>1</v>
      </c>
    </row>
    <row r="3814">
      <c r="A3814" t="inlineStr">
        <is>
          <t>SOCIETE C1795</t>
        </is>
      </c>
      <c r="B3814" t="inlineStr">
        <is>
          <t>C1795</t>
        </is>
      </c>
      <c r="C3814" t="inlineStr">
        <is>
          <t>CORPORATE BANKING</t>
        </is>
      </c>
      <c r="D3814" t="inlineStr">
        <is>
          <t>I</t>
        </is>
      </c>
      <c r="E3814" t="inlineStr">
        <is>
          <t>Stage 1</t>
        </is>
      </c>
      <c r="F3814" t="inlineStr">
        <is>
          <t>N/A</t>
        </is>
      </c>
      <c r="G3814" s="26">
        <v>47473464</v>
      </c>
      <c r="H3814" s="26">
        <v>474735</v>
      </c>
      <c r="I3814" s="26">
        <v>0</v>
      </c>
      <c r="J3814" s="26">
        <v>110</v>
      </c>
      <c r="K3814" t="inlineStr">
        <is>
          <t>Non</t>
        </is>
      </c>
      <c r="L3814">
        <f>SUBTOTAL(103,A3814)</f>
        <v>1</v>
      </c>
    </row>
    <row r="3815">
      <c r="A3815" t="inlineStr">
        <is>
          <t>SOCIETE C1096</t>
        </is>
      </c>
      <c r="B3815" t="inlineStr">
        <is>
          <t>C1096</t>
        </is>
      </c>
      <c r="C3815" t="inlineStr">
        <is>
          <t>CORPORATE BANKING</t>
        </is>
      </c>
      <c r="D3815" t="inlineStr">
        <is>
          <t>IA</t>
        </is>
      </c>
      <c r="E3815" t="inlineStr">
        <is>
          <t>Stage 2</t>
        </is>
      </c>
      <c r="F3815" t="inlineStr">
        <is>
          <t>N/A</t>
        </is>
      </c>
      <c r="G3815" s="26">
        <v>1848986276</v>
      </c>
      <c r="H3815" s="26">
        <v>110939177</v>
      </c>
      <c r="I3815" s="26">
        <v>0</v>
      </c>
      <c r="J3815" s="26">
        <v>174</v>
      </c>
      <c r="K3815" t="inlineStr">
        <is>
          <t>Non</t>
        </is>
      </c>
      <c r="L3815">
        <f>SUBTOTAL(103,A3815)</f>
        <v>1</v>
      </c>
    </row>
    <row r="3816">
      <c r="A3816" t="inlineStr">
        <is>
          <t>SOCIETE C895</t>
        </is>
      </c>
      <c r="B3816" t="inlineStr">
        <is>
          <t>C895</t>
        </is>
      </c>
      <c r="C3816" t="inlineStr">
        <is>
          <t>CORPORATE BANKING</t>
        </is>
      </c>
      <c r="D3816" t="inlineStr">
        <is>
          <t>IV</t>
        </is>
      </c>
      <c r="E3816" t="inlineStr">
        <is>
          <t>Stage 3</t>
        </is>
      </c>
      <c r="F3816" t="inlineStr">
        <is>
          <t>N/A</t>
        </is>
      </c>
      <c r="G3816" s="26">
        <v>2443763101</v>
      </c>
      <c r="H3816" s="26">
        <v>1344069706</v>
      </c>
      <c r="I3816" s="26">
        <v>0</v>
      </c>
      <c r="J3816" s="26">
        <v>47</v>
      </c>
      <c r="K3816" t="inlineStr">
        <is>
          <t>Oui</t>
        </is>
      </c>
      <c r="L3816">
        <f>SUBTOTAL(103,A3816)</f>
        <v>1</v>
      </c>
    </row>
    <row r="3817">
      <c r="A3817" t="inlineStr">
        <is>
          <t>SOCIETE C971</t>
        </is>
      </c>
      <c r="B3817" t="inlineStr">
        <is>
          <t>C971</t>
        </is>
      </c>
      <c r="C3817" t="inlineStr">
        <is>
          <t>CORPORATE BANKING</t>
        </is>
      </c>
      <c r="D3817" t="inlineStr">
        <is>
          <t>I</t>
        </is>
      </c>
      <c r="E3817" t="inlineStr">
        <is>
          <t>Stage 1</t>
        </is>
      </c>
      <c r="F3817" t="inlineStr">
        <is>
          <t>N/A</t>
        </is>
      </c>
      <c r="G3817" s="26">
        <v>1382379342</v>
      </c>
      <c r="H3817" s="26">
        <v>13823793</v>
      </c>
      <c r="I3817" s="26">
        <v>0</v>
      </c>
      <c r="J3817" s="26">
        <v>30</v>
      </c>
      <c r="K3817" t="inlineStr">
        <is>
          <t>Non</t>
        </is>
      </c>
      <c r="L3817">
        <f>SUBTOTAL(103,A3817)</f>
        <v>1</v>
      </c>
    </row>
    <row r="3818">
      <c r="A3818" t="inlineStr">
        <is>
          <t>SOCIETE C1541</t>
        </is>
      </c>
      <c r="B3818" t="inlineStr">
        <is>
          <t>C1541</t>
        </is>
      </c>
      <c r="C3818" t="inlineStr">
        <is>
          <t>PUBLIC SECTOR</t>
        </is>
      </c>
      <c r="D3818" t="inlineStr">
        <is>
          <t>III</t>
        </is>
      </c>
      <c r="E3818" t="inlineStr">
        <is>
          <t>Stage 3</t>
        </is>
      </c>
      <c r="F3818" t="inlineStr">
        <is>
          <t>N/A</t>
        </is>
      </c>
      <c r="G3818" s="26">
        <v>505125353</v>
      </c>
      <c r="H3818" s="26">
        <v>277818944</v>
      </c>
      <c r="I3818" s="26">
        <v>0</v>
      </c>
      <c r="J3818" s="26">
        <v>154</v>
      </c>
      <c r="K3818" t="inlineStr">
        <is>
          <t>Oui</t>
        </is>
      </c>
      <c r="L3818">
        <f>SUBTOTAL(103,A3818)</f>
        <v>1</v>
      </c>
    </row>
    <row r="3819">
      <c r="A3819" t="inlineStr">
        <is>
          <t>SOCIETE C1570</t>
        </is>
      </c>
      <c r="B3819" t="inlineStr">
        <is>
          <t>C1570</t>
        </is>
      </c>
      <c r="C3819" t="inlineStr">
        <is>
          <t>CORPORATE BANKING</t>
        </is>
      </c>
      <c r="D3819" t="inlineStr">
        <is>
          <t>V</t>
        </is>
      </c>
      <c r="E3819" t="inlineStr">
        <is>
          <t>Stage 3</t>
        </is>
      </c>
      <c r="F3819" t="inlineStr">
        <is>
          <t>N/A</t>
        </is>
      </c>
      <c r="G3819" s="26">
        <v>1847121980</v>
      </c>
      <c r="H3819" s="26">
        <v>1015917089</v>
      </c>
      <c r="I3819" s="26">
        <v>0</v>
      </c>
      <c r="J3819" s="26">
        <v>201</v>
      </c>
      <c r="K3819" t="inlineStr">
        <is>
          <t>Oui</t>
        </is>
      </c>
      <c r="L3819">
        <f>SUBTOTAL(103,A3819)</f>
        <v>1</v>
      </c>
    </row>
    <row r="3820">
      <c r="A3820" t="inlineStr">
        <is>
          <t>SOCIETE C1961</t>
        </is>
      </c>
      <c r="B3820" t="inlineStr">
        <is>
          <t>C1961</t>
        </is>
      </c>
      <c r="C3820" t="inlineStr">
        <is>
          <t>CONSUMER BANKING</t>
        </is>
      </c>
      <c r="D3820" t="inlineStr">
        <is>
          <t>III</t>
        </is>
      </c>
      <c r="E3820" t="inlineStr">
        <is>
          <t>Stage 3</t>
        </is>
      </c>
      <c r="F3820" t="inlineStr">
        <is>
          <t>N/A</t>
        </is>
      </c>
      <c r="G3820" s="26">
        <v>1025515621</v>
      </c>
      <c r="H3820" s="26">
        <v>564033592</v>
      </c>
      <c r="I3820" s="26">
        <v>0</v>
      </c>
      <c r="J3820" s="26">
        <v>52</v>
      </c>
      <c r="K3820" t="inlineStr">
        <is>
          <t>Oui</t>
        </is>
      </c>
      <c r="L3820">
        <f>SUBTOTAL(103,A3820)</f>
        <v>1</v>
      </c>
    </row>
    <row r="3821">
      <c r="A3821" t="inlineStr">
        <is>
          <t>SOCIETE C1015</t>
        </is>
      </c>
      <c r="B3821" t="inlineStr">
        <is>
          <t>C1015</t>
        </is>
      </c>
      <c r="C3821" t="inlineStr">
        <is>
          <t>CONSUMER BANKING</t>
        </is>
      </c>
      <c r="D3821" t="inlineStr">
        <is>
          <t>III</t>
        </is>
      </c>
      <c r="E3821" t="inlineStr">
        <is>
          <t>Stage 3</t>
        </is>
      </c>
      <c r="F3821" t="inlineStr">
        <is>
          <t>N/A</t>
        </is>
      </c>
      <c r="G3821" s="26">
        <v>2649135593</v>
      </c>
      <c r="H3821" s="26">
        <v>1457024576</v>
      </c>
      <c r="I3821" s="26">
        <v>0</v>
      </c>
      <c r="J3821" s="26">
        <v>47</v>
      </c>
      <c r="K3821" t="inlineStr">
        <is>
          <t>Oui</t>
        </is>
      </c>
      <c r="L3821">
        <f>SUBTOTAL(103,A3821)</f>
        <v>1</v>
      </c>
    </row>
    <row r="3822">
      <c r="A3822" t="inlineStr">
        <is>
          <t>SOCIETE C1971</t>
        </is>
      </c>
      <c r="B3822" t="inlineStr">
        <is>
          <t>C1971</t>
        </is>
      </c>
      <c r="C3822" t="inlineStr">
        <is>
          <t>COMMERCIAL BANKING</t>
        </is>
      </c>
      <c r="D3822" t="inlineStr">
        <is>
          <t>IA</t>
        </is>
      </c>
      <c r="E3822" t="inlineStr">
        <is>
          <t>Stage 2</t>
        </is>
      </c>
      <c r="F3822" t="inlineStr">
        <is>
          <t>N/A</t>
        </is>
      </c>
      <c r="G3822" s="26">
        <v>1566380727</v>
      </c>
      <c r="H3822" s="26">
        <v>93982844</v>
      </c>
      <c r="I3822" s="26">
        <v>50584193</v>
      </c>
      <c r="J3822" s="26">
        <v>112</v>
      </c>
      <c r="K3822" t="inlineStr">
        <is>
          <t>Non</t>
        </is>
      </c>
      <c r="L3822">
        <f>SUBTOTAL(103,A3822)</f>
        <v>1</v>
      </c>
    </row>
    <row r="3823">
      <c r="A3823" t="inlineStr">
        <is>
          <t>SOCIETE C1416</t>
        </is>
      </c>
      <c r="B3823" t="inlineStr">
        <is>
          <t>C1416</t>
        </is>
      </c>
      <c r="C3823" t="inlineStr">
        <is>
          <t>CONSUMER BANKING</t>
        </is>
      </c>
      <c r="D3823" t="inlineStr">
        <is>
          <t>I</t>
        </is>
      </c>
      <c r="E3823" t="inlineStr">
        <is>
          <t>Stage 1</t>
        </is>
      </c>
      <c r="F3823" t="inlineStr">
        <is>
          <t>N/A</t>
        </is>
      </c>
      <c r="G3823" s="26">
        <v>3704339</v>
      </c>
      <c r="H3823" s="26">
        <v>37043</v>
      </c>
      <c r="I3823" s="26">
        <v>0</v>
      </c>
      <c r="J3823" s="26">
        <v>262</v>
      </c>
      <c r="K3823" t="inlineStr">
        <is>
          <t>Non</t>
        </is>
      </c>
      <c r="L3823">
        <f>SUBTOTAL(103,A3823)</f>
        <v>1</v>
      </c>
    </row>
    <row r="3824">
      <c r="A3824" t="inlineStr">
        <is>
          <t>SOCIETE C1416</t>
        </is>
      </c>
      <c r="B3824" t="inlineStr">
        <is>
          <t>C1416</t>
        </is>
      </c>
      <c r="C3824" t="inlineStr">
        <is>
          <t>CORPORATE BANKING</t>
        </is>
      </c>
      <c r="D3824" t="inlineStr">
        <is>
          <t>I</t>
        </is>
      </c>
      <c r="E3824" t="inlineStr">
        <is>
          <t>Stage 1</t>
        </is>
      </c>
      <c r="F3824" t="inlineStr">
        <is>
          <t>N/A</t>
        </is>
      </c>
      <c r="G3824" s="26">
        <v>249820148</v>
      </c>
      <c r="H3824" s="26">
        <v>2498201</v>
      </c>
      <c r="I3824" s="26">
        <v>0</v>
      </c>
      <c r="J3824" s="26">
        <v>33</v>
      </c>
      <c r="K3824" t="inlineStr">
        <is>
          <t>Non</t>
        </is>
      </c>
      <c r="L3824">
        <f>SUBTOTAL(103,A3824)</f>
        <v>1</v>
      </c>
    </row>
    <row r="3825">
      <c r="A3825" t="inlineStr">
        <is>
          <t>SOCIETE C2451</t>
        </is>
      </c>
      <c r="B3825" t="inlineStr">
        <is>
          <t>C2451</t>
        </is>
      </c>
      <c r="C3825" t="inlineStr">
        <is>
          <t>CORPORATE BANKING</t>
        </is>
      </c>
      <c r="D3825" t="inlineStr">
        <is>
          <t>IV</t>
        </is>
      </c>
      <c r="E3825" t="inlineStr">
        <is>
          <t>Stage 3</t>
        </is>
      </c>
      <c r="F3825" t="inlineStr">
        <is>
          <t>N/A</t>
        </is>
      </c>
      <c r="G3825" s="26">
        <v>1454681427</v>
      </c>
      <c r="H3825" s="26">
        <v>800074785</v>
      </c>
      <c r="I3825" s="26">
        <v>0</v>
      </c>
      <c r="J3825" s="26">
        <v>171</v>
      </c>
      <c r="K3825" t="inlineStr">
        <is>
          <t>Oui</t>
        </is>
      </c>
      <c r="L3825">
        <f>SUBTOTAL(103,A3825)</f>
        <v>1</v>
      </c>
    </row>
    <row r="3826">
      <c r="A3826" t="inlineStr">
        <is>
          <t>SOCIETE C649</t>
        </is>
      </c>
      <c r="B3826" t="inlineStr">
        <is>
          <t>C649</t>
        </is>
      </c>
      <c r="C3826" t="inlineStr">
        <is>
          <t>COMMERCIAL BANKING</t>
        </is>
      </c>
      <c r="D3826" t="inlineStr">
        <is>
          <t>IV</t>
        </is>
      </c>
      <c r="E3826" t="inlineStr">
        <is>
          <t>Stage 3</t>
        </is>
      </c>
      <c r="F3826" t="inlineStr">
        <is>
          <t>N/A</t>
        </is>
      </c>
      <c r="G3826" s="26">
        <v>1152253</v>
      </c>
      <c r="H3826" s="26">
        <v>633739</v>
      </c>
      <c r="I3826" s="26">
        <v>0</v>
      </c>
      <c r="J3826" s="26">
        <v>46</v>
      </c>
      <c r="K3826" t="inlineStr">
        <is>
          <t>Oui</t>
        </is>
      </c>
      <c r="L3826">
        <f>SUBTOTAL(103,A3826)</f>
        <v>1</v>
      </c>
    </row>
    <row r="3827">
      <c r="A3827" t="inlineStr">
        <is>
          <t>SOCIETE C70</t>
        </is>
      </c>
      <c r="B3827" t="inlineStr">
        <is>
          <t>C70</t>
        </is>
      </c>
      <c r="C3827" t="inlineStr">
        <is>
          <t>CORPORATE BANKING</t>
        </is>
      </c>
      <c r="D3827" t="inlineStr">
        <is>
          <t>V</t>
        </is>
      </c>
      <c r="E3827" t="inlineStr">
        <is>
          <t>Stage 3</t>
        </is>
      </c>
      <c r="F3827" t="inlineStr">
        <is>
          <t>N/A</t>
        </is>
      </c>
      <c r="G3827" s="26">
        <v>2450151629</v>
      </c>
      <c r="H3827" s="26">
        <v>1347583396</v>
      </c>
      <c r="I3827" s="26">
        <v>0</v>
      </c>
      <c r="J3827" s="26">
        <v>263</v>
      </c>
      <c r="K3827" t="inlineStr">
        <is>
          <t>Oui</t>
        </is>
      </c>
      <c r="L3827">
        <f>SUBTOTAL(103,A3827)</f>
        <v>1</v>
      </c>
    </row>
    <row r="3828">
      <c r="A3828" t="inlineStr">
        <is>
          <t>SOCIETE C2458</t>
        </is>
      </c>
      <c r="B3828" t="inlineStr">
        <is>
          <t>C2458</t>
        </is>
      </c>
      <c r="C3828" t="inlineStr">
        <is>
          <t>CORPORATE BANKING</t>
        </is>
      </c>
      <c r="D3828" t="inlineStr">
        <is>
          <t>I</t>
        </is>
      </c>
      <c r="E3828" t="inlineStr">
        <is>
          <t>Stage 1</t>
        </is>
      </c>
      <c r="F3828" t="inlineStr">
        <is>
          <t>N/A</t>
        </is>
      </c>
      <c r="G3828" s="26">
        <v>143794968</v>
      </c>
      <c r="H3828" s="26">
        <v>1437950</v>
      </c>
      <c r="I3828" s="26">
        <v>0</v>
      </c>
      <c r="J3828" s="26">
        <v>57</v>
      </c>
      <c r="K3828" t="inlineStr">
        <is>
          <t>Non</t>
        </is>
      </c>
      <c r="L3828">
        <f>SUBTOTAL(103,A3828)</f>
        <v>1</v>
      </c>
    </row>
    <row r="3829">
      <c r="A3829" t="inlineStr">
        <is>
          <t>SOCIETE C1238</t>
        </is>
      </c>
      <c r="B3829" t="inlineStr">
        <is>
          <t>C1238</t>
        </is>
      </c>
      <c r="C3829" t="inlineStr">
        <is>
          <t>CORPORATE BANKING</t>
        </is>
      </c>
      <c r="D3829" t="inlineStr">
        <is>
          <t>I</t>
        </is>
      </c>
      <c r="E3829" t="inlineStr">
        <is>
          <t>Stage 1</t>
        </is>
      </c>
      <c r="F3829" t="inlineStr">
        <is>
          <t>N/A</t>
        </is>
      </c>
      <c r="G3829" s="26">
        <v>198596525</v>
      </c>
      <c r="H3829" s="26">
        <v>1985965</v>
      </c>
      <c r="I3829" s="26">
        <v>0</v>
      </c>
      <c r="J3829" s="26">
        <v>197</v>
      </c>
      <c r="K3829" t="inlineStr">
        <is>
          <t>Non</t>
        </is>
      </c>
      <c r="L3829">
        <f>SUBTOTAL(103,A3829)</f>
        <v>1</v>
      </c>
    </row>
    <row r="3830">
      <c r="A3830" t="inlineStr">
        <is>
          <t>SOCIETE C1769</t>
        </is>
      </c>
      <c r="B3830" t="inlineStr">
        <is>
          <t>C1769</t>
        </is>
      </c>
      <c r="C3830" t="inlineStr">
        <is>
          <t>CORPORATE BANKING</t>
        </is>
      </c>
      <c r="D3830" t="inlineStr">
        <is>
          <t>I</t>
        </is>
      </c>
      <c r="E3830" t="inlineStr">
        <is>
          <t>Stage 1</t>
        </is>
      </c>
      <c r="F3830" t="inlineStr">
        <is>
          <t>N/A</t>
        </is>
      </c>
      <c r="G3830" s="26">
        <v>33182203</v>
      </c>
      <c r="H3830" s="26">
        <v>331822</v>
      </c>
      <c r="I3830" s="26">
        <v>0</v>
      </c>
      <c r="J3830" s="26">
        <v>50</v>
      </c>
      <c r="K3830" t="inlineStr">
        <is>
          <t>Non</t>
        </is>
      </c>
      <c r="L3830">
        <f>SUBTOTAL(103,A3830)</f>
        <v>1</v>
      </c>
    </row>
    <row r="3831">
      <c r="A3831" t="inlineStr">
        <is>
          <t>SOCIETE C656</t>
        </is>
      </c>
      <c r="B3831" t="inlineStr">
        <is>
          <t>C656</t>
        </is>
      </c>
      <c r="C3831" t="inlineStr">
        <is>
          <t>CONSUMER BANKING</t>
        </is>
      </c>
      <c r="D3831" t="inlineStr">
        <is>
          <t>IV</t>
        </is>
      </c>
      <c r="E3831" t="inlineStr">
        <is>
          <t>Stage 3</t>
        </is>
      </c>
      <c r="F3831" t="inlineStr">
        <is>
          <t>N/A</t>
        </is>
      </c>
      <c r="G3831" s="26">
        <v>913077117</v>
      </c>
      <c r="H3831" s="26">
        <v>502192415</v>
      </c>
      <c r="I3831" s="26">
        <v>0</v>
      </c>
      <c r="J3831" s="26">
        <v>278</v>
      </c>
      <c r="K3831" t="inlineStr">
        <is>
          <t>Oui</t>
        </is>
      </c>
      <c r="L3831">
        <f>SUBTOTAL(103,A3831)</f>
        <v>1</v>
      </c>
    </row>
    <row r="3832">
      <c r="A3832" t="inlineStr">
        <is>
          <t>SOCIETE C1341</t>
        </is>
      </c>
      <c r="B3832" t="inlineStr">
        <is>
          <t>C1341</t>
        </is>
      </c>
      <c r="C3832" t="inlineStr">
        <is>
          <t>CORPORATE BANKING</t>
        </is>
      </c>
      <c r="D3832" t="inlineStr">
        <is>
          <t>I</t>
        </is>
      </c>
      <c r="E3832" t="inlineStr">
        <is>
          <t>Stage 1</t>
        </is>
      </c>
      <c r="F3832" t="inlineStr">
        <is>
          <t>N/A</t>
        </is>
      </c>
      <c r="G3832" s="26">
        <v>311434725</v>
      </c>
      <c r="H3832" s="26">
        <v>3114347</v>
      </c>
      <c r="I3832" s="26">
        <v>11878871</v>
      </c>
      <c r="J3832" s="26">
        <v>67</v>
      </c>
      <c r="K3832" t="inlineStr">
        <is>
          <t>Non</t>
        </is>
      </c>
      <c r="L3832">
        <f>SUBTOTAL(103,A3832)</f>
        <v>1</v>
      </c>
    </row>
    <row r="3833">
      <c r="A3833" t="inlineStr">
        <is>
          <t>SOCIETE C1425</t>
        </is>
      </c>
      <c r="B3833" t="inlineStr">
        <is>
          <t>C1425</t>
        </is>
      </c>
      <c r="C3833" t="inlineStr">
        <is>
          <t>CONSUMER BANKING</t>
        </is>
      </c>
      <c r="D3833" t="inlineStr">
        <is>
          <t>V</t>
        </is>
      </c>
      <c r="E3833" t="inlineStr">
        <is>
          <t>Stage 3</t>
        </is>
      </c>
      <c r="F3833" t="inlineStr">
        <is>
          <t>N/A</t>
        </is>
      </c>
      <c r="G3833" s="26">
        <v>59841575</v>
      </c>
      <c r="H3833" s="26">
        <v>32912866</v>
      </c>
      <c r="I3833" s="26">
        <v>0</v>
      </c>
      <c r="J3833" s="26">
        <v>79</v>
      </c>
      <c r="K3833" t="inlineStr">
        <is>
          <t>Oui</t>
        </is>
      </c>
      <c r="L3833">
        <f>SUBTOTAL(103,A3833)</f>
        <v>1</v>
      </c>
    </row>
    <row r="3834">
      <c r="A3834" t="inlineStr">
        <is>
          <t>SOCIETE C1867</t>
        </is>
      </c>
      <c r="B3834" t="inlineStr">
        <is>
          <t>C1867</t>
        </is>
      </c>
      <c r="C3834" t="inlineStr">
        <is>
          <t>CORPORATE BANKING</t>
        </is>
      </c>
      <c r="D3834" t="inlineStr">
        <is>
          <t>III</t>
        </is>
      </c>
      <c r="E3834" t="inlineStr">
        <is>
          <t>Stage 3</t>
        </is>
      </c>
      <c r="F3834" t="inlineStr">
        <is>
          <t>N/A</t>
        </is>
      </c>
      <c r="G3834" s="26">
        <v>1041281</v>
      </c>
      <c r="H3834" s="26">
        <v>572704</v>
      </c>
      <c r="I3834" s="26">
        <v>0</v>
      </c>
      <c r="J3834" s="26">
        <v>1</v>
      </c>
      <c r="K3834" t="inlineStr">
        <is>
          <t>Oui</t>
        </is>
      </c>
      <c r="L3834">
        <f>SUBTOTAL(103,A3834)</f>
        <v>1</v>
      </c>
    </row>
    <row r="3835">
      <c r="A3835" t="inlineStr">
        <is>
          <t>SOCIETE C1274</t>
        </is>
      </c>
      <c r="B3835" t="inlineStr">
        <is>
          <t>C1274</t>
        </is>
      </c>
      <c r="C3835" t="inlineStr">
        <is>
          <t>CORPORATE BANKING</t>
        </is>
      </c>
      <c r="D3835" t="inlineStr">
        <is>
          <t>II</t>
        </is>
      </c>
      <c r="E3835" t="inlineStr">
        <is>
          <t>Stage 2</t>
        </is>
      </c>
      <c r="F3835" t="inlineStr">
        <is>
          <t>N/A</t>
        </is>
      </c>
      <c r="G3835" s="26">
        <v>980085782</v>
      </c>
      <c r="H3835" s="26">
        <v>58805147</v>
      </c>
      <c r="I3835" s="26">
        <v>0</v>
      </c>
      <c r="J3835" s="26">
        <v>120</v>
      </c>
      <c r="K3835" t="inlineStr">
        <is>
          <t>Non</t>
        </is>
      </c>
      <c r="L3835">
        <f>SUBTOTAL(103,A3835)</f>
        <v>1</v>
      </c>
    </row>
    <row r="3836">
      <c r="A3836" t="inlineStr">
        <is>
          <t>SOCIETE C1432</t>
        </is>
      </c>
      <c r="B3836" t="inlineStr">
        <is>
          <t>C1432</t>
        </is>
      </c>
      <c r="C3836" t="inlineStr">
        <is>
          <t>CORPORATE BANKING</t>
        </is>
      </c>
      <c r="D3836" t="inlineStr">
        <is>
          <t>III</t>
        </is>
      </c>
      <c r="E3836" t="inlineStr">
        <is>
          <t>Stage 3</t>
        </is>
      </c>
      <c r="F3836" t="inlineStr">
        <is>
          <t>N/A</t>
        </is>
      </c>
      <c r="G3836" s="26">
        <v>1128185</v>
      </c>
      <c r="H3836" s="26">
        <v>620502</v>
      </c>
      <c r="I3836" s="26">
        <v>199776</v>
      </c>
      <c r="J3836" s="26">
        <v>41</v>
      </c>
      <c r="K3836" t="inlineStr">
        <is>
          <t>Oui</t>
        </is>
      </c>
      <c r="L3836">
        <f>SUBTOTAL(103,A3836)</f>
        <v>1</v>
      </c>
    </row>
    <row r="3837">
      <c r="A3837" t="inlineStr">
        <is>
          <t>SOCIETE C822</t>
        </is>
      </c>
      <c r="B3837" t="inlineStr">
        <is>
          <t>C822</t>
        </is>
      </c>
      <c r="C3837" t="inlineStr">
        <is>
          <t>CONSUMER BANKING</t>
        </is>
      </c>
      <c r="D3837" t="inlineStr">
        <is>
          <t>I</t>
        </is>
      </c>
      <c r="E3837" t="inlineStr">
        <is>
          <t>Stage 1</t>
        </is>
      </c>
      <c r="F3837" t="inlineStr">
        <is>
          <t>N/A</t>
        </is>
      </c>
      <c r="G3837" s="26">
        <v>811996740</v>
      </c>
      <c r="H3837" s="26">
        <v>8119967</v>
      </c>
      <c r="I3837" s="26">
        <v>103424620</v>
      </c>
      <c r="J3837" s="26">
        <v>76</v>
      </c>
      <c r="K3837" t="inlineStr">
        <is>
          <t>Non</t>
        </is>
      </c>
      <c r="L3837">
        <f>SUBTOTAL(103,A3837)</f>
        <v>1</v>
      </c>
    </row>
    <row r="3838">
      <c r="A3838" t="inlineStr">
        <is>
          <t>SOCIETE C251</t>
        </is>
      </c>
      <c r="B3838" t="inlineStr">
        <is>
          <t>C251</t>
        </is>
      </c>
      <c r="C3838" t="inlineStr">
        <is>
          <t>COMMERCIAL BANKING</t>
        </is>
      </c>
      <c r="D3838" t="inlineStr">
        <is>
          <t>IA</t>
        </is>
      </c>
      <c r="E3838" t="inlineStr">
        <is>
          <t>Stage 2</t>
        </is>
      </c>
      <c r="F3838" t="inlineStr">
        <is>
          <t>N/A</t>
        </is>
      </c>
      <c r="G3838" s="26">
        <v>263035810</v>
      </c>
      <c r="H3838" s="26">
        <v>15782149</v>
      </c>
      <c r="I3838" s="26">
        <v>12828678</v>
      </c>
      <c r="J3838" s="26">
        <v>34</v>
      </c>
      <c r="K3838" t="inlineStr">
        <is>
          <t>Non</t>
        </is>
      </c>
      <c r="L3838">
        <f>SUBTOTAL(103,A3838)</f>
        <v>1</v>
      </c>
    </row>
    <row r="3839">
      <c r="A3839" t="inlineStr">
        <is>
          <t>SOCIETE C812</t>
        </is>
      </c>
      <c r="B3839" t="inlineStr">
        <is>
          <t>C812</t>
        </is>
      </c>
      <c r="C3839" t="inlineStr">
        <is>
          <t>COMMERCIAL BANKING</t>
        </is>
      </c>
      <c r="D3839" t="inlineStr">
        <is>
          <t>I</t>
        </is>
      </c>
      <c r="E3839" t="inlineStr">
        <is>
          <t>Stage 1</t>
        </is>
      </c>
      <c r="F3839" t="inlineStr">
        <is>
          <t>N/A</t>
        </is>
      </c>
      <c r="G3839" s="26">
        <v>4435170</v>
      </c>
      <c r="H3839" s="26">
        <v>44352</v>
      </c>
      <c r="I3839" s="26">
        <v>0</v>
      </c>
      <c r="J3839" s="26">
        <v>9</v>
      </c>
      <c r="K3839" t="inlineStr">
        <is>
          <t>Non</t>
        </is>
      </c>
      <c r="L3839">
        <f>SUBTOTAL(103,A3839)</f>
        <v>1</v>
      </c>
    </row>
    <row r="3840">
      <c r="A3840" t="inlineStr">
        <is>
          <t>SOCIETE C1213</t>
        </is>
      </c>
      <c r="B3840" t="inlineStr">
        <is>
          <t>C1213</t>
        </is>
      </c>
      <c r="C3840" t="inlineStr">
        <is>
          <t>CORPORATE BANKING</t>
        </is>
      </c>
      <c r="D3840" t="inlineStr">
        <is>
          <t>I</t>
        </is>
      </c>
      <c r="E3840" t="inlineStr">
        <is>
          <t>Stage 1</t>
        </is>
      </c>
      <c r="F3840" t="inlineStr">
        <is>
          <t>N/A</t>
        </is>
      </c>
      <c r="G3840" s="26">
        <v>95261606</v>
      </c>
      <c r="H3840" s="26">
        <v>952616</v>
      </c>
      <c r="I3840" s="26">
        <v>14702397</v>
      </c>
      <c r="J3840" s="26">
        <v>98</v>
      </c>
      <c r="K3840" t="inlineStr">
        <is>
          <t>Non</t>
        </is>
      </c>
      <c r="L3840">
        <f>SUBTOTAL(103,A3840)</f>
        <v>1</v>
      </c>
    </row>
    <row r="3841">
      <c r="A3841" t="inlineStr">
        <is>
          <t>SOCIETE C1750</t>
        </is>
      </c>
      <c r="B3841" t="inlineStr">
        <is>
          <t>C1750</t>
        </is>
      </c>
      <c r="C3841" t="inlineStr">
        <is>
          <t>CORPORATE BANKING</t>
        </is>
      </c>
      <c r="D3841" t="inlineStr">
        <is>
          <t>I</t>
        </is>
      </c>
      <c r="E3841" t="inlineStr">
        <is>
          <t>Stage 1</t>
        </is>
      </c>
      <c r="F3841" t="inlineStr">
        <is>
          <t>N/A</t>
        </is>
      </c>
      <c r="G3841" s="26">
        <v>127943256</v>
      </c>
      <c r="H3841" s="26">
        <v>1279433</v>
      </c>
      <c r="I3841" s="26">
        <v>4890660</v>
      </c>
      <c r="J3841" s="26">
        <v>34</v>
      </c>
      <c r="K3841" t="inlineStr">
        <is>
          <t>Non</t>
        </is>
      </c>
      <c r="L3841">
        <f>SUBTOTAL(103,A3841)</f>
        <v>1</v>
      </c>
    </row>
    <row r="3842">
      <c r="A3842" t="inlineStr">
        <is>
          <t>SOCIETE C1968</t>
        </is>
      </c>
      <c r="B3842" t="inlineStr">
        <is>
          <t>C1968</t>
        </is>
      </c>
      <c r="C3842" t="inlineStr">
        <is>
          <t>PUBLIC SECTOR</t>
        </is>
      </c>
      <c r="D3842" t="inlineStr">
        <is>
          <t>III</t>
        </is>
      </c>
      <c r="E3842" t="inlineStr">
        <is>
          <t>Stage 3</t>
        </is>
      </c>
      <c r="F3842" t="inlineStr">
        <is>
          <t>N/A</t>
        </is>
      </c>
      <c r="G3842" s="26">
        <v>34131126</v>
      </c>
      <c r="H3842" s="26">
        <v>18772119</v>
      </c>
      <c r="I3842" s="26">
        <v>0</v>
      </c>
      <c r="J3842" s="26">
        <v>180</v>
      </c>
      <c r="K3842" t="inlineStr">
        <is>
          <t>Oui</t>
        </is>
      </c>
      <c r="L3842">
        <f>SUBTOTAL(103,A3842)</f>
        <v>1</v>
      </c>
    </row>
    <row r="3843">
      <c r="A3843" t="inlineStr">
        <is>
          <t>SOCIETE C225</t>
        </is>
      </c>
      <c r="B3843" t="inlineStr">
        <is>
          <t>C225</t>
        </is>
      </c>
      <c r="C3843" t="inlineStr">
        <is>
          <t>CORPORATE BANKING</t>
        </is>
      </c>
      <c r="D3843" t="inlineStr">
        <is>
          <t>III</t>
        </is>
      </c>
      <c r="E3843" t="inlineStr">
        <is>
          <t>Stage 3</t>
        </is>
      </c>
      <c r="F3843" t="inlineStr">
        <is>
          <t>N/A</t>
        </is>
      </c>
      <c r="G3843" s="26">
        <v>210041528</v>
      </c>
      <c r="H3843" s="26">
        <v>115522840</v>
      </c>
      <c r="I3843" s="26">
        <v>0</v>
      </c>
      <c r="J3843" s="26">
        <v>43</v>
      </c>
      <c r="K3843" t="inlineStr">
        <is>
          <t>Oui</t>
        </is>
      </c>
      <c r="L3843">
        <f>SUBTOTAL(103,A3843)</f>
        <v>1</v>
      </c>
    </row>
    <row r="3844">
      <c r="A3844" t="inlineStr">
        <is>
          <t>SOCIETE C1382</t>
        </is>
      </c>
      <c r="B3844" t="inlineStr">
        <is>
          <t>C1382</t>
        </is>
      </c>
      <c r="C3844" t="inlineStr">
        <is>
          <t>PUBLIC SECTOR</t>
        </is>
      </c>
      <c r="D3844" t="inlineStr">
        <is>
          <t>III</t>
        </is>
      </c>
      <c r="E3844" t="inlineStr">
        <is>
          <t>Stage 3</t>
        </is>
      </c>
      <c r="F3844" t="inlineStr">
        <is>
          <t>N/A</t>
        </is>
      </c>
      <c r="G3844" s="26">
        <v>1002378</v>
      </c>
      <c r="H3844" s="26">
        <v>551308</v>
      </c>
      <c r="I3844" s="26">
        <v>124374</v>
      </c>
      <c r="J3844" s="26">
        <v>312</v>
      </c>
      <c r="K3844" t="inlineStr">
        <is>
          <t>Oui</t>
        </is>
      </c>
      <c r="L3844">
        <f>SUBTOTAL(103,A3844)</f>
        <v>1</v>
      </c>
    </row>
    <row r="3845">
      <c r="A3845" t="inlineStr">
        <is>
          <t>SOCIETE C981</t>
        </is>
      </c>
      <c r="B3845" t="inlineStr">
        <is>
          <t>C981</t>
        </is>
      </c>
      <c r="C3845" t="inlineStr">
        <is>
          <t>COMMERCIAL BANKING</t>
        </is>
      </c>
      <c r="D3845" t="inlineStr">
        <is>
          <t>IA</t>
        </is>
      </c>
      <c r="E3845" t="inlineStr">
        <is>
          <t>Stage 2</t>
        </is>
      </c>
      <c r="F3845" t="inlineStr">
        <is>
          <t>N/A</t>
        </is>
      </c>
      <c r="G3845" s="26">
        <v>776497008</v>
      </c>
      <c r="H3845" s="26">
        <v>46589820</v>
      </c>
      <c r="I3845" s="26">
        <v>0</v>
      </c>
      <c r="J3845" s="26">
        <v>38</v>
      </c>
      <c r="K3845" t="inlineStr">
        <is>
          <t>Non</t>
        </is>
      </c>
      <c r="L3845">
        <f>SUBTOTAL(103,A3845)</f>
        <v>1</v>
      </c>
    </row>
    <row r="3846">
      <c r="A3846" t="inlineStr">
        <is>
          <t>SOCIETE C605</t>
        </is>
      </c>
      <c r="B3846" t="inlineStr">
        <is>
          <t>C605</t>
        </is>
      </c>
      <c r="C3846" t="inlineStr">
        <is>
          <t>CORPORATE BANKING</t>
        </is>
      </c>
      <c r="D3846" t="inlineStr">
        <is>
          <t>III</t>
        </is>
      </c>
      <c r="E3846" t="inlineStr">
        <is>
          <t>Stage 3</t>
        </is>
      </c>
      <c r="F3846" t="inlineStr">
        <is>
          <t>N/A</t>
        </is>
      </c>
      <c r="G3846" s="26">
        <v>20399949</v>
      </c>
      <c r="H3846" s="26">
        <v>11219972</v>
      </c>
      <c r="I3846" s="26">
        <v>302616</v>
      </c>
      <c r="J3846" s="26">
        <v>67</v>
      </c>
      <c r="K3846" t="inlineStr">
        <is>
          <t>Oui</t>
        </is>
      </c>
      <c r="L3846">
        <f>SUBTOTAL(103,A3846)</f>
        <v>1</v>
      </c>
    </row>
    <row r="3847">
      <c r="A3847" t="inlineStr">
        <is>
          <t>SOCIETE C825</t>
        </is>
      </c>
      <c r="B3847" t="inlineStr">
        <is>
          <t>C825</t>
        </is>
      </c>
      <c r="C3847" t="inlineStr">
        <is>
          <t>CORPORATE BANKING</t>
        </is>
      </c>
      <c r="D3847" t="inlineStr">
        <is>
          <t>II</t>
        </is>
      </c>
      <c r="E3847" t="inlineStr">
        <is>
          <t>Stage 2</t>
        </is>
      </c>
      <c r="F3847" t="inlineStr">
        <is>
          <t>N/A</t>
        </is>
      </c>
      <c r="G3847" s="26">
        <v>403112426</v>
      </c>
      <c r="H3847" s="26">
        <v>24186746</v>
      </c>
      <c r="I3847" s="26">
        <v>0</v>
      </c>
      <c r="J3847" s="26">
        <v>24</v>
      </c>
      <c r="K3847" t="inlineStr">
        <is>
          <t>Non</t>
        </is>
      </c>
      <c r="L3847">
        <f>SUBTOTAL(103,A3847)</f>
        <v>1</v>
      </c>
    </row>
    <row r="3848">
      <c r="A3848" t="inlineStr">
        <is>
          <t>SOCIETE C1168</t>
        </is>
      </c>
      <c r="B3848" t="inlineStr">
        <is>
          <t>C1168</t>
        </is>
      </c>
      <c r="C3848" t="inlineStr">
        <is>
          <t>COMMERCIAL BANKING</t>
        </is>
      </c>
      <c r="D3848" t="inlineStr">
        <is>
          <t>I</t>
        </is>
      </c>
      <c r="E3848" t="inlineStr">
        <is>
          <t>Stage 1</t>
        </is>
      </c>
      <c r="F3848" t="inlineStr">
        <is>
          <t>N/A</t>
        </is>
      </c>
      <c r="G3848" s="26">
        <v>1000231</v>
      </c>
      <c r="H3848" s="26">
        <v>10002</v>
      </c>
      <c r="I3848" s="26">
        <v>83867</v>
      </c>
      <c r="J3848" s="26">
        <v>13</v>
      </c>
      <c r="K3848" t="inlineStr">
        <is>
          <t>Non</t>
        </is>
      </c>
      <c r="L3848">
        <f>SUBTOTAL(103,A3848)</f>
        <v>1</v>
      </c>
    </row>
    <row r="3849">
      <c r="A3849" t="inlineStr">
        <is>
          <t>SOCIETE C1070</t>
        </is>
      </c>
      <c r="B3849" t="inlineStr">
        <is>
          <t>C1070</t>
        </is>
      </c>
      <c r="C3849" t="inlineStr">
        <is>
          <t>CORPORATE BANKING</t>
        </is>
      </c>
      <c r="D3849" t="inlineStr">
        <is>
          <t>I</t>
        </is>
      </c>
      <c r="E3849" t="inlineStr">
        <is>
          <t>Stage 1</t>
        </is>
      </c>
      <c r="F3849" t="inlineStr">
        <is>
          <t>N/A</t>
        </is>
      </c>
      <c r="G3849" s="26">
        <v>12305220</v>
      </c>
      <c r="H3849" s="26">
        <v>123052</v>
      </c>
      <c r="I3849" s="26">
        <v>0</v>
      </c>
      <c r="J3849" s="26">
        <v>28</v>
      </c>
      <c r="K3849" t="inlineStr">
        <is>
          <t>Non</t>
        </is>
      </c>
      <c r="L3849">
        <f>SUBTOTAL(103,A3849)</f>
        <v>1</v>
      </c>
    </row>
    <row r="3850">
      <c r="A3850" t="inlineStr">
        <is>
          <t>SOCIETE C47</t>
        </is>
      </c>
      <c r="B3850" t="inlineStr">
        <is>
          <t>C47</t>
        </is>
      </c>
      <c r="C3850" t="inlineStr">
        <is>
          <t>COMMERCIAL BANKING</t>
        </is>
      </c>
      <c r="D3850" t="inlineStr">
        <is>
          <t>I</t>
        </is>
      </c>
      <c r="E3850" t="inlineStr">
        <is>
          <t>Stage 1</t>
        </is>
      </c>
      <c r="F3850" t="inlineStr">
        <is>
          <t>N/A</t>
        </is>
      </c>
      <c r="G3850" s="26">
        <v>459667139</v>
      </c>
      <c r="H3850" s="26">
        <v>4596671</v>
      </c>
      <c r="I3850" s="26">
        <v>4639267</v>
      </c>
      <c r="J3850" s="26">
        <v>29</v>
      </c>
      <c r="K3850" t="inlineStr">
        <is>
          <t>Non</t>
        </is>
      </c>
      <c r="L3850">
        <f>SUBTOTAL(103,A3850)</f>
        <v>1</v>
      </c>
    </row>
    <row r="3851">
      <c r="A3851" t="inlineStr">
        <is>
          <t>SOCIETE C1808</t>
        </is>
      </c>
      <c r="B3851" t="inlineStr">
        <is>
          <t>C1808</t>
        </is>
      </c>
      <c r="C3851" t="inlineStr">
        <is>
          <t>PUBLIC SECTOR</t>
        </is>
      </c>
      <c r="D3851" t="inlineStr">
        <is>
          <t>I</t>
        </is>
      </c>
      <c r="E3851" t="inlineStr">
        <is>
          <t>Stage 1</t>
        </is>
      </c>
      <c r="F3851" t="inlineStr">
        <is>
          <t>N/A</t>
        </is>
      </c>
      <c r="G3851" s="26">
        <v>1221529514</v>
      </c>
      <c r="H3851" s="26">
        <v>12215295</v>
      </c>
      <c r="I3851" s="26">
        <v>0</v>
      </c>
      <c r="J3851" s="26">
        <v>138</v>
      </c>
      <c r="K3851" t="inlineStr">
        <is>
          <t>Non</t>
        </is>
      </c>
      <c r="L3851">
        <f>SUBTOTAL(103,A3851)</f>
        <v>1</v>
      </c>
    </row>
    <row r="3852">
      <c r="A3852" t="inlineStr">
        <is>
          <t>SOCIETE C910</t>
        </is>
      </c>
      <c r="B3852" t="inlineStr">
        <is>
          <t>C910</t>
        </is>
      </c>
      <c r="C3852" t="inlineStr">
        <is>
          <t>SME</t>
        </is>
      </c>
      <c r="D3852" t="inlineStr">
        <is>
          <t>II</t>
        </is>
      </c>
      <c r="E3852" t="inlineStr">
        <is>
          <t>Stage 2</t>
        </is>
      </c>
      <c r="F3852" t="inlineStr">
        <is>
          <t>N/A</t>
        </is>
      </c>
      <c r="G3852" s="26">
        <v>548334113</v>
      </c>
      <c r="H3852" s="26">
        <v>32900047</v>
      </c>
      <c r="I3852" s="26">
        <v>0</v>
      </c>
      <c r="J3852" s="26">
        <v>7</v>
      </c>
      <c r="K3852" t="inlineStr">
        <is>
          <t>Non</t>
        </is>
      </c>
      <c r="L3852">
        <f>SUBTOTAL(103,A3852)</f>
        <v>1</v>
      </c>
    </row>
    <row r="3853">
      <c r="A3853" t="inlineStr">
        <is>
          <t>SOCIETE C715</t>
        </is>
      </c>
      <c r="B3853" t="inlineStr">
        <is>
          <t>C715</t>
        </is>
      </c>
      <c r="C3853" t="inlineStr">
        <is>
          <t>CORPORATE BANKING</t>
        </is>
      </c>
      <c r="D3853" t="inlineStr">
        <is>
          <t>II</t>
        </is>
      </c>
      <c r="E3853" t="inlineStr">
        <is>
          <t>Stage 2</t>
        </is>
      </c>
      <c r="F3853" t="inlineStr">
        <is>
          <t>N/A</t>
        </is>
      </c>
      <c r="G3853" s="26">
        <v>649980991</v>
      </c>
      <c r="H3853" s="26">
        <v>38998859</v>
      </c>
      <c r="I3853" s="26">
        <v>0</v>
      </c>
      <c r="J3853" s="26">
        <v>18</v>
      </c>
      <c r="K3853" t="inlineStr">
        <is>
          <t>Non</t>
        </is>
      </c>
      <c r="L3853">
        <f>SUBTOTAL(103,A3853)</f>
        <v>1</v>
      </c>
    </row>
    <row r="3854">
      <c r="A3854" t="inlineStr">
        <is>
          <t>SOCIETE C1535</t>
        </is>
      </c>
      <c r="B3854" t="inlineStr">
        <is>
          <t>C1535</t>
        </is>
      </c>
      <c r="C3854" t="inlineStr">
        <is>
          <t>COMMERCIAL BANKING</t>
        </is>
      </c>
      <c r="D3854" t="inlineStr">
        <is>
          <t>II</t>
        </is>
      </c>
      <c r="E3854" t="inlineStr">
        <is>
          <t>Stage 2</t>
        </is>
      </c>
      <c r="F3854" t="inlineStr">
        <is>
          <t>N/A</t>
        </is>
      </c>
      <c r="G3854" s="26">
        <v>889638393</v>
      </c>
      <c r="H3854" s="26">
        <v>53378304</v>
      </c>
      <c r="I3854" s="26">
        <v>0</v>
      </c>
      <c r="J3854" s="26">
        <v>5</v>
      </c>
      <c r="K3854" t="inlineStr">
        <is>
          <t>Non</t>
        </is>
      </c>
      <c r="L3854">
        <f>SUBTOTAL(103,A3854)</f>
        <v>1</v>
      </c>
    </row>
    <row r="3855">
      <c r="A3855" t="inlineStr">
        <is>
          <t>SOCIETE C577</t>
        </is>
      </c>
      <c r="B3855" t="inlineStr">
        <is>
          <t>C577</t>
        </is>
      </c>
      <c r="C3855" t="inlineStr">
        <is>
          <t>CORPORATE BANKING</t>
        </is>
      </c>
      <c r="D3855" t="inlineStr">
        <is>
          <t>II</t>
        </is>
      </c>
      <c r="E3855" t="inlineStr">
        <is>
          <t>Stage 2</t>
        </is>
      </c>
      <c r="F3855" t="inlineStr">
        <is>
          <t>N/A</t>
        </is>
      </c>
      <c r="G3855" s="26">
        <v>75535544</v>
      </c>
      <c r="H3855" s="26">
        <v>4532133</v>
      </c>
      <c r="I3855" s="26">
        <v>0</v>
      </c>
      <c r="J3855" s="26">
        <v>186</v>
      </c>
      <c r="K3855" t="inlineStr">
        <is>
          <t>Non</t>
        </is>
      </c>
      <c r="L3855">
        <f>SUBTOTAL(103,A3855)</f>
        <v>1</v>
      </c>
    </row>
    <row r="3856">
      <c r="A3856" t="inlineStr">
        <is>
          <t>SOCIETE C779</t>
        </is>
      </c>
      <c r="B3856" t="inlineStr">
        <is>
          <t>C779</t>
        </is>
      </c>
      <c r="C3856" t="inlineStr">
        <is>
          <t>CORPORATE BANKING</t>
        </is>
      </c>
      <c r="D3856" t="inlineStr">
        <is>
          <t>IA</t>
        </is>
      </c>
      <c r="E3856" t="inlineStr">
        <is>
          <t>Stage 2</t>
        </is>
      </c>
      <c r="F3856" t="inlineStr">
        <is>
          <t>N/A</t>
        </is>
      </c>
      <c r="G3856" s="26">
        <v>228056175</v>
      </c>
      <c r="H3856" s="26">
        <v>13683370</v>
      </c>
      <c r="I3856" s="26">
        <v>0</v>
      </c>
      <c r="J3856" s="26">
        <v>5</v>
      </c>
      <c r="K3856" t="inlineStr">
        <is>
          <t>Non</t>
        </is>
      </c>
      <c r="L3856">
        <f>SUBTOTAL(103,A3856)</f>
        <v>1</v>
      </c>
    </row>
    <row r="3857">
      <c r="A3857" t="inlineStr">
        <is>
          <t>SOCIETE C101</t>
        </is>
      </c>
      <c r="B3857" t="inlineStr">
        <is>
          <t>C101</t>
        </is>
      </c>
      <c r="C3857" t="inlineStr">
        <is>
          <t>CORPORATE BANKING</t>
        </is>
      </c>
      <c r="D3857" t="inlineStr">
        <is>
          <t>II</t>
        </is>
      </c>
      <c r="E3857" t="inlineStr">
        <is>
          <t>Stage 2</t>
        </is>
      </c>
      <c r="F3857" t="inlineStr">
        <is>
          <t>N/A</t>
        </is>
      </c>
      <c r="G3857" s="26">
        <v>1150145628</v>
      </c>
      <c r="H3857" s="26">
        <v>69008738</v>
      </c>
      <c r="I3857" s="26">
        <v>185518812</v>
      </c>
      <c r="J3857" s="26">
        <v>190</v>
      </c>
      <c r="K3857" t="inlineStr">
        <is>
          <t>Non</t>
        </is>
      </c>
      <c r="L3857">
        <f>SUBTOTAL(103,A3857)</f>
        <v>1</v>
      </c>
    </row>
    <row r="3858">
      <c r="A3858" t="inlineStr">
        <is>
          <t>SOCIETE C2119</t>
        </is>
      </c>
      <c r="B3858" t="inlineStr">
        <is>
          <t>C2119</t>
        </is>
      </c>
      <c r="C3858" t="inlineStr">
        <is>
          <t>CONSUMER BANKING</t>
        </is>
      </c>
      <c r="D3858" t="inlineStr">
        <is>
          <t>I</t>
        </is>
      </c>
      <c r="E3858" t="inlineStr">
        <is>
          <t>Stage 1</t>
        </is>
      </c>
      <c r="F3858" t="inlineStr">
        <is>
          <t>N/A</t>
        </is>
      </c>
      <c r="G3858" s="26">
        <v>67229837</v>
      </c>
      <c r="H3858" s="26">
        <v>672298</v>
      </c>
      <c r="I3858" s="26">
        <v>0</v>
      </c>
      <c r="J3858" s="26">
        <v>303</v>
      </c>
      <c r="K3858" t="inlineStr">
        <is>
          <t>Non</t>
        </is>
      </c>
      <c r="L3858">
        <f>SUBTOTAL(103,A3858)</f>
        <v>1</v>
      </c>
    </row>
    <row r="3859">
      <c r="A3859" t="inlineStr">
        <is>
          <t>SOCIETE C1487</t>
        </is>
      </c>
      <c r="B3859" t="inlineStr">
        <is>
          <t>C1487</t>
        </is>
      </c>
      <c r="C3859" t="inlineStr">
        <is>
          <t>CORPORATE BANKING</t>
        </is>
      </c>
      <c r="D3859" t="inlineStr">
        <is>
          <t>I</t>
        </is>
      </c>
      <c r="E3859" t="inlineStr">
        <is>
          <t>Stage 1</t>
        </is>
      </c>
      <c r="F3859" t="inlineStr">
        <is>
          <t>N/A</t>
        </is>
      </c>
      <c r="G3859" s="26">
        <v>1318013061</v>
      </c>
      <c r="H3859" s="26">
        <v>13180131</v>
      </c>
      <c r="I3859" s="26">
        <v>85502938</v>
      </c>
      <c r="J3859" s="26">
        <v>115</v>
      </c>
      <c r="K3859" t="inlineStr">
        <is>
          <t>Non</t>
        </is>
      </c>
      <c r="L3859">
        <f>SUBTOTAL(103,A3859)</f>
        <v>1</v>
      </c>
    </row>
    <row r="3860">
      <c r="A3860" t="inlineStr">
        <is>
          <t>SOCIETE C851</t>
        </is>
      </c>
      <c r="B3860" t="inlineStr">
        <is>
          <t>C851</t>
        </is>
      </c>
      <c r="C3860" t="inlineStr">
        <is>
          <t>CORPORATE BANKING</t>
        </is>
      </c>
      <c r="D3860" t="inlineStr">
        <is>
          <t>IA</t>
        </is>
      </c>
      <c r="E3860" t="inlineStr">
        <is>
          <t>Stage 2</t>
        </is>
      </c>
      <c r="F3860" t="inlineStr">
        <is>
          <t>N/A</t>
        </is>
      </c>
      <c r="G3860" s="26">
        <v>1465066073</v>
      </c>
      <c r="H3860" s="26">
        <v>87903964</v>
      </c>
      <c r="I3860" s="26">
        <v>0</v>
      </c>
      <c r="J3860" s="26">
        <v>194</v>
      </c>
      <c r="K3860" t="inlineStr">
        <is>
          <t>Non</t>
        </is>
      </c>
      <c r="L3860">
        <f>SUBTOTAL(103,A3860)</f>
        <v>1</v>
      </c>
    </row>
    <row r="3861">
      <c r="A3861" t="inlineStr">
        <is>
          <t>SOCIETE C1352</t>
        </is>
      </c>
      <c r="B3861" t="inlineStr">
        <is>
          <t>C1352</t>
        </is>
      </c>
      <c r="C3861" t="inlineStr">
        <is>
          <t>SME</t>
        </is>
      </c>
      <c r="D3861" t="inlineStr">
        <is>
          <t>I</t>
        </is>
      </c>
      <c r="E3861" t="inlineStr">
        <is>
          <t>Stage 1</t>
        </is>
      </c>
      <c r="F3861" t="inlineStr">
        <is>
          <t>N/A</t>
        </is>
      </c>
      <c r="G3861" s="26">
        <v>513804890</v>
      </c>
      <c r="H3861" s="26">
        <v>5138049</v>
      </c>
      <c r="I3861" s="26">
        <v>46433913</v>
      </c>
      <c r="J3861" s="26">
        <v>48</v>
      </c>
      <c r="K3861" t="inlineStr">
        <is>
          <t>Non</t>
        </is>
      </c>
      <c r="L3861">
        <f>SUBTOTAL(103,A3861)</f>
        <v>1</v>
      </c>
    </row>
    <row r="3862">
      <c r="A3862" t="inlineStr">
        <is>
          <t>SOCIETE C1820</t>
        </is>
      </c>
      <c r="B3862" t="inlineStr">
        <is>
          <t>C1820</t>
        </is>
      </c>
      <c r="C3862" t="inlineStr">
        <is>
          <t>PUBLIC SECTOR</t>
        </is>
      </c>
      <c r="D3862" t="inlineStr">
        <is>
          <t>IA</t>
        </is>
      </c>
      <c r="E3862" t="inlineStr">
        <is>
          <t>Stage 2</t>
        </is>
      </c>
      <c r="F3862" t="inlineStr">
        <is>
          <t>N/A</t>
        </is>
      </c>
      <c r="G3862" s="26">
        <v>276067722</v>
      </c>
      <c r="H3862" s="26">
        <v>16564063</v>
      </c>
      <c r="I3862" s="26">
        <v>45729601</v>
      </c>
      <c r="J3862" s="26">
        <v>9</v>
      </c>
      <c r="K3862" t="inlineStr">
        <is>
          <t>Non</t>
        </is>
      </c>
      <c r="L3862">
        <f>SUBTOTAL(103,A3862)</f>
        <v>1</v>
      </c>
    </row>
    <row r="3863">
      <c r="A3863" t="inlineStr">
        <is>
          <t>SOCIETE C2470</t>
        </is>
      </c>
      <c r="B3863" t="inlineStr">
        <is>
          <t>C2470</t>
        </is>
      </c>
      <c r="C3863" t="inlineStr">
        <is>
          <t>COMMERCIAL BANKING</t>
        </is>
      </c>
      <c r="D3863" t="inlineStr">
        <is>
          <t>IV</t>
        </is>
      </c>
      <c r="E3863" t="inlineStr">
        <is>
          <t>Stage 3</t>
        </is>
      </c>
      <c r="F3863" t="inlineStr">
        <is>
          <t>N/A</t>
        </is>
      </c>
      <c r="G3863" s="26">
        <v>1137187802</v>
      </c>
      <c r="H3863" s="26">
        <v>625453291</v>
      </c>
      <c r="I3863" s="26">
        <v>0</v>
      </c>
      <c r="J3863" s="26">
        <v>98</v>
      </c>
      <c r="K3863" t="inlineStr">
        <is>
          <t>Oui</t>
        </is>
      </c>
      <c r="L3863">
        <f>SUBTOTAL(103,A3863)</f>
        <v>1</v>
      </c>
    </row>
    <row r="3864">
      <c r="A3864" t="inlineStr">
        <is>
          <t>SOCIETE C2381</t>
        </is>
      </c>
      <c r="B3864" t="inlineStr">
        <is>
          <t>C2381</t>
        </is>
      </c>
      <c r="C3864" t="inlineStr">
        <is>
          <t>CORPORATE BANKING</t>
        </is>
      </c>
      <c r="D3864" t="inlineStr">
        <is>
          <t>I</t>
        </is>
      </c>
      <c r="E3864" t="inlineStr">
        <is>
          <t>Stage 1</t>
        </is>
      </c>
      <c r="F3864" t="inlineStr">
        <is>
          <t>N/A</t>
        </is>
      </c>
      <c r="G3864" s="26">
        <v>1948447</v>
      </c>
      <c r="H3864" s="26">
        <v>19484</v>
      </c>
      <c r="I3864" s="26">
        <v>0</v>
      </c>
      <c r="J3864" s="26">
        <v>44</v>
      </c>
      <c r="K3864" t="inlineStr">
        <is>
          <t>Non</t>
        </is>
      </c>
      <c r="L3864">
        <f>SUBTOTAL(103,A3864)</f>
        <v>1</v>
      </c>
    </row>
    <row r="3865">
      <c r="A3865" t="inlineStr">
        <is>
          <t>SOCIETE C1015</t>
        </is>
      </c>
      <c r="B3865" t="inlineStr">
        <is>
          <t>C1015</t>
        </is>
      </c>
      <c r="C3865" t="inlineStr">
        <is>
          <t>CORPORATE BANKING</t>
        </is>
      </c>
      <c r="D3865" t="inlineStr">
        <is>
          <t>I</t>
        </is>
      </c>
      <c r="E3865" t="inlineStr">
        <is>
          <t>Stage 1</t>
        </is>
      </c>
      <c r="F3865" t="inlineStr">
        <is>
          <t>N/A</t>
        </is>
      </c>
      <c r="G3865" s="26">
        <v>1588564546</v>
      </c>
      <c r="H3865" s="26">
        <v>15885645</v>
      </c>
      <c r="I3865" s="26">
        <v>0</v>
      </c>
      <c r="J3865" s="26">
        <v>135</v>
      </c>
      <c r="K3865" t="inlineStr">
        <is>
          <t>Non</t>
        </is>
      </c>
      <c r="L3865">
        <f>SUBTOTAL(103,A3865)</f>
        <v>1</v>
      </c>
    </row>
    <row r="3866">
      <c r="A3866" t="inlineStr">
        <is>
          <t>SOCIETE C694</t>
        </is>
      </c>
      <c r="B3866" t="inlineStr">
        <is>
          <t>C694</t>
        </is>
      </c>
      <c r="C3866" t="inlineStr">
        <is>
          <t>CORPORATE BANKING</t>
        </is>
      </c>
      <c r="D3866" t="inlineStr">
        <is>
          <t>III</t>
        </is>
      </c>
      <c r="E3866" t="inlineStr">
        <is>
          <t>Stage 3</t>
        </is>
      </c>
      <c r="F3866" t="inlineStr">
        <is>
          <t>N/A</t>
        </is>
      </c>
      <c r="G3866" s="26">
        <v>165895910</v>
      </c>
      <c r="H3866" s="26">
        <v>91242750</v>
      </c>
      <c r="I3866" s="26">
        <v>0</v>
      </c>
      <c r="J3866" s="26">
        <v>203</v>
      </c>
      <c r="K3866" t="inlineStr">
        <is>
          <t>Oui</t>
        </is>
      </c>
      <c r="L3866">
        <f>SUBTOTAL(103,A3866)</f>
        <v>1</v>
      </c>
    </row>
    <row r="3867">
      <c r="A3867" t="inlineStr">
        <is>
          <t>SOCIETE C1168</t>
        </is>
      </c>
      <c r="B3867" t="inlineStr">
        <is>
          <t>C1168</t>
        </is>
      </c>
      <c r="C3867" t="inlineStr">
        <is>
          <t>CORPORATE BANKING</t>
        </is>
      </c>
      <c r="D3867" t="inlineStr">
        <is>
          <t>IV</t>
        </is>
      </c>
      <c r="E3867" t="inlineStr">
        <is>
          <t>Stage 3</t>
        </is>
      </c>
      <c r="F3867" t="inlineStr">
        <is>
          <t>N/A</t>
        </is>
      </c>
      <c r="G3867" s="26">
        <v>1608639497</v>
      </c>
      <c r="H3867" s="26">
        <v>884751723</v>
      </c>
      <c r="I3867" s="26">
        <v>0</v>
      </c>
      <c r="J3867" s="26">
        <v>19</v>
      </c>
      <c r="K3867" t="inlineStr">
        <is>
          <t>Oui</t>
        </is>
      </c>
      <c r="L3867">
        <f>SUBTOTAL(103,A3867)</f>
        <v>1</v>
      </c>
    </row>
    <row r="3868">
      <c r="A3868" t="inlineStr">
        <is>
          <t>SOCIETE C2237</t>
        </is>
      </c>
      <c r="B3868" t="inlineStr">
        <is>
          <t>C2237</t>
        </is>
      </c>
      <c r="C3868" t="inlineStr">
        <is>
          <t>COMMERCIAL BANKING</t>
        </is>
      </c>
      <c r="D3868" t="inlineStr">
        <is>
          <t>IA</t>
        </is>
      </c>
      <c r="E3868" t="inlineStr">
        <is>
          <t>Stage 2</t>
        </is>
      </c>
      <c r="F3868" t="inlineStr">
        <is>
          <t>N/A</t>
        </is>
      </c>
      <c r="G3868" s="26">
        <v>661161467</v>
      </c>
      <c r="H3868" s="26">
        <v>39669688</v>
      </c>
      <c r="I3868" s="26">
        <v>0</v>
      </c>
      <c r="J3868" s="26">
        <v>305</v>
      </c>
      <c r="K3868" t="inlineStr">
        <is>
          <t>Non</t>
        </is>
      </c>
      <c r="L3868">
        <f>SUBTOTAL(103,A3868)</f>
        <v>1</v>
      </c>
    </row>
    <row r="3869">
      <c r="A3869" t="inlineStr">
        <is>
          <t>SOCIETE C255</t>
        </is>
      </c>
      <c r="B3869" t="inlineStr">
        <is>
          <t>C255</t>
        </is>
      </c>
      <c r="C3869" t="inlineStr">
        <is>
          <t>SME</t>
        </is>
      </c>
      <c r="D3869" t="inlineStr">
        <is>
          <t>I</t>
        </is>
      </c>
      <c r="E3869" t="inlineStr">
        <is>
          <t>Stage 1</t>
        </is>
      </c>
      <c r="F3869" t="inlineStr">
        <is>
          <t>N/A</t>
        </is>
      </c>
      <c r="G3869" s="26">
        <v>2548293315</v>
      </c>
      <c r="H3869" s="26">
        <v>25482933</v>
      </c>
      <c r="I3869" s="26">
        <v>253266711</v>
      </c>
      <c r="J3869" s="26">
        <v>138</v>
      </c>
      <c r="K3869" t="inlineStr">
        <is>
          <t>Non</t>
        </is>
      </c>
      <c r="L3869">
        <f>SUBTOTAL(103,A3869)</f>
        <v>1</v>
      </c>
    </row>
    <row r="3870">
      <c r="A3870" t="inlineStr">
        <is>
          <t>SOCIETE C1743</t>
        </is>
      </c>
      <c r="B3870" t="inlineStr">
        <is>
          <t>C1743</t>
        </is>
      </c>
      <c r="C3870" t="inlineStr">
        <is>
          <t>CORPORATE BANKING</t>
        </is>
      </c>
      <c r="D3870" t="inlineStr">
        <is>
          <t>I</t>
        </is>
      </c>
      <c r="E3870" t="inlineStr">
        <is>
          <t>Stage 1</t>
        </is>
      </c>
      <c r="F3870" t="inlineStr">
        <is>
          <t>N/A</t>
        </is>
      </c>
      <c r="G3870" s="26">
        <v>996469424</v>
      </c>
      <c r="H3870" s="26">
        <v>9964694</v>
      </c>
      <c r="I3870" s="26">
        <v>0</v>
      </c>
      <c r="J3870" s="26">
        <v>10</v>
      </c>
      <c r="K3870" t="inlineStr">
        <is>
          <t>Non</t>
        </is>
      </c>
      <c r="L3870">
        <f>SUBTOTAL(103,A3870)</f>
        <v>1</v>
      </c>
    </row>
    <row r="3871">
      <c r="A3871" t="inlineStr">
        <is>
          <t>SOCIETE C220</t>
        </is>
      </c>
      <c r="B3871" t="inlineStr">
        <is>
          <t>C220</t>
        </is>
      </c>
      <c r="C3871" t="inlineStr">
        <is>
          <t>CONSUMER BANKING</t>
        </is>
      </c>
      <c r="D3871" t="inlineStr">
        <is>
          <t>II</t>
        </is>
      </c>
      <c r="E3871" t="inlineStr">
        <is>
          <t>Stage 2</t>
        </is>
      </c>
      <c r="F3871" t="inlineStr">
        <is>
          <t>N/A</t>
        </is>
      </c>
      <c r="G3871" s="26">
        <v>16285697</v>
      </c>
      <c r="H3871" s="26">
        <v>977142</v>
      </c>
      <c r="I3871" s="26">
        <v>1050568</v>
      </c>
      <c r="J3871" s="26">
        <v>286</v>
      </c>
      <c r="K3871" t="inlineStr">
        <is>
          <t>Non</t>
        </is>
      </c>
      <c r="L3871">
        <f>SUBTOTAL(103,A3871)</f>
        <v>1</v>
      </c>
    </row>
    <row r="3872">
      <c r="A3872" t="inlineStr">
        <is>
          <t>SOCIETE C1299</t>
        </is>
      </c>
      <c r="B3872" t="inlineStr">
        <is>
          <t>C1299</t>
        </is>
      </c>
      <c r="C3872" t="inlineStr">
        <is>
          <t>INSTITUTIONAL</t>
        </is>
      </c>
      <c r="D3872" t="inlineStr">
        <is>
          <t>II</t>
        </is>
      </c>
      <c r="E3872" t="inlineStr">
        <is>
          <t>Stage 2</t>
        </is>
      </c>
      <c r="F3872" t="inlineStr">
        <is>
          <t>N/A</t>
        </is>
      </c>
      <c r="G3872" s="26">
        <v>606644697</v>
      </c>
      <c r="H3872" s="26">
        <v>36398682</v>
      </c>
      <c r="I3872" s="26">
        <v>0</v>
      </c>
      <c r="J3872" s="26">
        <v>89</v>
      </c>
      <c r="K3872" t="inlineStr">
        <is>
          <t>Non</t>
        </is>
      </c>
      <c r="L3872">
        <f>SUBTOTAL(103,A3872)</f>
        <v>1</v>
      </c>
    </row>
    <row r="3873">
      <c r="A3873" t="inlineStr">
        <is>
          <t>SOCIETE C2135</t>
        </is>
      </c>
      <c r="B3873" t="inlineStr">
        <is>
          <t>C2135</t>
        </is>
      </c>
      <c r="C3873" t="inlineStr">
        <is>
          <t>SME</t>
        </is>
      </c>
      <c r="D3873" t="inlineStr">
        <is>
          <t>II</t>
        </is>
      </c>
      <c r="E3873" t="inlineStr">
        <is>
          <t>Stage 2</t>
        </is>
      </c>
      <c r="F3873" t="inlineStr">
        <is>
          <t>N/A</t>
        </is>
      </c>
      <c r="G3873" s="26">
        <v>1750166811</v>
      </c>
      <c r="H3873" s="26">
        <v>105010009</v>
      </c>
      <c r="I3873" s="26">
        <v>61598707</v>
      </c>
      <c r="J3873" s="26">
        <v>229</v>
      </c>
      <c r="K3873" t="inlineStr">
        <is>
          <t>Non</t>
        </is>
      </c>
      <c r="L3873">
        <f>SUBTOTAL(103,A3873)</f>
        <v>1</v>
      </c>
    </row>
    <row r="3874">
      <c r="A3874" t="inlineStr">
        <is>
          <t>SOCIETE C2246</t>
        </is>
      </c>
      <c r="B3874" t="inlineStr">
        <is>
          <t>C2246</t>
        </is>
      </c>
      <c r="C3874" t="inlineStr">
        <is>
          <t>CORPORATE BANKING</t>
        </is>
      </c>
      <c r="D3874" t="inlineStr">
        <is>
          <t>IV</t>
        </is>
      </c>
      <c r="E3874" t="inlineStr">
        <is>
          <t>Stage 3</t>
        </is>
      </c>
      <c r="F3874" t="inlineStr">
        <is>
          <t>N/A</t>
        </is>
      </c>
      <c r="G3874" s="26">
        <v>2849353764</v>
      </c>
      <c r="H3874" s="26">
        <v>1567144570</v>
      </c>
      <c r="I3874" s="26">
        <v>0</v>
      </c>
      <c r="J3874" s="26">
        <v>170</v>
      </c>
      <c r="K3874" t="inlineStr">
        <is>
          <t>Oui</t>
        </is>
      </c>
      <c r="L3874">
        <f>SUBTOTAL(103,A3874)</f>
        <v>1</v>
      </c>
    </row>
    <row r="3875">
      <c r="A3875" t="inlineStr">
        <is>
          <t>SOCIETE C2386</t>
        </is>
      </c>
      <c r="B3875" t="inlineStr">
        <is>
          <t>C2386</t>
        </is>
      </c>
      <c r="C3875" t="inlineStr">
        <is>
          <t>PUBLIC SECTOR</t>
        </is>
      </c>
      <c r="D3875" t="inlineStr">
        <is>
          <t>IV</t>
        </is>
      </c>
      <c r="E3875" t="inlineStr">
        <is>
          <t>Stage 3</t>
        </is>
      </c>
      <c r="F3875" t="inlineStr">
        <is>
          <t>N/A</t>
        </is>
      </c>
      <c r="G3875" s="26">
        <v>6317095</v>
      </c>
      <c r="H3875" s="26">
        <v>3474402</v>
      </c>
      <c r="I3875" s="26">
        <v>0</v>
      </c>
      <c r="J3875" s="26">
        <v>338</v>
      </c>
      <c r="K3875" t="inlineStr">
        <is>
          <t>Oui</t>
        </is>
      </c>
      <c r="L3875">
        <f>SUBTOTAL(103,A3875)</f>
        <v>1</v>
      </c>
    </row>
    <row r="3876">
      <c r="A3876" t="inlineStr">
        <is>
          <t>SOCIETE C2376</t>
        </is>
      </c>
      <c r="B3876" t="inlineStr">
        <is>
          <t>C2376</t>
        </is>
      </c>
      <c r="C3876" t="inlineStr">
        <is>
          <t>CORPORATE BANKING</t>
        </is>
      </c>
      <c r="D3876" t="inlineStr">
        <is>
          <t>I</t>
        </is>
      </c>
      <c r="E3876" t="inlineStr">
        <is>
          <t>Stage 1</t>
        </is>
      </c>
      <c r="F3876" t="inlineStr">
        <is>
          <t>N/A</t>
        </is>
      </c>
      <c r="G3876" s="26">
        <v>463802989</v>
      </c>
      <c r="H3876" s="26">
        <v>4638030</v>
      </c>
      <c r="I3876" s="26">
        <v>0</v>
      </c>
      <c r="J3876" s="26">
        <v>19</v>
      </c>
      <c r="K3876" t="inlineStr">
        <is>
          <t>Non</t>
        </is>
      </c>
      <c r="L3876">
        <f>SUBTOTAL(103,A3876)</f>
        <v>1</v>
      </c>
    </row>
    <row r="3877">
      <c r="A3877" t="inlineStr">
        <is>
          <t>SOCIETE C1463</t>
        </is>
      </c>
      <c r="B3877" t="inlineStr">
        <is>
          <t>C1463</t>
        </is>
      </c>
      <c r="C3877" t="inlineStr">
        <is>
          <t>COMMERCIAL BANKING</t>
        </is>
      </c>
      <c r="D3877" t="inlineStr">
        <is>
          <t>V</t>
        </is>
      </c>
      <c r="E3877" t="inlineStr">
        <is>
          <t>Stage 3</t>
        </is>
      </c>
      <c r="F3877" t="inlineStr">
        <is>
          <t>N/A</t>
        </is>
      </c>
      <c r="G3877" s="26">
        <v>1011919470</v>
      </c>
      <c r="H3877" s="26">
        <v>556555709</v>
      </c>
      <c r="I3877" s="26">
        <v>0</v>
      </c>
      <c r="J3877" s="26">
        <v>119</v>
      </c>
      <c r="K3877" t="inlineStr">
        <is>
          <t>Oui</t>
        </is>
      </c>
      <c r="L3877">
        <f>SUBTOTAL(103,A3877)</f>
        <v>1</v>
      </c>
    </row>
    <row r="3878">
      <c r="A3878" t="inlineStr">
        <is>
          <t>SOCIETE C1228</t>
        </is>
      </c>
      <c r="B3878" t="inlineStr">
        <is>
          <t>C1228</t>
        </is>
      </c>
      <c r="C3878" t="inlineStr">
        <is>
          <t>CORPORATE BANKING</t>
        </is>
      </c>
      <c r="D3878" t="inlineStr">
        <is>
          <t>III</t>
        </is>
      </c>
      <c r="E3878" t="inlineStr">
        <is>
          <t>Stage 3</t>
        </is>
      </c>
      <c r="F3878" t="inlineStr">
        <is>
          <t>N/A</t>
        </is>
      </c>
      <c r="G3878" s="26">
        <v>52602042</v>
      </c>
      <c r="H3878" s="26">
        <v>28931123</v>
      </c>
      <c r="I3878" s="26">
        <v>0</v>
      </c>
      <c r="J3878" s="26">
        <v>23</v>
      </c>
      <c r="K3878" t="inlineStr">
        <is>
          <t>Oui</t>
        </is>
      </c>
      <c r="L3878">
        <f>SUBTOTAL(103,A3878)</f>
        <v>1</v>
      </c>
    </row>
    <row r="3879">
      <c r="A3879" t="inlineStr">
        <is>
          <t>SOCIETE C1603</t>
        </is>
      </c>
      <c r="B3879" t="inlineStr">
        <is>
          <t>C1603</t>
        </is>
      </c>
      <c r="C3879" t="inlineStr">
        <is>
          <t>CORPORATE BANKING</t>
        </is>
      </c>
      <c r="D3879" t="inlineStr">
        <is>
          <t>I</t>
        </is>
      </c>
      <c r="E3879" t="inlineStr">
        <is>
          <t>Stage 1</t>
        </is>
      </c>
      <c r="F3879" t="inlineStr">
        <is>
          <t>N/A</t>
        </is>
      </c>
      <c r="G3879" s="26">
        <v>2738944132</v>
      </c>
      <c r="H3879" s="26">
        <v>27389441</v>
      </c>
      <c r="I3879" s="26">
        <v>365319175</v>
      </c>
      <c r="J3879" s="26">
        <v>102</v>
      </c>
      <c r="K3879" t="inlineStr">
        <is>
          <t>Non</t>
        </is>
      </c>
      <c r="L3879">
        <f>SUBTOTAL(103,A3879)</f>
        <v>1</v>
      </c>
    </row>
    <row r="3880">
      <c r="A3880" t="inlineStr">
        <is>
          <t>SOCIETE C248</t>
        </is>
      </c>
      <c r="B3880" t="inlineStr">
        <is>
          <t>C248</t>
        </is>
      </c>
      <c r="C3880" t="inlineStr">
        <is>
          <t>CORPORATE BANKING</t>
        </is>
      </c>
      <c r="D3880" t="inlineStr">
        <is>
          <t>I</t>
        </is>
      </c>
      <c r="E3880" t="inlineStr">
        <is>
          <t>Stage 1</t>
        </is>
      </c>
      <c r="F3880" t="inlineStr">
        <is>
          <t>N/A</t>
        </is>
      </c>
      <c r="G3880" s="26">
        <v>1466978324</v>
      </c>
      <c r="H3880" s="26">
        <v>14669783</v>
      </c>
      <c r="I3880" s="26">
        <v>97850969</v>
      </c>
      <c r="J3880" s="26">
        <v>95</v>
      </c>
      <c r="K3880" t="inlineStr">
        <is>
          <t>Non</t>
        </is>
      </c>
      <c r="L3880">
        <f>SUBTOTAL(103,A3880)</f>
        <v>1</v>
      </c>
    </row>
    <row r="3881">
      <c r="A3881" t="inlineStr">
        <is>
          <t>SOCIETE C2325</t>
        </is>
      </c>
      <c r="B3881" t="inlineStr">
        <is>
          <t>C2325</t>
        </is>
      </c>
      <c r="C3881" t="inlineStr">
        <is>
          <t>CORPORATE BANKING</t>
        </is>
      </c>
      <c r="D3881" t="inlineStr">
        <is>
          <t>I</t>
        </is>
      </c>
      <c r="E3881" t="inlineStr">
        <is>
          <t>Stage 1</t>
        </is>
      </c>
      <c r="F3881" t="inlineStr">
        <is>
          <t>N/A</t>
        </is>
      </c>
      <c r="G3881" s="26">
        <v>238425657</v>
      </c>
      <c r="H3881" s="26">
        <v>2384257</v>
      </c>
      <c r="I3881" s="26">
        <v>0</v>
      </c>
      <c r="J3881" s="26">
        <v>54</v>
      </c>
      <c r="K3881" t="inlineStr">
        <is>
          <t>Non</t>
        </is>
      </c>
      <c r="L3881">
        <f>SUBTOTAL(103,A3881)</f>
        <v>1</v>
      </c>
    </row>
    <row r="3882">
      <c r="A3882" t="inlineStr">
        <is>
          <t>SOCIETE C37</t>
        </is>
      </c>
      <c r="B3882" t="inlineStr">
        <is>
          <t>C37</t>
        </is>
      </c>
      <c r="C3882" t="inlineStr">
        <is>
          <t>INSTITUTIONAL</t>
        </is>
      </c>
      <c r="D3882" t="inlineStr">
        <is>
          <t>IA</t>
        </is>
      </c>
      <c r="E3882" t="inlineStr">
        <is>
          <t>Stage 2</t>
        </is>
      </c>
      <c r="F3882" t="inlineStr">
        <is>
          <t>N/A</t>
        </is>
      </c>
      <c r="G3882" s="26">
        <v>1541258746</v>
      </c>
      <c r="H3882" s="26">
        <v>92475525</v>
      </c>
      <c r="I3882" s="26">
        <v>0</v>
      </c>
      <c r="J3882" s="26">
        <v>69</v>
      </c>
      <c r="K3882" t="inlineStr">
        <is>
          <t>Non</t>
        </is>
      </c>
      <c r="L3882">
        <f>SUBTOTAL(103,A3882)</f>
        <v>1</v>
      </c>
    </row>
    <row r="3883">
      <c r="A3883" t="inlineStr">
        <is>
          <t>SOCIETE C883</t>
        </is>
      </c>
      <c r="B3883" t="inlineStr">
        <is>
          <t>C883</t>
        </is>
      </c>
      <c r="C3883" t="inlineStr">
        <is>
          <t>CORPORATE BANKING</t>
        </is>
      </c>
      <c r="D3883" t="inlineStr">
        <is>
          <t>IA</t>
        </is>
      </c>
      <c r="E3883" t="inlineStr">
        <is>
          <t>Stage 2</t>
        </is>
      </c>
      <c r="F3883" t="inlineStr">
        <is>
          <t>N/A</t>
        </is>
      </c>
      <c r="G3883" s="26">
        <v>529433716</v>
      </c>
      <c r="H3883" s="26">
        <v>31766023</v>
      </c>
      <c r="I3883" s="26">
        <v>0</v>
      </c>
      <c r="J3883" s="26">
        <v>159</v>
      </c>
      <c r="K3883" t="inlineStr">
        <is>
          <t>Non</t>
        </is>
      </c>
      <c r="L3883">
        <f>SUBTOTAL(103,A3883)</f>
        <v>1</v>
      </c>
    </row>
    <row r="3884">
      <c r="A3884" t="inlineStr">
        <is>
          <t>SOCIETE C2119</t>
        </is>
      </c>
      <c r="B3884" t="inlineStr">
        <is>
          <t>C2119</t>
        </is>
      </c>
      <c r="C3884" t="inlineStr">
        <is>
          <t>COMMERCIAL BANKING</t>
        </is>
      </c>
      <c r="D3884" t="inlineStr">
        <is>
          <t>I</t>
        </is>
      </c>
      <c r="E3884" t="inlineStr">
        <is>
          <t>Stage 1</t>
        </is>
      </c>
      <c r="F3884" t="inlineStr">
        <is>
          <t>N/A</t>
        </is>
      </c>
      <c r="G3884" s="26">
        <v>104526781</v>
      </c>
      <c r="H3884" s="26">
        <v>1045268</v>
      </c>
      <c r="I3884" s="26">
        <v>15535534</v>
      </c>
      <c r="J3884" s="26">
        <v>349</v>
      </c>
      <c r="K3884" t="inlineStr">
        <is>
          <t>Non</t>
        </is>
      </c>
      <c r="L3884">
        <f>SUBTOTAL(103,A3884)</f>
        <v>1</v>
      </c>
    </row>
    <row r="3885">
      <c r="A3885" t="inlineStr">
        <is>
          <t>SOCIETE C2499</t>
        </is>
      </c>
      <c r="B3885" t="inlineStr">
        <is>
          <t>C2499</t>
        </is>
      </c>
      <c r="C3885" t="inlineStr">
        <is>
          <t>CORPORATE BANKING</t>
        </is>
      </c>
      <c r="D3885" t="inlineStr">
        <is>
          <t>II</t>
        </is>
      </c>
      <c r="E3885" t="inlineStr">
        <is>
          <t>Stage 2</t>
        </is>
      </c>
      <c r="F3885" t="inlineStr">
        <is>
          <t>N/A</t>
        </is>
      </c>
      <c r="G3885" s="26">
        <v>117409237</v>
      </c>
      <c r="H3885" s="26">
        <v>7044554</v>
      </c>
      <c r="I3885" s="26">
        <v>0</v>
      </c>
      <c r="J3885" s="26">
        <v>0</v>
      </c>
      <c r="K3885" t="inlineStr">
        <is>
          <t>Non</t>
        </is>
      </c>
      <c r="L3885">
        <f>SUBTOTAL(103,A3885)</f>
        <v>1</v>
      </c>
    </row>
    <row r="3886">
      <c r="A3886" t="inlineStr">
        <is>
          <t>SOCIETE C129</t>
        </is>
      </c>
      <c r="B3886" t="inlineStr">
        <is>
          <t>C129</t>
        </is>
      </c>
      <c r="C3886" t="inlineStr">
        <is>
          <t>COMMERCIAL BANKING</t>
        </is>
      </c>
      <c r="D3886" t="inlineStr">
        <is>
          <t>IA</t>
        </is>
      </c>
      <c r="E3886" t="inlineStr">
        <is>
          <t>Stage 2</t>
        </is>
      </c>
      <c r="F3886" t="inlineStr">
        <is>
          <t>N/A</t>
        </is>
      </c>
      <c r="G3886" s="26">
        <v>406871797</v>
      </c>
      <c r="H3886" s="26">
        <v>24412308</v>
      </c>
      <c r="I3886" s="26">
        <v>0</v>
      </c>
      <c r="J3886" s="26">
        <v>0</v>
      </c>
      <c r="K3886" t="inlineStr">
        <is>
          <t>Non</t>
        </is>
      </c>
      <c r="L3886">
        <f>SUBTOTAL(103,A3886)</f>
        <v>1</v>
      </c>
    </row>
    <row r="3887">
      <c r="A3887" t="inlineStr">
        <is>
          <t>SOCIETE C843</t>
        </is>
      </c>
      <c r="B3887" t="inlineStr">
        <is>
          <t>C843</t>
        </is>
      </c>
      <c r="C3887" t="inlineStr">
        <is>
          <t>CORPORATE BANKING</t>
        </is>
      </c>
      <c r="D3887" t="inlineStr">
        <is>
          <t>I</t>
        </is>
      </c>
      <c r="E3887" t="inlineStr">
        <is>
          <t>Stage 1</t>
        </is>
      </c>
      <c r="F3887" t="inlineStr">
        <is>
          <t>N/A</t>
        </is>
      </c>
      <c r="G3887" s="26">
        <v>2601105130</v>
      </c>
      <c r="H3887" s="26">
        <v>26011051</v>
      </c>
      <c r="I3887" s="26">
        <v>0</v>
      </c>
      <c r="J3887" s="26">
        <v>18</v>
      </c>
      <c r="K3887" t="inlineStr">
        <is>
          <t>Non</t>
        </is>
      </c>
      <c r="L3887">
        <f>SUBTOTAL(103,A3887)</f>
        <v>1</v>
      </c>
    </row>
    <row r="3888">
      <c r="A3888" t="inlineStr">
        <is>
          <t>SOCIETE C1378</t>
        </is>
      </c>
      <c r="B3888" t="inlineStr">
        <is>
          <t>C1378</t>
        </is>
      </c>
      <c r="C3888" t="inlineStr">
        <is>
          <t>CORPORATE BANKING</t>
        </is>
      </c>
      <c r="D3888" t="inlineStr">
        <is>
          <t>V</t>
        </is>
      </c>
      <c r="E3888" t="inlineStr">
        <is>
          <t>Stage 3</t>
        </is>
      </c>
      <c r="F3888" t="inlineStr">
        <is>
          <t>N/A</t>
        </is>
      </c>
      <c r="G3888" s="26">
        <v>1885712299</v>
      </c>
      <c r="H3888" s="26">
        <v>1037141765</v>
      </c>
      <c r="I3888" s="26">
        <v>0</v>
      </c>
      <c r="J3888" s="26">
        <v>53</v>
      </c>
      <c r="K3888" t="inlineStr">
        <is>
          <t>Oui</t>
        </is>
      </c>
      <c r="L3888">
        <f>SUBTOTAL(103,A3888)</f>
        <v>1</v>
      </c>
    </row>
    <row r="3889">
      <c r="A3889" t="inlineStr">
        <is>
          <t>SOCIETE C757</t>
        </is>
      </c>
      <c r="B3889" t="inlineStr">
        <is>
          <t>C757</t>
        </is>
      </c>
      <c r="C3889" t="inlineStr">
        <is>
          <t>CORPORATE BANKING</t>
        </is>
      </c>
      <c r="D3889" t="inlineStr">
        <is>
          <t>I</t>
        </is>
      </c>
      <c r="E3889" t="inlineStr">
        <is>
          <t>Stage 1</t>
        </is>
      </c>
      <c r="F3889" t="inlineStr">
        <is>
          <t>N/A</t>
        </is>
      </c>
      <c r="G3889" s="26">
        <v>1449178779</v>
      </c>
      <c r="H3889" s="26">
        <v>14491788</v>
      </c>
      <c r="I3889" s="26">
        <v>207224053</v>
      </c>
      <c r="J3889" s="26">
        <v>96</v>
      </c>
      <c r="K3889" t="inlineStr">
        <is>
          <t>Non</t>
        </is>
      </c>
      <c r="L3889">
        <f>SUBTOTAL(103,A3889)</f>
        <v>1</v>
      </c>
    </row>
    <row r="3890">
      <c r="A3890" t="inlineStr">
        <is>
          <t>SOCIETE C1999</t>
        </is>
      </c>
      <c r="B3890" t="inlineStr">
        <is>
          <t>C1999</t>
        </is>
      </c>
      <c r="C3890" t="inlineStr">
        <is>
          <t>COMMERCIAL BANKING</t>
        </is>
      </c>
      <c r="D3890" t="inlineStr">
        <is>
          <t>III</t>
        </is>
      </c>
      <c r="E3890" t="inlineStr">
        <is>
          <t>Stage 3</t>
        </is>
      </c>
      <c r="F3890" t="inlineStr">
        <is>
          <t>N/A</t>
        </is>
      </c>
      <c r="G3890" s="26">
        <v>403458934</v>
      </c>
      <c r="H3890" s="26">
        <v>221902414</v>
      </c>
      <c r="I3890" s="26">
        <v>0</v>
      </c>
      <c r="J3890" s="26">
        <v>271</v>
      </c>
      <c r="K3890" t="inlineStr">
        <is>
          <t>Oui</t>
        </is>
      </c>
      <c r="L3890">
        <f>SUBTOTAL(103,A3890)</f>
        <v>1</v>
      </c>
    </row>
    <row r="3891">
      <c r="A3891" t="inlineStr">
        <is>
          <t>SOCIETE C748</t>
        </is>
      </c>
      <c r="B3891" t="inlineStr">
        <is>
          <t>C748</t>
        </is>
      </c>
      <c r="C3891" t="inlineStr">
        <is>
          <t>CORPORATE BANKING</t>
        </is>
      </c>
      <c r="D3891" t="inlineStr">
        <is>
          <t>I</t>
        </is>
      </c>
      <c r="E3891" t="inlineStr">
        <is>
          <t>Stage 1</t>
        </is>
      </c>
      <c r="F3891" t="inlineStr">
        <is>
          <t>N/A</t>
        </is>
      </c>
      <c r="G3891" s="26">
        <v>646131782</v>
      </c>
      <c r="H3891" s="26">
        <v>6461318</v>
      </c>
      <c r="I3891" s="26">
        <v>78024804</v>
      </c>
      <c r="J3891" s="26">
        <v>72</v>
      </c>
      <c r="K3891" t="inlineStr">
        <is>
          <t>Non</t>
        </is>
      </c>
      <c r="L3891">
        <f>SUBTOTAL(103,A3891)</f>
        <v>1</v>
      </c>
    </row>
    <row r="3892">
      <c r="A3892" t="inlineStr">
        <is>
          <t>SOCIETE C2266</t>
        </is>
      </c>
      <c r="B3892" t="inlineStr">
        <is>
          <t>C2266</t>
        </is>
      </c>
      <c r="C3892" t="inlineStr">
        <is>
          <t>CORPORATE BANKING</t>
        </is>
      </c>
      <c r="D3892" t="inlineStr">
        <is>
          <t>III</t>
        </is>
      </c>
      <c r="E3892" t="inlineStr">
        <is>
          <t>Stage 3</t>
        </is>
      </c>
      <c r="F3892" t="inlineStr">
        <is>
          <t>N/A</t>
        </is>
      </c>
      <c r="G3892" s="26">
        <v>1915069828</v>
      </c>
      <c r="H3892" s="26">
        <v>1053288406</v>
      </c>
      <c r="I3892" s="26">
        <v>56307223</v>
      </c>
      <c r="J3892" s="26">
        <v>220</v>
      </c>
      <c r="K3892" t="inlineStr">
        <is>
          <t>Oui</t>
        </is>
      </c>
      <c r="L3892">
        <f>SUBTOTAL(103,A3892)</f>
        <v>1</v>
      </c>
    </row>
    <row r="3893">
      <c r="A3893" t="inlineStr">
        <is>
          <t>SOCIETE C1711</t>
        </is>
      </c>
      <c r="B3893" t="inlineStr">
        <is>
          <t>C1711</t>
        </is>
      </c>
      <c r="C3893" t="inlineStr">
        <is>
          <t>PUBLIC SECTOR</t>
        </is>
      </c>
      <c r="D3893" t="inlineStr">
        <is>
          <t>I</t>
        </is>
      </c>
      <c r="E3893" t="inlineStr">
        <is>
          <t>Stage 1</t>
        </is>
      </c>
      <c r="F3893" t="inlineStr">
        <is>
          <t>N/A</t>
        </is>
      </c>
      <c r="G3893" s="26">
        <v>2990134323</v>
      </c>
      <c r="H3893" s="26">
        <v>29901343</v>
      </c>
      <c r="I3893" s="26">
        <v>0</v>
      </c>
      <c r="J3893" s="26">
        <v>29</v>
      </c>
      <c r="K3893" t="inlineStr">
        <is>
          <t>Non</t>
        </is>
      </c>
      <c r="L3893">
        <f>SUBTOTAL(103,A3893)</f>
        <v>1</v>
      </c>
    </row>
    <row r="3894">
      <c r="A3894" t="inlineStr">
        <is>
          <t>SOCIETE C1353</t>
        </is>
      </c>
      <c r="B3894" t="inlineStr">
        <is>
          <t>C1353</t>
        </is>
      </c>
      <c r="C3894" t="inlineStr">
        <is>
          <t>CONSUMER BANKING</t>
        </is>
      </c>
      <c r="D3894" t="inlineStr">
        <is>
          <t>I</t>
        </is>
      </c>
      <c r="E3894" t="inlineStr">
        <is>
          <t>Stage 1</t>
        </is>
      </c>
      <c r="F3894" t="inlineStr">
        <is>
          <t>N/A</t>
        </is>
      </c>
      <c r="G3894" s="26">
        <v>5483321</v>
      </c>
      <c r="H3894" s="26">
        <v>54833</v>
      </c>
      <c r="I3894" s="26">
        <v>138339</v>
      </c>
      <c r="J3894" s="26">
        <v>48</v>
      </c>
      <c r="K3894" t="inlineStr">
        <is>
          <t>Non</t>
        </is>
      </c>
      <c r="L3894">
        <f>SUBTOTAL(103,A3894)</f>
        <v>1</v>
      </c>
    </row>
    <row r="3895">
      <c r="A3895" t="inlineStr">
        <is>
          <t>SOCIETE C351</t>
        </is>
      </c>
      <c r="B3895" t="inlineStr">
        <is>
          <t>C351</t>
        </is>
      </c>
      <c r="C3895" t="inlineStr">
        <is>
          <t>COMMERCIAL BANKING</t>
        </is>
      </c>
      <c r="D3895" t="inlineStr">
        <is>
          <t>IA</t>
        </is>
      </c>
      <c r="E3895" t="inlineStr">
        <is>
          <t>Stage 2</t>
        </is>
      </c>
      <c r="F3895" t="inlineStr">
        <is>
          <t>N/A</t>
        </is>
      </c>
      <c r="G3895" s="26">
        <v>338206894</v>
      </c>
      <c r="H3895" s="26">
        <v>20292414</v>
      </c>
      <c r="I3895" s="26">
        <v>0</v>
      </c>
      <c r="J3895" s="26">
        <v>126</v>
      </c>
      <c r="K3895" t="inlineStr">
        <is>
          <t>Non</t>
        </is>
      </c>
      <c r="L3895">
        <f>SUBTOTAL(103,A3895)</f>
        <v>1</v>
      </c>
    </row>
    <row r="3896">
      <c r="A3896" t="inlineStr">
        <is>
          <t>SOCIETE C1505</t>
        </is>
      </c>
      <c r="B3896" t="inlineStr">
        <is>
          <t>C1505</t>
        </is>
      </c>
      <c r="C3896" t="inlineStr">
        <is>
          <t>CORPORATE BANKING</t>
        </is>
      </c>
      <c r="D3896" t="inlineStr">
        <is>
          <t>I</t>
        </is>
      </c>
      <c r="E3896" t="inlineStr">
        <is>
          <t>Stage 1</t>
        </is>
      </c>
      <c r="F3896" t="inlineStr">
        <is>
          <t>N/A</t>
        </is>
      </c>
      <c r="G3896" s="26">
        <v>9165243</v>
      </c>
      <c r="H3896" s="26">
        <v>91652</v>
      </c>
      <c r="I3896" s="26">
        <v>0</v>
      </c>
      <c r="J3896" s="26">
        <v>38</v>
      </c>
      <c r="K3896" t="inlineStr">
        <is>
          <t>Non</t>
        </is>
      </c>
      <c r="L3896">
        <f>SUBTOTAL(103,A3896)</f>
        <v>1</v>
      </c>
    </row>
    <row r="3897">
      <c r="A3897" t="inlineStr">
        <is>
          <t>SOCIETE C462</t>
        </is>
      </c>
      <c r="B3897" t="inlineStr">
        <is>
          <t>C462</t>
        </is>
      </c>
      <c r="C3897" t="inlineStr">
        <is>
          <t>COMMERCIAL BANKING</t>
        </is>
      </c>
      <c r="D3897" t="inlineStr">
        <is>
          <t>IA</t>
        </is>
      </c>
      <c r="E3897" t="inlineStr">
        <is>
          <t>Stage 2</t>
        </is>
      </c>
      <c r="F3897" t="inlineStr">
        <is>
          <t>N/A</t>
        </is>
      </c>
      <c r="G3897" s="26">
        <v>897171907</v>
      </c>
      <c r="H3897" s="26">
        <v>53830314</v>
      </c>
      <c r="I3897" s="26">
        <v>0</v>
      </c>
      <c r="J3897" s="26">
        <v>13</v>
      </c>
      <c r="K3897" t="inlineStr">
        <is>
          <t>Non</t>
        </is>
      </c>
      <c r="L3897">
        <f>SUBTOTAL(103,A3897)</f>
        <v>1</v>
      </c>
    </row>
    <row r="3898">
      <c r="A3898" t="inlineStr">
        <is>
          <t>SOCIETE C1894</t>
        </is>
      </c>
      <c r="B3898" t="inlineStr">
        <is>
          <t>C1894</t>
        </is>
      </c>
      <c r="C3898" t="inlineStr">
        <is>
          <t>SME</t>
        </is>
      </c>
      <c r="D3898" t="inlineStr">
        <is>
          <t>I</t>
        </is>
      </c>
      <c r="E3898" t="inlineStr">
        <is>
          <t>Stage 1</t>
        </is>
      </c>
      <c r="F3898" t="inlineStr">
        <is>
          <t>N/A</t>
        </is>
      </c>
      <c r="G3898" s="26">
        <v>231662938</v>
      </c>
      <c r="H3898" s="26">
        <v>2316629</v>
      </c>
      <c r="I3898" s="26">
        <v>0</v>
      </c>
      <c r="J3898" s="26">
        <v>61</v>
      </c>
      <c r="K3898" t="inlineStr">
        <is>
          <t>Non</t>
        </is>
      </c>
      <c r="L3898">
        <f>SUBTOTAL(103,A3898)</f>
        <v>1</v>
      </c>
    </row>
    <row r="3899">
      <c r="A3899" t="inlineStr">
        <is>
          <t>SOCIETE C1458</t>
        </is>
      </c>
      <c r="B3899" t="inlineStr">
        <is>
          <t>C1458</t>
        </is>
      </c>
      <c r="C3899" t="inlineStr">
        <is>
          <t>CONSUMER BANKING</t>
        </is>
      </c>
      <c r="D3899" t="inlineStr">
        <is>
          <t>II</t>
        </is>
      </c>
      <c r="E3899" t="inlineStr">
        <is>
          <t>Stage 2</t>
        </is>
      </c>
      <c r="F3899" t="inlineStr">
        <is>
          <t>N/A</t>
        </is>
      </c>
      <c r="G3899" s="26">
        <v>1010926</v>
      </c>
      <c r="H3899" s="26">
        <v>60656</v>
      </c>
      <c r="I3899" s="26">
        <v>0</v>
      </c>
      <c r="J3899" s="26">
        <v>108</v>
      </c>
      <c r="K3899" t="inlineStr">
        <is>
          <t>Non</t>
        </is>
      </c>
      <c r="L3899">
        <f>SUBTOTAL(103,A3899)</f>
        <v>1</v>
      </c>
    </row>
    <row r="3900">
      <c r="A3900" t="inlineStr">
        <is>
          <t>SOCIETE C622</t>
        </is>
      </c>
      <c r="B3900" t="inlineStr">
        <is>
          <t>C622</t>
        </is>
      </c>
      <c r="C3900" t="inlineStr">
        <is>
          <t>COMMERCIAL BANKING</t>
        </is>
      </c>
      <c r="D3900" t="inlineStr">
        <is>
          <t>I</t>
        </is>
      </c>
      <c r="E3900" t="inlineStr">
        <is>
          <t>Stage 1</t>
        </is>
      </c>
      <c r="F3900" t="inlineStr">
        <is>
          <t>N/A</t>
        </is>
      </c>
      <c r="G3900" s="26">
        <v>45296488</v>
      </c>
      <c r="H3900" s="26">
        <v>452965</v>
      </c>
      <c r="I3900" s="26">
        <v>0</v>
      </c>
      <c r="J3900" s="26">
        <v>7</v>
      </c>
      <c r="K3900" t="inlineStr">
        <is>
          <t>Non</t>
        </is>
      </c>
      <c r="L3900">
        <f>SUBTOTAL(103,A3900)</f>
        <v>1</v>
      </c>
    </row>
    <row r="3901">
      <c r="A3901" t="inlineStr">
        <is>
          <t>SOCIETE C1624</t>
        </is>
      </c>
      <c r="B3901" t="inlineStr">
        <is>
          <t>C1624</t>
        </is>
      </c>
      <c r="C3901" t="inlineStr">
        <is>
          <t>CORPORATE BANKING</t>
        </is>
      </c>
      <c r="D3901" t="inlineStr">
        <is>
          <t>IA</t>
        </is>
      </c>
      <c r="E3901" t="inlineStr">
        <is>
          <t>Stage 2</t>
        </is>
      </c>
      <c r="F3901" t="inlineStr">
        <is>
          <t>N/A</t>
        </is>
      </c>
      <c r="G3901" s="26">
        <v>175953946</v>
      </c>
      <c r="H3901" s="26">
        <v>10557237</v>
      </c>
      <c r="I3901" s="26">
        <v>0</v>
      </c>
      <c r="J3901" s="26">
        <v>99</v>
      </c>
      <c r="K3901" t="inlineStr">
        <is>
          <t>Non</t>
        </is>
      </c>
      <c r="L3901">
        <f>SUBTOTAL(103,A3901)</f>
        <v>1</v>
      </c>
    </row>
    <row r="3902">
      <c r="A3902" t="inlineStr">
        <is>
          <t>SOCIETE C156</t>
        </is>
      </c>
      <c r="B3902" t="inlineStr">
        <is>
          <t>C156</t>
        </is>
      </c>
      <c r="C3902" t="inlineStr">
        <is>
          <t>SME</t>
        </is>
      </c>
      <c r="D3902" t="inlineStr">
        <is>
          <t>I</t>
        </is>
      </c>
      <c r="E3902" t="inlineStr">
        <is>
          <t>Stage 1</t>
        </is>
      </c>
      <c r="F3902" t="inlineStr">
        <is>
          <t>N/A</t>
        </is>
      </c>
      <c r="G3902" s="26">
        <v>1456691493</v>
      </c>
      <c r="H3902" s="26">
        <v>14566915</v>
      </c>
      <c r="I3902" s="26">
        <v>0</v>
      </c>
      <c r="J3902" s="26">
        <v>72</v>
      </c>
      <c r="K3902" t="inlineStr">
        <is>
          <t>Non</t>
        </is>
      </c>
      <c r="L3902">
        <f>SUBTOTAL(103,A3902)</f>
        <v>1</v>
      </c>
    </row>
    <row r="3903">
      <c r="A3903" t="inlineStr">
        <is>
          <t>SOCIETE C2276</t>
        </is>
      </c>
      <c r="B3903" t="inlineStr">
        <is>
          <t>C2276</t>
        </is>
      </c>
      <c r="C3903" t="inlineStr">
        <is>
          <t>COMMERCIAL BANKING</t>
        </is>
      </c>
      <c r="D3903" t="inlineStr">
        <is>
          <t>I</t>
        </is>
      </c>
      <c r="E3903" t="inlineStr">
        <is>
          <t>Stage 1</t>
        </is>
      </c>
      <c r="F3903" t="inlineStr">
        <is>
          <t>N/A</t>
        </is>
      </c>
      <c r="G3903" s="26">
        <v>38079092</v>
      </c>
      <c r="H3903" s="26">
        <v>380791</v>
      </c>
      <c r="I3903" s="26">
        <v>0</v>
      </c>
      <c r="J3903" s="26">
        <v>51</v>
      </c>
      <c r="K3903" t="inlineStr">
        <is>
          <t>Non</t>
        </is>
      </c>
      <c r="L3903">
        <f>SUBTOTAL(103,A3903)</f>
        <v>1</v>
      </c>
    </row>
    <row r="3904">
      <c r="A3904" t="inlineStr">
        <is>
          <t>SOCIETE C1950</t>
        </is>
      </c>
      <c r="B3904" t="inlineStr">
        <is>
          <t>C1950</t>
        </is>
      </c>
      <c r="C3904" t="inlineStr">
        <is>
          <t>COMMERCIAL BANKING</t>
        </is>
      </c>
      <c r="D3904" t="inlineStr">
        <is>
          <t>I</t>
        </is>
      </c>
      <c r="E3904" t="inlineStr">
        <is>
          <t>Stage 1</t>
        </is>
      </c>
      <c r="F3904" t="inlineStr">
        <is>
          <t>N/A</t>
        </is>
      </c>
      <c r="G3904" s="26">
        <v>947523630</v>
      </c>
      <c r="H3904" s="26">
        <v>9475236</v>
      </c>
      <c r="I3904" s="26">
        <v>0</v>
      </c>
      <c r="J3904" s="26">
        <v>162</v>
      </c>
      <c r="K3904" t="inlineStr">
        <is>
          <t>Non</t>
        </is>
      </c>
      <c r="L3904">
        <f>SUBTOTAL(103,A3904)</f>
        <v>1</v>
      </c>
    </row>
    <row r="3905">
      <c r="A3905" t="inlineStr">
        <is>
          <t>SOCIETE C754</t>
        </is>
      </c>
      <c r="B3905" t="inlineStr">
        <is>
          <t>C754</t>
        </is>
      </c>
      <c r="C3905" t="inlineStr">
        <is>
          <t>CONSUMER BANKING</t>
        </is>
      </c>
      <c r="D3905" t="inlineStr">
        <is>
          <t>I</t>
        </is>
      </c>
      <c r="E3905" t="inlineStr">
        <is>
          <t>Stage 1</t>
        </is>
      </c>
      <c r="F3905" t="inlineStr">
        <is>
          <t>N/A</t>
        </is>
      </c>
      <c r="G3905" s="26">
        <v>442923247</v>
      </c>
      <c r="H3905" s="26">
        <v>4429232</v>
      </c>
      <c r="I3905" s="26">
        <v>0</v>
      </c>
      <c r="J3905" s="26">
        <v>0</v>
      </c>
      <c r="K3905" t="inlineStr">
        <is>
          <t>Non</t>
        </is>
      </c>
      <c r="L3905">
        <f>SUBTOTAL(103,A3905)</f>
        <v>1</v>
      </c>
    </row>
    <row r="3906">
      <c r="A3906" t="inlineStr">
        <is>
          <t>SOCIETE C836</t>
        </is>
      </c>
      <c r="B3906" t="inlineStr">
        <is>
          <t>C836</t>
        </is>
      </c>
      <c r="C3906" t="inlineStr">
        <is>
          <t>CONSUMER BANKING</t>
        </is>
      </c>
      <c r="D3906" t="inlineStr">
        <is>
          <t>V</t>
        </is>
      </c>
      <c r="E3906" t="inlineStr">
        <is>
          <t>Stage 3</t>
        </is>
      </c>
      <c r="F3906" t="inlineStr">
        <is>
          <t>N/A</t>
        </is>
      </c>
      <c r="G3906" s="26">
        <v>2200617938</v>
      </c>
      <c r="H3906" s="26">
        <v>1210339866</v>
      </c>
      <c r="I3906" s="26">
        <v>0</v>
      </c>
      <c r="J3906" s="26">
        <v>30</v>
      </c>
      <c r="K3906" t="inlineStr">
        <is>
          <t>Oui</t>
        </is>
      </c>
      <c r="L3906">
        <f>SUBTOTAL(103,A3906)</f>
        <v>1</v>
      </c>
    </row>
    <row r="3907">
      <c r="A3907" t="inlineStr">
        <is>
          <t>SOCIETE C952</t>
        </is>
      </c>
      <c r="B3907" t="inlineStr">
        <is>
          <t>C952</t>
        </is>
      </c>
      <c r="C3907" t="inlineStr">
        <is>
          <t>CONSUMER BANKING</t>
        </is>
      </c>
      <c r="D3907" t="inlineStr">
        <is>
          <t>IA</t>
        </is>
      </c>
      <c r="E3907" t="inlineStr">
        <is>
          <t>Stage 2</t>
        </is>
      </c>
      <c r="F3907" t="inlineStr">
        <is>
          <t>N/A</t>
        </is>
      </c>
      <c r="G3907" s="26">
        <v>160468272</v>
      </c>
      <c r="H3907" s="26">
        <v>9628096</v>
      </c>
      <c r="I3907" s="26">
        <v>0</v>
      </c>
      <c r="J3907" s="26">
        <v>145</v>
      </c>
      <c r="K3907" t="inlineStr">
        <is>
          <t>Non</t>
        </is>
      </c>
      <c r="L3907">
        <f>SUBTOTAL(103,A3907)</f>
        <v>1</v>
      </c>
    </row>
    <row r="3908">
      <c r="A3908" t="inlineStr">
        <is>
          <t>SOCIETE C24</t>
        </is>
      </c>
      <c r="B3908" t="inlineStr">
        <is>
          <t>C24</t>
        </is>
      </c>
      <c r="C3908" t="inlineStr">
        <is>
          <t>CORPORATE BANKING</t>
        </is>
      </c>
      <c r="D3908" t="inlineStr">
        <is>
          <t>I</t>
        </is>
      </c>
      <c r="E3908" t="inlineStr">
        <is>
          <t>Stage 1</t>
        </is>
      </c>
      <c r="F3908" t="inlineStr">
        <is>
          <t>N/A</t>
        </is>
      </c>
      <c r="G3908" s="26">
        <v>650313660</v>
      </c>
      <c r="H3908" s="26">
        <v>6503137</v>
      </c>
      <c r="I3908" s="26">
        <v>68563674</v>
      </c>
      <c r="J3908" s="26">
        <v>163</v>
      </c>
      <c r="K3908" t="inlineStr">
        <is>
          <t>Non</t>
        </is>
      </c>
      <c r="L3908">
        <f>SUBTOTAL(103,A3908)</f>
        <v>1</v>
      </c>
    </row>
    <row r="3909">
      <c r="A3909" t="inlineStr">
        <is>
          <t>SOCIETE C1958</t>
        </is>
      </c>
      <c r="B3909" t="inlineStr">
        <is>
          <t>C1958</t>
        </is>
      </c>
      <c r="C3909" t="inlineStr">
        <is>
          <t>COMMERCIAL BANKING</t>
        </is>
      </c>
      <c r="D3909" t="inlineStr">
        <is>
          <t>I</t>
        </is>
      </c>
      <c r="E3909" t="inlineStr">
        <is>
          <t>Stage 1</t>
        </is>
      </c>
      <c r="F3909" t="inlineStr">
        <is>
          <t>N/A</t>
        </is>
      </c>
      <c r="G3909" s="26">
        <v>2485757415</v>
      </c>
      <c r="H3909" s="26">
        <v>24857574</v>
      </c>
      <c r="I3909" s="26">
        <v>381190272</v>
      </c>
      <c r="J3909" s="26">
        <v>196</v>
      </c>
      <c r="K3909" t="inlineStr">
        <is>
          <t>Non</t>
        </is>
      </c>
      <c r="L3909">
        <f>SUBTOTAL(103,A3909)</f>
        <v>1</v>
      </c>
    </row>
    <row r="3910">
      <c r="A3910" t="inlineStr">
        <is>
          <t>SOCIETE C246</t>
        </is>
      </c>
      <c r="B3910" t="inlineStr">
        <is>
          <t>C246</t>
        </is>
      </c>
      <c r="C3910" t="inlineStr">
        <is>
          <t>COMMERCIAL BANKING</t>
        </is>
      </c>
      <c r="D3910" t="inlineStr">
        <is>
          <t>IA</t>
        </is>
      </c>
      <c r="E3910" t="inlineStr">
        <is>
          <t>Stage 2</t>
        </is>
      </c>
      <c r="F3910" t="inlineStr">
        <is>
          <t>N/A</t>
        </is>
      </c>
      <c r="G3910" s="26">
        <v>923487805</v>
      </c>
      <c r="H3910" s="26">
        <v>55409268</v>
      </c>
      <c r="I3910" s="26">
        <v>0</v>
      </c>
      <c r="J3910" s="26">
        <v>5</v>
      </c>
      <c r="K3910" t="inlineStr">
        <is>
          <t>Non</t>
        </is>
      </c>
      <c r="L3910">
        <f>SUBTOTAL(103,A3910)</f>
        <v>1</v>
      </c>
    </row>
    <row r="3911">
      <c r="A3911" t="inlineStr">
        <is>
          <t>SOCIETE C111</t>
        </is>
      </c>
      <c r="B3911" t="inlineStr">
        <is>
          <t>C111</t>
        </is>
      </c>
      <c r="C3911" t="inlineStr">
        <is>
          <t>CORPORATE BANKING</t>
        </is>
      </c>
      <c r="D3911" t="inlineStr">
        <is>
          <t>V</t>
        </is>
      </c>
      <c r="E3911" t="inlineStr">
        <is>
          <t>Stage 3</t>
        </is>
      </c>
      <c r="F3911" t="inlineStr">
        <is>
          <t>N/A</t>
        </is>
      </c>
      <c r="G3911" s="26">
        <v>33034919</v>
      </c>
      <c r="H3911" s="26">
        <v>18169206</v>
      </c>
      <c r="I3911" s="26">
        <v>0</v>
      </c>
      <c r="J3911" s="26">
        <v>25</v>
      </c>
      <c r="K3911" t="inlineStr">
        <is>
          <t>Oui</t>
        </is>
      </c>
      <c r="L3911">
        <f>SUBTOTAL(103,A3911)</f>
        <v>1</v>
      </c>
    </row>
    <row r="3912">
      <c r="A3912" t="inlineStr">
        <is>
          <t>SOCIETE C1993</t>
        </is>
      </c>
      <c r="B3912" t="inlineStr">
        <is>
          <t>C1993</t>
        </is>
      </c>
      <c r="C3912" t="inlineStr">
        <is>
          <t>CORPORATE BANKING</t>
        </is>
      </c>
      <c r="D3912" t="inlineStr">
        <is>
          <t>I</t>
        </is>
      </c>
      <c r="E3912" t="inlineStr">
        <is>
          <t>Stage 1</t>
        </is>
      </c>
      <c r="F3912" t="inlineStr">
        <is>
          <t>N/A</t>
        </is>
      </c>
      <c r="G3912" s="26">
        <v>604670945</v>
      </c>
      <c r="H3912" s="26">
        <v>6046709</v>
      </c>
      <c r="I3912" s="26">
        <v>0</v>
      </c>
      <c r="J3912" s="26">
        <v>211</v>
      </c>
      <c r="K3912" t="inlineStr">
        <is>
          <t>Non</t>
        </is>
      </c>
      <c r="L3912">
        <f>SUBTOTAL(103,A3912)</f>
        <v>1</v>
      </c>
    </row>
    <row r="3913">
      <c r="A3913" t="inlineStr">
        <is>
          <t>SOCIETE C1048</t>
        </is>
      </c>
      <c r="B3913" t="inlineStr">
        <is>
          <t>C1048</t>
        </is>
      </c>
      <c r="C3913" t="inlineStr">
        <is>
          <t>COMMERCIAL BANKING</t>
        </is>
      </c>
      <c r="D3913" t="inlineStr">
        <is>
          <t>IA</t>
        </is>
      </c>
      <c r="E3913" t="inlineStr">
        <is>
          <t>Stage 2</t>
        </is>
      </c>
      <c r="F3913" t="inlineStr">
        <is>
          <t>N/A</t>
        </is>
      </c>
      <c r="G3913" s="26">
        <v>1628487875</v>
      </c>
      <c r="H3913" s="26">
        <v>97709272</v>
      </c>
      <c r="I3913" s="26">
        <v>0</v>
      </c>
      <c r="J3913" s="26">
        <v>327</v>
      </c>
      <c r="K3913" t="inlineStr">
        <is>
          <t>Non</t>
        </is>
      </c>
      <c r="L3913">
        <f>SUBTOTAL(103,A3913)</f>
        <v>1</v>
      </c>
    </row>
    <row r="3914">
      <c r="A3914" t="inlineStr">
        <is>
          <t>SOCIETE C2460</t>
        </is>
      </c>
      <c r="B3914" t="inlineStr">
        <is>
          <t>C2460</t>
        </is>
      </c>
      <c r="C3914" t="inlineStr">
        <is>
          <t>COMMERCIAL BANKING</t>
        </is>
      </c>
      <c r="D3914" t="inlineStr">
        <is>
          <t>I</t>
        </is>
      </c>
      <c r="E3914" t="inlineStr">
        <is>
          <t>Stage 1</t>
        </is>
      </c>
      <c r="F3914" t="inlineStr">
        <is>
          <t>N/A</t>
        </is>
      </c>
      <c r="G3914" s="26">
        <v>327209113</v>
      </c>
      <c r="H3914" s="26">
        <v>3272091</v>
      </c>
      <c r="I3914" s="26">
        <v>0</v>
      </c>
      <c r="J3914" s="26">
        <v>39</v>
      </c>
      <c r="K3914" t="inlineStr">
        <is>
          <t>Non</t>
        </is>
      </c>
      <c r="L3914">
        <f>SUBTOTAL(103,A3914)</f>
        <v>1</v>
      </c>
    </row>
    <row r="3915">
      <c r="A3915" t="inlineStr">
        <is>
          <t>SOCIETE C1971</t>
        </is>
      </c>
      <c r="B3915" t="inlineStr">
        <is>
          <t>C1971</t>
        </is>
      </c>
      <c r="C3915" t="inlineStr">
        <is>
          <t>COMMERCIAL BANKING</t>
        </is>
      </c>
      <c r="D3915" t="inlineStr">
        <is>
          <t>IA</t>
        </is>
      </c>
      <c r="E3915" t="inlineStr">
        <is>
          <t>Stage 2</t>
        </is>
      </c>
      <c r="F3915" t="inlineStr">
        <is>
          <t>N/A</t>
        </is>
      </c>
      <c r="G3915" s="26">
        <v>1077945</v>
      </c>
      <c r="H3915" s="26">
        <v>64677</v>
      </c>
      <c r="I3915" s="26">
        <v>0</v>
      </c>
      <c r="J3915" s="26">
        <v>100</v>
      </c>
      <c r="K3915" t="inlineStr">
        <is>
          <t>Non</t>
        </is>
      </c>
      <c r="L3915">
        <f>SUBTOTAL(103,A3915)</f>
        <v>1</v>
      </c>
    </row>
    <row r="3916">
      <c r="A3916" t="inlineStr">
        <is>
          <t>SOCIETE C1025</t>
        </is>
      </c>
      <c r="B3916" t="inlineStr">
        <is>
          <t>C1025</t>
        </is>
      </c>
      <c r="C3916" t="inlineStr">
        <is>
          <t>CONSUMER BANKING</t>
        </is>
      </c>
      <c r="D3916" t="inlineStr">
        <is>
          <t>IA</t>
        </is>
      </c>
      <c r="E3916" t="inlineStr">
        <is>
          <t>Stage 2</t>
        </is>
      </c>
      <c r="F3916" t="inlineStr">
        <is>
          <t>N/A</t>
        </is>
      </c>
      <c r="G3916" s="26">
        <v>47065097</v>
      </c>
      <c r="H3916" s="26">
        <v>2823906</v>
      </c>
      <c r="I3916" s="26">
        <v>0</v>
      </c>
      <c r="J3916" s="26">
        <v>149</v>
      </c>
      <c r="K3916" t="inlineStr">
        <is>
          <t>Non</t>
        </is>
      </c>
      <c r="L3916">
        <f>SUBTOTAL(103,A3916)</f>
        <v>1</v>
      </c>
    </row>
    <row r="3917">
      <c r="A3917" t="inlineStr">
        <is>
          <t>SOCIETE C2482</t>
        </is>
      </c>
      <c r="B3917" t="inlineStr">
        <is>
          <t>C2482</t>
        </is>
      </c>
      <c r="C3917" t="inlineStr">
        <is>
          <t>COMMERCIAL BANKING</t>
        </is>
      </c>
      <c r="D3917" t="inlineStr">
        <is>
          <t>I</t>
        </is>
      </c>
      <c r="E3917" t="inlineStr">
        <is>
          <t>Stage 1</t>
        </is>
      </c>
      <c r="F3917" t="inlineStr">
        <is>
          <t>N/A</t>
        </is>
      </c>
      <c r="G3917" s="26">
        <v>1592911</v>
      </c>
      <c r="H3917" s="26">
        <v>15929</v>
      </c>
      <c r="I3917" s="26">
        <v>0</v>
      </c>
      <c r="J3917" s="26">
        <v>59</v>
      </c>
      <c r="K3917" t="inlineStr">
        <is>
          <t>Non</t>
        </is>
      </c>
      <c r="L3917">
        <f>SUBTOTAL(103,A3917)</f>
        <v>1</v>
      </c>
    </row>
    <row r="3918">
      <c r="A3918" t="inlineStr">
        <is>
          <t>SOCIETE C1833</t>
        </is>
      </c>
      <c r="B3918" t="inlineStr">
        <is>
          <t>C1833</t>
        </is>
      </c>
      <c r="C3918" t="inlineStr">
        <is>
          <t>CORPORATE BANKING</t>
        </is>
      </c>
      <c r="D3918" t="inlineStr">
        <is>
          <t>I</t>
        </is>
      </c>
      <c r="E3918" t="inlineStr">
        <is>
          <t>Stage 1</t>
        </is>
      </c>
      <c r="F3918" t="inlineStr">
        <is>
          <t>N/A</t>
        </is>
      </c>
      <c r="G3918" s="26">
        <v>19154249</v>
      </c>
      <c r="H3918" s="26">
        <v>191542</v>
      </c>
      <c r="I3918" s="26">
        <v>0</v>
      </c>
      <c r="J3918" s="26">
        <v>61</v>
      </c>
      <c r="K3918" t="inlineStr">
        <is>
          <t>Non</t>
        </is>
      </c>
      <c r="L3918">
        <f>SUBTOTAL(103,A3918)</f>
        <v>1</v>
      </c>
    </row>
    <row r="3919">
      <c r="A3919" t="inlineStr">
        <is>
          <t>SOCIETE C1853</t>
        </is>
      </c>
      <c r="B3919" t="inlineStr">
        <is>
          <t>C1853</t>
        </is>
      </c>
      <c r="C3919" t="inlineStr">
        <is>
          <t>CORPORATE BANKING</t>
        </is>
      </c>
      <c r="D3919" t="inlineStr">
        <is>
          <t>II</t>
        </is>
      </c>
      <c r="E3919" t="inlineStr">
        <is>
          <t>Stage 2</t>
        </is>
      </c>
      <c r="F3919" t="inlineStr">
        <is>
          <t>N/A</t>
        </is>
      </c>
      <c r="G3919" s="26">
        <v>892050359</v>
      </c>
      <c r="H3919" s="26">
        <v>53523022</v>
      </c>
      <c r="I3919" s="26">
        <v>117952254</v>
      </c>
      <c r="J3919" s="26">
        <v>201</v>
      </c>
      <c r="K3919" t="inlineStr">
        <is>
          <t>Non</t>
        </is>
      </c>
      <c r="L3919">
        <f>SUBTOTAL(103,A3919)</f>
        <v>1</v>
      </c>
    </row>
    <row r="3920">
      <c r="A3920" t="inlineStr">
        <is>
          <t>SOCIETE C2447</t>
        </is>
      </c>
      <c r="B3920" t="inlineStr">
        <is>
          <t>C2447</t>
        </is>
      </c>
      <c r="C3920" t="inlineStr">
        <is>
          <t>CORPORATE BANKING</t>
        </is>
      </c>
      <c r="D3920" t="inlineStr">
        <is>
          <t>I</t>
        </is>
      </c>
      <c r="E3920" t="inlineStr">
        <is>
          <t>Stage 1</t>
        </is>
      </c>
      <c r="F3920" t="inlineStr">
        <is>
          <t>N/A</t>
        </is>
      </c>
      <c r="G3920" s="26">
        <v>746383653</v>
      </c>
      <c r="H3920" s="26">
        <v>7463837</v>
      </c>
      <c r="I3920" s="26">
        <v>59093428</v>
      </c>
      <c r="J3920" s="26">
        <v>14</v>
      </c>
      <c r="K3920" t="inlineStr">
        <is>
          <t>Non</t>
        </is>
      </c>
      <c r="L3920">
        <f>SUBTOTAL(103,A3920)</f>
        <v>1</v>
      </c>
    </row>
    <row r="3921">
      <c r="A3921" t="inlineStr">
        <is>
          <t>SOCIETE C1976</t>
        </is>
      </c>
      <c r="B3921" t="inlineStr">
        <is>
          <t>C1976</t>
        </is>
      </c>
      <c r="C3921" t="inlineStr">
        <is>
          <t>COMMERCIAL BANKING</t>
        </is>
      </c>
      <c r="D3921" t="inlineStr">
        <is>
          <t>IA</t>
        </is>
      </c>
      <c r="E3921" t="inlineStr">
        <is>
          <t>Stage 2</t>
        </is>
      </c>
      <c r="F3921" t="inlineStr">
        <is>
          <t>N/A</t>
        </is>
      </c>
      <c r="G3921" s="26">
        <v>812996043</v>
      </c>
      <c r="H3921" s="26">
        <v>48779763</v>
      </c>
      <c r="I3921" s="26">
        <v>0</v>
      </c>
      <c r="J3921" s="26">
        <v>48</v>
      </c>
      <c r="K3921" t="inlineStr">
        <is>
          <t>Non</t>
        </is>
      </c>
      <c r="L3921">
        <f>SUBTOTAL(103,A3921)</f>
        <v>1</v>
      </c>
    </row>
    <row r="3922">
      <c r="A3922" t="inlineStr">
        <is>
          <t>SOCIETE C1234</t>
        </is>
      </c>
      <c r="B3922" t="inlineStr">
        <is>
          <t>C1234</t>
        </is>
      </c>
      <c r="C3922" t="inlineStr">
        <is>
          <t>CONSUMER BANKING</t>
        </is>
      </c>
      <c r="D3922" t="inlineStr">
        <is>
          <t>IV</t>
        </is>
      </c>
      <c r="E3922" t="inlineStr">
        <is>
          <t>Stage 3</t>
        </is>
      </c>
      <c r="F3922" t="inlineStr">
        <is>
          <t>N/A</t>
        </is>
      </c>
      <c r="G3922" s="26">
        <v>130614364</v>
      </c>
      <c r="H3922" s="26">
        <v>71837900</v>
      </c>
      <c r="I3922" s="26">
        <v>20380340</v>
      </c>
      <c r="J3922" s="26">
        <v>43</v>
      </c>
      <c r="K3922" t="inlineStr">
        <is>
          <t>Oui</t>
        </is>
      </c>
      <c r="L3922">
        <f>SUBTOTAL(103,A3922)</f>
        <v>1</v>
      </c>
    </row>
    <row r="3923">
      <c r="A3923" t="inlineStr">
        <is>
          <t>SOCIETE C1851</t>
        </is>
      </c>
      <c r="B3923" t="inlineStr">
        <is>
          <t>C1851</t>
        </is>
      </c>
      <c r="C3923" t="inlineStr">
        <is>
          <t>CORPORATE BANKING</t>
        </is>
      </c>
      <c r="D3923" t="inlineStr">
        <is>
          <t>I</t>
        </is>
      </c>
      <c r="E3923" t="inlineStr">
        <is>
          <t>Stage 1</t>
        </is>
      </c>
      <c r="F3923" t="inlineStr">
        <is>
          <t>N/A</t>
        </is>
      </c>
      <c r="G3923" s="26">
        <v>2181690925</v>
      </c>
      <c r="H3923" s="26">
        <v>21816909</v>
      </c>
      <c r="I3923" s="26">
        <v>9790506</v>
      </c>
      <c r="J3923" s="26">
        <v>39</v>
      </c>
      <c r="K3923" t="inlineStr">
        <is>
          <t>Non</t>
        </is>
      </c>
      <c r="L3923">
        <f>SUBTOTAL(103,A3923)</f>
        <v>1</v>
      </c>
    </row>
    <row r="3924">
      <c r="A3924" t="inlineStr">
        <is>
          <t>SOCIETE C1185</t>
        </is>
      </c>
      <c r="B3924" t="inlineStr">
        <is>
          <t>C1185</t>
        </is>
      </c>
      <c r="C3924" t="inlineStr">
        <is>
          <t>COMMERCIAL BANKING</t>
        </is>
      </c>
      <c r="D3924" t="inlineStr">
        <is>
          <t>I</t>
        </is>
      </c>
      <c r="E3924" t="inlineStr">
        <is>
          <t>Stage 1</t>
        </is>
      </c>
      <c r="F3924" t="inlineStr">
        <is>
          <t>N/A</t>
        </is>
      </c>
      <c r="G3924" s="26">
        <v>532319852</v>
      </c>
      <c r="H3924" s="26">
        <v>5323199</v>
      </c>
      <c r="I3924" s="26">
        <v>0</v>
      </c>
      <c r="J3924" s="26">
        <v>306</v>
      </c>
      <c r="K3924" t="inlineStr">
        <is>
          <t>Non</t>
        </is>
      </c>
      <c r="L3924">
        <f>SUBTOTAL(103,A3924)</f>
        <v>1</v>
      </c>
    </row>
    <row r="3925">
      <c r="A3925" t="inlineStr">
        <is>
          <t>SOCIETE C154</t>
        </is>
      </c>
      <c r="B3925" t="inlineStr">
        <is>
          <t>C154</t>
        </is>
      </c>
      <c r="C3925" t="inlineStr">
        <is>
          <t>COMMERCIAL BANKING</t>
        </is>
      </c>
      <c r="D3925" t="inlineStr">
        <is>
          <t>I</t>
        </is>
      </c>
      <c r="E3925" t="inlineStr">
        <is>
          <t>Stage 1</t>
        </is>
      </c>
      <c r="F3925" t="inlineStr">
        <is>
          <t>N/A</t>
        </is>
      </c>
      <c r="G3925" s="26">
        <v>16944625</v>
      </c>
      <c r="H3925" s="26">
        <v>169446</v>
      </c>
      <c r="I3925" s="26">
        <v>0</v>
      </c>
      <c r="J3925" s="26">
        <v>4</v>
      </c>
      <c r="K3925" t="inlineStr">
        <is>
          <t>Non</t>
        </is>
      </c>
      <c r="L3925">
        <f>SUBTOTAL(103,A3925)</f>
        <v>1</v>
      </c>
    </row>
    <row r="3926">
      <c r="A3926" t="inlineStr">
        <is>
          <t>SOCIETE C200</t>
        </is>
      </c>
      <c r="B3926" t="inlineStr">
        <is>
          <t>C200</t>
        </is>
      </c>
      <c r="C3926" t="inlineStr">
        <is>
          <t>CORPORATE BANKING</t>
        </is>
      </c>
      <c r="D3926" t="inlineStr">
        <is>
          <t>I</t>
        </is>
      </c>
      <c r="E3926" t="inlineStr">
        <is>
          <t>Stage 1</t>
        </is>
      </c>
      <c r="F3926" t="inlineStr">
        <is>
          <t>N/A</t>
        </is>
      </c>
      <c r="G3926" s="26">
        <v>246021936</v>
      </c>
      <c r="H3926" s="26">
        <v>2460219</v>
      </c>
      <c r="I3926" s="26">
        <v>0</v>
      </c>
      <c r="J3926" s="26">
        <v>14</v>
      </c>
      <c r="K3926" t="inlineStr">
        <is>
          <t>Non</t>
        </is>
      </c>
      <c r="L3926">
        <f>SUBTOTAL(103,A3926)</f>
        <v>1</v>
      </c>
    </row>
    <row r="3927">
      <c r="A3927" t="inlineStr">
        <is>
          <t>SOCIETE C2362</t>
        </is>
      </c>
      <c r="B3927" t="inlineStr">
        <is>
          <t>C2362</t>
        </is>
      </c>
      <c r="C3927" t="inlineStr">
        <is>
          <t>CONSUMER BANKING</t>
        </is>
      </c>
      <c r="D3927" t="inlineStr">
        <is>
          <t>IA</t>
        </is>
      </c>
      <c r="E3927" t="inlineStr">
        <is>
          <t>Stage 2</t>
        </is>
      </c>
      <c r="F3927" t="inlineStr">
        <is>
          <t>N/A</t>
        </is>
      </c>
      <c r="G3927" s="26">
        <v>247321043</v>
      </c>
      <c r="H3927" s="26">
        <v>14839263</v>
      </c>
      <c r="I3927" s="26">
        <v>0</v>
      </c>
      <c r="J3927" s="26">
        <v>135</v>
      </c>
      <c r="K3927" t="inlineStr">
        <is>
          <t>Non</t>
        </is>
      </c>
      <c r="L3927">
        <f>SUBTOTAL(103,A3927)</f>
        <v>1</v>
      </c>
    </row>
    <row r="3928">
      <c r="A3928" t="inlineStr">
        <is>
          <t>SOCIETE C1175</t>
        </is>
      </c>
      <c r="B3928" t="inlineStr">
        <is>
          <t>C1175</t>
        </is>
      </c>
      <c r="C3928" t="inlineStr">
        <is>
          <t>COMMERCIAL BANKING</t>
        </is>
      </c>
      <c r="D3928" t="inlineStr">
        <is>
          <t>II</t>
        </is>
      </c>
      <c r="E3928" t="inlineStr">
        <is>
          <t>Stage 2</t>
        </is>
      </c>
      <c r="F3928" t="inlineStr">
        <is>
          <t>N/A</t>
        </is>
      </c>
      <c r="G3928" s="26">
        <v>138412479</v>
      </c>
      <c r="H3928" s="26">
        <v>8304749</v>
      </c>
      <c r="I3928" s="26">
        <v>0</v>
      </c>
      <c r="J3928" s="26">
        <v>137</v>
      </c>
      <c r="K3928" t="inlineStr">
        <is>
          <t>Non</t>
        </is>
      </c>
      <c r="L3928">
        <f>SUBTOTAL(103,A3928)</f>
        <v>1</v>
      </c>
    </row>
    <row r="3929">
      <c r="A3929" t="inlineStr">
        <is>
          <t>SOCIETE C190</t>
        </is>
      </c>
      <c r="B3929" t="inlineStr">
        <is>
          <t>C190</t>
        </is>
      </c>
      <c r="C3929" t="inlineStr">
        <is>
          <t>CORPORATE BANKING</t>
        </is>
      </c>
      <c r="D3929" t="inlineStr">
        <is>
          <t>IV</t>
        </is>
      </c>
      <c r="E3929" t="inlineStr">
        <is>
          <t>Stage 3</t>
        </is>
      </c>
      <c r="F3929" t="inlineStr">
        <is>
          <t>N/A</t>
        </is>
      </c>
      <c r="G3929" s="26">
        <v>315053185</v>
      </c>
      <c r="H3929" s="26">
        <v>173279252</v>
      </c>
      <c r="I3929" s="26">
        <v>0</v>
      </c>
      <c r="J3929" s="26">
        <v>44</v>
      </c>
      <c r="K3929" t="inlineStr">
        <is>
          <t>Oui</t>
        </is>
      </c>
      <c r="L3929">
        <f>SUBTOTAL(103,A3929)</f>
        <v>1</v>
      </c>
    </row>
    <row r="3930">
      <c r="A3930" t="inlineStr">
        <is>
          <t>SOCIETE C333</t>
        </is>
      </c>
      <c r="B3930" t="inlineStr">
        <is>
          <t>C333</t>
        </is>
      </c>
      <c r="C3930" t="inlineStr">
        <is>
          <t>CONSUMER BANKING</t>
        </is>
      </c>
      <c r="D3930" t="inlineStr">
        <is>
          <t>IA</t>
        </is>
      </c>
      <c r="E3930" t="inlineStr">
        <is>
          <t>Stage 2</t>
        </is>
      </c>
      <c r="F3930" t="inlineStr">
        <is>
          <t>N/A</t>
        </is>
      </c>
      <c r="G3930" s="26">
        <v>84484496</v>
      </c>
      <c r="H3930" s="26">
        <v>5069070</v>
      </c>
      <c r="I3930" s="26">
        <v>0</v>
      </c>
      <c r="J3930" s="26">
        <v>8</v>
      </c>
      <c r="K3930" t="inlineStr">
        <is>
          <t>Non</t>
        </is>
      </c>
      <c r="L3930">
        <f>SUBTOTAL(103,A3930)</f>
        <v>1</v>
      </c>
    </row>
    <row r="3931">
      <c r="A3931" t="inlineStr">
        <is>
          <t>SOCIETE C944</t>
        </is>
      </c>
      <c r="B3931" t="inlineStr">
        <is>
          <t>C944</t>
        </is>
      </c>
      <c r="C3931" t="inlineStr">
        <is>
          <t>CORPORATE BANKING</t>
        </is>
      </c>
      <c r="D3931" t="inlineStr">
        <is>
          <t>IA</t>
        </is>
      </c>
      <c r="E3931" t="inlineStr">
        <is>
          <t>Stage 2</t>
        </is>
      </c>
      <c r="F3931" t="inlineStr">
        <is>
          <t>N/A</t>
        </is>
      </c>
      <c r="G3931" s="26">
        <v>2646166286</v>
      </c>
      <c r="H3931" s="26">
        <v>158769977</v>
      </c>
      <c r="I3931" s="26">
        <v>0</v>
      </c>
      <c r="J3931" s="26">
        <v>52</v>
      </c>
      <c r="K3931" t="inlineStr">
        <is>
          <t>Non</t>
        </is>
      </c>
      <c r="L3931">
        <f>SUBTOTAL(103,A3931)</f>
        <v>1</v>
      </c>
    </row>
    <row r="3932">
      <c r="A3932" t="inlineStr">
        <is>
          <t>SOCIETE C510</t>
        </is>
      </c>
      <c r="B3932" t="inlineStr">
        <is>
          <t>C510</t>
        </is>
      </c>
      <c r="C3932" t="inlineStr">
        <is>
          <t>COMMERCIAL BANKING</t>
        </is>
      </c>
      <c r="D3932" t="inlineStr">
        <is>
          <t>V</t>
        </is>
      </c>
      <c r="E3932" t="inlineStr">
        <is>
          <t>Stage 3</t>
        </is>
      </c>
      <c r="F3932" t="inlineStr">
        <is>
          <t>N/A</t>
        </is>
      </c>
      <c r="G3932" s="26">
        <v>1141458338</v>
      </c>
      <c r="H3932" s="26">
        <v>627802086</v>
      </c>
      <c r="I3932" s="26">
        <v>0</v>
      </c>
      <c r="J3932" s="26">
        <v>1</v>
      </c>
      <c r="K3932" t="inlineStr">
        <is>
          <t>Oui</t>
        </is>
      </c>
      <c r="L3932">
        <f>SUBTOTAL(103,A3932)</f>
        <v>1</v>
      </c>
    </row>
    <row r="3933">
      <c r="A3933" t="inlineStr">
        <is>
          <t>SOCIETE C1665</t>
        </is>
      </c>
      <c r="B3933" t="inlineStr">
        <is>
          <t>C1665</t>
        </is>
      </c>
      <c r="C3933" t="inlineStr">
        <is>
          <t>CORPORATE BANKING</t>
        </is>
      </c>
      <c r="D3933" t="inlineStr">
        <is>
          <t>I</t>
        </is>
      </c>
      <c r="E3933" t="inlineStr">
        <is>
          <t>Stage 1</t>
        </is>
      </c>
      <c r="F3933" t="inlineStr">
        <is>
          <t>N/A</t>
        </is>
      </c>
      <c r="G3933" s="26">
        <v>360315285</v>
      </c>
      <c r="H3933" s="26">
        <v>3603153</v>
      </c>
      <c r="I3933" s="26">
        <v>0</v>
      </c>
      <c r="J3933" s="26">
        <v>88</v>
      </c>
      <c r="K3933" t="inlineStr">
        <is>
          <t>Non</t>
        </is>
      </c>
      <c r="L3933">
        <f>SUBTOTAL(103,A3933)</f>
        <v>1</v>
      </c>
    </row>
    <row r="3934">
      <c r="A3934" t="inlineStr">
        <is>
          <t>SOCIETE C1741</t>
        </is>
      </c>
      <c r="B3934" t="inlineStr">
        <is>
          <t>C1741</t>
        </is>
      </c>
      <c r="C3934" t="inlineStr">
        <is>
          <t>CORPORATE BANKING</t>
        </is>
      </c>
      <c r="D3934" t="inlineStr">
        <is>
          <t>I</t>
        </is>
      </c>
      <c r="E3934" t="inlineStr">
        <is>
          <t>Stage 1</t>
        </is>
      </c>
      <c r="F3934" t="inlineStr">
        <is>
          <t>N/A</t>
        </is>
      </c>
      <c r="G3934" s="26">
        <v>1944905130</v>
      </c>
      <c r="H3934" s="26">
        <v>19449051</v>
      </c>
      <c r="I3934" s="26">
        <v>0</v>
      </c>
      <c r="J3934" s="26">
        <v>289</v>
      </c>
      <c r="K3934" t="inlineStr">
        <is>
          <t>Non</t>
        </is>
      </c>
      <c r="L3934">
        <f>SUBTOTAL(103,A3934)</f>
        <v>1</v>
      </c>
    </row>
    <row r="3935">
      <c r="A3935" t="inlineStr">
        <is>
          <t>SOCIETE C132</t>
        </is>
      </c>
      <c r="B3935" t="inlineStr">
        <is>
          <t>C132</t>
        </is>
      </c>
      <c r="C3935" t="inlineStr">
        <is>
          <t>CORPORATE BANKING</t>
        </is>
      </c>
      <c r="D3935" t="inlineStr">
        <is>
          <t>III</t>
        </is>
      </c>
      <c r="E3935" t="inlineStr">
        <is>
          <t>Stage 3</t>
        </is>
      </c>
      <c r="F3935" t="inlineStr">
        <is>
          <t>N/A</t>
        </is>
      </c>
      <c r="G3935" s="26">
        <v>1104998819</v>
      </c>
      <c r="H3935" s="26">
        <v>607749350</v>
      </c>
      <c r="I3935" s="26">
        <v>0</v>
      </c>
      <c r="J3935" s="26">
        <v>68</v>
      </c>
      <c r="K3935" t="inlineStr">
        <is>
          <t>Oui</t>
        </is>
      </c>
      <c r="L3935">
        <f>SUBTOTAL(103,A3935)</f>
        <v>1</v>
      </c>
    </row>
    <row r="3936">
      <c r="A3936" t="inlineStr">
        <is>
          <t>SOCIETE C1006</t>
        </is>
      </c>
      <c r="B3936" t="inlineStr">
        <is>
          <t>C1006</t>
        </is>
      </c>
      <c r="C3936" t="inlineStr">
        <is>
          <t>CORPORATE BANKING</t>
        </is>
      </c>
      <c r="D3936" t="inlineStr">
        <is>
          <t>IA</t>
        </is>
      </c>
      <c r="E3936" t="inlineStr">
        <is>
          <t>Stage 2</t>
        </is>
      </c>
      <c r="F3936" t="inlineStr">
        <is>
          <t>N/A</t>
        </is>
      </c>
      <c r="G3936" s="26">
        <v>96273865</v>
      </c>
      <c r="H3936" s="26">
        <v>5776432</v>
      </c>
      <c r="I3936" s="26">
        <v>0</v>
      </c>
      <c r="J3936" s="26">
        <v>260</v>
      </c>
      <c r="K3936" t="inlineStr">
        <is>
          <t>Non</t>
        </is>
      </c>
      <c r="L3936">
        <f>SUBTOTAL(103,A3936)</f>
        <v>1</v>
      </c>
    </row>
    <row r="3937">
      <c r="A3937" t="inlineStr">
        <is>
          <t>SOCIETE C685</t>
        </is>
      </c>
      <c r="B3937" t="inlineStr">
        <is>
          <t>C685</t>
        </is>
      </c>
      <c r="C3937" t="inlineStr">
        <is>
          <t>CORPORATE BANKING</t>
        </is>
      </c>
      <c r="D3937" t="inlineStr">
        <is>
          <t>I</t>
        </is>
      </c>
      <c r="E3937" t="inlineStr">
        <is>
          <t>Stage 1</t>
        </is>
      </c>
      <c r="F3937" t="inlineStr">
        <is>
          <t>N/A</t>
        </is>
      </c>
      <c r="G3937" s="26">
        <v>1407721842</v>
      </c>
      <c r="H3937" s="26">
        <v>14077218</v>
      </c>
      <c r="I3937" s="26">
        <v>0</v>
      </c>
      <c r="J3937" s="26">
        <v>8</v>
      </c>
      <c r="K3937" t="inlineStr">
        <is>
          <t>Non</t>
        </is>
      </c>
      <c r="L3937">
        <f>SUBTOTAL(103,A3937)</f>
        <v>1</v>
      </c>
    </row>
    <row r="3938">
      <c r="A3938" t="inlineStr">
        <is>
          <t>SOCIETE C2038</t>
        </is>
      </c>
      <c r="B3938" t="inlineStr">
        <is>
          <t>C2038</t>
        </is>
      </c>
      <c r="C3938" t="inlineStr">
        <is>
          <t>CORPORATE BANKING</t>
        </is>
      </c>
      <c r="D3938" t="inlineStr">
        <is>
          <t>II</t>
        </is>
      </c>
      <c r="E3938" t="inlineStr">
        <is>
          <t>Stage 2</t>
        </is>
      </c>
      <c r="F3938" t="inlineStr">
        <is>
          <t>N/A</t>
        </is>
      </c>
      <c r="G3938" s="26">
        <v>22152267</v>
      </c>
      <c r="H3938" s="26">
        <v>1329136</v>
      </c>
      <c r="I3938" s="26">
        <v>627380</v>
      </c>
      <c r="J3938" s="26">
        <v>332</v>
      </c>
      <c r="K3938" t="inlineStr">
        <is>
          <t>Non</t>
        </is>
      </c>
      <c r="L3938">
        <f>SUBTOTAL(103,A3938)</f>
        <v>1</v>
      </c>
    </row>
    <row r="3939">
      <c r="A3939" t="inlineStr">
        <is>
          <t>SOCIETE C1427</t>
        </is>
      </c>
      <c r="B3939" t="inlineStr">
        <is>
          <t>C1427</t>
        </is>
      </c>
      <c r="C3939" t="inlineStr">
        <is>
          <t>CORPORATE BANKING</t>
        </is>
      </c>
      <c r="D3939" t="inlineStr">
        <is>
          <t>IV</t>
        </is>
      </c>
      <c r="E3939" t="inlineStr">
        <is>
          <t>Stage 3</t>
        </is>
      </c>
      <c r="F3939" t="inlineStr">
        <is>
          <t>N/A</t>
        </is>
      </c>
      <c r="G3939" s="26">
        <v>1496903864</v>
      </c>
      <c r="H3939" s="26">
        <v>823297125</v>
      </c>
      <c r="I3939" s="26">
        <v>0</v>
      </c>
      <c r="J3939" s="26">
        <v>36</v>
      </c>
      <c r="K3939" t="inlineStr">
        <is>
          <t>Oui</t>
        </is>
      </c>
      <c r="L3939">
        <f>SUBTOTAL(103,A3939)</f>
        <v>1</v>
      </c>
    </row>
    <row r="3940">
      <c r="A3940" t="inlineStr">
        <is>
          <t>SOCIETE C2297</t>
        </is>
      </c>
      <c r="B3940" t="inlineStr">
        <is>
          <t>C2297</t>
        </is>
      </c>
      <c r="C3940" t="inlineStr">
        <is>
          <t>CORPORATE BANKING</t>
        </is>
      </c>
      <c r="D3940" t="inlineStr">
        <is>
          <t>I</t>
        </is>
      </c>
      <c r="E3940" t="inlineStr">
        <is>
          <t>Stage 1</t>
        </is>
      </c>
      <c r="F3940" t="inlineStr">
        <is>
          <t>N/A</t>
        </is>
      </c>
      <c r="G3940" s="26">
        <v>20190249</v>
      </c>
      <c r="H3940" s="26">
        <v>201902</v>
      </c>
      <c r="I3940" s="26">
        <v>0</v>
      </c>
      <c r="J3940" s="26">
        <v>3</v>
      </c>
      <c r="K3940" t="inlineStr">
        <is>
          <t>Non</t>
        </is>
      </c>
      <c r="L3940">
        <f>SUBTOTAL(103,A3940)</f>
        <v>1</v>
      </c>
    </row>
    <row r="3941">
      <c r="A3941" t="inlineStr">
        <is>
          <t>SOCIETE C1747</t>
        </is>
      </c>
      <c r="B3941" t="inlineStr">
        <is>
          <t>C1747</t>
        </is>
      </c>
      <c r="C3941" t="inlineStr">
        <is>
          <t>COMMERCIAL BANKING</t>
        </is>
      </c>
      <c r="D3941" t="inlineStr">
        <is>
          <t>V</t>
        </is>
      </c>
      <c r="E3941" t="inlineStr">
        <is>
          <t>Stage 3</t>
        </is>
      </c>
      <c r="F3941" t="inlineStr">
        <is>
          <t>N/A</t>
        </is>
      </c>
      <c r="G3941" s="26">
        <v>155695691</v>
      </c>
      <c r="H3941" s="26">
        <v>85632630</v>
      </c>
      <c r="I3941" s="26">
        <v>30674360</v>
      </c>
      <c r="J3941" s="26">
        <v>45</v>
      </c>
      <c r="K3941" t="inlineStr">
        <is>
          <t>Oui</t>
        </is>
      </c>
      <c r="L3941">
        <f>SUBTOTAL(103,A3941)</f>
        <v>1</v>
      </c>
    </row>
    <row r="3942">
      <c r="A3942" t="inlineStr">
        <is>
          <t>SOCIETE C2175</t>
        </is>
      </c>
      <c r="B3942" t="inlineStr">
        <is>
          <t>C2175</t>
        </is>
      </c>
      <c r="C3942" t="inlineStr">
        <is>
          <t>CORPORATE BANKING</t>
        </is>
      </c>
      <c r="D3942" t="inlineStr">
        <is>
          <t>II</t>
        </is>
      </c>
      <c r="E3942" t="inlineStr">
        <is>
          <t>Stage 2</t>
        </is>
      </c>
      <c r="F3942" t="inlineStr">
        <is>
          <t>N/A</t>
        </is>
      </c>
      <c r="G3942" s="26">
        <v>12402002</v>
      </c>
      <c r="H3942" s="26">
        <v>744120</v>
      </c>
      <c r="I3942" s="26">
        <v>0</v>
      </c>
      <c r="J3942" s="26">
        <v>2</v>
      </c>
      <c r="K3942" t="inlineStr">
        <is>
          <t>Non</t>
        </is>
      </c>
      <c r="L3942">
        <f>SUBTOTAL(103,A3942)</f>
        <v>1</v>
      </c>
    </row>
    <row r="3943">
      <c r="A3943" t="inlineStr">
        <is>
          <t>SOCIETE C212</t>
        </is>
      </c>
      <c r="B3943" t="inlineStr">
        <is>
          <t>C212</t>
        </is>
      </c>
      <c r="C3943" t="inlineStr">
        <is>
          <t>CORPORATE BANKING</t>
        </is>
      </c>
      <c r="D3943" t="inlineStr">
        <is>
          <t>IA</t>
        </is>
      </c>
      <c r="E3943" t="inlineStr">
        <is>
          <t>Stage 2</t>
        </is>
      </c>
      <c r="F3943" t="inlineStr">
        <is>
          <t>N/A</t>
        </is>
      </c>
      <c r="G3943" s="26">
        <v>4352382</v>
      </c>
      <c r="H3943" s="26">
        <v>261143</v>
      </c>
      <c r="I3943" s="26">
        <v>0</v>
      </c>
      <c r="J3943" s="26">
        <v>12</v>
      </c>
      <c r="K3943" t="inlineStr">
        <is>
          <t>Non</t>
        </is>
      </c>
      <c r="L3943">
        <f>SUBTOTAL(103,A3943)</f>
        <v>1</v>
      </c>
    </row>
    <row r="3944">
      <c r="A3944" t="inlineStr">
        <is>
          <t>SOCIETE C697</t>
        </is>
      </c>
      <c r="B3944" t="inlineStr">
        <is>
          <t>C697</t>
        </is>
      </c>
      <c r="C3944" t="inlineStr">
        <is>
          <t>CORPORATE BANKING</t>
        </is>
      </c>
      <c r="D3944" t="inlineStr">
        <is>
          <t>III</t>
        </is>
      </c>
      <c r="E3944" t="inlineStr">
        <is>
          <t>Stage 3</t>
        </is>
      </c>
      <c r="F3944" t="inlineStr">
        <is>
          <t>N/A</t>
        </is>
      </c>
      <c r="G3944" s="26">
        <v>5818485</v>
      </c>
      <c r="H3944" s="26">
        <v>3200167</v>
      </c>
      <c r="I3944" s="26">
        <v>283819</v>
      </c>
      <c r="J3944" s="26">
        <v>15</v>
      </c>
      <c r="K3944" t="inlineStr">
        <is>
          <t>Oui</t>
        </is>
      </c>
      <c r="L3944">
        <f>SUBTOTAL(103,A3944)</f>
        <v>1</v>
      </c>
    </row>
    <row r="3945">
      <c r="A3945" t="inlineStr">
        <is>
          <t>SOCIETE C1798</t>
        </is>
      </c>
      <c r="B3945" t="inlineStr">
        <is>
          <t>C1798</t>
        </is>
      </c>
      <c r="C3945" t="inlineStr">
        <is>
          <t>CORPORATE BANKING</t>
        </is>
      </c>
      <c r="D3945" t="inlineStr">
        <is>
          <t>II</t>
        </is>
      </c>
      <c r="E3945" t="inlineStr">
        <is>
          <t>Stage 2</t>
        </is>
      </c>
      <c r="F3945" t="inlineStr">
        <is>
          <t>N/A</t>
        </is>
      </c>
      <c r="G3945" s="26">
        <v>408520606</v>
      </c>
      <c r="H3945" s="26">
        <v>24511236</v>
      </c>
      <c r="I3945" s="26">
        <v>0</v>
      </c>
      <c r="J3945" s="26">
        <v>15</v>
      </c>
      <c r="K3945" t="inlineStr">
        <is>
          <t>Non</t>
        </is>
      </c>
      <c r="L3945">
        <f>SUBTOTAL(103,A3945)</f>
        <v>1</v>
      </c>
    </row>
    <row r="3946">
      <c r="A3946" t="inlineStr">
        <is>
          <t>SOCIETE C1711</t>
        </is>
      </c>
      <c r="B3946" t="inlineStr">
        <is>
          <t>C1711</t>
        </is>
      </c>
      <c r="C3946" t="inlineStr">
        <is>
          <t>INSTITUTIONAL</t>
        </is>
      </c>
      <c r="D3946" t="inlineStr">
        <is>
          <t>IA</t>
        </is>
      </c>
      <c r="E3946" t="inlineStr">
        <is>
          <t>Stage 2</t>
        </is>
      </c>
      <c r="F3946" t="inlineStr">
        <is>
          <t>N/A</t>
        </is>
      </c>
      <c r="G3946" s="26">
        <v>1165648348</v>
      </c>
      <c r="H3946" s="26">
        <v>69938901</v>
      </c>
      <c r="I3946" s="26">
        <v>0</v>
      </c>
      <c r="J3946" s="26">
        <v>365</v>
      </c>
      <c r="K3946" t="inlineStr">
        <is>
          <t>Non</t>
        </is>
      </c>
      <c r="L3946">
        <f>SUBTOTAL(103,A3946)</f>
        <v>1</v>
      </c>
    </row>
    <row r="3947">
      <c r="A3947" t="inlineStr">
        <is>
          <t>SOCIETE C368</t>
        </is>
      </c>
      <c r="B3947" t="inlineStr">
        <is>
          <t>C368</t>
        </is>
      </c>
      <c r="C3947" t="inlineStr">
        <is>
          <t>CORPORATE BANKING</t>
        </is>
      </c>
      <c r="D3947" t="inlineStr">
        <is>
          <t>II</t>
        </is>
      </c>
      <c r="E3947" t="inlineStr">
        <is>
          <t>Stage 2</t>
        </is>
      </c>
      <c r="F3947" t="inlineStr">
        <is>
          <t>N/A</t>
        </is>
      </c>
      <c r="G3947" s="26">
        <v>1068645</v>
      </c>
      <c r="H3947" s="26">
        <v>64119</v>
      </c>
      <c r="I3947" s="26">
        <v>136302</v>
      </c>
      <c r="J3947" s="26">
        <v>120</v>
      </c>
      <c r="K3947" t="inlineStr">
        <is>
          <t>Non</t>
        </is>
      </c>
      <c r="L3947">
        <f>SUBTOTAL(103,A3947)</f>
        <v>1</v>
      </c>
    </row>
    <row r="3948">
      <c r="A3948" t="inlineStr">
        <is>
          <t>SOCIETE C1886</t>
        </is>
      </c>
      <c r="B3948" t="inlineStr">
        <is>
          <t>C1886</t>
        </is>
      </c>
      <c r="C3948" t="inlineStr">
        <is>
          <t>CORPORATE BANKING</t>
        </is>
      </c>
      <c r="D3948" t="inlineStr">
        <is>
          <t>I</t>
        </is>
      </c>
      <c r="E3948" t="inlineStr">
        <is>
          <t>Stage 1</t>
        </is>
      </c>
      <c r="F3948" t="inlineStr">
        <is>
          <t>N/A</t>
        </is>
      </c>
      <c r="G3948" s="26">
        <v>914892233</v>
      </c>
      <c r="H3948" s="26">
        <v>9148922</v>
      </c>
      <c r="I3948" s="26">
        <v>31941299</v>
      </c>
      <c r="J3948" s="26">
        <v>101</v>
      </c>
      <c r="K3948" t="inlineStr">
        <is>
          <t>Non</t>
        </is>
      </c>
      <c r="L3948">
        <f>SUBTOTAL(103,A3948)</f>
        <v>1</v>
      </c>
    </row>
    <row r="3949">
      <c r="A3949" t="inlineStr">
        <is>
          <t>SOCIETE C665</t>
        </is>
      </c>
      <c r="B3949" t="inlineStr">
        <is>
          <t>C665</t>
        </is>
      </c>
      <c r="C3949" t="inlineStr">
        <is>
          <t>CORPORATE BANKING</t>
        </is>
      </c>
      <c r="D3949" t="inlineStr">
        <is>
          <t>I</t>
        </is>
      </c>
      <c r="E3949" t="inlineStr">
        <is>
          <t>Stage 1</t>
        </is>
      </c>
      <c r="F3949" t="inlineStr">
        <is>
          <t>N/A</t>
        </is>
      </c>
      <c r="G3949" s="26">
        <v>361565805</v>
      </c>
      <c r="H3949" s="26">
        <v>3615658</v>
      </c>
      <c r="I3949" s="26">
        <v>0</v>
      </c>
      <c r="J3949" s="26">
        <v>100</v>
      </c>
      <c r="K3949" t="inlineStr">
        <is>
          <t>Non</t>
        </is>
      </c>
      <c r="L3949">
        <f>SUBTOTAL(103,A3949)</f>
        <v>1</v>
      </c>
    </row>
    <row r="3950">
      <c r="A3950" t="inlineStr">
        <is>
          <t>SOCIETE C1859</t>
        </is>
      </c>
      <c r="B3950" t="inlineStr">
        <is>
          <t>C1859</t>
        </is>
      </c>
      <c r="C3950" t="inlineStr">
        <is>
          <t>CORPORATE BANKING</t>
        </is>
      </c>
      <c r="D3950" t="inlineStr">
        <is>
          <t>I</t>
        </is>
      </c>
      <c r="E3950" t="inlineStr">
        <is>
          <t>Stage 1</t>
        </is>
      </c>
      <c r="F3950" t="inlineStr">
        <is>
          <t>N/A</t>
        </is>
      </c>
      <c r="G3950" s="26">
        <v>193338089</v>
      </c>
      <c r="H3950" s="26">
        <v>1933381</v>
      </c>
      <c r="I3950" s="26">
        <v>0</v>
      </c>
      <c r="J3950" s="26">
        <v>62</v>
      </c>
      <c r="K3950" t="inlineStr">
        <is>
          <t>Non</t>
        </is>
      </c>
      <c r="L3950">
        <f>SUBTOTAL(103,A3950)</f>
        <v>1</v>
      </c>
    </row>
    <row r="3951">
      <c r="A3951" t="inlineStr">
        <is>
          <t>SOCIETE C288</t>
        </is>
      </c>
      <c r="B3951" t="inlineStr">
        <is>
          <t>C288</t>
        </is>
      </c>
      <c r="C3951" t="inlineStr">
        <is>
          <t>COMMERCIAL BANKING</t>
        </is>
      </c>
      <c r="D3951" t="inlineStr">
        <is>
          <t>I</t>
        </is>
      </c>
      <c r="E3951" t="inlineStr">
        <is>
          <t>Stage 1</t>
        </is>
      </c>
      <c r="F3951" t="inlineStr">
        <is>
          <t>N/A</t>
        </is>
      </c>
      <c r="G3951" s="26">
        <v>610078051</v>
      </c>
      <c r="H3951" s="26">
        <v>6100781</v>
      </c>
      <c r="I3951" s="26">
        <v>0</v>
      </c>
      <c r="J3951" s="26">
        <v>151</v>
      </c>
      <c r="K3951" t="inlineStr">
        <is>
          <t>Non</t>
        </is>
      </c>
      <c r="L3951">
        <f>SUBTOTAL(103,A3951)</f>
        <v>1</v>
      </c>
    </row>
    <row r="3952">
      <c r="A3952" t="inlineStr">
        <is>
          <t>SOCIETE C1094</t>
        </is>
      </c>
      <c r="B3952" t="inlineStr">
        <is>
          <t>C1094</t>
        </is>
      </c>
      <c r="C3952" t="inlineStr">
        <is>
          <t>PUBLIC SECTOR</t>
        </is>
      </c>
      <c r="D3952" t="inlineStr">
        <is>
          <t>I</t>
        </is>
      </c>
      <c r="E3952" t="inlineStr">
        <is>
          <t>Stage 1</t>
        </is>
      </c>
      <c r="F3952" t="inlineStr">
        <is>
          <t>N/A</t>
        </is>
      </c>
      <c r="G3952" s="26">
        <v>1046231529</v>
      </c>
      <c r="H3952" s="26">
        <v>10462315</v>
      </c>
      <c r="I3952" s="26">
        <v>0</v>
      </c>
      <c r="J3952" s="26">
        <v>15</v>
      </c>
      <c r="K3952" t="inlineStr">
        <is>
          <t>Non</t>
        </is>
      </c>
      <c r="L3952">
        <f>SUBTOTAL(103,A3952)</f>
        <v>1</v>
      </c>
    </row>
    <row r="3953">
      <c r="A3953" t="inlineStr">
        <is>
          <t>SOCIETE C1633</t>
        </is>
      </c>
      <c r="B3953" t="inlineStr">
        <is>
          <t>C1633</t>
        </is>
      </c>
      <c r="C3953" t="inlineStr">
        <is>
          <t>CORPORATE BANKING</t>
        </is>
      </c>
      <c r="D3953" t="inlineStr">
        <is>
          <t>III</t>
        </is>
      </c>
      <c r="E3953" t="inlineStr">
        <is>
          <t>Stage 3</t>
        </is>
      </c>
      <c r="F3953" t="inlineStr">
        <is>
          <t>N/A</t>
        </is>
      </c>
      <c r="G3953" s="26">
        <v>168806212</v>
      </c>
      <c r="H3953" s="26">
        <v>92843417</v>
      </c>
      <c r="I3953" s="26">
        <v>22560872</v>
      </c>
      <c r="J3953" s="26">
        <v>52</v>
      </c>
      <c r="K3953" t="inlineStr">
        <is>
          <t>Oui</t>
        </is>
      </c>
      <c r="L3953">
        <f>SUBTOTAL(103,A3953)</f>
        <v>1</v>
      </c>
    </row>
    <row r="3954">
      <c r="A3954" t="inlineStr">
        <is>
          <t>SOCIETE C257</t>
        </is>
      </c>
      <c r="B3954" t="inlineStr">
        <is>
          <t>C257</t>
        </is>
      </c>
      <c r="C3954" t="inlineStr">
        <is>
          <t>CORPORATE BANKING</t>
        </is>
      </c>
      <c r="D3954" t="inlineStr">
        <is>
          <t>I</t>
        </is>
      </c>
      <c r="E3954" t="inlineStr">
        <is>
          <t>Stage 1</t>
        </is>
      </c>
      <c r="F3954" t="inlineStr">
        <is>
          <t>N/A</t>
        </is>
      </c>
      <c r="G3954" s="26">
        <v>368896945</v>
      </c>
      <c r="H3954" s="26">
        <v>3688969</v>
      </c>
      <c r="I3954" s="26">
        <v>0</v>
      </c>
      <c r="J3954" s="26">
        <v>61</v>
      </c>
      <c r="K3954" t="inlineStr">
        <is>
          <t>Non</t>
        </is>
      </c>
      <c r="L3954">
        <f>SUBTOTAL(103,A3954)</f>
        <v>1</v>
      </c>
    </row>
    <row r="3955">
      <c r="A3955" t="inlineStr">
        <is>
          <t>SOCIETE C395</t>
        </is>
      </c>
      <c r="B3955" t="inlineStr">
        <is>
          <t>C395</t>
        </is>
      </c>
      <c r="C3955" t="inlineStr">
        <is>
          <t>CONSUMER BANKING</t>
        </is>
      </c>
      <c r="D3955" t="inlineStr">
        <is>
          <t>II</t>
        </is>
      </c>
      <c r="E3955" t="inlineStr">
        <is>
          <t>Stage 2</t>
        </is>
      </c>
      <c r="F3955" t="inlineStr">
        <is>
          <t>N/A</t>
        </is>
      </c>
      <c r="G3955" s="26">
        <v>2446004993</v>
      </c>
      <c r="H3955" s="26">
        <v>146760300</v>
      </c>
      <c r="I3955" s="26">
        <v>0</v>
      </c>
      <c r="J3955" s="26">
        <v>200</v>
      </c>
      <c r="K3955" t="inlineStr">
        <is>
          <t>Non</t>
        </is>
      </c>
      <c r="L3955">
        <f>SUBTOTAL(103,A3955)</f>
        <v>1</v>
      </c>
    </row>
    <row r="3956">
      <c r="A3956" t="inlineStr">
        <is>
          <t>SOCIETE C1711</t>
        </is>
      </c>
      <c r="B3956" t="inlineStr">
        <is>
          <t>C1711</t>
        </is>
      </c>
      <c r="C3956" t="inlineStr">
        <is>
          <t>CORPORATE BANKING</t>
        </is>
      </c>
      <c r="D3956" t="inlineStr">
        <is>
          <t>IV</t>
        </is>
      </c>
      <c r="E3956" t="inlineStr">
        <is>
          <t>Stage 3</t>
        </is>
      </c>
      <c r="F3956" t="inlineStr">
        <is>
          <t>N/A</t>
        </is>
      </c>
      <c r="G3956" s="26">
        <v>99383239</v>
      </c>
      <c r="H3956" s="26">
        <v>54660781</v>
      </c>
      <c r="I3956" s="26">
        <v>0</v>
      </c>
      <c r="J3956" s="26">
        <v>23</v>
      </c>
      <c r="K3956" t="inlineStr">
        <is>
          <t>Oui</t>
        </is>
      </c>
      <c r="L3956">
        <f>SUBTOTAL(103,A3956)</f>
        <v>1</v>
      </c>
    </row>
    <row r="3957">
      <c r="A3957" t="inlineStr">
        <is>
          <t>SOCIETE C1640</t>
        </is>
      </c>
      <c r="B3957" t="inlineStr">
        <is>
          <t>C1640</t>
        </is>
      </c>
      <c r="C3957" t="inlineStr">
        <is>
          <t>CONSUMER BANKING</t>
        </is>
      </c>
      <c r="D3957" t="inlineStr">
        <is>
          <t>I</t>
        </is>
      </c>
      <c r="E3957" t="inlineStr">
        <is>
          <t>Stage 1</t>
        </is>
      </c>
      <c r="F3957" t="inlineStr">
        <is>
          <t>N/A</t>
        </is>
      </c>
      <c r="G3957" s="26">
        <v>559309114</v>
      </c>
      <c r="H3957" s="26">
        <v>5593091</v>
      </c>
      <c r="I3957" s="26">
        <v>0</v>
      </c>
      <c r="J3957" s="26">
        <v>12</v>
      </c>
      <c r="K3957" t="inlineStr">
        <is>
          <t>Non</t>
        </is>
      </c>
      <c r="L3957">
        <f>SUBTOTAL(103,A3957)</f>
        <v>1</v>
      </c>
    </row>
    <row r="3958">
      <c r="A3958" t="inlineStr">
        <is>
          <t>SOCIETE C194</t>
        </is>
      </c>
      <c r="B3958" t="inlineStr">
        <is>
          <t>C194</t>
        </is>
      </c>
      <c r="C3958" t="inlineStr">
        <is>
          <t>CORPORATE BANKING</t>
        </is>
      </c>
      <c r="D3958" t="inlineStr">
        <is>
          <t>I</t>
        </is>
      </c>
      <c r="E3958" t="inlineStr">
        <is>
          <t>Stage 1</t>
        </is>
      </c>
      <c r="F3958" t="inlineStr">
        <is>
          <t>N/A</t>
        </is>
      </c>
      <c r="G3958" s="26">
        <v>79991613</v>
      </c>
      <c r="H3958" s="26">
        <v>799916</v>
      </c>
      <c r="I3958" s="26">
        <v>10868072</v>
      </c>
      <c r="J3958" s="26">
        <v>9</v>
      </c>
      <c r="K3958" t="inlineStr">
        <is>
          <t>Non</t>
        </is>
      </c>
      <c r="L3958">
        <f>SUBTOTAL(103,A3958)</f>
        <v>1</v>
      </c>
    </row>
    <row r="3959">
      <c r="A3959" t="inlineStr">
        <is>
          <t>SOCIETE C804</t>
        </is>
      </c>
      <c r="B3959" t="inlineStr">
        <is>
          <t>C804</t>
        </is>
      </c>
      <c r="C3959" t="inlineStr">
        <is>
          <t>CONSUMER BANKING</t>
        </is>
      </c>
      <c r="D3959" t="inlineStr">
        <is>
          <t>IA</t>
        </is>
      </c>
      <c r="E3959" t="inlineStr">
        <is>
          <t>Stage 2</t>
        </is>
      </c>
      <c r="F3959" t="inlineStr">
        <is>
          <t>N/A</t>
        </is>
      </c>
      <c r="G3959" s="26">
        <v>5268330</v>
      </c>
      <c r="H3959" s="26">
        <v>316100</v>
      </c>
      <c r="I3959" s="26">
        <v>0</v>
      </c>
      <c r="J3959" s="26">
        <v>47</v>
      </c>
      <c r="K3959" t="inlineStr">
        <is>
          <t>Non</t>
        </is>
      </c>
      <c r="L3959">
        <f>SUBTOTAL(103,A3959)</f>
        <v>1</v>
      </c>
    </row>
    <row r="3960">
      <c r="A3960" t="inlineStr">
        <is>
          <t>SOCIETE C2281</t>
        </is>
      </c>
      <c r="B3960" t="inlineStr">
        <is>
          <t>C2281</t>
        </is>
      </c>
      <c r="C3960" t="inlineStr">
        <is>
          <t>CORPORATE BANKING</t>
        </is>
      </c>
      <c r="D3960" t="inlineStr">
        <is>
          <t>IA</t>
        </is>
      </c>
      <c r="E3960" t="inlineStr">
        <is>
          <t>Stage 2</t>
        </is>
      </c>
      <c r="F3960" t="inlineStr">
        <is>
          <t>N/A</t>
        </is>
      </c>
      <c r="G3960" s="26">
        <v>1063090</v>
      </c>
      <c r="H3960" s="26">
        <v>63785</v>
      </c>
      <c r="I3960" s="26">
        <v>98090</v>
      </c>
      <c r="J3960" s="26">
        <v>189</v>
      </c>
      <c r="K3960" t="inlineStr">
        <is>
          <t>Non</t>
        </is>
      </c>
      <c r="L3960">
        <f>SUBTOTAL(103,A3960)</f>
        <v>1</v>
      </c>
    </row>
    <row r="3961">
      <c r="A3961" t="inlineStr">
        <is>
          <t>SOCIETE C1536</t>
        </is>
      </c>
      <c r="B3961" t="inlineStr">
        <is>
          <t>C1536</t>
        </is>
      </c>
      <c r="C3961" t="inlineStr">
        <is>
          <t>CONSUMER BANKING</t>
        </is>
      </c>
      <c r="D3961" t="inlineStr">
        <is>
          <t>I</t>
        </is>
      </c>
      <c r="E3961" t="inlineStr">
        <is>
          <t>Stage 1</t>
        </is>
      </c>
      <c r="F3961" t="inlineStr">
        <is>
          <t>N/A</t>
        </is>
      </c>
      <c r="G3961" s="26">
        <v>2638903635</v>
      </c>
      <c r="H3961" s="26">
        <v>26389036</v>
      </c>
      <c r="I3961" s="26">
        <v>0</v>
      </c>
      <c r="J3961" s="26">
        <v>26</v>
      </c>
      <c r="K3961" t="inlineStr">
        <is>
          <t>Non</t>
        </is>
      </c>
      <c r="L3961">
        <f>SUBTOTAL(103,A3961)</f>
        <v>1</v>
      </c>
    </row>
    <row r="3962">
      <c r="A3962" t="inlineStr">
        <is>
          <t>SOCIETE C1316</t>
        </is>
      </c>
      <c r="B3962" t="inlineStr">
        <is>
          <t>C1316</t>
        </is>
      </c>
      <c r="C3962" t="inlineStr">
        <is>
          <t>INSTITUTIONAL</t>
        </is>
      </c>
      <c r="D3962" t="inlineStr">
        <is>
          <t>I</t>
        </is>
      </c>
      <c r="E3962" t="inlineStr">
        <is>
          <t>Stage 1</t>
        </is>
      </c>
      <c r="F3962" t="inlineStr">
        <is>
          <t>N/A</t>
        </is>
      </c>
      <c r="G3962" s="26">
        <v>72004333</v>
      </c>
      <c r="H3962" s="26">
        <v>720043</v>
      </c>
      <c r="I3962" s="26">
        <v>0</v>
      </c>
      <c r="J3962" s="26">
        <v>209</v>
      </c>
      <c r="K3962" t="inlineStr">
        <is>
          <t>Non</t>
        </is>
      </c>
      <c r="L3962">
        <f>SUBTOTAL(103,A3962)</f>
        <v>1</v>
      </c>
    </row>
    <row r="3963">
      <c r="A3963" t="inlineStr">
        <is>
          <t>SOCIETE C2353</t>
        </is>
      </c>
      <c r="B3963" t="inlineStr">
        <is>
          <t>C2353</t>
        </is>
      </c>
      <c r="C3963" t="inlineStr">
        <is>
          <t>PUBLIC SECTOR</t>
        </is>
      </c>
      <c r="D3963" t="inlineStr">
        <is>
          <t>I</t>
        </is>
      </c>
      <c r="E3963" t="inlineStr">
        <is>
          <t>Stage 1</t>
        </is>
      </c>
      <c r="F3963" t="inlineStr">
        <is>
          <t>N/A</t>
        </is>
      </c>
      <c r="G3963" s="26">
        <v>44549544</v>
      </c>
      <c r="H3963" s="26">
        <v>445495</v>
      </c>
      <c r="I3963" s="26">
        <v>0</v>
      </c>
      <c r="J3963" s="26">
        <v>202</v>
      </c>
      <c r="K3963" t="inlineStr">
        <is>
          <t>Non</t>
        </is>
      </c>
      <c r="L3963">
        <f>SUBTOTAL(103,A3963)</f>
        <v>1</v>
      </c>
    </row>
    <row r="3964">
      <c r="A3964" t="inlineStr">
        <is>
          <t>SOCIETE C1290</t>
        </is>
      </c>
      <c r="B3964" t="inlineStr">
        <is>
          <t>C1290</t>
        </is>
      </c>
      <c r="C3964" t="inlineStr">
        <is>
          <t>COMMERCIAL BANKING</t>
        </is>
      </c>
      <c r="D3964" t="inlineStr">
        <is>
          <t>II</t>
        </is>
      </c>
      <c r="E3964" t="inlineStr">
        <is>
          <t>Stage 2</t>
        </is>
      </c>
      <c r="F3964" t="inlineStr">
        <is>
          <t>N/A</t>
        </is>
      </c>
      <c r="G3964" s="26">
        <v>1844755099</v>
      </c>
      <c r="H3964" s="26">
        <v>110685306</v>
      </c>
      <c r="I3964" s="26">
        <v>0</v>
      </c>
      <c r="J3964" s="26">
        <v>23</v>
      </c>
      <c r="K3964" t="inlineStr">
        <is>
          <t>Non</t>
        </is>
      </c>
      <c r="L3964">
        <f>SUBTOTAL(103,A3964)</f>
        <v>1</v>
      </c>
    </row>
    <row r="3965">
      <c r="A3965" t="inlineStr">
        <is>
          <t>SOCIETE C641</t>
        </is>
      </c>
      <c r="B3965" t="inlineStr">
        <is>
          <t>C641</t>
        </is>
      </c>
      <c r="C3965" t="inlineStr">
        <is>
          <t>CORPORATE BANKING</t>
        </is>
      </c>
      <c r="D3965" t="inlineStr">
        <is>
          <t>I</t>
        </is>
      </c>
      <c r="E3965" t="inlineStr">
        <is>
          <t>Stage 1</t>
        </is>
      </c>
      <c r="F3965" t="inlineStr">
        <is>
          <t>N/A</t>
        </is>
      </c>
      <c r="G3965" s="26">
        <v>80665502</v>
      </c>
      <c r="H3965" s="26">
        <v>806655</v>
      </c>
      <c r="I3965" s="26">
        <v>835318</v>
      </c>
      <c r="J3965" s="26">
        <v>72</v>
      </c>
      <c r="K3965" t="inlineStr">
        <is>
          <t>Non</t>
        </is>
      </c>
      <c r="L3965">
        <f>SUBTOTAL(103,A3965)</f>
        <v>1</v>
      </c>
    </row>
    <row r="3966">
      <c r="A3966" t="inlineStr">
        <is>
          <t>SOCIETE C1226</t>
        </is>
      </c>
      <c r="B3966" t="inlineStr">
        <is>
          <t>C1226</t>
        </is>
      </c>
      <c r="C3966" t="inlineStr">
        <is>
          <t>CORPORATE BANKING</t>
        </is>
      </c>
      <c r="D3966" t="inlineStr">
        <is>
          <t>IA</t>
        </is>
      </c>
      <c r="E3966" t="inlineStr">
        <is>
          <t>Stage 2</t>
        </is>
      </c>
      <c r="F3966" t="inlineStr">
        <is>
          <t>N/A</t>
        </is>
      </c>
      <c r="G3966" s="26">
        <v>77664688</v>
      </c>
      <c r="H3966" s="26">
        <v>4659881</v>
      </c>
      <c r="I3966" s="26">
        <v>0</v>
      </c>
      <c r="J3966" s="26">
        <v>9</v>
      </c>
      <c r="K3966" t="inlineStr">
        <is>
          <t>Non</t>
        </is>
      </c>
      <c r="L3966">
        <f>SUBTOTAL(103,A3966)</f>
        <v>1</v>
      </c>
    </row>
    <row r="3967">
      <c r="A3967" t="inlineStr">
        <is>
          <t>SOCIETE C598</t>
        </is>
      </c>
      <c r="B3967" t="inlineStr">
        <is>
          <t>C598</t>
        </is>
      </c>
      <c r="C3967" t="inlineStr">
        <is>
          <t>COMMERCIAL BANKING</t>
        </is>
      </c>
      <c r="D3967" t="inlineStr">
        <is>
          <t>IA</t>
        </is>
      </c>
      <c r="E3967" t="inlineStr">
        <is>
          <t>Stage 2</t>
        </is>
      </c>
      <c r="F3967" t="inlineStr">
        <is>
          <t>N/A</t>
        </is>
      </c>
      <c r="G3967" s="26">
        <v>1294536162</v>
      </c>
      <c r="H3967" s="26">
        <v>77672170</v>
      </c>
      <c r="I3967" s="26">
        <v>0</v>
      </c>
      <c r="J3967" s="26">
        <v>0</v>
      </c>
      <c r="K3967" t="inlineStr">
        <is>
          <t>Non</t>
        </is>
      </c>
      <c r="L3967">
        <f>SUBTOTAL(103,A3967)</f>
        <v>1</v>
      </c>
    </row>
    <row r="3968">
      <c r="A3968" t="inlineStr">
        <is>
          <t>SOCIETE C386</t>
        </is>
      </c>
      <c r="B3968" t="inlineStr">
        <is>
          <t>C386</t>
        </is>
      </c>
      <c r="C3968" t="inlineStr">
        <is>
          <t>PUBLIC SECTOR</t>
        </is>
      </c>
      <c r="D3968" t="inlineStr">
        <is>
          <t>II</t>
        </is>
      </c>
      <c r="E3968" t="inlineStr">
        <is>
          <t>Stage 2</t>
        </is>
      </c>
      <c r="F3968" t="inlineStr">
        <is>
          <t>N/A</t>
        </is>
      </c>
      <c r="G3968" s="26">
        <v>241521148</v>
      </c>
      <c r="H3968" s="26">
        <v>14491269</v>
      </c>
      <c r="I3968" s="26">
        <v>500649</v>
      </c>
      <c r="J3968" s="26">
        <v>8</v>
      </c>
      <c r="K3968" t="inlineStr">
        <is>
          <t>Non</t>
        </is>
      </c>
      <c r="L3968">
        <f>SUBTOTAL(103,A3968)</f>
        <v>1</v>
      </c>
    </row>
    <row r="3969">
      <c r="A3969" t="inlineStr">
        <is>
          <t>SOCIETE C1184</t>
        </is>
      </c>
      <c r="B3969" t="inlineStr">
        <is>
          <t>C1184</t>
        </is>
      </c>
      <c r="C3969" t="inlineStr">
        <is>
          <t>CORPORATE BANKING</t>
        </is>
      </c>
      <c r="D3969" t="inlineStr">
        <is>
          <t>IA</t>
        </is>
      </c>
      <c r="E3969" t="inlineStr">
        <is>
          <t>Stage 2</t>
        </is>
      </c>
      <c r="F3969" t="inlineStr">
        <is>
          <t>N/A</t>
        </is>
      </c>
      <c r="G3969" s="26">
        <v>2341614584</v>
      </c>
      <c r="H3969" s="26">
        <v>140496875</v>
      </c>
      <c r="I3969" s="26">
        <v>213186996</v>
      </c>
      <c r="J3969" s="26">
        <v>290</v>
      </c>
      <c r="K3969" t="inlineStr">
        <is>
          <t>Non</t>
        </is>
      </c>
      <c r="L3969">
        <f>SUBTOTAL(103,A3969)</f>
        <v>1</v>
      </c>
    </row>
    <row r="3970">
      <c r="A3970" t="inlineStr">
        <is>
          <t>SOCIETE C1462</t>
        </is>
      </c>
      <c r="B3970" t="inlineStr">
        <is>
          <t>C1462</t>
        </is>
      </c>
      <c r="C3970" t="inlineStr">
        <is>
          <t>CONSUMER BANKING</t>
        </is>
      </c>
      <c r="D3970" t="inlineStr">
        <is>
          <t>IA</t>
        </is>
      </c>
      <c r="E3970" t="inlineStr">
        <is>
          <t>Stage 2</t>
        </is>
      </c>
      <c r="F3970" t="inlineStr">
        <is>
          <t>N/A</t>
        </is>
      </c>
      <c r="G3970" s="26">
        <v>109060487</v>
      </c>
      <c r="H3970" s="26">
        <v>6543629</v>
      </c>
      <c r="I3970" s="26">
        <v>0</v>
      </c>
      <c r="J3970" s="26">
        <v>1</v>
      </c>
      <c r="K3970" t="inlineStr">
        <is>
          <t>Non</t>
        </is>
      </c>
      <c r="L3970">
        <f>SUBTOTAL(103,A3970)</f>
        <v>1</v>
      </c>
    </row>
    <row r="3971">
      <c r="A3971" t="inlineStr">
        <is>
          <t>SOCIETE C383</t>
        </is>
      </c>
      <c r="B3971" t="inlineStr">
        <is>
          <t>C383</t>
        </is>
      </c>
      <c r="C3971" t="inlineStr">
        <is>
          <t>COMMERCIAL BANKING</t>
        </is>
      </c>
      <c r="D3971" t="inlineStr">
        <is>
          <t>V</t>
        </is>
      </c>
      <c r="E3971" t="inlineStr">
        <is>
          <t>Stage 3</t>
        </is>
      </c>
      <c r="F3971" t="inlineStr">
        <is>
          <t>N/A</t>
        </is>
      </c>
      <c r="G3971" s="26">
        <v>1520116211</v>
      </c>
      <c r="H3971" s="26">
        <v>836063916</v>
      </c>
      <c r="I3971" s="26">
        <v>93012351</v>
      </c>
      <c r="J3971" s="26">
        <v>73</v>
      </c>
      <c r="K3971" t="inlineStr">
        <is>
          <t>Oui</t>
        </is>
      </c>
      <c r="L3971">
        <f>SUBTOTAL(103,A3971)</f>
        <v>1</v>
      </c>
    </row>
    <row r="3972">
      <c r="A3972" t="inlineStr">
        <is>
          <t>SOCIETE C2183</t>
        </is>
      </c>
      <c r="B3972" t="inlineStr">
        <is>
          <t>C2183</t>
        </is>
      </c>
      <c r="C3972" t="inlineStr">
        <is>
          <t>CORPORATE BANKING</t>
        </is>
      </c>
      <c r="D3972" t="inlineStr">
        <is>
          <t>IV</t>
        </is>
      </c>
      <c r="E3972" t="inlineStr">
        <is>
          <t>Stage 3</t>
        </is>
      </c>
      <c r="F3972" t="inlineStr">
        <is>
          <t>N/A</t>
        </is>
      </c>
      <c r="G3972" s="26">
        <v>218102864</v>
      </c>
      <c r="H3972" s="26">
        <v>119956575</v>
      </c>
      <c r="I3972" s="26">
        <v>0</v>
      </c>
      <c r="J3972" s="26">
        <v>13</v>
      </c>
      <c r="K3972" t="inlineStr">
        <is>
          <t>Oui</t>
        </is>
      </c>
      <c r="L3972">
        <f>SUBTOTAL(103,A3972)</f>
        <v>1</v>
      </c>
    </row>
    <row r="3973">
      <c r="A3973" t="inlineStr">
        <is>
          <t>SOCIETE C1330</t>
        </is>
      </c>
      <c r="B3973" t="inlineStr">
        <is>
          <t>C1330</t>
        </is>
      </c>
      <c r="C3973" t="inlineStr">
        <is>
          <t>COMMERCIAL BANKING</t>
        </is>
      </c>
      <c r="D3973" t="inlineStr">
        <is>
          <t>I</t>
        </is>
      </c>
      <c r="E3973" t="inlineStr">
        <is>
          <t>Stage 1</t>
        </is>
      </c>
      <c r="F3973" t="inlineStr">
        <is>
          <t>N/A</t>
        </is>
      </c>
      <c r="G3973" s="26">
        <v>3000749497</v>
      </c>
      <c r="H3973" s="26">
        <v>30007495</v>
      </c>
      <c r="I3973" s="26">
        <v>0</v>
      </c>
      <c r="J3973" s="26">
        <v>138</v>
      </c>
      <c r="K3973" t="inlineStr">
        <is>
          <t>Non</t>
        </is>
      </c>
      <c r="L3973">
        <f>SUBTOTAL(103,A3973)</f>
        <v>1</v>
      </c>
    </row>
    <row r="3974">
      <c r="A3974" t="inlineStr">
        <is>
          <t>SOCIETE C1841</t>
        </is>
      </c>
      <c r="B3974" t="inlineStr">
        <is>
          <t>C1841</t>
        </is>
      </c>
      <c r="C3974" t="inlineStr">
        <is>
          <t>CONSUMER BANKING</t>
        </is>
      </c>
      <c r="D3974" t="inlineStr">
        <is>
          <t>V</t>
        </is>
      </c>
      <c r="E3974" t="inlineStr">
        <is>
          <t>Stage 3</t>
        </is>
      </c>
      <c r="F3974" t="inlineStr">
        <is>
          <t>N/A</t>
        </is>
      </c>
      <c r="G3974" s="26">
        <v>474479106</v>
      </c>
      <c r="H3974" s="26">
        <v>260963509</v>
      </c>
      <c r="I3974" s="26">
        <v>0</v>
      </c>
      <c r="J3974" s="26">
        <v>170</v>
      </c>
      <c r="K3974" t="inlineStr">
        <is>
          <t>Oui</t>
        </is>
      </c>
      <c r="L3974">
        <f>SUBTOTAL(103,A3974)</f>
        <v>1</v>
      </c>
    </row>
    <row r="3975">
      <c r="A3975" t="inlineStr">
        <is>
          <t>SOCIETE C1791</t>
        </is>
      </c>
      <c r="B3975" t="inlineStr">
        <is>
          <t>C1791</t>
        </is>
      </c>
      <c r="C3975" t="inlineStr">
        <is>
          <t>PUBLIC SECTOR</t>
        </is>
      </c>
      <c r="D3975" t="inlineStr">
        <is>
          <t>I</t>
        </is>
      </c>
      <c r="E3975" t="inlineStr">
        <is>
          <t>Stage 1</t>
        </is>
      </c>
      <c r="F3975" t="inlineStr">
        <is>
          <t>N/A</t>
        </is>
      </c>
      <c r="G3975" s="26">
        <v>1032840816</v>
      </c>
      <c r="H3975" s="26">
        <v>10328408</v>
      </c>
      <c r="I3975" s="26">
        <v>0</v>
      </c>
      <c r="J3975" s="26">
        <v>65</v>
      </c>
      <c r="K3975" t="inlineStr">
        <is>
          <t>Non</t>
        </is>
      </c>
      <c r="L3975">
        <f>SUBTOTAL(103,A3975)</f>
        <v>1</v>
      </c>
    </row>
    <row r="3976">
      <c r="A3976" t="inlineStr">
        <is>
          <t>SOCIETE C550</t>
        </is>
      </c>
      <c r="B3976" t="inlineStr">
        <is>
          <t>C550</t>
        </is>
      </c>
      <c r="C3976" t="inlineStr">
        <is>
          <t>COMMERCIAL BANKING</t>
        </is>
      </c>
      <c r="D3976" t="inlineStr">
        <is>
          <t>IA</t>
        </is>
      </c>
      <c r="E3976" t="inlineStr">
        <is>
          <t>Stage 2</t>
        </is>
      </c>
      <c r="F3976" t="inlineStr">
        <is>
          <t>N/A</t>
        </is>
      </c>
      <c r="G3976" s="26">
        <v>3112352</v>
      </c>
      <c r="H3976" s="26">
        <v>186741</v>
      </c>
      <c r="I3976" s="26">
        <v>0</v>
      </c>
      <c r="J3976" s="26">
        <v>0</v>
      </c>
      <c r="K3976" t="inlineStr">
        <is>
          <t>Non</t>
        </is>
      </c>
      <c r="L3976">
        <f>SUBTOTAL(103,A3976)</f>
        <v>1</v>
      </c>
    </row>
    <row r="3977">
      <c r="A3977" t="inlineStr">
        <is>
          <t>SOCIETE C336</t>
        </is>
      </c>
      <c r="B3977" t="inlineStr">
        <is>
          <t>C336</t>
        </is>
      </c>
      <c r="C3977" t="inlineStr">
        <is>
          <t>CONSUMER BANKING</t>
        </is>
      </c>
      <c r="D3977" t="inlineStr">
        <is>
          <t>IA</t>
        </is>
      </c>
      <c r="E3977" t="inlineStr">
        <is>
          <t>Stage 2</t>
        </is>
      </c>
      <c r="F3977" t="inlineStr">
        <is>
          <t>N/A</t>
        </is>
      </c>
      <c r="G3977" s="26">
        <v>158414488</v>
      </c>
      <c r="H3977" s="26">
        <v>9504869</v>
      </c>
      <c r="I3977" s="26">
        <v>20981780</v>
      </c>
      <c r="J3977" s="26">
        <v>93</v>
      </c>
      <c r="K3977" t="inlineStr">
        <is>
          <t>Non</t>
        </is>
      </c>
      <c r="L3977">
        <f>SUBTOTAL(103,A3977)</f>
        <v>1</v>
      </c>
    </row>
    <row r="3978">
      <c r="A3978" t="inlineStr">
        <is>
          <t>SOCIETE C97</t>
        </is>
      </c>
      <c r="B3978" t="inlineStr">
        <is>
          <t>C97</t>
        </is>
      </c>
      <c r="C3978" t="inlineStr">
        <is>
          <t>PUBLIC SECTOR</t>
        </is>
      </c>
      <c r="D3978" t="inlineStr">
        <is>
          <t>I</t>
        </is>
      </c>
      <c r="E3978" t="inlineStr">
        <is>
          <t>Stage 1</t>
        </is>
      </c>
      <c r="F3978" t="inlineStr">
        <is>
          <t>N/A</t>
        </is>
      </c>
      <c r="G3978" s="26">
        <v>370742039</v>
      </c>
      <c r="H3978" s="26">
        <v>3707420</v>
      </c>
      <c r="I3978" s="26">
        <v>20319083</v>
      </c>
      <c r="J3978" s="26">
        <v>137</v>
      </c>
      <c r="K3978" t="inlineStr">
        <is>
          <t>Non</t>
        </is>
      </c>
      <c r="L3978">
        <f>SUBTOTAL(103,A3978)</f>
        <v>1</v>
      </c>
    </row>
    <row r="3979">
      <c r="A3979" t="inlineStr">
        <is>
          <t>SOCIETE C1352</t>
        </is>
      </c>
      <c r="B3979" t="inlineStr">
        <is>
          <t>C1352</t>
        </is>
      </c>
      <c r="C3979" t="inlineStr">
        <is>
          <t>CORPORATE BANKING</t>
        </is>
      </c>
      <c r="D3979" t="inlineStr">
        <is>
          <t>I</t>
        </is>
      </c>
      <c r="E3979" t="inlineStr">
        <is>
          <t>Stage 1</t>
        </is>
      </c>
      <c r="F3979" t="inlineStr">
        <is>
          <t>N/A</t>
        </is>
      </c>
      <c r="G3979" s="26">
        <v>2529822427</v>
      </c>
      <c r="H3979" s="26">
        <v>25298224</v>
      </c>
      <c r="I3979" s="26">
        <v>0</v>
      </c>
      <c r="J3979" s="26">
        <v>23</v>
      </c>
      <c r="K3979" t="inlineStr">
        <is>
          <t>Non</t>
        </is>
      </c>
      <c r="L3979">
        <f>SUBTOTAL(103,A3979)</f>
        <v>1</v>
      </c>
    </row>
    <row r="3980">
      <c r="A3980" t="inlineStr">
        <is>
          <t>SOCIETE C1195</t>
        </is>
      </c>
      <c r="B3980" t="inlineStr">
        <is>
          <t>C1195</t>
        </is>
      </c>
      <c r="C3980" t="inlineStr">
        <is>
          <t>COMMERCIAL BANKING</t>
        </is>
      </c>
      <c r="D3980" t="inlineStr">
        <is>
          <t>IA</t>
        </is>
      </c>
      <c r="E3980" t="inlineStr">
        <is>
          <t>Stage 2</t>
        </is>
      </c>
      <c r="F3980" t="inlineStr">
        <is>
          <t>N/A</t>
        </is>
      </c>
      <c r="G3980" s="26">
        <v>1159878</v>
      </c>
      <c r="H3980" s="26">
        <v>69593</v>
      </c>
      <c r="I3980" s="26">
        <v>0</v>
      </c>
      <c r="J3980" s="26">
        <v>84</v>
      </c>
      <c r="K3980" t="inlineStr">
        <is>
          <t>Non</t>
        </is>
      </c>
      <c r="L3980">
        <f>SUBTOTAL(103,A3980)</f>
        <v>1</v>
      </c>
    </row>
    <row r="3981">
      <c r="A3981" t="inlineStr">
        <is>
          <t>SOCIETE C2198</t>
        </is>
      </c>
      <c r="B3981" t="inlineStr">
        <is>
          <t>C2198</t>
        </is>
      </c>
      <c r="C3981" t="inlineStr">
        <is>
          <t>COMMERCIAL BANKING</t>
        </is>
      </c>
      <c r="D3981" t="inlineStr">
        <is>
          <t>III</t>
        </is>
      </c>
      <c r="E3981" t="inlineStr">
        <is>
          <t>Stage 3</t>
        </is>
      </c>
      <c r="F3981" t="inlineStr">
        <is>
          <t>N/A</t>
        </is>
      </c>
      <c r="G3981" s="26">
        <v>325005398</v>
      </c>
      <c r="H3981" s="26">
        <v>178752969</v>
      </c>
      <c r="I3981" s="26">
        <v>16022255</v>
      </c>
      <c r="J3981" s="26">
        <v>15</v>
      </c>
      <c r="K3981" t="inlineStr">
        <is>
          <t>Oui</t>
        </is>
      </c>
      <c r="L3981">
        <f>SUBTOTAL(103,A3981)</f>
        <v>1</v>
      </c>
    </row>
    <row r="3982">
      <c r="A3982" t="inlineStr">
        <is>
          <t>SOCIETE C682</t>
        </is>
      </c>
      <c r="B3982" t="inlineStr">
        <is>
          <t>C682</t>
        </is>
      </c>
      <c r="C3982" t="inlineStr">
        <is>
          <t>COMMERCIAL BANKING</t>
        </is>
      </c>
      <c r="D3982" t="inlineStr">
        <is>
          <t>IA</t>
        </is>
      </c>
      <c r="E3982" t="inlineStr">
        <is>
          <t>Stage 2</t>
        </is>
      </c>
      <c r="F3982" t="inlineStr">
        <is>
          <t>N/A</t>
        </is>
      </c>
      <c r="G3982" s="26">
        <v>432692998</v>
      </c>
      <c r="H3982" s="26">
        <v>25961580</v>
      </c>
      <c r="I3982" s="26">
        <v>0</v>
      </c>
      <c r="J3982" s="26">
        <v>36</v>
      </c>
      <c r="K3982" t="inlineStr">
        <is>
          <t>Non</t>
        </is>
      </c>
      <c r="L3982">
        <f>SUBTOTAL(103,A3982)</f>
        <v>1</v>
      </c>
    </row>
    <row r="3983">
      <c r="A3983" t="inlineStr">
        <is>
          <t>SOCIETE C2297</t>
        </is>
      </c>
      <c r="B3983" t="inlineStr">
        <is>
          <t>C2297</t>
        </is>
      </c>
      <c r="C3983" t="inlineStr">
        <is>
          <t>COMMERCIAL BANKING</t>
        </is>
      </c>
      <c r="D3983" t="inlineStr">
        <is>
          <t>IA</t>
        </is>
      </c>
      <c r="E3983" t="inlineStr">
        <is>
          <t>Stage 2</t>
        </is>
      </c>
      <c r="F3983" t="inlineStr">
        <is>
          <t>N/A</t>
        </is>
      </c>
      <c r="G3983" s="26">
        <v>1002442</v>
      </c>
      <c r="H3983" s="26">
        <v>60146</v>
      </c>
      <c r="I3983" s="26">
        <v>0</v>
      </c>
      <c r="J3983" s="26">
        <v>33</v>
      </c>
      <c r="K3983" t="inlineStr">
        <is>
          <t>Non</t>
        </is>
      </c>
      <c r="L3983">
        <f>SUBTOTAL(103,A3983)</f>
        <v>1</v>
      </c>
    </row>
    <row r="3984">
      <c r="A3984" t="inlineStr">
        <is>
          <t>SOCIETE C505</t>
        </is>
      </c>
      <c r="B3984" t="inlineStr">
        <is>
          <t>C505</t>
        </is>
      </c>
      <c r="C3984" t="inlineStr">
        <is>
          <t>CORPORATE BANKING</t>
        </is>
      </c>
      <c r="D3984" t="inlineStr">
        <is>
          <t>IA</t>
        </is>
      </c>
      <c r="E3984" t="inlineStr">
        <is>
          <t>Stage 2</t>
        </is>
      </c>
      <c r="F3984" t="inlineStr">
        <is>
          <t>N/A</t>
        </is>
      </c>
      <c r="G3984" s="26">
        <v>1712450777</v>
      </c>
      <c r="H3984" s="26">
        <v>102747047</v>
      </c>
      <c r="I3984" s="26">
        <v>219133831</v>
      </c>
      <c r="J3984" s="26">
        <v>196</v>
      </c>
      <c r="K3984" t="inlineStr">
        <is>
          <t>Non</t>
        </is>
      </c>
      <c r="L3984">
        <f>SUBTOTAL(103,A3984)</f>
        <v>1</v>
      </c>
    </row>
    <row r="3985">
      <c r="A3985" t="inlineStr">
        <is>
          <t>SOCIETE C1987</t>
        </is>
      </c>
      <c r="B3985" t="inlineStr">
        <is>
          <t>C1987</t>
        </is>
      </c>
      <c r="C3985" t="inlineStr">
        <is>
          <t>COMMERCIAL BANKING</t>
        </is>
      </c>
      <c r="D3985" t="inlineStr">
        <is>
          <t>I</t>
        </is>
      </c>
      <c r="E3985" t="inlineStr">
        <is>
          <t>Stage 1</t>
        </is>
      </c>
      <c r="F3985" t="inlineStr">
        <is>
          <t>N/A</t>
        </is>
      </c>
      <c r="G3985" s="26">
        <v>45056696</v>
      </c>
      <c r="H3985" s="26">
        <v>450567</v>
      </c>
      <c r="I3985" s="26">
        <v>0</v>
      </c>
      <c r="J3985" s="26">
        <v>7</v>
      </c>
      <c r="K3985" t="inlineStr">
        <is>
          <t>Non</t>
        </is>
      </c>
      <c r="L3985">
        <f>SUBTOTAL(103,A3985)</f>
        <v>1</v>
      </c>
    </row>
    <row r="3986">
      <c r="A3986" t="inlineStr">
        <is>
          <t>SOCIETE C140</t>
        </is>
      </c>
      <c r="B3986" t="inlineStr">
        <is>
          <t>C140</t>
        </is>
      </c>
      <c r="C3986" t="inlineStr">
        <is>
          <t>INSTITUTIONAL</t>
        </is>
      </c>
      <c r="D3986" t="inlineStr">
        <is>
          <t>I</t>
        </is>
      </c>
      <c r="E3986" t="inlineStr">
        <is>
          <t>Stage 1</t>
        </is>
      </c>
      <c r="F3986" t="inlineStr">
        <is>
          <t>N/A</t>
        </is>
      </c>
      <c r="G3986" s="26">
        <v>2369216417</v>
      </c>
      <c r="H3986" s="26">
        <v>23692164</v>
      </c>
      <c r="I3986" s="26">
        <v>0</v>
      </c>
      <c r="J3986" s="26">
        <v>44</v>
      </c>
      <c r="K3986" t="inlineStr">
        <is>
          <t>Non</t>
        </is>
      </c>
      <c r="L3986">
        <f>SUBTOTAL(103,A3986)</f>
        <v>1</v>
      </c>
    </row>
    <row r="3987">
      <c r="A3987" t="inlineStr">
        <is>
          <t>SOCIETE C1241</t>
        </is>
      </c>
      <c r="B3987" t="inlineStr">
        <is>
          <t>C1241</t>
        </is>
      </c>
      <c r="C3987" t="inlineStr">
        <is>
          <t>CORPORATE BANKING</t>
        </is>
      </c>
      <c r="D3987" t="inlineStr">
        <is>
          <t>III</t>
        </is>
      </c>
      <c r="E3987" t="inlineStr">
        <is>
          <t>Stage 3</t>
        </is>
      </c>
      <c r="F3987" t="inlineStr">
        <is>
          <t>N/A</t>
        </is>
      </c>
      <c r="G3987" s="26">
        <v>1122971</v>
      </c>
      <c r="H3987" s="26">
        <v>617634</v>
      </c>
      <c r="I3987" s="26">
        <v>0</v>
      </c>
      <c r="J3987" s="26">
        <v>20</v>
      </c>
      <c r="K3987" t="inlineStr">
        <is>
          <t>Oui</t>
        </is>
      </c>
      <c r="L3987">
        <f>SUBTOTAL(103,A3987)</f>
        <v>1</v>
      </c>
    </row>
    <row r="3988">
      <c r="A3988" t="inlineStr">
        <is>
          <t>SOCIETE C2180</t>
        </is>
      </c>
      <c r="B3988" t="inlineStr">
        <is>
          <t>C2180</t>
        </is>
      </c>
      <c r="C3988" t="inlineStr">
        <is>
          <t>CORPORATE BANKING</t>
        </is>
      </c>
      <c r="D3988" t="inlineStr">
        <is>
          <t>I</t>
        </is>
      </c>
      <c r="E3988" t="inlineStr">
        <is>
          <t>Stage 1</t>
        </is>
      </c>
      <c r="F3988" t="inlineStr">
        <is>
          <t>N/A</t>
        </is>
      </c>
      <c r="G3988" s="26">
        <v>1805307770</v>
      </c>
      <c r="H3988" s="26">
        <v>18053078</v>
      </c>
      <c r="I3988" s="26">
        <v>173137732</v>
      </c>
      <c r="J3988" s="26">
        <v>73</v>
      </c>
      <c r="K3988" t="inlineStr">
        <is>
          <t>Non</t>
        </is>
      </c>
      <c r="L3988">
        <f>SUBTOTAL(103,A3988)</f>
        <v>1</v>
      </c>
    </row>
    <row r="3989">
      <c r="A3989" t="inlineStr">
        <is>
          <t>SOCIETE C1328</t>
        </is>
      </c>
      <c r="B3989" t="inlineStr">
        <is>
          <t>C1328</t>
        </is>
      </c>
      <c r="C3989" t="inlineStr">
        <is>
          <t>CORPORATE BANKING</t>
        </is>
      </c>
      <c r="D3989" t="inlineStr">
        <is>
          <t>III</t>
        </is>
      </c>
      <c r="E3989" t="inlineStr">
        <is>
          <t>Stage 3</t>
        </is>
      </c>
      <c r="F3989" t="inlineStr">
        <is>
          <t>N/A</t>
        </is>
      </c>
      <c r="G3989" s="26">
        <v>187546024</v>
      </c>
      <c r="H3989" s="26">
        <v>103150313</v>
      </c>
      <c r="I3989" s="26">
        <v>0</v>
      </c>
      <c r="J3989" s="26">
        <v>48</v>
      </c>
      <c r="K3989" t="inlineStr">
        <is>
          <t>Oui</t>
        </is>
      </c>
      <c r="L3989">
        <f>SUBTOTAL(103,A3989)</f>
        <v>1</v>
      </c>
    </row>
    <row r="3990">
      <c r="A3990" t="inlineStr">
        <is>
          <t>SOCIETE C2397</t>
        </is>
      </c>
      <c r="B3990" t="inlineStr">
        <is>
          <t>C2397</t>
        </is>
      </c>
      <c r="C3990" t="inlineStr">
        <is>
          <t>CORPORATE BANKING</t>
        </is>
      </c>
      <c r="D3990" t="inlineStr">
        <is>
          <t>I</t>
        </is>
      </c>
      <c r="E3990" t="inlineStr">
        <is>
          <t>Stage 1</t>
        </is>
      </c>
      <c r="F3990" t="inlineStr">
        <is>
          <t>N/A</t>
        </is>
      </c>
      <c r="G3990" s="26">
        <v>2242517339</v>
      </c>
      <c r="H3990" s="26">
        <v>22425173</v>
      </c>
      <c r="I3990" s="26">
        <v>0</v>
      </c>
      <c r="J3990" s="26">
        <v>41</v>
      </c>
      <c r="K3990" t="inlineStr">
        <is>
          <t>Non</t>
        </is>
      </c>
      <c r="L3990">
        <f>SUBTOTAL(103,A3990)</f>
        <v>1</v>
      </c>
    </row>
    <row r="3991">
      <c r="A3991" t="inlineStr">
        <is>
          <t>SOCIETE C920</t>
        </is>
      </c>
      <c r="B3991" t="inlineStr">
        <is>
          <t>C920</t>
        </is>
      </c>
      <c r="C3991" t="inlineStr">
        <is>
          <t>CONSUMER BANKING</t>
        </is>
      </c>
      <c r="D3991" t="inlineStr">
        <is>
          <t>V</t>
        </is>
      </c>
      <c r="E3991" t="inlineStr">
        <is>
          <t>Stage 3</t>
        </is>
      </c>
      <c r="F3991" t="inlineStr">
        <is>
          <t>N/A</t>
        </is>
      </c>
      <c r="G3991" s="26">
        <v>2201939053</v>
      </c>
      <c r="H3991" s="26">
        <v>1211066479</v>
      </c>
      <c r="I3991" s="26">
        <v>0</v>
      </c>
      <c r="J3991" s="26">
        <v>127</v>
      </c>
      <c r="K3991" t="inlineStr">
        <is>
          <t>Oui</t>
        </is>
      </c>
      <c r="L3991">
        <f>SUBTOTAL(103,A3991)</f>
        <v>1</v>
      </c>
    </row>
    <row r="3992">
      <c r="A3992" t="inlineStr">
        <is>
          <t>SOCIETE C1859</t>
        </is>
      </c>
      <c r="B3992" t="inlineStr">
        <is>
          <t>C1859</t>
        </is>
      </c>
      <c r="C3992" t="inlineStr">
        <is>
          <t>CORPORATE BANKING</t>
        </is>
      </c>
      <c r="D3992" t="inlineStr">
        <is>
          <t>I</t>
        </is>
      </c>
      <c r="E3992" t="inlineStr">
        <is>
          <t>Stage 1</t>
        </is>
      </c>
      <c r="F3992" t="inlineStr">
        <is>
          <t>N/A</t>
        </is>
      </c>
      <c r="G3992" s="26">
        <v>213016443</v>
      </c>
      <c r="H3992" s="26">
        <v>2130164</v>
      </c>
      <c r="I3992" s="26">
        <v>0</v>
      </c>
      <c r="J3992" s="26">
        <v>312</v>
      </c>
      <c r="K3992" t="inlineStr">
        <is>
          <t>Non</t>
        </is>
      </c>
      <c r="L3992">
        <f>SUBTOTAL(103,A3992)</f>
        <v>1</v>
      </c>
    </row>
    <row r="3993">
      <c r="A3993" t="inlineStr">
        <is>
          <t>SOCIETE C524</t>
        </is>
      </c>
      <c r="B3993" t="inlineStr">
        <is>
          <t>C524</t>
        </is>
      </c>
      <c r="C3993" t="inlineStr">
        <is>
          <t>CORPORATE BANKING</t>
        </is>
      </c>
      <c r="D3993" t="inlineStr">
        <is>
          <t>IA</t>
        </is>
      </c>
      <c r="E3993" t="inlineStr">
        <is>
          <t>Stage 2</t>
        </is>
      </c>
      <c r="F3993" t="inlineStr">
        <is>
          <t>N/A</t>
        </is>
      </c>
      <c r="G3993" s="26">
        <v>483365879</v>
      </c>
      <c r="H3993" s="26">
        <v>29001953</v>
      </c>
      <c r="I3993" s="26">
        <v>0</v>
      </c>
      <c r="J3993" s="26">
        <v>13</v>
      </c>
      <c r="K3993" t="inlineStr">
        <is>
          <t>Non</t>
        </is>
      </c>
      <c r="L3993">
        <f>SUBTOTAL(103,A3993)</f>
        <v>1</v>
      </c>
    </row>
    <row r="3994">
      <c r="A3994" t="inlineStr">
        <is>
          <t>SOCIETE C2410</t>
        </is>
      </c>
      <c r="B3994" t="inlineStr">
        <is>
          <t>C2410</t>
        </is>
      </c>
      <c r="C3994" t="inlineStr">
        <is>
          <t>SME</t>
        </is>
      </c>
      <c r="D3994" t="inlineStr">
        <is>
          <t>I</t>
        </is>
      </c>
      <c r="E3994" t="inlineStr">
        <is>
          <t>Stage 1</t>
        </is>
      </c>
      <c r="F3994" t="inlineStr">
        <is>
          <t>N/A</t>
        </is>
      </c>
      <c r="G3994" s="26">
        <v>2936124242</v>
      </c>
      <c r="H3994" s="26">
        <v>29361242</v>
      </c>
      <c r="I3994" s="26">
        <v>46930775</v>
      </c>
      <c r="J3994" s="26">
        <v>64</v>
      </c>
      <c r="K3994" t="inlineStr">
        <is>
          <t>Non</t>
        </is>
      </c>
      <c r="L3994">
        <f>SUBTOTAL(103,A3994)</f>
        <v>1</v>
      </c>
    </row>
    <row r="3995">
      <c r="A3995" t="inlineStr">
        <is>
          <t>SOCIETE C1173</t>
        </is>
      </c>
      <c r="B3995" t="inlineStr">
        <is>
          <t>C1173</t>
        </is>
      </c>
      <c r="C3995" t="inlineStr">
        <is>
          <t>CONSUMER BANKING</t>
        </is>
      </c>
      <c r="D3995" t="inlineStr">
        <is>
          <t>V</t>
        </is>
      </c>
      <c r="E3995" t="inlineStr">
        <is>
          <t>Stage 3</t>
        </is>
      </c>
      <c r="F3995" t="inlineStr">
        <is>
          <t>N/A</t>
        </is>
      </c>
      <c r="G3995" s="26">
        <v>931652793</v>
      </c>
      <c r="H3995" s="26">
        <v>512409036</v>
      </c>
      <c r="I3995" s="26">
        <v>67991237</v>
      </c>
      <c r="J3995" s="26">
        <v>66</v>
      </c>
      <c r="K3995" t="inlineStr">
        <is>
          <t>Oui</t>
        </is>
      </c>
      <c r="L3995">
        <f>SUBTOTAL(103,A3995)</f>
        <v>1</v>
      </c>
    </row>
    <row r="3996">
      <c r="A3996" t="inlineStr">
        <is>
          <t>SOCIETE C455</t>
        </is>
      </c>
      <c r="B3996" t="inlineStr">
        <is>
          <t>C455</t>
        </is>
      </c>
      <c r="C3996" t="inlineStr">
        <is>
          <t>COMMERCIAL BANKING</t>
        </is>
      </c>
      <c r="D3996" t="inlineStr">
        <is>
          <t>IA</t>
        </is>
      </c>
      <c r="E3996" t="inlineStr">
        <is>
          <t>Stage 2</t>
        </is>
      </c>
      <c r="F3996" t="inlineStr">
        <is>
          <t>N/A</t>
        </is>
      </c>
      <c r="G3996" s="26">
        <v>2289681034</v>
      </c>
      <c r="H3996" s="26">
        <v>137380862</v>
      </c>
      <c r="I3996" s="26">
        <v>0</v>
      </c>
      <c r="J3996" s="26">
        <v>8</v>
      </c>
      <c r="K3996" t="inlineStr">
        <is>
          <t>Non</t>
        </is>
      </c>
      <c r="L3996">
        <f>SUBTOTAL(103,A3996)</f>
        <v>1</v>
      </c>
    </row>
    <row r="3997">
      <c r="A3997" t="inlineStr">
        <is>
          <t>SOCIETE C487</t>
        </is>
      </c>
      <c r="B3997" t="inlineStr">
        <is>
          <t>C487</t>
        </is>
      </c>
      <c r="C3997" t="inlineStr">
        <is>
          <t>CONSUMER BANKING</t>
        </is>
      </c>
      <c r="D3997" t="inlineStr">
        <is>
          <t>I</t>
        </is>
      </c>
      <c r="E3997" t="inlineStr">
        <is>
          <t>Stage 1</t>
        </is>
      </c>
      <c r="F3997" t="inlineStr">
        <is>
          <t>N/A</t>
        </is>
      </c>
      <c r="G3997" s="26">
        <v>748759945</v>
      </c>
      <c r="H3997" s="26">
        <v>7487599</v>
      </c>
      <c r="I3997" s="26">
        <v>0</v>
      </c>
      <c r="J3997" s="26">
        <v>115</v>
      </c>
      <c r="K3997" t="inlineStr">
        <is>
          <t>Non</t>
        </is>
      </c>
      <c r="L3997">
        <f>SUBTOTAL(103,A3997)</f>
        <v>1</v>
      </c>
    </row>
    <row r="3998">
      <c r="A3998" t="inlineStr">
        <is>
          <t>SOCIETE C84</t>
        </is>
      </c>
      <c r="B3998" t="inlineStr">
        <is>
          <t>C84</t>
        </is>
      </c>
      <c r="C3998" t="inlineStr">
        <is>
          <t>SME</t>
        </is>
      </c>
      <c r="D3998" t="inlineStr">
        <is>
          <t>III</t>
        </is>
      </c>
      <c r="E3998" t="inlineStr">
        <is>
          <t>Stage 3</t>
        </is>
      </c>
      <c r="F3998" t="inlineStr">
        <is>
          <t>N/A</t>
        </is>
      </c>
      <c r="G3998" s="26">
        <v>1038659</v>
      </c>
      <c r="H3998" s="26">
        <v>571262</v>
      </c>
      <c r="I3998" s="26">
        <v>0</v>
      </c>
      <c r="J3998" s="26">
        <v>125</v>
      </c>
      <c r="K3998" t="inlineStr">
        <is>
          <t>Oui</t>
        </is>
      </c>
      <c r="L3998">
        <f>SUBTOTAL(103,A3998)</f>
        <v>1</v>
      </c>
    </row>
    <row r="3999">
      <c r="A3999" t="inlineStr">
        <is>
          <t>SOCIETE C2431</t>
        </is>
      </c>
      <c r="B3999" t="inlineStr">
        <is>
          <t>C2431</t>
        </is>
      </c>
      <c r="C3999" t="inlineStr">
        <is>
          <t>PUBLIC SECTOR</t>
        </is>
      </c>
      <c r="D3999" t="inlineStr">
        <is>
          <t>IA</t>
        </is>
      </c>
      <c r="E3999" t="inlineStr">
        <is>
          <t>Stage 2</t>
        </is>
      </c>
      <c r="F3999" t="inlineStr">
        <is>
          <t>N/A</t>
        </is>
      </c>
      <c r="G3999" s="26">
        <v>1244383261</v>
      </c>
      <c r="H3999" s="26">
        <v>74662996</v>
      </c>
      <c r="I3999" s="26">
        <v>0</v>
      </c>
      <c r="J3999" s="26">
        <v>11</v>
      </c>
      <c r="K3999" t="inlineStr">
        <is>
          <t>Non</t>
        </is>
      </c>
      <c r="L3999">
        <f>SUBTOTAL(103,A3999)</f>
        <v>1</v>
      </c>
    </row>
    <row r="4000">
      <c r="A4000" t="inlineStr">
        <is>
          <t>SOCIETE C485</t>
        </is>
      </c>
      <c r="B4000" t="inlineStr">
        <is>
          <t>C485</t>
        </is>
      </c>
      <c r="C4000" t="inlineStr">
        <is>
          <t>CORPORATE BANKING</t>
        </is>
      </c>
      <c r="D4000" t="inlineStr">
        <is>
          <t>IV</t>
        </is>
      </c>
      <c r="E4000" t="inlineStr">
        <is>
          <t>Stage 3</t>
        </is>
      </c>
      <c r="F4000" t="inlineStr">
        <is>
          <t>N/A</t>
        </is>
      </c>
      <c r="G4000" s="26">
        <v>266859150</v>
      </c>
      <c r="H4000" s="26">
        <v>146772533</v>
      </c>
      <c r="I4000" s="26">
        <v>0</v>
      </c>
      <c r="J4000" s="26">
        <v>73</v>
      </c>
      <c r="K4000" t="inlineStr">
        <is>
          <t>Oui</t>
        </is>
      </c>
      <c r="L4000">
        <f>SUBTOTAL(103,A4000)</f>
        <v>1</v>
      </c>
    </row>
    <row r="4001">
      <c r="A4001" t="inlineStr">
        <is>
          <t>SOCIETE C1474</t>
        </is>
      </c>
      <c r="B4001" t="inlineStr">
        <is>
          <t>C1474</t>
        </is>
      </c>
      <c r="C4001" t="inlineStr">
        <is>
          <t>CORPORATE BANKING</t>
        </is>
      </c>
      <c r="D4001" t="inlineStr">
        <is>
          <t>IA</t>
        </is>
      </c>
      <c r="E4001" t="inlineStr">
        <is>
          <t>Stage 2</t>
        </is>
      </c>
      <c r="F4001" t="inlineStr">
        <is>
          <t>N/A</t>
        </is>
      </c>
      <c r="G4001" s="26">
        <v>2847125353</v>
      </c>
      <c r="H4001" s="26">
        <v>170827521</v>
      </c>
      <c r="I4001" s="26">
        <v>0</v>
      </c>
      <c r="J4001" s="26">
        <v>317</v>
      </c>
      <c r="K4001" t="inlineStr">
        <is>
          <t>Non</t>
        </is>
      </c>
      <c r="L4001">
        <f>SUBTOTAL(103,A4001)</f>
        <v>1</v>
      </c>
    </row>
    <row r="4002">
      <c r="A4002" t="inlineStr">
        <is>
          <t>SOCIETE C934</t>
        </is>
      </c>
      <c r="B4002" t="inlineStr">
        <is>
          <t>C934</t>
        </is>
      </c>
      <c r="C4002" t="inlineStr">
        <is>
          <t>COMMERCIAL BANKING</t>
        </is>
      </c>
      <c r="D4002" t="inlineStr">
        <is>
          <t>IA</t>
        </is>
      </c>
      <c r="E4002" t="inlineStr">
        <is>
          <t>Stage 2</t>
        </is>
      </c>
      <c r="F4002" t="inlineStr">
        <is>
          <t>N/A</t>
        </is>
      </c>
      <c r="G4002" s="26">
        <v>31284631</v>
      </c>
      <c r="H4002" s="26">
        <v>1877078</v>
      </c>
      <c r="I4002" s="26">
        <v>0</v>
      </c>
      <c r="J4002" s="26">
        <v>128</v>
      </c>
      <c r="K4002" t="inlineStr">
        <is>
          <t>Non</t>
        </is>
      </c>
      <c r="L4002">
        <f>SUBTOTAL(103,A4002)</f>
        <v>1</v>
      </c>
    </row>
    <row r="4003">
      <c r="A4003" t="inlineStr">
        <is>
          <t>SOCIETE C2229</t>
        </is>
      </c>
      <c r="B4003" t="inlineStr">
        <is>
          <t>C2229</t>
        </is>
      </c>
      <c r="C4003" t="inlineStr">
        <is>
          <t>COMMERCIAL BANKING</t>
        </is>
      </c>
      <c r="D4003" t="inlineStr">
        <is>
          <t>II</t>
        </is>
      </c>
      <c r="E4003" t="inlineStr">
        <is>
          <t>Stage 2</t>
        </is>
      </c>
      <c r="F4003" t="inlineStr">
        <is>
          <t>N/A</t>
        </is>
      </c>
      <c r="G4003" s="26">
        <v>259132903</v>
      </c>
      <c r="H4003" s="26">
        <v>15547974</v>
      </c>
      <c r="I4003" s="26">
        <v>32255521</v>
      </c>
      <c r="J4003" s="26">
        <v>85</v>
      </c>
      <c r="K4003" t="inlineStr">
        <is>
          <t>Non</t>
        </is>
      </c>
      <c r="L4003">
        <f>SUBTOTAL(103,A4003)</f>
        <v>1</v>
      </c>
    </row>
    <row r="4004">
      <c r="A4004" t="inlineStr">
        <is>
          <t>SOCIETE C1459</t>
        </is>
      </c>
      <c r="B4004" t="inlineStr">
        <is>
          <t>C1459</t>
        </is>
      </c>
      <c r="C4004" t="inlineStr">
        <is>
          <t>CORPORATE BANKING</t>
        </is>
      </c>
      <c r="D4004" t="inlineStr">
        <is>
          <t>IA</t>
        </is>
      </c>
      <c r="E4004" t="inlineStr">
        <is>
          <t>Stage 2</t>
        </is>
      </c>
      <c r="F4004" t="inlineStr">
        <is>
          <t>N/A</t>
        </is>
      </c>
      <c r="G4004" s="26">
        <v>1470464273</v>
      </c>
      <c r="H4004" s="26">
        <v>88227856</v>
      </c>
      <c r="I4004" s="26">
        <v>0</v>
      </c>
      <c r="J4004" s="26">
        <v>150</v>
      </c>
      <c r="K4004" t="inlineStr">
        <is>
          <t>Non</t>
        </is>
      </c>
      <c r="L4004">
        <f>SUBTOTAL(103,A4004)</f>
        <v>1</v>
      </c>
    </row>
    <row r="4005">
      <c r="A4005" t="inlineStr">
        <is>
          <t>SOCIETE C382</t>
        </is>
      </c>
      <c r="B4005" t="inlineStr">
        <is>
          <t>C382</t>
        </is>
      </c>
      <c r="C4005" t="inlineStr">
        <is>
          <t>SME</t>
        </is>
      </c>
      <c r="D4005" t="inlineStr">
        <is>
          <t>I</t>
        </is>
      </c>
      <c r="E4005" t="inlineStr">
        <is>
          <t>Stage 1</t>
        </is>
      </c>
      <c r="F4005" t="inlineStr">
        <is>
          <t>N/A</t>
        </is>
      </c>
      <c r="G4005" s="26">
        <v>33744004</v>
      </c>
      <c r="H4005" s="26">
        <v>337440</v>
      </c>
      <c r="I4005" s="26">
        <v>5157</v>
      </c>
      <c r="J4005" s="26">
        <v>244</v>
      </c>
      <c r="K4005" t="inlineStr">
        <is>
          <t>Non</t>
        </is>
      </c>
      <c r="L4005">
        <f>SUBTOTAL(103,A4005)</f>
        <v>1</v>
      </c>
    </row>
    <row r="4006">
      <c r="A4006" t="inlineStr">
        <is>
          <t>SOCIETE C2148</t>
        </is>
      </c>
      <c r="B4006" t="inlineStr">
        <is>
          <t>C2148</t>
        </is>
      </c>
      <c r="C4006" t="inlineStr">
        <is>
          <t>CONSUMER BANKING</t>
        </is>
      </c>
      <c r="D4006" t="inlineStr">
        <is>
          <t>V</t>
        </is>
      </c>
      <c r="E4006" t="inlineStr">
        <is>
          <t>Stage 3</t>
        </is>
      </c>
      <c r="F4006" t="inlineStr">
        <is>
          <t>N/A</t>
        </is>
      </c>
      <c r="G4006" s="26">
        <v>192662570</v>
      </c>
      <c r="H4006" s="26">
        <v>105964414</v>
      </c>
      <c r="I4006" s="26">
        <v>0</v>
      </c>
      <c r="J4006" s="26">
        <v>10</v>
      </c>
      <c r="K4006" t="inlineStr">
        <is>
          <t>Oui</t>
        </is>
      </c>
      <c r="L4006">
        <f>SUBTOTAL(103,A4006)</f>
        <v>1</v>
      </c>
    </row>
    <row r="4007">
      <c r="A4007" t="inlineStr">
        <is>
          <t>SOCIETE C1303</t>
        </is>
      </c>
      <c r="B4007" t="inlineStr">
        <is>
          <t>C1303</t>
        </is>
      </c>
      <c r="C4007" t="inlineStr">
        <is>
          <t>COMMERCIAL BANKING</t>
        </is>
      </c>
      <c r="D4007" t="inlineStr">
        <is>
          <t>IA</t>
        </is>
      </c>
      <c r="E4007" t="inlineStr">
        <is>
          <t>Stage 2</t>
        </is>
      </c>
      <c r="F4007" t="inlineStr">
        <is>
          <t>N/A</t>
        </is>
      </c>
      <c r="G4007" s="26">
        <v>502017976</v>
      </c>
      <c r="H4007" s="26">
        <v>30121079</v>
      </c>
      <c r="I4007" s="26">
        <v>17365391</v>
      </c>
      <c r="J4007" s="26">
        <v>297</v>
      </c>
      <c r="K4007" t="inlineStr">
        <is>
          <t>Non</t>
        </is>
      </c>
      <c r="L4007">
        <f>SUBTOTAL(103,A4007)</f>
        <v>1</v>
      </c>
    </row>
    <row r="4008">
      <c r="A4008" t="inlineStr">
        <is>
          <t>SOCIETE C2443</t>
        </is>
      </c>
      <c r="B4008" t="inlineStr">
        <is>
          <t>C2443</t>
        </is>
      </c>
      <c r="C4008" t="inlineStr">
        <is>
          <t>CONSUMER BANKING</t>
        </is>
      </c>
      <c r="D4008" t="inlineStr">
        <is>
          <t>II</t>
        </is>
      </c>
      <c r="E4008" t="inlineStr">
        <is>
          <t>Stage 2</t>
        </is>
      </c>
      <c r="F4008" t="inlineStr">
        <is>
          <t>N/A</t>
        </is>
      </c>
      <c r="G4008" s="26">
        <v>31525472</v>
      </c>
      <c r="H4008" s="26">
        <v>1891528</v>
      </c>
      <c r="I4008" s="26">
        <v>0</v>
      </c>
      <c r="J4008" s="26">
        <v>22</v>
      </c>
      <c r="K4008" t="inlineStr">
        <is>
          <t>Non</t>
        </is>
      </c>
      <c r="L4008">
        <f>SUBTOTAL(103,A4008)</f>
        <v>1</v>
      </c>
    </row>
    <row r="4009">
      <c r="A4009" t="inlineStr">
        <is>
          <t>SOCIETE C236</t>
        </is>
      </c>
      <c r="B4009" t="inlineStr">
        <is>
          <t>C236</t>
        </is>
      </c>
      <c r="C4009" t="inlineStr">
        <is>
          <t>CORPORATE BANKING</t>
        </is>
      </c>
      <c r="D4009" t="inlineStr">
        <is>
          <t>IA</t>
        </is>
      </c>
      <c r="E4009" t="inlineStr">
        <is>
          <t>Stage 2</t>
        </is>
      </c>
      <c r="F4009" t="inlineStr">
        <is>
          <t>N/A</t>
        </is>
      </c>
      <c r="G4009" s="26">
        <v>2437574967</v>
      </c>
      <c r="H4009" s="26">
        <v>146254498</v>
      </c>
      <c r="I4009" s="26">
        <v>0</v>
      </c>
      <c r="J4009" s="26">
        <v>166</v>
      </c>
      <c r="K4009" t="inlineStr">
        <is>
          <t>Non</t>
        </is>
      </c>
      <c r="L4009">
        <f>SUBTOTAL(103,A4009)</f>
        <v>1</v>
      </c>
    </row>
    <row r="4010">
      <c r="A4010" t="inlineStr">
        <is>
          <t>SOCIETE C123</t>
        </is>
      </c>
      <c r="B4010" t="inlineStr">
        <is>
          <t>C123</t>
        </is>
      </c>
      <c r="C4010" t="inlineStr">
        <is>
          <t>CONSUMER BANKING</t>
        </is>
      </c>
      <c r="D4010" t="inlineStr">
        <is>
          <t>IV</t>
        </is>
      </c>
      <c r="E4010" t="inlineStr">
        <is>
          <t>Stage 3</t>
        </is>
      </c>
      <c r="F4010" t="inlineStr">
        <is>
          <t>N/A</t>
        </is>
      </c>
      <c r="G4010" s="26">
        <v>1210350</v>
      </c>
      <c r="H4010" s="26">
        <v>665693</v>
      </c>
      <c r="I4010" s="26">
        <v>0</v>
      </c>
      <c r="J4010" s="26">
        <v>53</v>
      </c>
      <c r="K4010" t="inlineStr">
        <is>
          <t>Oui</t>
        </is>
      </c>
      <c r="L4010">
        <f>SUBTOTAL(103,A4010)</f>
        <v>1</v>
      </c>
    </row>
    <row r="4011">
      <c r="A4011" t="inlineStr">
        <is>
          <t>SOCIETE C1724</t>
        </is>
      </c>
      <c r="B4011" t="inlineStr">
        <is>
          <t>C1724</t>
        </is>
      </c>
      <c r="C4011" t="inlineStr">
        <is>
          <t>CORPORATE BANKING</t>
        </is>
      </c>
      <c r="D4011" t="inlineStr">
        <is>
          <t>I</t>
        </is>
      </c>
      <c r="E4011" t="inlineStr">
        <is>
          <t>Stage 1</t>
        </is>
      </c>
      <c r="F4011" t="inlineStr">
        <is>
          <t>N/A</t>
        </is>
      </c>
      <c r="G4011" s="26">
        <v>64973662</v>
      </c>
      <c r="H4011" s="26">
        <v>649737</v>
      </c>
      <c r="I4011" s="26">
        <v>1774310</v>
      </c>
      <c r="J4011" s="26">
        <v>165</v>
      </c>
      <c r="K4011" t="inlineStr">
        <is>
          <t>Non</t>
        </is>
      </c>
      <c r="L4011">
        <f>SUBTOTAL(103,A4011)</f>
        <v>1</v>
      </c>
    </row>
    <row r="4012">
      <c r="A4012" t="inlineStr">
        <is>
          <t>SOCIETE C1345</t>
        </is>
      </c>
      <c r="B4012" t="inlineStr">
        <is>
          <t>C1345</t>
        </is>
      </c>
      <c r="C4012" t="inlineStr">
        <is>
          <t>PUBLIC SECTOR</t>
        </is>
      </c>
      <c r="D4012" t="inlineStr">
        <is>
          <t>III</t>
        </is>
      </c>
      <c r="E4012" t="inlineStr">
        <is>
          <t>Stage 3</t>
        </is>
      </c>
      <c r="F4012" t="inlineStr">
        <is>
          <t>N/A</t>
        </is>
      </c>
      <c r="G4012" s="26">
        <v>135963936</v>
      </c>
      <c r="H4012" s="26">
        <v>74780165</v>
      </c>
      <c r="I4012" s="26">
        <v>0</v>
      </c>
      <c r="J4012" s="26">
        <v>11</v>
      </c>
      <c r="K4012" t="inlineStr">
        <is>
          <t>Oui</t>
        </is>
      </c>
      <c r="L4012">
        <f>SUBTOTAL(103,A4012)</f>
        <v>1</v>
      </c>
    </row>
    <row r="4013">
      <c r="A4013" t="inlineStr">
        <is>
          <t>SOCIETE C577</t>
        </is>
      </c>
      <c r="B4013" t="inlineStr">
        <is>
          <t>C577</t>
        </is>
      </c>
      <c r="C4013" t="inlineStr">
        <is>
          <t>COMMERCIAL BANKING</t>
        </is>
      </c>
      <c r="D4013" t="inlineStr">
        <is>
          <t>I</t>
        </is>
      </c>
      <c r="E4013" t="inlineStr">
        <is>
          <t>Stage 1</t>
        </is>
      </c>
      <c r="F4013" t="inlineStr">
        <is>
          <t>N/A</t>
        </is>
      </c>
      <c r="G4013" s="26">
        <v>586546938</v>
      </c>
      <c r="H4013" s="26">
        <v>5865469</v>
      </c>
      <c r="I4013" s="26">
        <v>90676006</v>
      </c>
      <c r="J4013" s="26">
        <v>37</v>
      </c>
      <c r="K4013" t="inlineStr">
        <is>
          <t>Non</t>
        </is>
      </c>
      <c r="L4013">
        <f>SUBTOTAL(103,A4013)</f>
        <v>1</v>
      </c>
    </row>
    <row r="4014">
      <c r="A4014" t="inlineStr">
        <is>
          <t>SOCIETE C2422</t>
        </is>
      </c>
      <c r="B4014" t="inlineStr">
        <is>
          <t>C2422</t>
        </is>
      </c>
      <c r="C4014" t="inlineStr">
        <is>
          <t>COMMERCIAL BANKING</t>
        </is>
      </c>
      <c r="D4014" t="inlineStr">
        <is>
          <t>V</t>
        </is>
      </c>
      <c r="E4014" t="inlineStr">
        <is>
          <t>Stage 3</t>
        </is>
      </c>
      <c r="F4014" t="inlineStr">
        <is>
          <t>N/A</t>
        </is>
      </c>
      <c r="G4014" s="26">
        <v>601581767</v>
      </c>
      <c r="H4014" s="26">
        <v>330869972</v>
      </c>
      <c r="I4014" s="26">
        <v>0</v>
      </c>
      <c r="J4014" s="26">
        <v>53</v>
      </c>
      <c r="K4014" t="inlineStr">
        <is>
          <t>Oui</t>
        </is>
      </c>
      <c r="L4014">
        <f>SUBTOTAL(103,A4014)</f>
        <v>1</v>
      </c>
    </row>
    <row r="4015">
      <c r="A4015" t="inlineStr">
        <is>
          <t>SOCIETE C1185</t>
        </is>
      </c>
      <c r="B4015" t="inlineStr">
        <is>
          <t>C1185</t>
        </is>
      </c>
      <c r="C4015" t="inlineStr">
        <is>
          <t>COMMERCIAL BANKING</t>
        </is>
      </c>
      <c r="D4015" t="inlineStr">
        <is>
          <t>I</t>
        </is>
      </c>
      <c r="E4015" t="inlineStr">
        <is>
          <t>Stage 1</t>
        </is>
      </c>
      <c r="F4015" t="inlineStr">
        <is>
          <t>N/A</t>
        </is>
      </c>
      <c r="G4015" s="26">
        <v>4424334</v>
      </c>
      <c r="H4015" s="26">
        <v>44243</v>
      </c>
      <c r="I4015" s="26">
        <v>0</v>
      </c>
      <c r="J4015" s="26">
        <v>163</v>
      </c>
      <c r="K4015" t="inlineStr">
        <is>
          <t>Non</t>
        </is>
      </c>
      <c r="L4015">
        <f>SUBTOTAL(103,A4015)</f>
        <v>1</v>
      </c>
    </row>
    <row r="4016">
      <c r="A4016" t="inlineStr">
        <is>
          <t>SOCIETE C486</t>
        </is>
      </c>
      <c r="B4016" t="inlineStr">
        <is>
          <t>C486</t>
        </is>
      </c>
      <c r="C4016" t="inlineStr">
        <is>
          <t>CORPORATE BANKING</t>
        </is>
      </c>
      <c r="D4016" t="inlineStr">
        <is>
          <t>I</t>
        </is>
      </c>
      <c r="E4016" t="inlineStr">
        <is>
          <t>Stage 1</t>
        </is>
      </c>
      <c r="F4016" t="inlineStr">
        <is>
          <t>N/A</t>
        </is>
      </c>
      <c r="G4016" s="26">
        <v>605848032</v>
      </c>
      <c r="H4016" s="26">
        <v>6058480</v>
      </c>
      <c r="I4016" s="26">
        <v>0</v>
      </c>
      <c r="J4016" s="26">
        <v>34</v>
      </c>
      <c r="K4016" t="inlineStr">
        <is>
          <t>Non</t>
        </is>
      </c>
      <c r="L4016">
        <f>SUBTOTAL(103,A4016)</f>
        <v>1</v>
      </c>
    </row>
    <row r="4017">
      <c r="A4017" t="inlineStr">
        <is>
          <t>SOCIETE C1176</t>
        </is>
      </c>
      <c r="B4017" t="inlineStr">
        <is>
          <t>C1176</t>
        </is>
      </c>
      <c r="C4017" t="inlineStr">
        <is>
          <t>CONSUMER BANKING</t>
        </is>
      </c>
      <c r="D4017" t="inlineStr">
        <is>
          <t>I</t>
        </is>
      </c>
      <c r="E4017" t="inlineStr">
        <is>
          <t>Stage 1</t>
        </is>
      </c>
      <c r="F4017" t="inlineStr">
        <is>
          <t>N/A</t>
        </is>
      </c>
      <c r="G4017" s="26">
        <v>1002915</v>
      </c>
      <c r="H4017" s="26">
        <v>10029</v>
      </c>
      <c r="I4017" s="26">
        <v>0</v>
      </c>
      <c r="J4017" s="26">
        <v>64</v>
      </c>
      <c r="K4017" t="inlineStr">
        <is>
          <t>Non</t>
        </is>
      </c>
      <c r="L4017">
        <f>SUBTOTAL(103,A4017)</f>
        <v>1</v>
      </c>
    </row>
    <row r="4018">
      <c r="A4018" t="inlineStr">
        <is>
          <t>SOCIETE C1914</t>
        </is>
      </c>
      <c r="B4018" t="inlineStr">
        <is>
          <t>C1914</t>
        </is>
      </c>
      <c r="C4018" t="inlineStr">
        <is>
          <t>SME</t>
        </is>
      </c>
      <c r="D4018" t="inlineStr">
        <is>
          <t>I</t>
        </is>
      </c>
      <c r="E4018" t="inlineStr">
        <is>
          <t>Stage 1</t>
        </is>
      </c>
      <c r="F4018" t="inlineStr">
        <is>
          <t>N/A</t>
        </is>
      </c>
      <c r="G4018" s="26">
        <v>445686795</v>
      </c>
      <c r="H4018" s="26">
        <v>4456868</v>
      </c>
      <c r="I4018" s="26">
        <v>0</v>
      </c>
      <c r="J4018" s="26">
        <v>239</v>
      </c>
      <c r="K4018" t="inlineStr">
        <is>
          <t>Non</t>
        </is>
      </c>
      <c r="L4018">
        <f>SUBTOTAL(103,A4018)</f>
        <v>1</v>
      </c>
    </row>
    <row r="4019">
      <c r="A4019" t="inlineStr">
        <is>
          <t>SOCIETE C1512</t>
        </is>
      </c>
      <c r="B4019" t="inlineStr">
        <is>
          <t>C1512</t>
        </is>
      </c>
      <c r="C4019" t="inlineStr">
        <is>
          <t>CORPORATE BANKING</t>
        </is>
      </c>
      <c r="D4019" t="inlineStr">
        <is>
          <t>I</t>
        </is>
      </c>
      <c r="E4019" t="inlineStr">
        <is>
          <t>Stage 1</t>
        </is>
      </c>
      <c r="F4019" t="inlineStr">
        <is>
          <t>N/A</t>
        </is>
      </c>
      <c r="G4019" s="26">
        <v>1142976626</v>
      </c>
      <c r="H4019" s="26">
        <v>11429766</v>
      </c>
      <c r="I4019" s="26">
        <v>18245790</v>
      </c>
      <c r="J4019" s="26">
        <v>187</v>
      </c>
      <c r="K4019" t="inlineStr">
        <is>
          <t>Non</t>
        </is>
      </c>
      <c r="L4019">
        <f>SUBTOTAL(103,A4019)</f>
        <v>1</v>
      </c>
    </row>
    <row r="4020">
      <c r="A4020" t="inlineStr">
        <is>
          <t>SOCIETE C870</t>
        </is>
      </c>
      <c r="B4020" t="inlineStr">
        <is>
          <t>C870</t>
        </is>
      </c>
      <c r="C4020" t="inlineStr">
        <is>
          <t>CORPORATE BANKING</t>
        </is>
      </c>
      <c r="D4020" t="inlineStr">
        <is>
          <t>I</t>
        </is>
      </c>
      <c r="E4020" t="inlineStr">
        <is>
          <t>Stage 1</t>
        </is>
      </c>
      <c r="F4020" t="inlineStr">
        <is>
          <t>N/A</t>
        </is>
      </c>
      <c r="G4020" s="26">
        <v>2277176</v>
      </c>
      <c r="H4020" s="26">
        <v>22772</v>
      </c>
      <c r="I4020" s="26">
        <v>0</v>
      </c>
      <c r="J4020" s="26">
        <v>350</v>
      </c>
      <c r="K4020" t="inlineStr">
        <is>
          <t>Non</t>
        </is>
      </c>
      <c r="L4020">
        <f>SUBTOTAL(103,A4020)</f>
        <v>1</v>
      </c>
    </row>
    <row r="4021">
      <c r="A4021" t="inlineStr">
        <is>
          <t>SOCIETE C1397</t>
        </is>
      </c>
      <c r="B4021" t="inlineStr">
        <is>
          <t>C1397</t>
        </is>
      </c>
      <c r="C4021" t="inlineStr">
        <is>
          <t>CONSUMER BANKING</t>
        </is>
      </c>
      <c r="D4021" t="inlineStr">
        <is>
          <t>I</t>
        </is>
      </c>
      <c r="E4021" t="inlineStr">
        <is>
          <t>Stage 1</t>
        </is>
      </c>
      <c r="F4021" t="inlineStr">
        <is>
          <t>N/A</t>
        </is>
      </c>
      <c r="G4021" s="26">
        <v>83720970</v>
      </c>
      <c r="H4021" s="26">
        <v>837210</v>
      </c>
      <c r="I4021" s="26">
        <v>0</v>
      </c>
      <c r="J4021" s="26">
        <v>59</v>
      </c>
      <c r="K4021" t="inlineStr">
        <is>
          <t>Non</t>
        </is>
      </c>
      <c r="L4021">
        <f>SUBTOTAL(103,A4021)</f>
        <v>1</v>
      </c>
    </row>
    <row r="4022">
      <c r="A4022" t="inlineStr">
        <is>
          <t>SOCIETE C6</t>
        </is>
      </c>
      <c r="B4022" t="inlineStr">
        <is>
          <t>C6</t>
        </is>
      </c>
      <c r="C4022" t="inlineStr">
        <is>
          <t>CORPORATE BANKING</t>
        </is>
      </c>
      <c r="D4022" t="inlineStr">
        <is>
          <t>I</t>
        </is>
      </c>
      <c r="E4022" t="inlineStr">
        <is>
          <t>Stage 1</t>
        </is>
      </c>
      <c r="F4022" t="inlineStr">
        <is>
          <t>N/A</t>
        </is>
      </c>
      <c r="G4022" s="26">
        <v>786888721</v>
      </c>
      <c r="H4022" s="26">
        <v>7868887</v>
      </c>
      <c r="I4022" s="26">
        <v>0</v>
      </c>
      <c r="J4022" s="26">
        <v>42</v>
      </c>
      <c r="K4022" t="inlineStr">
        <is>
          <t>Non</t>
        </is>
      </c>
      <c r="L4022">
        <f>SUBTOTAL(103,A4022)</f>
        <v>1</v>
      </c>
    </row>
    <row r="4023">
      <c r="A4023" t="inlineStr">
        <is>
          <t>SOCIETE C781</t>
        </is>
      </c>
      <c r="B4023" t="inlineStr">
        <is>
          <t>C781</t>
        </is>
      </c>
      <c r="C4023" t="inlineStr">
        <is>
          <t>CORPORATE BANKING</t>
        </is>
      </c>
      <c r="D4023" t="inlineStr">
        <is>
          <t>V</t>
        </is>
      </c>
      <c r="E4023" t="inlineStr">
        <is>
          <t>Stage 3</t>
        </is>
      </c>
      <c r="F4023" t="inlineStr">
        <is>
          <t>N/A</t>
        </is>
      </c>
      <c r="G4023" s="26">
        <v>14816811</v>
      </c>
      <c r="H4023" s="26">
        <v>8149246</v>
      </c>
      <c r="I4023" s="26">
        <v>2214873</v>
      </c>
      <c r="J4023" s="26">
        <v>25</v>
      </c>
      <c r="K4023" t="inlineStr">
        <is>
          <t>Oui</t>
        </is>
      </c>
      <c r="L4023">
        <f>SUBTOTAL(103,A4023)</f>
        <v>1</v>
      </c>
    </row>
    <row r="4024">
      <c r="A4024" t="inlineStr">
        <is>
          <t>SOCIETE C1630</t>
        </is>
      </c>
      <c r="B4024" t="inlineStr">
        <is>
          <t>C1630</t>
        </is>
      </c>
      <c r="C4024" t="inlineStr">
        <is>
          <t>CORPORATE BANKING</t>
        </is>
      </c>
      <c r="D4024" t="inlineStr">
        <is>
          <t>I</t>
        </is>
      </c>
      <c r="E4024" t="inlineStr">
        <is>
          <t>Stage 1</t>
        </is>
      </c>
      <c r="F4024" t="inlineStr">
        <is>
          <t>N/A</t>
        </is>
      </c>
      <c r="G4024" s="26">
        <v>1921723406</v>
      </c>
      <c r="H4024" s="26">
        <v>19217234</v>
      </c>
      <c r="I4024" s="26">
        <v>31640866</v>
      </c>
      <c r="J4024" s="26">
        <v>37</v>
      </c>
      <c r="K4024" t="inlineStr">
        <is>
          <t>Non</t>
        </is>
      </c>
      <c r="L4024">
        <f>SUBTOTAL(103,A4024)</f>
        <v>1</v>
      </c>
    </row>
    <row r="4025">
      <c r="A4025" t="inlineStr">
        <is>
          <t>SOCIETE C1450</t>
        </is>
      </c>
      <c r="B4025" t="inlineStr">
        <is>
          <t>C1450</t>
        </is>
      </c>
      <c r="C4025" t="inlineStr">
        <is>
          <t>CORPORATE BANKING</t>
        </is>
      </c>
      <c r="D4025" t="inlineStr">
        <is>
          <t>II</t>
        </is>
      </c>
      <c r="E4025" t="inlineStr">
        <is>
          <t>Stage 2</t>
        </is>
      </c>
      <c r="F4025" t="inlineStr">
        <is>
          <t>N/A</t>
        </is>
      </c>
      <c r="G4025" s="26">
        <v>26490214</v>
      </c>
      <c r="H4025" s="26">
        <v>1589413</v>
      </c>
      <c r="I4025" s="26">
        <v>0</v>
      </c>
      <c r="J4025" s="26">
        <v>22</v>
      </c>
      <c r="K4025" t="inlineStr">
        <is>
          <t>Non</t>
        </is>
      </c>
      <c r="L4025">
        <f>SUBTOTAL(103,A4025)</f>
        <v>1</v>
      </c>
    </row>
    <row r="4026">
      <c r="A4026" t="inlineStr">
        <is>
          <t>SOCIETE C1675</t>
        </is>
      </c>
      <c r="B4026" t="inlineStr">
        <is>
          <t>C1675</t>
        </is>
      </c>
      <c r="C4026" t="inlineStr">
        <is>
          <t>CORPORATE BANKING</t>
        </is>
      </c>
      <c r="D4026" t="inlineStr">
        <is>
          <t>IV</t>
        </is>
      </c>
      <c r="E4026" t="inlineStr">
        <is>
          <t>Stage 3</t>
        </is>
      </c>
      <c r="F4026" t="inlineStr">
        <is>
          <t>N/A</t>
        </is>
      </c>
      <c r="G4026" s="26">
        <v>2793223638</v>
      </c>
      <c r="H4026" s="26">
        <v>1536273001</v>
      </c>
      <c r="I4026" s="26">
        <v>457770313</v>
      </c>
      <c r="J4026" s="26">
        <v>51</v>
      </c>
      <c r="K4026" t="inlineStr">
        <is>
          <t>Oui</t>
        </is>
      </c>
      <c r="L4026">
        <f>SUBTOTAL(103,A4026)</f>
        <v>1</v>
      </c>
    </row>
    <row r="4027">
      <c r="A4027" t="inlineStr">
        <is>
          <t>SOCIETE C443</t>
        </is>
      </c>
      <c r="B4027" t="inlineStr">
        <is>
          <t>C443</t>
        </is>
      </c>
      <c r="C4027" t="inlineStr">
        <is>
          <t>CORPORATE BANKING</t>
        </is>
      </c>
      <c r="D4027" t="inlineStr">
        <is>
          <t>I</t>
        </is>
      </c>
      <c r="E4027" t="inlineStr">
        <is>
          <t>Stage 1</t>
        </is>
      </c>
      <c r="F4027" t="inlineStr">
        <is>
          <t>N/A</t>
        </is>
      </c>
      <c r="G4027" s="26">
        <v>1047887</v>
      </c>
      <c r="H4027" s="26">
        <v>10479</v>
      </c>
      <c r="I4027" s="26">
        <v>0</v>
      </c>
      <c r="J4027" s="26">
        <v>114</v>
      </c>
      <c r="K4027" t="inlineStr">
        <is>
          <t>Non</t>
        </is>
      </c>
      <c r="L4027">
        <f>SUBTOTAL(103,A4027)</f>
        <v>1</v>
      </c>
    </row>
    <row r="4028">
      <c r="A4028" t="inlineStr">
        <is>
          <t>SOCIETE C1608</t>
        </is>
      </c>
      <c r="B4028" t="inlineStr">
        <is>
          <t>C1608</t>
        </is>
      </c>
      <c r="C4028" t="inlineStr">
        <is>
          <t>CONSUMER BANKING</t>
        </is>
      </c>
      <c r="D4028" t="inlineStr">
        <is>
          <t>IV</t>
        </is>
      </c>
      <c r="E4028" t="inlineStr">
        <is>
          <t>Stage 3</t>
        </is>
      </c>
      <c r="F4028" t="inlineStr">
        <is>
          <t>N/A</t>
        </is>
      </c>
      <c r="G4028" s="26">
        <v>2290781527</v>
      </c>
      <c r="H4028" s="26">
        <v>1259929840</v>
      </c>
      <c r="I4028" s="26">
        <v>0</v>
      </c>
      <c r="J4028" s="26">
        <v>19</v>
      </c>
      <c r="K4028" t="inlineStr">
        <is>
          <t>Oui</t>
        </is>
      </c>
      <c r="L4028">
        <f>SUBTOTAL(103,A4028)</f>
        <v>1</v>
      </c>
    </row>
    <row r="4029">
      <c r="A4029" t="inlineStr">
        <is>
          <t>SOCIETE C960</t>
        </is>
      </c>
      <c r="B4029" t="inlineStr">
        <is>
          <t>C960</t>
        </is>
      </c>
      <c r="C4029" t="inlineStr">
        <is>
          <t>CONSUMER BANKING</t>
        </is>
      </c>
      <c r="D4029" t="inlineStr">
        <is>
          <t>II</t>
        </is>
      </c>
      <c r="E4029" t="inlineStr">
        <is>
          <t>Stage 2</t>
        </is>
      </c>
      <c r="F4029" t="inlineStr">
        <is>
          <t>N/A</t>
        </is>
      </c>
      <c r="G4029" s="26">
        <v>2049853</v>
      </c>
      <c r="H4029" s="26">
        <v>122991</v>
      </c>
      <c r="I4029" s="26">
        <v>0</v>
      </c>
      <c r="J4029" s="26">
        <v>160</v>
      </c>
      <c r="K4029" t="inlineStr">
        <is>
          <t>Non</t>
        </is>
      </c>
      <c r="L4029">
        <f>SUBTOTAL(103,A4029)</f>
        <v>1</v>
      </c>
    </row>
    <row r="4030">
      <c r="A4030" t="inlineStr">
        <is>
          <t>SOCIETE C986</t>
        </is>
      </c>
      <c r="B4030" t="inlineStr">
        <is>
          <t>C986</t>
        </is>
      </c>
      <c r="C4030" t="inlineStr">
        <is>
          <t>CORPORATE BANKING</t>
        </is>
      </c>
      <c r="D4030" t="inlineStr">
        <is>
          <t>IV</t>
        </is>
      </c>
      <c r="E4030" t="inlineStr">
        <is>
          <t>Stage 3</t>
        </is>
      </c>
      <c r="F4030" t="inlineStr">
        <is>
          <t>N/A</t>
        </is>
      </c>
      <c r="G4030" s="26">
        <v>1596983447</v>
      </c>
      <c r="H4030" s="26">
        <v>878340896</v>
      </c>
      <c r="I4030" s="26">
        <v>151805</v>
      </c>
      <c r="J4030" s="26">
        <v>214</v>
      </c>
      <c r="K4030" t="inlineStr">
        <is>
          <t>Oui</t>
        </is>
      </c>
      <c r="L4030">
        <f>SUBTOTAL(103,A4030)</f>
        <v>1</v>
      </c>
    </row>
    <row r="4031">
      <c r="A4031" t="inlineStr">
        <is>
          <t>SOCIETE C8</t>
        </is>
      </c>
      <c r="B4031" t="inlineStr">
        <is>
          <t>C8</t>
        </is>
      </c>
      <c r="C4031" t="inlineStr">
        <is>
          <t>INSTITUTIONAL</t>
        </is>
      </c>
      <c r="D4031" t="inlineStr">
        <is>
          <t>V</t>
        </is>
      </c>
      <c r="E4031" t="inlineStr">
        <is>
          <t>Stage 3</t>
        </is>
      </c>
      <c r="F4031" t="inlineStr">
        <is>
          <t>N/A</t>
        </is>
      </c>
      <c r="G4031" s="26">
        <v>2751742290</v>
      </c>
      <c r="H4031" s="26">
        <v>1513458259</v>
      </c>
      <c r="I4031" s="26">
        <v>431059796</v>
      </c>
      <c r="J4031" s="26">
        <v>17</v>
      </c>
      <c r="K4031" t="inlineStr">
        <is>
          <t>Oui</t>
        </is>
      </c>
      <c r="L4031">
        <f>SUBTOTAL(103,A4031)</f>
        <v>1</v>
      </c>
    </row>
    <row r="4032">
      <c r="A4032" t="inlineStr">
        <is>
          <t>SOCIETE C1703</t>
        </is>
      </c>
      <c r="B4032" t="inlineStr">
        <is>
          <t>C1703</t>
        </is>
      </c>
      <c r="C4032" t="inlineStr">
        <is>
          <t>CONSUMER BANKING</t>
        </is>
      </c>
      <c r="D4032" t="inlineStr">
        <is>
          <t>I</t>
        </is>
      </c>
      <c r="E4032" t="inlineStr">
        <is>
          <t>Stage 1</t>
        </is>
      </c>
      <c r="F4032" t="inlineStr">
        <is>
          <t>N/A</t>
        </is>
      </c>
      <c r="G4032" s="26">
        <v>553226449</v>
      </c>
      <c r="H4032" s="26">
        <v>5532264</v>
      </c>
      <c r="I4032" s="26">
        <v>0</v>
      </c>
      <c r="J4032" s="26">
        <v>56</v>
      </c>
      <c r="K4032" t="inlineStr">
        <is>
          <t>Non</t>
        </is>
      </c>
      <c r="L4032">
        <f>SUBTOTAL(103,A4032)</f>
        <v>1</v>
      </c>
    </row>
    <row r="4033">
      <c r="A4033" t="inlineStr">
        <is>
          <t>SOCIETE C1543</t>
        </is>
      </c>
      <c r="B4033" t="inlineStr">
        <is>
          <t>C1543</t>
        </is>
      </c>
      <c r="C4033" t="inlineStr">
        <is>
          <t>CORPORATE BANKING</t>
        </is>
      </c>
      <c r="D4033" t="inlineStr">
        <is>
          <t>III</t>
        </is>
      </c>
      <c r="E4033" t="inlineStr">
        <is>
          <t>Stage 3</t>
        </is>
      </c>
      <c r="F4033" t="inlineStr">
        <is>
          <t>N/A</t>
        </is>
      </c>
      <c r="G4033" s="26">
        <v>2930140217</v>
      </c>
      <c r="H4033" s="26">
        <v>1611577119</v>
      </c>
      <c r="I4033" s="26">
        <v>0</v>
      </c>
      <c r="J4033" s="26">
        <v>247</v>
      </c>
      <c r="K4033" t="inlineStr">
        <is>
          <t>Oui</t>
        </is>
      </c>
      <c r="L4033">
        <f>SUBTOTAL(103,A4033)</f>
        <v>1</v>
      </c>
    </row>
    <row r="4034">
      <c r="A4034" t="inlineStr">
        <is>
          <t>SOCIETE C1835</t>
        </is>
      </c>
      <c r="B4034" t="inlineStr">
        <is>
          <t>C1835</t>
        </is>
      </c>
      <c r="C4034" t="inlineStr">
        <is>
          <t>CORPORATE BANKING</t>
        </is>
      </c>
      <c r="D4034" t="inlineStr">
        <is>
          <t>IA</t>
        </is>
      </c>
      <c r="E4034" t="inlineStr">
        <is>
          <t>Stage 2</t>
        </is>
      </c>
      <c r="F4034" t="inlineStr">
        <is>
          <t>N/A</t>
        </is>
      </c>
      <c r="G4034" s="26">
        <v>569684815</v>
      </c>
      <c r="H4034" s="26">
        <v>34181089</v>
      </c>
      <c r="I4034" s="26">
        <v>0</v>
      </c>
      <c r="J4034" s="26">
        <v>16</v>
      </c>
      <c r="K4034" t="inlineStr">
        <is>
          <t>Non</t>
        </is>
      </c>
      <c r="L4034">
        <f>SUBTOTAL(103,A4034)</f>
        <v>1</v>
      </c>
    </row>
    <row r="4035">
      <c r="A4035" t="inlineStr">
        <is>
          <t>SOCIETE C568</t>
        </is>
      </c>
      <c r="B4035" t="inlineStr">
        <is>
          <t>C568</t>
        </is>
      </c>
      <c r="C4035" t="inlineStr">
        <is>
          <t>CORPORATE BANKING</t>
        </is>
      </c>
      <c r="D4035" t="inlineStr">
        <is>
          <t>V</t>
        </is>
      </c>
      <c r="E4035" t="inlineStr">
        <is>
          <t>Stage 3</t>
        </is>
      </c>
      <c r="F4035" t="inlineStr">
        <is>
          <t>N/A</t>
        </is>
      </c>
      <c r="G4035" s="26">
        <v>1608201465</v>
      </c>
      <c r="H4035" s="26">
        <v>884510806</v>
      </c>
      <c r="I4035" s="26">
        <v>0</v>
      </c>
      <c r="J4035" s="26">
        <v>108</v>
      </c>
      <c r="K4035" t="inlineStr">
        <is>
          <t>Oui</t>
        </is>
      </c>
      <c r="L4035">
        <f>SUBTOTAL(103,A4035)</f>
        <v>1</v>
      </c>
    </row>
    <row r="4036">
      <c r="A4036" t="inlineStr">
        <is>
          <t>SOCIETE C2224</t>
        </is>
      </c>
      <c r="B4036" t="inlineStr">
        <is>
          <t>C2224</t>
        </is>
      </c>
      <c r="C4036" t="inlineStr">
        <is>
          <t>CONSUMER BANKING</t>
        </is>
      </c>
      <c r="D4036" t="inlineStr">
        <is>
          <t>I</t>
        </is>
      </c>
      <c r="E4036" t="inlineStr">
        <is>
          <t>Stage 1</t>
        </is>
      </c>
      <c r="F4036" t="inlineStr">
        <is>
          <t>N/A</t>
        </is>
      </c>
      <c r="G4036" s="26">
        <v>2942422403</v>
      </c>
      <c r="H4036" s="26">
        <v>29424224</v>
      </c>
      <c r="I4036" s="26">
        <v>555729488</v>
      </c>
      <c r="J4036" s="26">
        <v>27</v>
      </c>
      <c r="K4036" t="inlineStr">
        <is>
          <t>Non</t>
        </is>
      </c>
      <c r="L4036">
        <f>SUBTOTAL(103,A4036)</f>
        <v>1</v>
      </c>
    </row>
    <row r="4037">
      <c r="A4037" t="inlineStr">
        <is>
          <t>SOCIETE C505</t>
        </is>
      </c>
      <c r="B4037" t="inlineStr">
        <is>
          <t>C505</t>
        </is>
      </c>
      <c r="C4037" t="inlineStr">
        <is>
          <t>CORPORATE BANKING</t>
        </is>
      </c>
      <c r="D4037" t="inlineStr">
        <is>
          <t>I</t>
        </is>
      </c>
      <c r="E4037" t="inlineStr">
        <is>
          <t>Stage 1</t>
        </is>
      </c>
      <c r="F4037" t="inlineStr">
        <is>
          <t>N/A</t>
        </is>
      </c>
      <c r="G4037" s="26">
        <v>2034670604</v>
      </c>
      <c r="H4037" s="26">
        <v>20346706</v>
      </c>
      <c r="I4037" s="26">
        <v>0</v>
      </c>
      <c r="J4037" s="26">
        <v>45</v>
      </c>
      <c r="K4037" t="inlineStr">
        <is>
          <t>Non</t>
        </is>
      </c>
      <c r="L4037">
        <f>SUBTOTAL(103,A4037)</f>
        <v>1</v>
      </c>
    </row>
    <row r="4038">
      <c r="A4038" t="inlineStr">
        <is>
          <t>SOCIETE C524</t>
        </is>
      </c>
      <c r="B4038" t="inlineStr">
        <is>
          <t>C524</t>
        </is>
      </c>
      <c r="C4038" t="inlineStr">
        <is>
          <t>SME</t>
        </is>
      </c>
      <c r="D4038" t="inlineStr">
        <is>
          <t>IA</t>
        </is>
      </c>
      <c r="E4038" t="inlineStr">
        <is>
          <t>Stage 2</t>
        </is>
      </c>
      <c r="F4038" t="inlineStr">
        <is>
          <t>N/A</t>
        </is>
      </c>
      <c r="G4038" s="26">
        <v>185676215</v>
      </c>
      <c r="H4038" s="26">
        <v>11140573</v>
      </c>
      <c r="I4038" s="26">
        <v>27575698</v>
      </c>
      <c r="J4038" s="26">
        <v>12</v>
      </c>
      <c r="K4038" t="inlineStr">
        <is>
          <t>Non</t>
        </is>
      </c>
      <c r="L4038">
        <f>SUBTOTAL(103,A4038)</f>
        <v>1</v>
      </c>
    </row>
    <row r="4039">
      <c r="A4039" t="inlineStr">
        <is>
          <t>SOCIETE C2261</t>
        </is>
      </c>
      <c r="B4039" t="inlineStr">
        <is>
          <t>C2261</t>
        </is>
      </c>
      <c r="C4039" t="inlineStr">
        <is>
          <t>COMMERCIAL BANKING</t>
        </is>
      </c>
      <c r="D4039" t="inlineStr">
        <is>
          <t>I</t>
        </is>
      </c>
      <c r="E4039" t="inlineStr">
        <is>
          <t>Stage 1</t>
        </is>
      </c>
      <c r="F4039" t="inlineStr">
        <is>
          <t>N/A</t>
        </is>
      </c>
      <c r="G4039" s="26">
        <v>1000000</v>
      </c>
      <c r="H4039" s="26">
        <v>10000</v>
      </c>
      <c r="I4039" s="26">
        <v>0</v>
      </c>
      <c r="J4039" s="26">
        <v>366</v>
      </c>
      <c r="K4039" t="inlineStr">
        <is>
          <t>Non</t>
        </is>
      </c>
      <c r="L4039">
        <f>SUBTOTAL(103,A4039)</f>
        <v>1</v>
      </c>
    </row>
    <row r="4040">
      <c r="A4040" t="inlineStr">
        <is>
          <t>SOCIETE C1347</t>
        </is>
      </c>
      <c r="B4040" t="inlineStr">
        <is>
          <t>C1347</t>
        </is>
      </c>
      <c r="C4040" t="inlineStr">
        <is>
          <t>CORPORATE BANKING</t>
        </is>
      </c>
      <c r="D4040" t="inlineStr">
        <is>
          <t>IA</t>
        </is>
      </c>
      <c r="E4040" t="inlineStr">
        <is>
          <t>Stage 2</t>
        </is>
      </c>
      <c r="F4040" t="inlineStr">
        <is>
          <t>N/A</t>
        </is>
      </c>
      <c r="G4040" s="26">
        <v>470238434</v>
      </c>
      <c r="H4040" s="26">
        <v>28214306</v>
      </c>
      <c r="I4040" s="26">
        <v>0</v>
      </c>
      <c r="J4040" s="26">
        <v>30</v>
      </c>
      <c r="K4040" t="inlineStr">
        <is>
          <t>Non</t>
        </is>
      </c>
      <c r="L4040">
        <f>SUBTOTAL(103,A4040)</f>
        <v>1</v>
      </c>
    </row>
    <row r="4041">
      <c r="A4041" t="inlineStr">
        <is>
          <t>SOCIETE C382</t>
        </is>
      </c>
      <c r="B4041" t="inlineStr">
        <is>
          <t>C382</t>
        </is>
      </c>
      <c r="C4041" t="inlineStr">
        <is>
          <t>CORPORATE BANKING</t>
        </is>
      </c>
      <c r="D4041" t="inlineStr">
        <is>
          <t>IA</t>
        </is>
      </c>
      <c r="E4041" t="inlineStr">
        <is>
          <t>Stage 2</t>
        </is>
      </c>
      <c r="F4041" t="inlineStr">
        <is>
          <t>N/A</t>
        </is>
      </c>
      <c r="G4041" s="26">
        <v>89653613</v>
      </c>
      <c r="H4041" s="26">
        <v>5379217</v>
      </c>
      <c r="I4041" s="26">
        <v>0</v>
      </c>
      <c r="J4041" s="26">
        <v>83</v>
      </c>
      <c r="K4041" t="inlineStr">
        <is>
          <t>Non</t>
        </is>
      </c>
      <c r="L4041">
        <f>SUBTOTAL(103,A4041)</f>
        <v>1</v>
      </c>
    </row>
    <row r="4042">
      <c r="A4042" t="inlineStr">
        <is>
          <t>SOCIETE C1398</t>
        </is>
      </c>
      <c r="B4042" t="inlineStr">
        <is>
          <t>C1398</t>
        </is>
      </c>
      <c r="C4042" t="inlineStr">
        <is>
          <t>CORPORATE BANKING</t>
        </is>
      </c>
      <c r="D4042" t="inlineStr">
        <is>
          <t>III</t>
        </is>
      </c>
      <c r="E4042" t="inlineStr">
        <is>
          <t>Stage 3</t>
        </is>
      </c>
      <c r="F4042" t="inlineStr">
        <is>
          <t>N/A</t>
        </is>
      </c>
      <c r="G4042" s="26">
        <v>1338834746</v>
      </c>
      <c r="H4042" s="26">
        <v>736359111</v>
      </c>
      <c r="I4042" s="26">
        <v>0</v>
      </c>
      <c r="J4042" s="26">
        <v>145</v>
      </c>
      <c r="K4042" t="inlineStr">
        <is>
          <t>Oui</t>
        </is>
      </c>
      <c r="L4042">
        <f>SUBTOTAL(103,A4042)</f>
        <v>1</v>
      </c>
    </row>
    <row r="4043">
      <c r="A4043" t="inlineStr">
        <is>
          <t>SOCIETE C157</t>
        </is>
      </c>
      <c r="B4043" t="inlineStr">
        <is>
          <t>C157</t>
        </is>
      </c>
      <c r="C4043" t="inlineStr">
        <is>
          <t>CORPORATE BANKING</t>
        </is>
      </c>
      <c r="D4043" t="inlineStr">
        <is>
          <t>IV</t>
        </is>
      </c>
      <c r="E4043" t="inlineStr">
        <is>
          <t>Stage 3</t>
        </is>
      </c>
      <c r="F4043" t="inlineStr">
        <is>
          <t>N/A</t>
        </is>
      </c>
      <c r="G4043" s="26">
        <v>88680091</v>
      </c>
      <c r="H4043" s="26">
        <v>48774050</v>
      </c>
      <c r="I4043" s="26">
        <v>0</v>
      </c>
      <c r="J4043" s="26">
        <v>92</v>
      </c>
      <c r="K4043" t="inlineStr">
        <is>
          <t>Oui</t>
        </is>
      </c>
      <c r="L4043">
        <f>SUBTOTAL(103,A4043)</f>
        <v>1</v>
      </c>
    </row>
    <row r="4044">
      <c r="A4044" t="inlineStr">
        <is>
          <t>SOCIETE C1303</t>
        </is>
      </c>
      <c r="B4044" t="inlineStr">
        <is>
          <t>C1303</t>
        </is>
      </c>
      <c r="C4044" t="inlineStr">
        <is>
          <t>PUBLIC SECTOR</t>
        </is>
      </c>
      <c r="D4044" t="inlineStr">
        <is>
          <t>IV</t>
        </is>
      </c>
      <c r="E4044" t="inlineStr">
        <is>
          <t>Stage 3</t>
        </is>
      </c>
      <c r="F4044" t="inlineStr">
        <is>
          <t>N/A</t>
        </is>
      </c>
      <c r="G4044" s="26">
        <v>1024139175</v>
      </c>
      <c r="H4044" s="26">
        <v>563276546</v>
      </c>
      <c r="I4044" s="26">
        <v>0</v>
      </c>
      <c r="J4044" s="26">
        <v>11</v>
      </c>
      <c r="K4044" t="inlineStr">
        <is>
          <t>Oui</t>
        </is>
      </c>
      <c r="L4044">
        <f>SUBTOTAL(103,A4044)</f>
        <v>1</v>
      </c>
    </row>
    <row r="4045">
      <c r="A4045" t="inlineStr">
        <is>
          <t>SOCIETE C580</t>
        </is>
      </c>
      <c r="B4045" t="inlineStr">
        <is>
          <t>C580</t>
        </is>
      </c>
      <c r="C4045" t="inlineStr">
        <is>
          <t>CORPORATE BANKING</t>
        </is>
      </c>
      <c r="D4045" t="inlineStr">
        <is>
          <t>V</t>
        </is>
      </c>
      <c r="E4045" t="inlineStr">
        <is>
          <t>Stage 3</t>
        </is>
      </c>
      <c r="F4045" t="inlineStr">
        <is>
          <t>N/A</t>
        </is>
      </c>
      <c r="G4045" s="26">
        <v>4760903</v>
      </c>
      <c r="H4045" s="26">
        <v>2618497</v>
      </c>
      <c r="I4045" s="26">
        <v>821512</v>
      </c>
      <c r="J4045" s="26">
        <v>38</v>
      </c>
      <c r="K4045" t="inlineStr">
        <is>
          <t>Oui</t>
        </is>
      </c>
      <c r="L4045">
        <f>SUBTOTAL(103,A4045)</f>
        <v>1</v>
      </c>
    </row>
    <row r="4046">
      <c r="A4046" t="inlineStr">
        <is>
          <t>SOCIETE C75</t>
        </is>
      </c>
      <c r="B4046" t="inlineStr">
        <is>
          <t>C75</t>
        </is>
      </c>
      <c r="C4046" t="inlineStr">
        <is>
          <t>CORPORATE BANKING</t>
        </is>
      </c>
      <c r="D4046" t="inlineStr">
        <is>
          <t>I</t>
        </is>
      </c>
      <c r="E4046" t="inlineStr">
        <is>
          <t>Stage 1</t>
        </is>
      </c>
      <c r="F4046" t="inlineStr">
        <is>
          <t>N/A</t>
        </is>
      </c>
      <c r="G4046" s="26">
        <v>1060238132</v>
      </c>
      <c r="H4046" s="26">
        <v>10602381</v>
      </c>
      <c r="I4046" s="26">
        <v>0</v>
      </c>
      <c r="J4046" s="26">
        <v>159</v>
      </c>
      <c r="K4046" t="inlineStr">
        <is>
          <t>Non</t>
        </is>
      </c>
      <c r="L4046">
        <f>SUBTOTAL(103,A4046)</f>
        <v>1</v>
      </c>
    </row>
    <row r="4047">
      <c r="A4047" t="inlineStr">
        <is>
          <t>SOCIETE C1841</t>
        </is>
      </c>
      <c r="B4047" t="inlineStr">
        <is>
          <t>C1841</t>
        </is>
      </c>
      <c r="C4047" t="inlineStr">
        <is>
          <t>COMMERCIAL BANKING</t>
        </is>
      </c>
      <c r="D4047" t="inlineStr">
        <is>
          <t>IA</t>
        </is>
      </c>
      <c r="E4047" t="inlineStr">
        <is>
          <t>Stage 2</t>
        </is>
      </c>
      <c r="F4047" t="inlineStr">
        <is>
          <t>N/A</t>
        </is>
      </c>
      <c r="G4047" s="26">
        <v>1012820</v>
      </c>
      <c r="H4047" s="26">
        <v>60769</v>
      </c>
      <c r="I4047" s="26">
        <v>0</v>
      </c>
      <c r="J4047" s="26">
        <v>34</v>
      </c>
      <c r="K4047" t="inlineStr">
        <is>
          <t>Non</t>
        </is>
      </c>
      <c r="L4047">
        <f>SUBTOTAL(103,A4047)</f>
        <v>1</v>
      </c>
    </row>
    <row r="4048">
      <c r="A4048" t="inlineStr">
        <is>
          <t>SOCIETE C999</t>
        </is>
      </c>
      <c r="B4048" t="inlineStr">
        <is>
          <t>C999</t>
        </is>
      </c>
      <c r="C4048" t="inlineStr">
        <is>
          <t>CORPORATE BANKING</t>
        </is>
      </c>
      <c r="D4048" t="inlineStr">
        <is>
          <t>IA</t>
        </is>
      </c>
      <c r="E4048" t="inlineStr">
        <is>
          <t>Stage 2</t>
        </is>
      </c>
      <c r="F4048" t="inlineStr">
        <is>
          <t>N/A</t>
        </is>
      </c>
      <c r="G4048" s="26">
        <v>1082154411</v>
      </c>
      <c r="H4048" s="26">
        <v>64929265</v>
      </c>
      <c r="I4048" s="26">
        <v>0</v>
      </c>
      <c r="J4048" s="26">
        <v>50</v>
      </c>
      <c r="K4048" t="inlineStr">
        <is>
          <t>Non</t>
        </is>
      </c>
      <c r="L4048">
        <f>SUBTOTAL(103,A4048)</f>
        <v>1</v>
      </c>
    </row>
    <row r="4049">
      <c r="A4049" t="inlineStr">
        <is>
          <t>SOCIETE C960</t>
        </is>
      </c>
      <c r="B4049" t="inlineStr">
        <is>
          <t>C960</t>
        </is>
      </c>
      <c r="C4049" t="inlineStr">
        <is>
          <t>CORPORATE BANKING</t>
        </is>
      </c>
      <c r="D4049" t="inlineStr">
        <is>
          <t>II</t>
        </is>
      </c>
      <c r="E4049" t="inlineStr">
        <is>
          <t>Stage 2</t>
        </is>
      </c>
      <c r="F4049" t="inlineStr">
        <is>
          <t>N/A</t>
        </is>
      </c>
      <c r="G4049" s="26">
        <v>302301615</v>
      </c>
      <c r="H4049" s="26">
        <v>18138097</v>
      </c>
      <c r="I4049" s="26">
        <v>0</v>
      </c>
      <c r="J4049" s="26">
        <v>10</v>
      </c>
      <c r="K4049" t="inlineStr">
        <is>
          <t>Non</t>
        </is>
      </c>
      <c r="L4049">
        <f>SUBTOTAL(103,A4049)</f>
        <v>1</v>
      </c>
    </row>
    <row r="4050">
      <c r="A4050" t="inlineStr">
        <is>
          <t>SOCIETE C2015</t>
        </is>
      </c>
      <c r="B4050" t="inlineStr">
        <is>
          <t>C2015</t>
        </is>
      </c>
      <c r="C4050" t="inlineStr">
        <is>
          <t>CORPORATE BANKING</t>
        </is>
      </c>
      <c r="D4050" t="inlineStr">
        <is>
          <t>I</t>
        </is>
      </c>
      <c r="E4050" t="inlineStr">
        <is>
          <t>Stage 1</t>
        </is>
      </c>
      <c r="F4050" t="inlineStr">
        <is>
          <t>N/A</t>
        </is>
      </c>
      <c r="G4050" s="26">
        <v>33472139</v>
      </c>
      <c r="H4050" s="26">
        <v>334721</v>
      </c>
      <c r="I4050" s="26">
        <v>3074474</v>
      </c>
      <c r="J4050" s="26">
        <v>201</v>
      </c>
      <c r="K4050" t="inlineStr">
        <is>
          <t>Non</t>
        </is>
      </c>
      <c r="L4050">
        <f>SUBTOTAL(103,A4050)</f>
        <v>1</v>
      </c>
    </row>
    <row r="4051">
      <c r="A4051" t="inlineStr">
        <is>
          <t>SOCIETE C882</t>
        </is>
      </c>
      <c r="B4051" t="inlineStr">
        <is>
          <t>C882</t>
        </is>
      </c>
      <c r="C4051" t="inlineStr">
        <is>
          <t>CONSUMER BANKING</t>
        </is>
      </c>
      <c r="D4051" t="inlineStr">
        <is>
          <t>I</t>
        </is>
      </c>
      <c r="E4051" t="inlineStr">
        <is>
          <t>Stage 1</t>
        </is>
      </c>
      <c r="F4051" t="inlineStr">
        <is>
          <t>N/A</t>
        </is>
      </c>
      <c r="G4051" s="26">
        <v>2394138132</v>
      </c>
      <c r="H4051" s="26">
        <v>23941381</v>
      </c>
      <c r="I4051" s="26">
        <v>0</v>
      </c>
      <c r="J4051" s="26">
        <v>322</v>
      </c>
      <c r="K4051" t="inlineStr">
        <is>
          <t>Non</t>
        </is>
      </c>
      <c r="L4051">
        <f>SUBTOTAL(103,A4051)</f>
        <v>1</v>
      </c>
    </row>
    <row r="4052">
      <c r="A4052" t="inlineStr">
        <is>
          <t>SOCIETE C2025</t>
        </is>
      </c>
      <c r="B4052" t="inlineStr">
        <is>
          <t>C2025</t>
        </is>
      </c>
      <c r="C4052" t="inlineStr">
        <is>
          <t>CONSUMER BANKING</t>
        </is>
      </c>
      <c r="D4052" t="inlineStr">
        <is>
          <t>IA</t>
        </is>
      </c>
      <c r="E4052" t="inlineStr">
        <is>
          <t>Stage 2</t>
        </is>
      </c>
      <c r="F4052" t="inlineStr">
        <is>
          <t>N/A</t>
        </is>
      </c>
      <c r="G4052" s="26">
        <v>522140661</v>
      </c>
      <c r="H4052" s="26">
        <v>31328440</v>
      </c>
      <c r="I4052" s="26">
        <v>82914435</v>
      </c>
      <c r="J4052" s="26">
        <v>166</v>
      </c>
      <c r="K4052" t="inlineStr">
        <is>
          <t>Non</t>
        </is>
      </c>
      <c r="L4052">
        <f>SUBTOTAL(103,A4052)</f>
        <v>1</v>
      </c>
    </row>
    <row r="4053">
      <c r="A4053" t="inlineStr">
        <is>
          <t>SOCIETE C1139</t>
        </is>
      </c>
      <c r="B4053" t="inlineStr">
        <is>
          <t>C1139</t>
        </is>
      </c>
      <c r="C4053" t="inlineStr">
        <is>
          <t>SME</t>
        </is>
      </c>
      <c r="D4053" t="inlineStr">
        <is>
          <t>I</t>
        </is>
      </c>
      <c r="E4053" t="inlineStr">
        <is>
          <t>Stage 1</t>
        </is>
      </c>
      <c r="F4053" t="inlineStr">
        <is>
          <t>N/A</t>
        </is>
      </c>
      <c r="G4053" s="26">
        <v>1514442770</v>
      </c>
      <c r="H4053" s="26">
        <v>15144428</v>
      </c>
      <c r="I4053" s="26">
        <v>0</v>
      </c>
      <c r="J4053" s="26">
        <v>157</v>
      </c>
      <c r="K4053" t="inlineStr">
        <is>
          <t>Non</t>
        </is>
      </c>
      <c r="L4053">
        <f>SUBTOTAL(103,A4053)</f>
        <v>1</v>
      </c>
    </row>
    <row r="4054">
      <c r="A4054" t="inlineStr">
        <is>
          <t>SOCIETE C61</t>
        </is>
      </c>
      <c r="B4054" t="inlineStr">
        <is>
          <t>C61</t>
        </is>
      </c>
      <c r="C4054" t="inlineStr">
        <is>
          <t>COMMERCIAL BANKING</t>
        </is>
      </c>
      <c r="D4054" t="inlineStr">
        <is>
          <t>IV</t>
        </is>
      </c>
      <c r="E4054" t="inlineStr">
        <is>
          <t>Stage 3</t>
        </is>
      </c>
      <c r="F4054" t="inlineStr">
        <is>
          <t>N/A</t>
        </is>
      </c>
      <c r="G4054" s="26">
        <v>228988089</v>
      </c>
      <c r="H4054" s="26">
        <v>125943449</v>
      </c>
      <c r="I4054" s="26">
        <v>16720195</v>
      </c>
      <c r="J4054" s="26">
        <v>2</v>
      </c>
      <c r="K4054" t="inlineStr">
        <is>
          <t>Oui</t>
        </is>
      </c>
      <c r="L4054">
        <f>SUBTOTAL(103,A4054)</f>
        <v>1</v>
      </c>
    </row>
    <row r="4055">
      <c r="A4055" t="inlineStr">
        <is>
          <t>SOCIETE C860</t>
        </is>
      </c>
      <c r="B4055" t="inlineStr">
        <is>
          <t>C860</t>
        </is>
      </c>
      <c r="C4055" t="inlineStr">
        <is>
          <t>CONSUMER BANKING</t>
        </is>
      </c>
      <c r="D4055" t="inlineStr">
        <is>
          <t>I</t>
        </is>
      </c>
      <c r="E4055" t="inlineStr">
        <is>
          <t>Stage 1</t>
        </is>
      </c>
      <c r="F4055" t="inlineStr">
        <is>
          <t>N/A</t>
        </is>
      </c>
      <c r="G4055" s="26">
        <v>183028646</v>
      </c>
      <c r="H4055" s="26">
        <v>1830286</v>
      </c>
      <c r="I4055" s="26">
        <v>0</v>
      </c>
      <c r="J4055" s="26">
        <v>1</v>
      </c>
      <c r="K4055" t="inlineStr">
        <is>
          <t>Non</t>
        </is>
      </c>
      <c r="L4055">
        <f>SUBTOTAL(103,A4055)</f>
        <v>1</v>
      </c>
    </row>
    <row r="4056">
      <c r="A4056" t="inlineStr">
        <is>
          <t>SOCIETE C2031</t>
        </is>
      </c>
      <c r="B4056" t="inlineStr">
        <is>
          <t>C2031</t>
        </is>
      </c>
      <c r="C4056" t="inlineStr">
        <is>
          <t>CORPORATE BANKING</t>
        </is>
      </c>
      <c r="D4056" t="inlineStr">
        <is>
          <t>II</t>
        </is>
      </c>
      <c r="E4056" t="inlineStr">
        <is>
          <t>Stage 2</t>
        </is>
      </c>
      <c r="F4056" t="inlineStr">
        <is>
          <t>N/A</t>
        </is>
      </c>
      <c r="G4056" s="26">
        <v>762548350</v>
      </c>
      <c r="H4056" s="26">
        <v>45752901</v>
      </c>
      <c r="I4056" s="26">
        <v>0</v>
      </c>
      <c r="J4056" s="26">
        <v>92</v>
      </c>
      <c r="K4056" t="inlineStr">
        <is>
          <t>Non</t>
        </is>
      </c>
      <c r="L4056">
        <f>SUBTOTAL(103,A4056)</f>
        <v>1</v>
      </c>
    </row>
    <row r="4057">
      <c r="A4057" t="inlineStr">
        <is>
          <t>SOCIETE C1280</t>
        </is>
      </c>
      <c r="B4057" t="inlineStr">
        <is>
          <t>C1280</t>
        </is>
      </c>
      <c r="C4057" t="inlineStr">
        <is>
          <t>CONSUMER BANKING</t>
        </is>
      </c>
      <c r="D4057" t="inlineStr">
        <is>
          <t>I</t>
        </is>
      </c>
      <c r="E4057" t="inlineStr">
        <is>
          <t>Stage 1</t>
        </is>
      </c>
      <c r="F4057" t="inlineStr">
        <is>
          <t>N/A</t>
        </is>
      </c>
      <c r="G4057" s="26">
        <v>540132677</v>
      </c>
      <c r="H4057" s="26">
        <v>5401327</v>
      </c>
      <c r="I4057" s="26">
        <v>0</v>
      </c>
      <c r="J4057" s="26">
        <v>236</v>
      </c>
      <c r="K4057" t="inlineStr">
        <is>
          <t>Non</t>
        </is>
      </c>
      <c r="L4057">
        <f>SUBTOTAL(103,A4057)</f>
        <v>1</v>
      </c>
    </row>
    <row r="4058">
      <c r="A4058" t="inlineStr">
        <is>
          <t>SOCIETE C1072</t>
        </is>
      </c>
      <c r="B4058" t="inlineStr">
        <is>
          <t>C1072</t>
        </is>
      </c>
      <c r="C4058" t="inlineStr">
        <is>
          <t>COMMERCIAL BANKING</t>
        </is>
      </c>
      <c r="D4058" t="inlineStr">
        <is>
          <t>I</t>
        </is>
      </c>
      <c r="E4058" t="inlineStr">
        <is>
          <t>Stage 1</t>
        </is>
      </c>
      <c r="F4058" t="inlineStr">
        <is>
          <t>N/A</t>
        </is>
      </c>
      <c r="G4058" s="26">
        <v>15222674</v>
      </c>
      <c r="H4058" s="26">
        <v>152227</v>
      </c>
      <c r="I4058" s="26">
        <v>0</v>
      </c>
      <c r="J4058" s="26">
        <v>146</v>
      </c>
      <c r="K4058" t="inlineStr">
        <is>
          <t>Non</t>
        </is>
      </c>
      <c r="L4058">
        <f>SUBTOTAL(103,A4058)</f>
        <v>1</v>
      </c>
    </row>
    <row r="4059">
      <c r="A4059" t="inlineStr">
        <is>
          <t>SOCIETE C727</t>
        </is>
      </c>
      <c r="B4059" t="inlineStr">
        <is>
          <t>C727</t>
        </is>
      </c>
      <c r="C4059" t="inlineStr">
        <is>
          <t>CORPORATE BANKING</t>
        </is>
      </c>
      <c r="D4059" t="inlineStr">
        <is>
          <t>IA</t>
        </is>
      </c>
      <c r="E4059" t="inlineStr">
        <is>
          <t>Stage 2</t>
        </is>
      </c>
      <c r="F4059" t="inlineStr">
        <is>
          <t>N/A</t>
        </is>
      </c>
      <c r="G4059" s="26">
        <v>1794044777</v>
      </c>
      <c r="H4059" s="26">
        <v>107642687</v>
      </c>
      <c r="I4059" s="26">
        <v>25030518</v>
      </c>
      <c r="J4059" s="26">
        <v>52</v>
      </c>
      <c r="K4059" t="inlineStr">
        <is>
          <t>Non</t>
        </is>
      </c>
      <c r="L4059">
        <f>SUBTOTAL(103,A4059)</f>
        <v>1</v>
      </c>
    </row>
    <row r="4060">
      <c r="A4060" t="inlineStr">
        <is>
          <t>SOCIETE C2063</t>
        </is>
      </c>
      <c r="B4060" t="inlineStr">
        <is>
          <t>C2063</t>
        </is>
      </c>
      <c r="C4060" t="inlineStr">
        <is>
          <t>SME</t>
        </is>
      </c>
      <c r="D4060" t="inlineStr">
        <is>
          <t>IA</t>
        </is>
      </c>
      <c r="E4060" t="inlineStr">
        <is>
          <t>Stage 2</t>
        </is>
      </c>
      <c r="F4060" t="inlineStr">
        <is>
          <t>N/A</t>
        </is>
      </c>
      <c r="G4060" s="26">
        <v>44101271</v>
      </c>
      <c r="H4060" s="26">
        <v>2646076</v>
      </c>
      <c r="I4060" s="26">
        <v>0</v>
      </c>
      <c r="J4060" s="26">
        <v>23</v>
      </c>
      <c r="K4060" t="inlineStr">
        <is>
          <t>Non</t>
        </is>
      </c>
      <c r="L4060">
        <f>SUBTOTAL(103,A4060)</f>
        <v>1</v>
      </c>
    </row>
    <row r="4061">
      <c r="A4061" t="inlineStr">
        <is>
          <t>SOCIETE C30</t>
        </is>
      </c>
      <c r="B4061" t="inlineStr">
        <is>
          <t>C30</t>
        </is>
      </c>
      <c r="C4061" t="inlineStr">
        <is>
          <t>COMMERCIAL BANKING</t>
        </is>
      </c>
      <c r="D4061" t="inlineStr">
        <is>
          <t>I</t>
        </is>
      </c>
      <c r="E4061" t="inlineStr">
        <is>
          <t>Stage 1</t>
        </is>
      </c>
      <c r="F4061" t="inlineStr">
        <is>
          <t>N/A</t>
        </is>
      </c>
      <c r="G4061" s="26">
        <v>662160729</v>
      </c>
      <c r="H4061" s="26">
        <v>6621607</v>
      </c>
      <c r="I4061" s="26">
        <v>0</v>
      </c>
      <c r="J4061" s="26">
        <v>121</v>
      </c>
      <c r="K4061" t="inlineStr">
        <is>
          <t>Non</t>
        </is>
      </c>
      <c r="L4061">
        <f>SUBTOTAL(103,A4061)</f>
        <v>1</v>
      </c>
    </row>
    <row r="4062">
      <c r="A4062" t="inlineStr">
        <is>
          <t>SOCIETE C187</t>
        </is>
      </c>
      <c r="B4062" t="inlineStr">
        <is>
          <t>C187</t>
        </is>
      </c>
      <c r="C4062" t="inlineStr">
        <is>
          <t>CORPORATE BANKING</t>
        </is>
      </c>
      <c r="D4062" t="inlineStr">
        <is>
          <t>I</t>
        </is>
      </c>
      <c r="E4062" t="inlineStr">
        <is>
          <t>Stage 1</t>
        </is>
      </c>
      <c r="F4062" t="inlineStr">
        <is>
          <t>N/A</t>
        </is>
      </c>
      <c r="G4062" s="26">
        <v>905065341</v>
      </c>
      <c r="H4062" s="26">
        <v>9050653</v>
      </c>
      <c r="I4062" s="26">
        <v>0</v>
      </c>
      <c r="J4062" s="26">
        <v>13</v>
      </c>
      <c r="K4062" t="inlineStr">
        <is>
          <t>Non</t>
        </is>
      </c>
      <c r="L4062">
        <f>SUBTOTAL(103,A4062)</f>
        <v>1</v>
      </c>
    </row>
    <row r="4063">
      <c r="A4063" t="inlineStr">
        <is>
          <t>SOCIETE C2345</t>
        </is>
      </c>
      <c r="B4063" t="inlineStr">
        <is>
          <t>C2345</t>
        </is>
      </c>
      <c r="C4063" t="inlineStr">
        <is>
          <t>COMMERCIAL BANKING</t>
        </is>
      </c>
      <c r="D4063" t="inlineStr">
        <is>
          <t>V</t>
        </is>
      </c>
      <c r="E4063" t="inlineStr">
        <is>
          <t>Stage 3</t>
        </is>
      </c>
      <c r="F4063" t="inlineStr">
        <is>
          <t>N/A</t>
        </is>
      </c>
      <c r="G4063" s="26">
        <v>282897187</v>
      </c>
      <c r="H4063" s="26">
        <v>155593453</v>
      </c>
      <c r="I4063" s="26">
        <v>9960379</v>
      </c>
      <c r="J4063" s="26">
        <v>208</v>
      </c>
      <c r="K4063" t="inlineStr">
        <is>
          <t>Oui</t>
        </is>
      </c>
      <c r="L4063">
        <f>SUBTOTAL(103,A4063)</f>
        <v>1</v>
      </c>
    </row>
    <row r="4064">
      <c r="A4064" t="inlineStr">
        <is>
          <t>SOCIETE C740</t>
        </is>
      </c>
      <c r="B4064" t="inlineStr">
        <is>
          <t>C740</t>
        </is>
      </c>
      <c r="C4064" t="inlineStr">
        <is>
          <t>CORPORATE BANKING</t>
        </is>
      </c>
      <c r="D4064" t="inlineStr">
        <is>
          <t>I</t>
        </is>
      </c>
      <c r="E4064" t="inlineStr">
        <is>
          <t>Stage 1</t>
        </is>
      </c>
      <c r="F4064" t="inlineStr">
        <is>
          <t>N/A</t>
        </is>
      </c>
      <c r="G4064" s="26">
        <v>42091201</v>
      </c>
      <c r="H4064" s="26">
        <v>420912</v>
      </c>
      <c r="I4064" s="26">
        <v>2213626</v>
      </c>
      <c r="J4064" s="26">
        <v>172</v>
      </c>
      <c r="K4064" t="inlineStr">
        <is>
          <t>Non</t>
        </is>
      </c>
      <c r="L4064">
        <f>SUBTOTAL(103,A4064)</f>
        <v>1</v>
      </c>
    </row>
    <row r="4065">
      <c r="A4065" t="inlineStr">
        <is>
          <t>SOCIETE C1751</t>
        </is>
      </c>
      <c r="B4065" t="inlineStr">
        <is>
          <t>C1751</t>
        </is>
      </c>
      <c r="C4065" t="inlineStr">
        <is>
          <t>CORPORATE BANKING</t>
        </is>
      </c>
      <c r="D4065" t="inlineStr">
        <is>
          <t>II</t>
        </is>
      </c>
      <c r="E4065" t="inlineStr">
        <is>
          <t>Stage 2</t>
        </is>
      </c>
      <c r="F4065" t="inlineStr">
        <is>
          <t>N/A</t>
        </is>
      </c>
      <c r="G4065" s="26">
        <v>142862803</v>
      </c>
      <c r="H4065" s="26">
        <v>8571768</v>
      </c>
      <c r="I4065" s="26">
        <v>0</v>
      </c>
      <c r="J4065" s="26">
        <v>142</v>
      </c>
      <c r="K4065" t="inlineStr">
        <is>
          <t>Non</t>
        </is>
      </c>
      <c r="L4065">
        <f>SUBTOTAL(103,A4065)</f>
        <v>1</v>
      </c>
    </row>
    <row r="4066">
      <c r="A4066" t="inlineStr">
        <is>
          <t>SOCIETE C2390</t>
        </is>
      </c>
      <c r="B4066" t="inlineStr">
        <is>
          <t>C2390</t>
        </is>
      </c>
      <c r="C4066" t="inlineStr">
        <is>
          <t>INSTITUTIONAL</t>
        </is>
      </c>
      <c r="D4066" t="inlineStr">
        <is>
          <t>IV</t>
        </is>
      </c>
      <c r="E4066" t="inlineStr">
        <is>
          <t>Stage 3</t>
        </is>
      </c>
      <c r="F4066" t="inlineStr">
        <is>
          <t>N/A</t>
        </is>
      </c>
      <c r="G4066" s="26">
        <v>441379800</v>
      </c>
      <c r="H4066" s="26">
        <v>242758890</v>
      </c>
      <c r="I4066" s="26">
        <v>0</v>
      </c>
      <c r="J4066" s="26">
        <v>170</v>
      </c>
      <c r="K4066" t="inlineStr">
        <is>
          <t>Oui</t>
        </is>
      </c>
      <c r="L4066">
        <f>SUBTOTAL(103,A4066)</f>
        <v>1</v>
      </c>
    </row>
    <row r="4067">
      <c r="A4067" t="inlineStr">
        <is>
          <t>SOCIETE C755</t>
        </is>
      </c>
      <c r="B4067" t="inlineStr">
        <is>
          <t>C755</t>
        </is>
      </c>
      <c r="C4067" t="inlineStr">
        <is>
          <t>PUBLIC SECTOR</t>
        </is>
      </c>
      <c r="D4067" t="inlineStr">
        <is>
          <t>I</t>
        </is>
      </c>
      <c r="E4067" t="inlineStr">
        <is>
          <t>Stage 1</t>
        </is>
      </c>
      <c r="F4067" t="inlineStr">
        <is>
          <t>N/A</t>
        </is>
      </c>
      <c r="G4067" s="26">
        <v>429470343</v>
      </c>
      <c r="H4067" s="26">
        <v>4294703</v>
      </c>
      <c r="I4067" s="26">
        <v>51628730</v>
      </c>
      <c r="J4067" s="26">
        <v>6</v>
      </c>
      <c r="K4067" t="inlineStr">
        <is>
          <t>Non</t>
        </is>
      </c>
      <c r="L4067">
        <f>SUBTOTAL(103,A4067)</f>
        <v>1</v>
      </c>
    </row>
    <row r="4068">
      <c r="A4068" t="inlineStr">
        <is>
          <t>SOCIETE C925</t>
        </is>
      </c>
      <c r="B4068" t="inlineStr">
        <is>
          <t>C925</t>
        </is>
      </c>
      <c r="C4068" t="inlineStr">
        <is>
          <t>CONSUMER BANKING</t>
        </is>
      </c>
      <c r="D4068" t="inlineStr">
        <is>
          <t>V</t>
        </is>
      </c>
      <c r="E4068" t="inlineStr">
        <is>
          <t>Stage 3</t>
        </is>
      </c>
      <c r="F4068" t="inlineStr">
        <is>
          <t>N/A</t>
        </is>
      </c>
      <c r="G4068" s="26">
        <v>2738303704</v>
      </c>
      <c r="H4068" s="26">
        <v>1506067037</v>
      </c>
      <c r="I4068" s="26">
        <v>0</v>
      </c>
      <c r="J4068" s="26">
        <v>147</v>
      </c>
      <c r="K4068" t="inlineStr">
        <is>
          <t>Oui</t>
        </is>
      </c>
      <c r="L4068">
        <f>SUBTOTAL(103,A4068)</f>
        <v>1</v>
      </c>
    </row>
    <row r="4069">
      <c r="A4069" t="inlineStr">
        <is>
          <t>SOCIETE C974</t>
        </is>
      </c>
      <c r="B4069" t="inlineStr">
        <is>
          <t>C974</t>
        </is>
      </c>
      <c r="C4069" t="inlineStr">
        <is>
          <t>CONSUMER BANKING</t>
        </is>
      </c>
      <c r="D4069" t="inlineStr">
        <is>
          <t>I</t>
        </is>
      </c>
      <c r="E4069" t="inlineStr">
        <is>
          <t>Stage 1</t>
        </is>
      </c>
      <c r="F4069" t="inlineStr">
        <is>
          <t>N/A</t>
        </is>
      </c>
      <c r="G4069" s="26">
        <v>1458189</v>
      </c>
      <c r="H4069" s="26">
        <v>14582</v>
      </c>
      <c r="I4069" s="26">
        <v>0</v>
      </c>
      <c r="J4069" s="26">
        <v>245</v>
      </c>
      <c r="K4069" t="inlineStr">
        <is>
          <t>Non</t>
        </is>
      </c>
      <c r="L4069">
        <f>SUBTOTAL(103,A4069)</f>
        <v>1</v>
      </c>
    </row>
    <row r="4070">
      <c r="A4070" t="inlineStr">
        <is>
          <t>SOCIETE C2182</t>
        </is>
      </c>
      <c r="B4070" t="inlineStr">
        <is>
          <t>C2182</t>
        </is>
      </c>
      <c r="C4070" t="inlineStr">
        <is>
          <t>COMMERCIAL BANKING</t>
        </is>
      </c>
      <c r="D4070" t="inlineStr">
        <is>
          <t>V</t>
        </is>
      </c>
      <c r="E4070" t="inlineStr">
        <is>
          <t>Stage 3</t>
        </is>
      </c>
      <c r="F4070" t="inlineStr">
        <is>
          <t>N/A</t>
        </is>
      </c>
      <c r="G4070" s="26">
        <v>186819237</v>
      </c>
      <c r="H4070" s="26">
        <v>102750580</v>
      </c>
      <c r="I4070" s="26">
        <v>0</v>
      </c>
      <c r="J4070" s="26">
        <v>59</v>
      </c>
      <c r="K4070" t="inlineStr">
        <is>
          <t>Oui</t>
        </is>
      </c>
      <c r="L4070">
        <f>SUBTOTAL(103,A4070)</f>
        <v>1</v>
      </c>
    </row>
    <row r="4071">
      <c r="A4071" t="inlineStr">
        <is>
          <t>SOCIETE C906</t>
        </is>
      </c>
      <c r="B4071" t="inlineStr">
        <is>
          <t>C906</t>
        </is>
      </c>
      <c r="C4071" t="inlineStr">
        <is>
          <t>CORPORATE BANKING</t>
        </is>
      </c>
      <c r="D4071" t="inlineStr">
        <is>
          <t>IA</t>
        </is>
      </c>
      <c r="E4071" t="inlineStr">
        <is>
          <t>Stage 2</t>
        </is>
      </c>
      <c r="F4071" t="inlineStr">
        <is>
          <t>N/A</t>
        </is>
      </c>
      <c r="G4071" s="26">
        <v>2184559005</v>
      </c>
      <c r="H4071" s="26">
        <v>131073540</v>
      </c>
      <c r="I4071" s="26">
        <v>12611734</v>
      </c>
      <c r="J4071" s="26">
        <v>56</v>
      </c>
      <c r="K4071" t="inlineStr">
        <is>
          <t>Non</t>
        </is>
      </c>
      <c r="L4071">
        <f>SUBTOTAL(103,A4071)</f>
        <v>1</v>
      </c>
    </row>
    <row r="4072">
      <c r="A4072" t="inlineStr">
        <is>
          <t>SOCIETE C2119</t>
        </is>
      </c>
      <c r="B4072" t="inlineStr">
        <is>
          <t>C2119</t>
        </is>
      </c>
      <c r="C4072" t="inlineStr">
        <is>
          <t>CONSUMER BANKING</t>
        </is>
      </c>
      <c r="D4072" t="inlineStr">
        <is>
          <t>I</t>
        </is>
      </c>
      <c r="E4072" t="inlineStr">
        <is>
          <t>Stage 1</t>
        </is>
      </c>
      <c r="F4072" t="inlineStr">
        <is>
          <t>N/A</t>
        </is>
      </c>
      <c r="G4072" s="26">
        <v>1052318</v>
      </c>
      <c r="H4072" s="26">
        <v>10523</v>
      </c>
      <c r="I4072" s="26">
        <v>0</v>
      </c>
      <c r="J4072" s="26">
        <v>138</v>
      </c>
      <c r="K4072" t="inlineStr">
        <is>
          <t>Non</t>
        </is>
      </c>
      <c r="L4072">
        <f>SUBTOTAL(103,A4072)</f>
        <v>1</v>
      </c>
    </row>
    <row r="4073">
      <c r="A4073" t="inlineStr">
        <is>
          <t>SOCIETE C1916</t>
        </is>
      </c>
      <c r="B4073" t="inlineStr">
        <is>
          <t>C1916</t>
        </is>
      </c>
      <c r="C4073" t="inlineStr">
        <is>
          <t>CORPORATE BANKING</t>
        </is>
      </c>
      <c r="D4073" t="inlineStr">
        <is>
          <t>I</t>
        </is>
      </c>
      <c r="E4073" t="inlineStr">
        <is>
          <t>Stage 1</t>
        </is>
      </c>
      <c r="F4073" t="inlineStr">
        <is>
          <t>N/A</t>
        </is>
      </c>
      <c r="G4073" s="26">
        <v>12970630</v>
      </c>
      <c r="H4073" s="26">
        <v>129706</v>
      </c>
      <c r="I4073" s="26">
        <v>0</v>
      </c>
      <c r="J4073" s="26">
        <v>36</v>
      </c>
      <c r="K4073" t="inlineStr">
        <is>
          <t>Non</t>
        </is>
      </c>
      <c r="L4073">
        <f>SUBTOTAL(103,A4073)</f>
        <v>1</v>
      </c>
    </row>
    <row r="4074">
      <c r="A4074" t="inlineStr">
        <is>
          <t>SOCIETE C2420</t>
        </is>
      </c>
      <c r="B4074" t="inlineStr">
        <is>
          <t>C2420</t>
        </is>
      </c>
      <c r="C4074" t="inlineStr">
        <is>
          <t>COMMERCIAL BANKING</t>
        </is>
      </c>
      <c r="D4074" t="inlineStr">
        <is>
          <t>III</t>
        </is>
      </c>
      <c r="E4074" t="inlineStr">
        <is>
          <t>Stage 3</t>
        </is>
      </c>
      <c r="F4074" t="inlineStr">
        <is>
          <t>N/A</t>
        </is>
      </c>
      <c r="G4074" s="26">
        <v>2198717205</v>
      </c>
      <c r="H4074" s="26">
        <v>1209294463</v>
      </c>
      <c r="I4074" s="26">
        <v>0</v>
      </c>
      <c r="J4074" s="26">
        <v>57</v>
      </c>
      <c r="K4074" t="inlineStr">
        <is>
          <t>Oui</t>
        </is>
      </c>
      <c r="L4074">
        <f>SUBTOTAL(103,A4074)</f>
        <v>1</v>
      </c>
    </row>
    <row r="4075">
      <c r="A4075" t="inlineStr">
        <is>
          <t>SOCIETE C2050</t>
        </is>
      </c>
      <c r="B4075" t="inlineStr">
        <is>
          <t>C2050</t>
        </is>
      </c>
      <c r="C4075" t="inlineStr">
        <is>
          <t>CONSUMER BANKING</t>
        </is>
      </c>
      <c r="D4075" t="inlineStr">
        <is>
          <t>II</t>
        </is>
      </c>
      <c r="E4075" t="inlineStr">
        <is>
          <t>Stage 2</t>
        </is>
      </c>
      <c r="F4075" t="inlineStr">
        <is>
          <t>N/A</t>
        </is>
      </c>
      <c r="G4075" s="26">
        <v>899479554</v>
      </c>
      <c r="H4075" s="26">
        <v>53968773</v>
      </c>
      <c r="I4075" s="26">
        <v>0</v>
      </c>
      <c r="J4075" s="26">
        <v>195</v>
      </c>
      <c r="K4075" t="inlineStr">
        <is>
          <t>Non</t>
        </is>
      </c>
      <c r="L4075">
        <f>SUBTOTAL(103,A4075)</f>
        <v>1</v>
      </c>
    </row>
    <row r="4076">
      <c r="A4076" t="inlineStr">
        <is>
          <t>SOCIETE C1552</t>
        </is>
      </c>
      <c r="B4076" t="inlineStr">
        <is>
          <t>C1552</t>
        </is>
      </c>
      <c r="C4076" t="inlineStr">
        <is>
          <t>CORPORATE BANKING</t>
        </is>
      </c>
      <c r="D4076" t="inlineStr">
        <is>
          <t>I</t>
        </is>
      </c>
      <c r="E4076" t="inlineStr">
        <is>
          <t>Stage 1</t>
        </is>
      </c>
      <c r="F4076" t="inlineStr">
        <is>
          <t>N/A</t>
        </is>
      </c>
      <c r="G4076" s="26">
        <v>1673129471</v>
      </c>
      <c r="H4076" s="26">
        <v>16731295</v>
      </c>
      <c r="I4076" s="26">
        <v>0</v>
      </c>
      <c r="J4076" s="26">
        <v>21</v>
      </c>
      <c r="K4076" t="inlineStr">
        <is>
          <t>Non</t>
        </is>
      </c>
      <c r="L4076">
        <f>SUBTOTAL(103,A4076)</f>
        <v>1</v>
      </c>
    </row>
    <row r="4077">
      <c r="A4077" t="inlineStr">
        <is>
          <t>SOCIETE C806</t>
        </is>
      </c>
      <c r="B4077" t="inlineStr">
        <is>
          <t>C806</t>
        </is>
      </c>
      <c r="C4077" t="inlineStr">
        <is>
          <t>COMMERCIAL BANKING</t>
        </is>
      </c>
      <c r="D4077" t="inlineStr">
        <is>
          <t>I</t>
        </is>
      </c>
      <c r="E4077" t="inlineStr">
        <is>
          <t>Stage 1</t>
        </is>
      </c>
      <c r="F4077" t="inlineStr">
        <is>
          <t>N/A</t>
        </is>
      </c>
      <c r="G4077" s="26">
        <v>2007718</v>
      </c>
      <c r="H4077" s="26">
        <v>20077</v>
      </c>
      <c r="I4077" s="26">
        <v>0</v>
      </c>
      <c r="J4077" s="26">
        <v>8</v>
      </c>
      <c r="K4077" t="inlineStr">
        <is>
          <t>Non</t>
        </is>
      </c>
      <c r="L4077">
        <f>SUBTOTAL(103,A4077)</f>
        <v>1</v>
      </c>
    </row>
    <row r="4078">
      <c r="A4078" t="inlineStr">
        <is>
          <t>SOCIETE C2183</t>
        </is>
      </c>
      <c r="B4078" t="inlineStr">
        <is>
          <t>C2183</t>
        </is>
      </c>
      <c r="C4078" t="inlineStr">
        <is>
          <t>PUBLIC SECTOR</t>
        </is>
      </c>
      <c r="D4078" t="inlineStr">
        <is>
          <t>I</t>
        </is>
      </c>
      <c r="E4078" t="inlineStr">
        <is>
          <t>Stage 1</t>
        </is>
      </c>
      <c r="F4078" t="inlineStr">
        <is>
          <t>N/A</t>
        </is>
      </c>
      <c r="G4078" s="26">
        <v>36359150</v>
      </c>
      <c r="H4078" s="26">
        <v>363592</v>
      </c>
      <c r="I4078" s="26">
        <v>1660140</v>
      </c>
      <c r="J4078" s="26">
        <v>124</v>
      </c>
      <c r="K4078" t="inlineStr">
        <is>
          <t>Non</t>
        </is>
      </c>
      <c r="L4078">
        <f>SUBTOTAL(103,A4078)</f>
        <v>1</v>
      </c>
    </row>
    <row r="4079">
      <c r="A4079" t="inlineStr">
        <is>
          <t>SOCIETE C472</t>
        </is>
      </c>
      <c r="B4079" t="inlineStr">
        <is>
          <t>C472</t>
        </is>
      </c>
      <c r="C4079" t="inlineStr">
        <is>
          <t>COMMERCIAL BANKING</t>
        </is>
      </c>
      <c r="D4079" t="inlineStr">
        <is>
          <t>I</t>
        </is>
      </c>
      <c r="E4079" t="inlineStr">
        <is>
          <t>Stage 1</t>
        </is>
      </c>
      <c r="F4079" t="inlineStr">
        <is>
          <t>N/A</t>
        </is>
      </c>
      <c r="G4079" s="26">
        <v>2046672267</v>
      </c>
      <c r="H4079" s="26">
        <v>20466723</v>
      </c>
      <c r="I4079" s="26">
        <v>0</v>
      </c>
      <c r="J4079" s="26">
        <v>37</v>
      </c>
      <c r="K4079" t="inlineStr">
        <is>
          <t>Non</t>
        </is>
      </c>
      <c r="L4079">
        <f>SUBTOTAL(103,A4079)</f>
        <v>1</v>
      </c>
    </row>
    <row r="4080">
      <c r="A4080" t="inlineStr">
        <is>
          <t>SOCIETE C1054</t>
        </is>
      </c>
      <c r="B4080" t="inlineStr">
        <is>
          <t>C1054</t>
        </is>
      </c>
      <c r="C4080" t="inlineStr">
        <is>
          <t>CONSUMER BANKING</t>
        </is>
      </c>
      <c r="D4080" t="inlineStr">
        <is>
          <t>I</t>
        </is>
      </c>
      <c r="E4080" t="inlineStr">
        <is>
          <t>Stage 1</t>
        </is>
      </c>
      <c r="F4080" t="inlineStr">
        <is>
          <t>N/A</t>
        </is>
      </c>
      <c r="G4080" s="26">
        <v>1299794644</v>
      </c>
      <c r="H4080" s="26">
        <v>12997946</v>
      </c>
      <c r="I4080" s="26">
        <v>149127869</v>
      </c>
      <c r="J4080" s="26">
        <v>80</v>
      </c>
      <c r="K4080" t="inlineStr">
        <is>
          <t>Non</t>
        </is>
      </c>
      <c r="L4080">
        <f>SUBTOTAL(103,A4080)</f>
        <v>1</v>
      </c>
    </row>
    <row r="4081">
      <c r="A4081" t="inlineStr">
        <is>
          <t>SOCIETE C1865</t>
        </is>
      </c>
      <c r="B4081" t="inlineStr">
        <is>
          <t>C1865</t>
        </is>
      </c>
      <c r="C4081" t="inlineStr">
        <is>
          <t>CONSUMER BANKING</t>
        </is>
      </c>
      <c r="D4081" t="inlineStr">
        <is>
          <t>IA</t>
        </is>
      </c>
      <c r="E4081" t="inlineStr">
        <is>
          <t>Stage 2</t>
        </is>
      </c>
      <c r="F4081" t="inlineStr">
        <is>
          <t>N/A</t>
        </is>
      </c>
      <c r="G4081" s="26">
        <v>1009378</v>
      </c>
      <c r="H4081" s="26">
        <v>60563</v>
      </c>
      <c r="I4081" s="26">
        <v>52394</v>
      </c>
      <c r="J4081" s="26">
        <v>4</v>
      </c>
      <c r="K4081" t="inlineStr">
        <is>
          <t>Non</t>
        </is>
      </c>
      <c r="L4081">
        <f>SUBTOTAL(103,A4081)</f>
        <v>1</v>
      </c>
    </row>
    <row r="4082">
      <c r="A4082" t="inlineStr">
        <is>
          <t>SOCIETE C2168</t>
        </is>
      </c>
      <c r="B4082" t="inlineStr">
        <is>
          <t>C2168</t>
        </is>
      </c>
      <c r="C4082" t="inlineStr">
        <is>
          <t>COMMERCIAL BANKING</t>
        </is>
      </c>
      <c r="D4082" t="inlineStr">
        <is>
          <t>IA</t>
        </is>
      </c>
      <c r="E4082" t="inlineStr">
        <is>
          <t>Stage 2</t>
        </is>
      </c>
      <c r="F4082" t="inlineStr">
        <is>
          <t>N/A</t>
        </is>
      </c>
      <c r="G4082" s="26">
        <v>185814647</v>
      </c>
      <c r="H4082" s="26">
        <v>11148879</v>
      </c>
      <c r="I4082" s="26">
        <v>31029832</v>
      </c>
      <c r="J4082" s="26">
        <v>97</v>
      </c>
      <c r="K4082" t="inlineStr">
        <is>
          <t>Non</t>
        </is>
      </c>
      <c r="L4082">
        <f>SUBTOTAL(103,A4082)</f>
        <v>1</v>
      </c>
    </row>
    <row r="4083">
      <c r="A4083" t="inlineStr">
        <is>
          <t>SOCIETE C2200</t>
        </is>
      </c>
      <c r="B4083" t="inlineStr">
        <is>
          <t>C2200</t>
        </is>
      </c>
      <c r="C4083" t="inlineStr">
        <is>
          <t>SME</t>
        </is>
      </c>
      <c r="D4083" t="inlineStr">
        <is>
          <t>IV</t>
        </is>
      </c>
      <c r="E4083" t="inlineStr">
        <is>
          <t>Stage 3</t>
        </is>
      </c>
      <c r="F4083" t="inlineStr">
        <is>
          <t>N/A</t>
        </is>
      </c>
      <c r="G4083" s="26">
        <v>15396431</v>
      </c>
      <c r="H4083" s="26">
        <v>8468037</v>
      </c>
      <c r="I4083" s="26">
        <v>0</v>
      </c>
      <c r="J4083" s="26">
        <v>317</v>
      </c>
      <c r="K4083" t="inlineStr">
        <is>
          <t>Oui</t>
        </is>
      </c>
      <c r="L4083">
        <f>SUBTOTAL(103,A4083)</f>
        <v>1</v>
      </c>
    </row>
    <row r="4084">
      <c r="A4084" t="inlineStr">
        <is>
          <t>SOCIETE C325</t>
        </is>
      </c>
      <c r="B4084" t="inlineStr">
        <is>
          <t>C325</t>
        </is>
      </c>
      <c r="C4084" t="inlineStr">
        <is>
          <t>COMMERCIAL BANKING</t>
        </is>
      </c>
      <c r="D4084" t="inlineStr">
        <is>
          <t>IV</t>
        </is>
      </c>
      <c r="E4084" t="inlineStr">
        <is>
          <t>Stage 3</t>
        </is>
      </c>
      <c r="F4084" t="inlineStr">
        <is>
          <t>N/A</t>
        </is>
      </c>
      <c r="G4084" s="26">
        <v>1284157</v>
      </c>
      <c r="H4084" s="26">
        <v>706286</v>
      </c>
      <c r="I4084" s="26">
        <v>0</v>
      </c>
      <c r="J4084" s="26">
        <v>180</v>
      </c>
      <c r="K4084" t="inlineStr">
        <is>
          <t>Oui</t>
        </is>
      </c>
      <c r="L4084">
        <f>SUBTOTAL(103,A4084)</f>
        <v>1</v>
      </c>
    </row>
    <row r="4085">
      <c r="A4085" t="inlineStr">
        <is>
          <t>SOCIETE C1430</t>
        </is>
      </c>
      <c r="B4085" t="inlineStr">
        <is>
          <t>C1430</t>
        </is>
      </c>
      <c r="C4085" t="inlineStr">
        <is>
          <t>CONSUMER BANKING</t>
        </is>
      </c>
      <c r="D4085" t="inlineStr">
        <is>
          <t>V</t>
        </is>
      </c>
      <c r="E4085" t="inlineStr">
        <is>
          <t>Stage 3</t>
        </is>
      </c>
      <c r="F4085" t="inlineStr">
        <is>
          <t>N/A</t>
        </is>
      </c>
      <c r="G4085" s="26">
        <v>10939655</v>
      </c>
      <c r="H4085" s="26">
        <v>6016810</v>
      </c>
      <c r="I4085" s="26">
        <v>0</v>
      </c>
      <c r="J4085" s="26">
        <v>4</v>
      </c>
      <c r="K4085" t="inlineStr">
        <is>
          <t>Oui</t>
        </is>
      </c>
      <c r="L4085">
        <f>SUBTOTAL(103,A4085)</f>
        <v>1</v>
      </c>
    </row>
    <row r="4086">
      <c r="A4086" t="inlineStr">
        <is>
          <t>SOCIETE C638</t>
        </is>
      </c>
      <c r="B4086" t="inlineStr">
        <is>
          <t>C638</t>
        </is>
      </c>
      <c r="C4086" t="inlineStr">
        <is>
          <t>CORPORATE BANKING</t>
        </is>
      </c>
      <c r="D4086" t="inlineStr">
        <is>
          <t>III</t>
        </is>
      </c>
      <c r="E4086" t="inlineStr">
        <is>
          <t>Stage 3</t>
        </is>
      </c>
      <c r="F4086" t="inlineStr">
        <is>
          <t>N/A</t>
        </is>
      </c>
      <c r="G4086" s="26">
        <v>45039358</v>
      </c>
      <c r="H4086" s="26">
        <v>24771647</v>
      </c>
      <c r="I4086" s="26">
        <v>0</v>
      </c>
      <c r="J4086" s="26">
        <v>11</v>
      </c>
      <c r="K4086" t="inlineStr">
        <is>
          <t>Oui</t>
        </is>
      </c>
      <c r="L4086">
        <f>SUBTOTAL(103,A4086)</f>
        <v>1</v>
      </c>
    </row>
    <row r="4087">
      <c r="A4087" t="inlineStr">
        <is>
          <t>SOCIETE C1</t>
        </is>
      </c>
      <c r="B4087" t="inlineStr">
        <is>
          <t>C1</t>
        </is>
      </c>
      <c r="C4087" t="inlineStr">
        <is>
          <t>COMMERCIAL BANKING</t>
        </is>
      </c>
      <c r="D4087" t="inlineStr">
        <is>
          <t>IA</t>
        </is>
      </c>
      <c r="E4087" t="inlineStr">
        <is>
          <t>Stage 2</t>
        </is>
      </c>
      <c r="F4087" t="inlineStr">
        <is>
          <t>N/A</t>
        </is>
      </c>
      <c r="G4087" s="26">
        <v>836570347</v>
      </c>
      <c r="H4087" s="26">
        <v>50194221</v>
      </c>
      <c r="I4087" s="26">
        <v>0</v>
      </c>
      <c r="J4087" s="26">
        <v>128</v>
      </c>
      <c r="K4087" t="inlineStr">
        <is>
          <t>Non</t>
        </is>
      </c>
      <c r="L4087">
        <f>SUBTOTAL(103,A4087)</f>
        <v>1</v>
      </c>
    </row>
    <row r="4088">
      <c r="A4088" t="inlineStr">
        <is>
          <t>SOCIETE C1468</t>
        </is>
      </c>
      <c r="B4088" t="inlineStr">
        <is>
          <t>C1468</t>
        </is>
      </c>
      <c r="C4088" t="inlineStr">
        <is>
          <t>CORPORATE BANKING</t>
        </is>
      </c>
      <c r="D4088" t="inlineStr">
        <is>
          <t>IA</t>
        </is>
      </c>
      <c r="E4088" t="inlineStr">
        <is>
          <t>Stage 2</t>
        </is>
      </c>
      <c r="F4088" t="inlineStr">
        <is>
          <t>N/A</t>
        </is>
      </c>
      <c r="G4088" s="26">
        <v>163224995</v>
      </c>
      <c r="H4088" s="26">
        <v>9793500</v>
      </c>
      <c r="I4088" s="26">
        <v>0</v>
      </c>
      <c r="J4088" s="26">
        <v>173</v>
      </c>
      <c r="K4088" t="inlineStr">
        <is>
          <t>Non</t>
        </is>
      </c>
      <c r="L4088">
        <f>SUBTOTAL(103,A4088)</f>
        <v>1</v>
      </c>
    </row>
    <row r="4089">
      <c r="A4089" t="inlineStr">
        <is>
          <t>SOCIETE C2259</t>
        </is>
      </c>
      <c r="B4089" t="inlineStr">
        <is>
          <t>C2259</t>
        </is>
      </c>
      <c r="C4089" t="inlineStr">
        <is>
          <t>PUBLIC SECTOR</t>
        </is>
      </c>
      <c r="D4089" t="inlineStr">
        <is>
          <t>V</t>
        </is>
      </c>
      <c r="E4089" t="inlineStr">
        <is>
          <t>Stage 3</t>
        </is>
      </c>
      <c r="F4089" t="inlineStr">
        <is>
          <t>N/A</t>
        </is>
      </c>
      <c r="G4089" s="26">
        <v>1060204296</v>
      </c>
      <c r="H4089" s="26">
        <v>583112363</v>
      </c>
      <c r="I4089" s="26">
        <v>0</v>
      </c>
      <c r="J4089" s="26">
        <v>7</v>
      </c>
      <c r="K4089" t="inlineStr">
        <is>
          <t>Oui</t>
        </is>
      </c>
      <c r="L4089">
        <f>SUBTOTAL(103,A4089)</f>
        <v>1</v>
      </c>
    </row>
    <row r="4090">
      <c r="A4090" t="inlineStr">
        <is>
          <t>SOCIETE C2370</t>
        </is>
      </c>
      <c r="B4090" t="inlineStr">
        <is>
          <t>C2370</t>
        </is>
      </c>
      <c r="C4090" t="inlineStr">
        <is>
          <t>CORPORATE BANKING</t>
        </is>
      </c>
      <c r="D4090" t="inlineStr">
        <is>
          <t>I</t>
        </is>
      </c>
      <c r="E4090" t="inlineStr">
        <is>
          <t>Stage 1</t>
        </is>
      </c>
      <c r="F4090" t="inlineStr">
        <is>
          <t>N/A</t>
        </is>
      </c>
      <c r="G4090" s="26">
        <v>26722098</v>
      </c>
      <c r="H4090" s="26">
        <v>267221</v>
      </c>
      <c r="I4090" s="26">
        <v>0</v>
      </c>
      <c r="J4090" s="26">
        <v>33</v>
      </c>
      <c r="K4090" t="inlineStr">
        <is>
          <t>Non</t>
        </is>
      </c>
      <c r="L4090">
        <f>SUBTOTAL(103,A4090)</f>
        <v>1</v>
      </c>
    </row>
    <row r="4091">
      <c r="A4091" t="inlineStr">
        <is>
          <t>SOCIETE C708</t>
        </is>
      </c>
      <c r="B4091" t="inlineStr">
        <is>
          <t>C708</t>
        </is>
      </c>
      <c r="C4091" t="inlineStr">
        <is>
          <t>CORPORATE BANKING</t>
        </is>
      </c>
      <c r="D4091" t="inlineStr">
        <is>
          <t>IA</t>
        </is>
      </c>
      <c r="E4091" t="inlineStr">
        <is>
          <t>Stage 2</t>
        </is>
      </c>
      <c r="F4091" t="inlineStr">
        <is>
          <t>N/A</t>
        </is>
      </c>
      <c r="G4091" s="26">
        <v>1017296063</v>
      </c>
      <c r="H4091" s="26">
        <v>61037764</v>
      </c>
      <c r="I4091" s="26">
        <v>52835816</v>
      </c>
      <c r="J4091" s="26">
        <v>147</v>
      </c>
      <c r="K4091" t="inlineStr">
        <is>
          <t>Non</t>
        </is>
      </c>
      <c r="L4091">
        <f>SUBTOTAL(103,A4091)</f>
        <v>1</v>
      </c>
    </row>
    <row r="4092">
      <c r="A4092" t="inlineStr">
        <is>
          <t>SOCIETE C1431</t>
        </is>
      </c>
      <c r="B4092" t="inlineStr">
        <is>
          <t>C1431</t>
        </is>
      </c>
      <c r="C4092" t="inlineStr">
        <is>
          <t>CORPORATE BANKING</t>
        </is>
      </c>
      <c r="D4092" t="inlineStr">
        <is>
          <t>III</t>
        </is>
      </c>
      <c r="E4092" t="inlineStr">
        <is>
          <t>Stage 3</t>
        </is>
      </c>
      <c r="F4092" t="inlineStr">
        <is>
          <t>N/A</t>
        </is>
      </c>
      <c r="G4092" s="26">
        <v>769387165</v>
      </c>
      <c r="H4092" s="26">
        <v>423162941</v>
      </c>
      <c r="I4092" s="26">
        <v>0</v>
      </c>
      <c r="J4092" s="26">
        <v>120</v>
      </c>
      <c r="K4092" t="inlineStr">
        <is>
          <t>Oui</t>
        </is>
      </c>
      <c r="L4092">
        <f>SUBTOTAL(103,A4092)</f>
        <v>1</v>
      </c>
    </row>
    <row r="4093">
      <c r="A4093" t="inlineStr">
        <is>
          <t>SOCIETE C2055</t>
        </is>
      </c>
      <c r="B4093" t="inlineStr">
        <is>
          <t>C2055</t>
        </is>
      </c>
      <c r="C4093" t="inlineStr">
        <is>
          <t>CORPORATE BANKING</t>
        </is>
      </c>
      <c r="D4093" t="inlineStr">
        <is>
          <t>IA</t>
        </is>
      </c>
      <c r="E4093" t="inlineStr">
        <is>
          <t>Stage 2</t>
        </is>
      </c>
      <c r="F4093" t="inlineStr">
        <is>
          <t>N/A</t>
        </is>
      </c>
      <c r="G4093" s="26">
        <v>1205627</v>
      </c>
      <c r="H4093" s="26">
        <v>72338</v>
      </c>
      <c r="I4093" s="26">
        <v>0</v>
      </c>
      <c r="J4093" s="26">
        <v>135</v>
      </c>
      <c r="K4093" t="inlineStr">
        <is>
          <t>Non</t>
        </is>
      </c>
      <c r="L4093">
        <f>SUBTOTAL(103,A4093)</f>
        <v>1</v>
      </c>
    </row>
    <row r="4094">
      <c r="A4094" t="inlineStr">
        <is>
          <t>SOCIETE C938</t>
        </is>
      </c>
      <c r="B4094" t="inlineStr">
        <is>
          <t>C938</t>
        </is>
      </c>
      <c r="C4094" t="inlineStr">
        <is>
          <t>CORPORATE BANKING</t>
        </is>
      </c>
      <c r="D4094" t="inlineStr">
        <is>
          <t>IA</t>
        </is>
      </c>
      <c r="E4094" t="inlineStr">
        <is>
          <t>Stage 2</t>
        </is>
      </c>
      <c r="F4094" t="inlineStr">
        <is>
          <t>N/A</t>
        </is>
      </c>
      <c r="G4094" s="26">
        <v>70420423</v>
      </c>
      <c r="H4094" s="26">
        <v>4225225</v>
      </c>
      <c r="I4094" s="26">
        <v>0</v>
      </c>
      <c r="J4094" s="26">
        <v>29</v>
      </c>
      <c r="K4094" t="inlineStr">
        <is>
          <t>Non</t>
        </is>
      </c>
      <c r="L4094">
        <f>SUBTOTAL(103,A4094)</f>
        <v>1</v>
      </c>
    </row>
    <row r="4095">
      <c r="A4095" t="inlineStr">
        <is>
          <t>SOCIETE C950</t>
        </is>
      </c>
      <c r="B4095" t="inlineStr">
        <is>
          <t>C950</t>
        </is>
      </c>
      <c r="C4095" t="inlineStr">
        <is>
          <t>CORPORATE BANKING</t>
        </is>
      </c>
      <c r="D4095" t="inlineStr">
        <is>
          <t>IV</t>
        </is>
      </c>
      <c r="E4095" t="inlineStr">
        <is>
          <t>Stage 3</t>
        </is>
      </c>
      <c r="F4095" t="inlineStr">
        <is>
          <t>N/A</t>
        </is>
      </c>
      <c r="G4095" s="26">
        <v>1207370973</v>
      </c>
      <c r="H4095" s="26">
        <v>664054035</v>
      </c>
      <c r="I4095" s="26">
        <v>0</v>
      </c>
      <c r="J4095" s="26">
        <v>116</v>
      </c>
      <c r="K4095" t="inlineStr">
        <is>
          <t>Oui</t>
        </is>
      </c>
      <c r="L4095">
        <f>SUBTOTAL(103,A4095)</f>
        <v>1</v>
      </c>
    </row>
    <row r="4096">
      <c r="A4096" t="inlineStr">
        <is>
          <t>SOCIETE C1592</t>
        </is>
      </c>
      <c r="B4096" t="inlineStr">
        <is>
          <t>C1592</t>
        </is>
      </c>
      <c r="C4096" t="inlineStr">
        <is>
          <t>CORPORATE BANKING</t>
        </is>
      </c>
      <c r="D4096" t="inlineStr">
        <is>
          <t>V</t>
        </is>
      </c>
      <c r="E4096" t="inlineStr">
        <is>
          <t>Stage 3</t>
        </is>
      </c>
      <c r="F4096" t="inlineStr">
        <is>
          <t>N/A</t>
        </is>
      </c>
      <c r="G4096" s="26">
        <v>147673408</v>
      </c>
      <c r="H4096" s="26">
        <v>81220374</v>
      </c>
      <c r="I4096" s="26">
        <v>0</v>
      </c>
      <c r="J4096" s="26">
        <v>189</v>
      </c>
      <c r="K4096" t="inlineStr">
        <is>
          <t>Oui</t>
        </is>
      </c>
      <c r="L4096">
        <f>SUBTOTAL(103,A4096)</f>
        <v>1</v>
      </c>
    </row>
    <row r="4097">
      <c r="A4097" t="inlineStr">
        <is>
          <t>SOCIETE C1615</t>
        </is>
      </c>
      <c r="B4097" t="inlineStr">
        <is>
          <t>C1615</t>
        </is>
      </c>
      <c r="C4097" t="inlineStr">
        <is>
          <t>COMMERCIAL BANKING</t>
        </is>
      </c>
      <c r="D4097" t="inlineStr">
        <is>
          <t>I</t>
        </is>
      </c>
      <c r="E4097" t="inlineStr">
        <is>
          <t>Stage 1</t>
        </is>
      </c>
      <c r="F4097" t="inlineStr">
        <is>
          <t>N/A</t>
        </is>
      </c>
      <c r="G4097" s="26">
        <v>1209199958</v>
      </c>
      <c r="H4097" s="26">
        <v>12092000</v>
      </c>
      <c r="I4097" s="26">
        <v>0</v>
      </c>
      <c r="J4097" s="26">
        <v>71</v>
      </c>
      <c r="K4097" t="inlineStr">
        <is>
          <t>Non</t>
        </is>
      </c>
      <c r="L4097">
        <f>SUBTOTAL(103,A4097)</f>
        <v>1</v>
      </c>
    </row>
    <row r="4098">
      <c r="A4098" t="inlineStr">
        <is>
          <t>SOCIETE C2175</t>
        </is>
      </c>
      <c r="B4098" t="inlineStr">
        <is>
          <t>C2175</t>
        </is>
      </c>
      <c r="C4098" t="inlineStr">
        <is>
          <t>CONSUMER BANKING</t>
        </is>
      </c>
      <c r="D4098" t="inlineStr">
        <is>
          <t>IV</t>
        </is>
      </c>
      <c r="E4098" t="inlineStr">
        <is>
          <t>Stage 3</t>
        </is>
      </c>
      <c r="F4098" t="inlineStr">
        <is>
          <t>N/A</t>
        </is>
      </c>
      <c r="G4098" s="26">
        <v>2741579338</v>
      </c>
      <c r="H4098" s="26">
        <v>1507868636</v>
      </c>
      <c r="I4098" s="26">
        <v>404291751</v>
      </c>
      <c r="J4098" s="26">
        <v>137</v>
      </c>
      <c r="K4098" t="inlineStr">
        <is>
          <t>Oui</t>
        </is>
      </c>
      <c r="L4098">
        <f>SUBTOTAL(103,A4098)</f>
        <v>1</v>
      </c>
    </row>
    <row r="4099">
      <c r="A4099" t="inlineStr">
        <is>
          <t>SOCIETE C2149</t>
        </is>
      </c>
      <c r="B4099" t="inlineStr">
        <is>
          <t>C2149</t>
        </is>
      </c>
      <c r="C4099" t="inlineStr">
        <is>
          <t>PUBLIC SECTOR</t>
        </is>
      </c>
      <c r="D4099" t="inlineStr">
        <is>
          <t>V</t>
        </is>
      </c>
      <c r="E4099" t="inlineStr">
        <is>
          <t>Stage 3</t>
        </is>
      </c>
      <c r="F4099" t="inlineStr">
        <is>
          <t>N/A</t>
        </is>
      </c>
      <c r="G4099" s="26">
        <v>1380614730</v>
      </c>
      <c r="H4099" s="26">
        <v>759338102</v>
      </c>
      <c r="I4099" s="26">
        <v>0</v>
      </c>
      <c r="J4099" s="26">
        <v>70</v>
      </c>
      <c r="K4099" t="inlineStr">
        <is>
          <t>Oui</t>
        </is>
      </c>
      <c r="L4099">
        <f>SUBTOTAL(103,A4099)</f>
        <v>1</v>
      </c>
    </row>
    <row r="4100">
      <c r="A4100" t="inlineStr">
        <is>
          <t>SOCIETE C2391</t>
        </is>
      </c>
      <c r="B4100" t="inlineStr">
        <is>
          <t>C2391</t>
        </is>
      </c>
      <c r="C4100" t="inlineStr">
        <is>
          <t>COMMERCIAL BANKING</t>
        </is>
      </c>
      <c r="D4100" t="inlineStr">
        <is>
          <t>III</t>
        </is>
      </c>
      <c r="E4100" t="inlineStr">
        <is>
          <t>Stage 3</t>
        </is>
      </c>
      <c r="F4100" t="inlineStr">
        <is>
          <t>N/A</t>
        </is>
      </c>
      <c r="G4100" s="26">
        <v>354014703</v>
      </c>
      <c r="H4100" s="26">
        <v>194708086</v>
      </c>
      <c r="I4100" s="26">
        <v>0</v>
      </c>
      <c r="J4100" s="26">
        <v>32</v>
      </c>
      <c r="K4100" t="inlineStr">
        <is>
          <t>Oui</t>
        </is>
      </c>
      <c r="L4100">
        <f>SUBTOTAL(103,A4100)</f>
        <v>1</v>
      </c>
    </row>
    <row r="4101">
      <c r="A4101" t="inlineStr">
        <is>
          <t>SOCIETE C2383</t>
        </is>
      </c>
      <c r="B4101" t="inlineStr">
        <is>
          <t>C2383</t>
        </is>
      </c>
      <c r="C4101" t="inlineStr">
        <is>
          <t>PUBLIC SECTOR</t>
        </is>
      </c>
      <c r="D4101" t="inlineStr">
        <is>
          <t>II</t>
        </is>
      </c>
      <c r="E4101" t="inlineStr">
        <is>
          <t>Stage 2</t>
        </is>
      </c>
      <c r="F4101" t="inlineStr">
        <is>
          <t>N/A</t>
        </is>
      </c>
      <c r="G4101" s="26">
        <v>1909537622</v>
      </c>
      <c r="H4101" s="26">
        <v>114572257</v>
      </c>
      <c r="I4101" s="26">
        <v>283232850</v>
      </c>
      <c r="J4101" s="26">
        <v>87</v>
      </c>
      <c r="K4101" t="inlineStr">
        <is>
          <t>Non</t>
        </is>
      </c>
      <c r="L4101">
        <f>SUBTOTAL(103,A4101)</f>
        <v>1</v>
      </c>
    </row>
    <row r="4102">
      <c r="A4102" t="inlineStr">
        <is>
          <t>SOCIETE C320</t>
        </is>
      </c>
      <c r="B4102" t="inlineStr">
        <is>
          <t>C320</t>
        </is>
      </c>
      <c r="C4102" t="inlineStr">
        <is>
          <t>CORPORATE BANKING</t>
        </is>
      </c>
      <c r="D4102" t="inlineStr">
        <is>
          <t>II</t>
        </is>
      </c>
      <c r="E4102" t="inlineStr">
        <is>
          <t>Stage 2</t>
        </is>
      </c>
      <c r="F4102" t="inlineStr">
        <is>
          <t>N/A</t>
        </is>
      </c>
      <c r="G4102" s="26">
        <v>1526239437</v>
      </c>
      <c r="H4102" s="26">
        <v>91574366</v>
      </c>
      <c r="I4102" s="26">
        <v>147721360</v>
      </c>
      <c r="J4102" s="26">
        <v>182</v>
      </c>
      <c r="K4102" t="inlineStr">
        <is>
          <t>Non</t>
        </is>
      </c>
      <c r="L4102">
        <f>SUBTOTAL(103,A4102)</f>
        <v>1</v>
      </c>
    </row>
    <row r="4103">
      <c r="A4103" t="inlineStr">
        <is>
          <t>SOCIETE C1802</t>
        </is>
      </c>
      <c r="B4103" t="inlineStr">
        <is>
          <t>C1802</t>
        </is>
      </c>
      <c r="C4103" t="inlineStr">
        <is>
          <t>COMMERCIAL BANKING</t>
        </is>
      </c>
      <c r="D4103" t="inlineStr">
        <is>
          <t>III</t>
        </is>
      </c>
      <c r="E4103" t="inlineStr">
        <is>
          <t>Stage 3</t>
        </is>
      </c>
      <c r="F4103" t="inlineStr">
        <is>
          <t>N/A</t>
        </is>
      </c>
      <c r="G4103" s="26">
        <v>1966244502</v>
      </c>
      <c r="H4103" s="26">
        <v>1081434476</v>
      </c>
      <c r="I4103" s="26">
        <v>0</v>
      </c>
      <c r="J4103" s="26">
        <v>23</v>
      </c>
      <c r="K4103" t="inlineStr">
        <is>
          <t>Oui</t>
        </is>
      </c>
      <c r="L4103">
        <f>SUBTOTAL(103,A4103)</f>
        <v>1</v>
      </c>
    </row>
    <row r="4104">
      <c r="A4104" t="inlineStr">
        <is>
          <t>SOCIETE C2487</t>
        </is>
      </c>
      <c r="B4104" t="inlineStr">
        <is>
          <t>C2487</t>
        </is>
      </c>
      <c r="C4104" t="inlineStr">
        <is>
          <t>CORPORATE BANKING</t>
        </is>
      </c>
      <c r="D4104" t="inlineStr">
        <is>
          <t>I</t>
        </is>
      </c>
      <c r="E4104" t="inlineStr">
        <is>
          <t>Stage 1</t>
        </is>
      </c>
      <c r="F4104" t="inlineStr">
        <is>
          <t>N/A</t>
        </is>
      </c>
      <c r="G4104" s="26">
        <v>10361233</v>
      </c>
      <c r="H4104" s="26">
        <v>103612</v>
      </c>
      <c r="I4104" s="26">
        <v>0</v>
      </c>
      <c r="J4104" s="26">
        <v>148</v>
      </c>
      <c r="K4104" t="inlineStr">
        <is>
          <t>Non</t>
        </is>
      </c>
      <c r="L4104">
        <f>SUBTOTAL(103,A4104)</f>
        <v>1</v>
      </c>
    </row>
    <row r="4105">
      <c r="A4105" t="inlineStr">
        <is>
          <t>SOCIETE C1736</t>
        </is>
      </c>
      <c r="B4105" t="inlineStr">
        <is>
          <t>C1736</t>
        </is>
      </c>
      <c r="C4105" t="inlineStr">
        <is>
          <t>CONSUMER BANKING</t>
        </is>
      </c>
      <c r="D4105" t="inlineStr">
        <is>
          <t>I</t>
        </is>
      </c>
      <c r="E4105" t="inlineStr">
        <is>
          <t>Stage 1</t>
        </is>
      </c>
      <c r="F4105" t="inlineStr">
        <is>
          <t>N/A</t>
        </is>
      </c>
      <c r="G4105" s="26">
        <v>59186789</v>
      </c>
      <c r="H4105" s="26">
        <v>591868</v>
      </c>
      <c r="I4105" s="26">
        <v>9725755</v>
      </c>
      <c r="J4105" s="26">
        <v>154</v>
      </c>
      <c r="K4105" t="inlineStr">
        <is>
          <t>Non</t>
        </is>
      </c>
      <c r="L4105">
        <f>SUBTOTAL(103,A4105)</f>
        <v>1</v>
      </c>
    </row>
    <row r="4106">
      <c r="A4106" t="inlineStr">
        <is>
          <t>SOCIETE C287</t>
        </is>
      </c>
      <c r="B4106" t="inlineStr">
        <is>
          <t>C287</t>
        </is>
      </c>
      <c r="C4106" t="inlineStr">
        <is>
          <t>CORPORATE BANKING</t>
        </is>
      </c>
      <c r="D4106" t="inlineStr">
        <is>
          <t>IA</t>
        </is>
      </c>
      <c r="E4106" t="inlineStr">
        <is>
          <t>Stage 2</t>
        </is>
      </c>
      <c r="F4106" t="inlineStr">
        <is>
          <t>N/A</t>
        </is>
      </c>
      <c r="G4106" s="26">
        <v>159692349</v>
      </c>
      <c r="H4106" s="26">
        <v>9581541</v>
      </c>
      <c r="I4106" s="26">
        <v>20716713</v>
      </c>
      <c r="J4106" s="26">
        <v>220</v>
      </c>
      <c r="K4106" t="inlineStr">
        <is>
          <t>Non</t>
        </is>
      </c>
      <c r="L4106">
        <f>SUBTOTAL(103,A4106)</f>
        <v>1</v>
      </c>
    </row>
    <row r="4107">
      <c r="A4107" t="inlineStr">
        <is>
          <t>SOCIETE C936</t>
        </is>
      </c>
      <c r="B4107" t="inlineStr">
        <is>
          <t>C936</t>
        </is>
      </c>
      <c r="C4107" t="inlineStr">
        <is>
          <t>CONSUMER BANKING</t>
        </is>
      </c>
      <c r="D4107" t="inlineStr">
        <is>
          <t>I</t>
        </is>
      </c>
      <c r="E4107" t="inlineStr">
        <is>
          <t>Stage 1</t>
        </is>
      </c>
      <c r="F4107" t="inlineStr">
        <is>
          <t>N/A</t>
        </is>
      </c>
      <c r="G4107" s="26">
        <v>45107440</v>
      </c>
      <c r="H4107" s="26">
        <v>451074</v>
      </c>
      <c r="I4107" s="26">
        <v>0</v>
      </c>
      <c r="J4107" s="26">
        <v>39</v>
      </c>
      <c r="K4107" t="inlineStr">
        <is>
          <t>Non</t>
        </is>
      </c>
      <c r="L4107">
        <f>SUBTOTAL(103,A4107)</f>
        <v>1</v>
      </c>
    </row>
    <row r="4108">
      <c r="A4108" t="inlineStr">
        <is>
          <t>SOCIETE C227</t>
        </is>
      </c>
      <c r="B4108" t="inlineStr">
        <is>
          <t>C227</t>
        </is>
      </c>
      <c r="C4108" t="inlineStr">
        <is>
          <t>CORPORATE BANKING</t>
        </is>
      </c>
      <c r="D4108" t="inlineStr">
        <is>
          <t>I</t>
        </is>
      </c>
      <c r="E4108" t="inlineStr">
        <is>
          <t>Stage 1</t>
        </is>
      </c>
      <c r="F4108" t="inlineStr">
        <is>
          <t>N/A</t>
        </is>
      </c>
      <c r="G4108" s="26">
        <v>1730521683</v>
      </c>
      <c r="H4108" s="26">
        <v>17305217</v>
      </c>
      <c r="I4108" s="26">
        <v>0</v>
      </c>
      <c r="J4108" s="26">
        <v>33</v>
      </c>
      <c r="K4108" t="inlineStr">
        <is>
          <t>Non</t>
        </is>
      </c>
      <c r="L4108">
        <f>SUBTOTAL(103,A4108)</f>
        <v>1</v>
      </c>
    </row>
    <row r="4109">
      <c r="A4109" t="inlineStr">
        <is>
          <t>SOCIETE C586</t>
        </is>
      </c>
      <c r="B4109" t="inlineStr">
        <is>
          <t>C586</t>
        </is>
      </c>
      <c r="C4109" t="inlineStr">
        <is>
          <t>CORPORATE BANKING</t>
        </is>
      </c>
      <c r="D4109" t="inlineStr">
        <is>
          <t>III</t>
        </is>
      </c>
      <c r="E4109" t="inlineStr">
        <is>
          <t>Stage 3</t>
        </is>
      </c>
      <c r="F4109" t="inlineStr">
        <is>
          <t>N/A</t>
        </is>
      </c>
      <c r="G4109" s="26">
        <v>147001223</v>
      </c>
      <c r="H4109" s="26">
        <v>80850673</v>
      </c>
      <c r="I4109" s="26">
        <v>14323772</v>
      </c>
      <c r="J4109" s="26">
        <v>141</v>
      </c>
      <c r="K4109" t="inlineStr">
        <is>
          <t>Oui</t>
        </is>
      </c>
      <c r="L4109">
        <f>SUBTOTAL(103,A4109)</f>
        <v>1</v>
      </c>
    </row>
    <row r="4110">
      <c r="A4110" t="inlineStr">
        <is>
          <t>SOCIETE C481</t>
        </is>
      </c>
      <c r="B4110" t="inlineStr">
        <is>
          <t>C481</t>
        </is>
      </c>
      <c r="C4110" t="inlineStr">
        <is>
          <t>CORPORATE BANKING</t>
        </is>
      </c>
      <c r="D4110" t="inlineStr">
        <is>
          <t>V</t>
        </is>
      </c>
      <c r="E4110" t="inlineStr">
        <is>
          <t>Stage 3</t>
        </is>
      </c>
      <c r="F4110" t="inlineStr">
        <is>
          <t>N/A</t>
        </is>
      </c>
      <c r="G4110" s="26">
        <v>1244000</v>
      </c>
      <c r="H4110" s="26">
        <v>684200</v>
      </c>
      <c r="I4110" s="26">
        <v>0</v>
      </c>
      <c r="J4110" s="26">
        <v>76</v>
      </c>
      <c r="K4110" t="inlineStr">
        <is>
          <t>Oui</t>
        </is>
      </c>
      <c r="L4110">
        <f>SUBTOTAL(103,A4110)</f>
        <v>1</v>
      </c>
    </row>
    <row r="4111">
      <c r="A4111" t="inlineStr">
        <is>
          <t>SOCIETE C151</t>
        </is>
      </c>
      <c r="B4111" t="inlineStr">
        <is>
          <t>C151</t>
        </is>
      </c>
      <c r="C4111" t="inlineStr">
        <is>
          <t>COMMERCIAL BANKING</t>
        </is>
      </c>
      <c r="D4111" t="inlineStr">
        <is>
          <t>IA</t>
        </is>
      </c>
      <c r="E4111" t="inlineStr">
        <is>
          <t>Stage 2</t>
        </is>
      </c>
      <c r="F4111" t="inlineStr">
        <is>
          <t>N/A</t>
        </is>
      </c>
      <c r="G4111" s="26">
        <v>29081393</v>
      </c>
      <c r="H4111" s="26">
        <v>1744884</v>
      </c>
      <c r="I4111" s="26">
        <v>1135418</v>
      </c>
      <c r="J4111" s="26">
        <v>122</v>
      </c>
      <c r="K4111" t="inlineStr">
        <is>
          <t>Non</t>
        </is>
      </c>
      <c r="L4111">
        <f>SUBTOTAL(103,A4111)</f>
        <v>1</v>
      </c>
    </row>
    <row r="4112">
      <c r="A4112" t="inlineStr">
        <is>
          <t>SOCIETE C356</t>
        </is>
      </c>
      <c r="B4112" t="inlineStr">
        <is>
          <t>C356</t>
        </is>
      </c>
      <c r="C4112" t="inlineStr">
        <is>
          <t>COMMERCIAL BANKING</t>
        </is>
      </c>
      <c r="D4112" t="inlineStr">
        <is>
          <t>III</t>
        </is>
      </c>
      <c r="E4112" t="inlineStr">
        <is>
          <t>Stage 3</t>
        </is>
      </c>
      <c r="F4112" t="inlineStr">
        <is>
          <t>N/A</t>
        </is>
      </c>
      <c r="G4112" s="26">
        <v>988647781</v>
      </c>
      <c r="H4112" s="26">
        <v>543756280</v>
      </c>
      <c r="I4112" s="26">
        <v>0</v>
      </c>
      <c r="J4112" s="26">
        <v>218</v>
      </c>
      <c r="K4112" t="inlineStr">
        <is>
          <t>Oui</t>
        </is>
      </c>
      <c r="L4112">
        <f>SUBTOTAL(103,A4112)</f>
        <v>1</v>
      </c>
    </row>
    <row r="4113">
      <c r="A4113" t="inlineStr">
        <is>
          <t>SOCIETE C1389</t>
        </is>
      </c>
      <c r="B4113" t="inlineStr">
        <is>
          <t>C1389</t>
        </is>
      </c>
      <c r="C4113" t="inlineStr">
        <is>
          <t>CORPORATE BANKING</t>
        </is>
      </c>
      <c r="D4113" t="inlineStr">
        <is>
          <t>IA</t>
        </is>
      </c>
      <c r="E4113" t="inlineStr">
        <is>
          <t>Stage 2</t>
        </is>
      </c>
      <c r="F4113" t="inlineStr">
        <is>
          <t>N/A</t>
        </is>
      </c>
      <c r="G4113" s="26">
        <v>1000000</v>
      </c>
      <c r="H4113" s="26">
        <v>60000</v>
      </c>
      <c r="I4113" s="26">
        <v>0</v>
      </c>
      <c r="J4113" s="26">
        <v>253</v>
      </c>
      <c r="K4113" t="inlineStr">
        <is>
          <t>Non</t>
        </is>
      </c>
      <c r="L4113">
        <f>SUBTOTAL(103,A4113)</f>
        <v>1</v>
      </c>
    </row>
    <row r="4114">
      <c r="A4114" t="inlineStr">
        <is>
          <t>SOCIETE C490</t>
        </is>
      </c>
      <c r="B4114" t="inlineStr">
        <is>
          <t>C490</t>
        </is>
      </c>
      <c r="C4114" t="inlineStr">
        <is>
          <t>CORPORATE BANKING</t>
        </is>
      </c>
      <c r="D4114" t="inlineStr">
        <is>
          <t>III</t>
        </is>
      </c>
      <c r="E4114" t="inlineStr">
        <is>
          <t>Stage 3</t>
        </is>
      </c>
      <c r="F4114" t="inlineStr">
        <is>
          <t>N/A</t>
        </is>
      </c>
      <c r="G4114" s="26">
        <v>476744047</v>
      </c>
      <c r="H4114" s="26">
        <v>262209226</v>
      </c>
      <c r="I4114" s="26">
        <v>0</v>
      </c>
      <c r="J4114" s="26">
        <v>7</v>
      </c>
      <c r="K4114" t="inlineStr">
        <is>
          <t>Oui</t>
        </is>
      </c>
      <c r="L4114">
        <f>SUBTOTAL(103,A4114)</f>
        <v>1</v>
      </c>
    </row>
    <row r="4115">
      <c r="A4115" t="inlineStr">
        <is>
          <t>SOCIETE C8</t>
        </is>
      </c>
      <c r="B4115" t="inlineStr">
        <is>
          <t>C8</t>
        </is>
      </c>
      <c r="C4115" t="inlineStr">
        <is>
          <t>CORPORATE BANKING</t>
        </is>
      </c>
      <c r="D4115" t="inlineStr">
        <is>
          <t>IA</t>
        </is>
      </c>
      <c r="E4115" t="inlineStr">
        <is>
          <t>Stage 2</t>
        </is>
      </c>
      <c r="F4115" t="inlineStr">
        <is>
          <t>N/A</t>
        </is>
      </c>
      <c r="G4115" s="26">
        <v>12469074</v>
      </c>
      <c r="H4115" s="26">
        <v>748144</v>
      </c>
      <c r="I4115" s="26">
        <v>2359968</v>
      </c>
      <c r="J4115" s="26">
        <v>266</v>
      </c>
      <c r="K4115" t="inlineStr">
        <is>
          <t>Non</t>
        </is>
      </c>
      <c r="L4115">
        <f>SUBTOTAL(103,A4115)</f>
        <v>1</v>
      </c>
    </row>
    <row r="4116">
      <c r="A4116" t="inlineStr">
        <is>
          <t>SOCIETE C1375</t>
        </is>
      </c>
      <c r="B4116" t="inlineStr">
        <is>
          <t>C1375</t>
        </is>
      </c>
      <c r="C4116" t="inlineStr">
        <is>
          <t>CONSUMER BANKING</t>
        </is>
      </c>
      <c r="D4116" t="inlineStr">
        <is>
          <t>I</t>
        </is>
      </c>
      <c r="E4116" t="inlineStr">
        <is>
          <t>Stage 1</t>
        </is>
      </c>
      <c r="F4116" t="inlineStr">
        <is>
          <t>N/A</t>
        </is>
      </c>
      <c r="G4116" s="26">
        <v>92101789</v>
      </c>
      <c r="H4116" s="26">
        <v>921018</v>
      </c>
      <c r="I4116" s="26">
        <v>0</v>
      </c>
      <c r="J4116" s="26">
        <v>48</v>
      </c>
      <c r="K4116" t="inlineStr">
        <is>
          <t>Non</t>
        </is>
      </c>
      <c r="L4116">
        <f>SUBTOTAL(103,A4116)</f>
        <v>1</v>
      </c>
    </row>
    <row r="4117">
      <c r="A4117" t="inlineStr">
        <is>
          <t>SOCIETE C2152</t>
        </is>
      </c>
      <c r="B4117" t="inlineStr">
        <is>
          <t>C2152</t>
        </is>
      </c>
      <c r="C4117" t="inlineStr">
        <is>
          <t>COMMERCIAL BANKING</t>
        </is>
      </c>
      <c r="D4117" t="inlineStr">
        <is>
          <t>IA</t>
        </is>
      </c>
      <c r="E4117" t="inlineStr">
        <is>
          <t>Stage 2</t>
        </is>
      </c>
      <c r="F4117" t="inlineStr">
        <is>
          <t>N/A</t>
        </is>
      </c>
      <c r="G4117" s="26">
        <v>1145863698</v>
      </c>
      <c r="H4117" s="26">
        <v>68751822</v>
      </c>
      <c r="I4117" s="26">
        <v>0</v>
      </c>
      <c r="J4117" s="26">
        <v>146</v>
      </c>
      <c r="K4117" t="inlineStr">
        <is>
          <t>Non</t>
        </is>
      </c>
      <c r="L4117">
        <f>SUBTOTAL(103,A4117)</f>
        <v>1</v>
      </c>
    </row>
    <row r="4118">
      <c r="A4118" t="inlineStr">
        <is>
          <t>SOCIETE C1116</t>
        </is>
      </c>
      <c r="B4118" t="inlineStr">
        <is>
          <t>C1116</t>
        </is>
      </c>
      <c r="C4118" t="inlineStr">
        <is>
          <t>COMMERCIAL BANKING</t>
        </is>
      </c>
      <c r="D4118" t="inlineStr">
        <is>
          <t>IV</t>
        </is>
      </c>
      <c r="E4118" t="inlineStr">
        <is>
          <t>Stage 3</t>
        </is>
      </c>
      <c r="F4118" t="inlineStr">
        <is>
          <t>N/A</t>
        </is>
      </c>
      <c r="G4118" s="26">
        <v>944961423</v>
      </c>
      <c r="H4118" s="26">
        <v>519728782</v>
      </c>
      <c r="I4118" s="26">
        <v>0</v>
      </c>
      <c r="J4118" s="26">
        <v>34</v>
      </c>
      <c r="K4118" t="inlineStr">
        <is>
          <t>Oui</t>
        </is>
      </c>
      <c r="L4118">
        <f>SUBTOTAL(103,A4118)</f>
        <v>1</v>
      </c>
    </row>
    <row r="4119">
      <c r="A4119" t="inlineStr">
        <is>
          <t>SOCIETE C920</t>
        </is>
      </c>
      <c r="B4119" t="inlineStr">
        <is>
          <t>C920</t>
        </is>
      </c>
      <c r="C4119" t="inlineStr">
        <is>
          <t>PUBLIC SECTOR</t>
        </is>
      </c>
      <c r="D4119" t="inlineStr">
        <is>
          <t>I</t>
        </is>
      </c>
      <c r="E4119" t="inlineStr">
        <is>
          <t>Stage 1</t>
        </is>
      </c>
      <c r="F4119" t="inlineStr">
        <is>
          <t>N/A</t>
        </is>
      </c>
      <c r="G4119" s="26">
        <v>563633698</v>
      </c>
      <c r="H4119" s="26">
        <v>5636337</v>
      </c>
      <c r="I4119" s="26">
        <v>20268444</v>
      </c>
      <c r="J4119" s="26">
        <v>61</v>
      </c>
      <c r="K4119" t="inlineStr">
        <is>
          <t>Non</t>
        </is>
      </c>
      <c r="L4119">
        <f>SUBTOTAL(103,A4119)</f>
        <v>1</v>
      </c>
    </row>
    <row r="4120">
      <c r="A4120" t="inlineStr">
        <is>
          <t>SOCIETE C1134</t>
        </is>
      </c>
      <c r="B4120" t="inlineStr">
        <is>
          <t>C1134</t>
        </is>
      </c>
      <c r="C4120" t="inlineStr">
        <is>
          <t>CORPORATE BANKING</t>
        </is>
      </c>
      <c r="D4120" t="inlineStr">
        <is>
          <t>IA</t>
        </is>
      </c>
      <c r="E4120" t="inlineStr">
        <is>
          <t>Stage 2</t>
        </is>
      </c>
      <c r="F4120" t="inlineStr">
        <is>
          <t>N/A</t>
        </is>
      </c>
      <c r="G4120" s="26">
        <v>61606967</v>
      </c>
      <c r="H4120" s="26">
        <v>3696418</v>
      </c>
      <c r="I4120" s="26">
        <v>2614788</v>
      </c>
      <c r="J4120" s="26">
        <v>37</v>
      </c>
      <c r="K4120" t="inlineStr">
        <is>
          <t>Non</t>
        </is>
      </c>
      <c r="L4120">
        <f>SUBTOTAL(103,A4120)</f>
        <v>1</v>
      </c>
    </row>
    <row r="4121">
      <c r="A4121" t="inlineStr">
        <is>
          <t>SOCIETE C567</t>
        </is>
      </c>
      <c r="B4121" t="inlineStr">
        <is>
          <t>C567</t>
        </is>
      </c>
      <c r="C4121" t="inlineStr">
        <is>
          <t>CONSUMER BANKING</t>
        </is>
      </c>
      <c r="D4121" t="inlineStr">
        <is>
          <t>I</t>
        </is>
      </c>
      <c r="E4121" t="inlineStr">
        <is>
          <t>Stage 1</t>
        </is>
      </c>
      <c r="F4121" t="inlineStr">
        <is>
          <t>N/A</t>
        </is>
      </c>
      <c r="G4121" s="26">
        <v>226327814</v>
      </c>
      <c r="H4121" s="26">
        <v>2263278</v>
      </c>
      <c r="I4121" s="26">
        <v>0</v>
      </c>
      <c r="J4121" s="26">
        <v>294</v>
      </c>
      <c r="K4121" t="inlineStr">
        <is>
          <t>Non</t>
        </is>
      </c>
      <c r="L4121">
        <f>SUBTOTAL(103,A4121)</f>
        <v>1</v>
      </c>
    </row>
    <row r="4122">
      <c r="A4122" t="inlineStr">
        <is>
          <t>SOCIETE C1469</t>
        </is>
      </c>
      <c r="B4122" t="inlineStr">
        <is>
          <t>C1469</t>
        </is>
      </c>
      <c r="C4122" t="inlineStr">
        <is>
          <t>CORPORATE BANKING</t>
        </is>
      </c>
      <c r="D4122" t="inlineStr">
        <is>
          <t>IA</t>
        </is>
      </c>
      <c r="E4122" t="inlineStr">
        <is>
          <t>Stage 2</t>
        </is>
      </c>
      <c r="F4122" t="inlineStr">
        <is>
          <t>N/A</t>
        </is>
      </c>
      <c r="G4122" s="26">
        <v>1520944530</v>
      </c>
      <c r="H4122" s="26">
        <v>91256672</v>
      </c>
      <c r="I4122" s="26">
        <v>0</v>
      </c>
      <c r="J4122" s="26">
        <v>192</v>
      </c>
      <c r="K4122" t="inlineStr">
        <is>
          <t>Non</t>
        </is>
      </c>
      <c r="L4122">
        <f>SUBTOTAL(103,A4122)</f>
        <v>1</v>
      </c>
    </row>
    <row r="4123">
      <c r="A4123" t="inlineStr">
        <is>
          <t>SOCIETE C1314</t>
        </is>
      </c>
      <c r="B4123" t="inlineStr">
        <is>
          <t>C1314</t>
        </is>
      </c>
      <c r="C4123" t="inlineStr">
        <is>
          <t>COMMERCIAL BANKING</t>
        </is>
      </c>
      <c r="D4123" t="inlineStr">
        <is>
          <t>I</t>
        </is>
      </c>
      <c r="E4123" t="inlineStr">
        <is>
          <t>Stage 1</t>
        </is>
      </c>
      <c r="F4123" t="inlineStr">
        <is>
          <t>N/A</t>
        </is>
      </c>
      <c r="G4123" s="26">
        <v>768081959</v>
      </c>
      <c r="H4123" s="26">
        <v>7680820</v>
      </c>
      <c r="I4123" s="26">
        <v>129428959</v>
      </c>
      <c r="J4123" s="26">
        <v>96</v>
      </c>
      <c r="K4123" t="inlineStr">
        <is>
          <t>Non</t>
        </is>
      </c>
      <c r="L4123">
        <f>SUBTOTAL(103,A4123)</f>
        <v>1</v>
      </c>
    </row>
    <row r="4124">
      <c r="A4124" t="inlineStr">
        <is>
          <t>SOCIETE C880</t>
        </is>
      </c>
      <c r="B4124" t="inlineStr">
        <is>
          <t>C880</t>
        </is>
      </c>
      <c r="C4124" t="inlineStr">
        <is>
          <t>CORPORATE BANKING</t>
        </is>
      </c>
      <c r="D4124" t="inlineStr">
        <is>
          <t>IA</t>
        </is>
      </c>
      <c r="E4124" t="inlineStr">
        <is>
          <t>Stage 2</t>
        </is>
      </c>
      <c r="F4124" t="inlineStr">
        <is>
          <t>N/A</t>
        </is>
      </c>
      <c r="G4124" s="26">
        <v>30074959</v>
      </c>
      <c r="H4124" s="26">
        <v>1804498</v>
      </c>
      <c r="I4124" s="26">
        <v>0</v>
      </c>
      <c r="J4124" s="26">
        <v>2</v>
      </c>
      <c r="K4124" t="inlineStr">
        <is>
          <t>Non</t>
        </is>
      </c>
      <c r="L4124">
        <f>SUBTOTAL(103,A4124)</f>
        <v>1</v>
      </c>
    </row>
    <row r="4125">
      <c r="A4125" t="inlineStr">
        <is>
          <t>SOCIETE C1028</t>
        </is>
      </c>
      <c r="B4125" t="inlineStr">
        <is>
          <t>C1028</t>
        </is>
      </c>
      <c r="C4125" t="inlineStr">
        <is>
          <t>INSTITUTIONAL</t>
        </is>
      </c>
      <c r="D4125" t="inlineStr">
        <is>
          <t>III</t>
        </is>
      </c>
      <c r="E4125" t="inlineStr">
        <is>
          <t>Stage 3</t>
        </is>
      </c>
      <c r="F4125" t="inlineStr">
        <is>
          <t>N/A</t>
        </is>
      </c>
      <c r="G4125" s="26">
        <v>2314012015</v>
      </c>
      <c r="H4125" s="26">
        <v>1272706608</v>
      </c>
      <c r="I4125" s="26">
        <v>0</v>
      </c>
      <c r="J4125" s="26">
        <v>8</v>
      </c>
      <c r="K4125" t="inlineStr">
        <is>
          <t>Oui</t>
        </is>
      </c>
      <c r="L4125">
        <f>SUBTOTAL(103,A4125)</f>
        <v>1</v>
      </c>
    </row>
    <row r="4126">
      <c r="A4126" t="inlineStr">
        <is>
          <t>SOCIETE C1347</t>
        </is>
      </c>
      <c r="B4126" t="inlineStr">
        <is>
          <t>C1347</t>
        </is>
      </c>
      <c r="C4126" t="inlineStr">
        <is>
          <t>SME</t>
        </is>
      </c>
      <c r="D4126" t="inlineStr">
        <is>
          <t>I</t>
        </is>
      </c>
      <c r="E4126" t="inlineStr">
        <is>
          <t>Stage 1</t>
        </is>
      </c>
      <c r="F4126" t="inlineStr">
        <is>
          <t>N/A</t>
        </is>
      </c>
      <c r="G4126" s="26">
        <v>1498240385</v>
      </c>
      <c r="H4126" s="26">
        <v>14982404</v>
      </c>
      <c r="I4126" s="26">
        <v>0</v>
      </c>
      <c r="J4126" s="26">
        <v>36</v>
      </c>
      <c r="K4126" t="inlineStr">
        <is>
          <t>Non</t>
        </is>
      </c>
      <c r="L4126">
        <f>SUBTOTAL(103,A4126)</f>
        <v>1</v>
      </c>
    </row>
    <row r="4127">
      <c r="A4127" t="inlineStr">
        <is>
          <t>SOCIETE C1483</t>
        </is>
      </c>
      <c r="B4127" t="inlineStr">
        <is>
          <t>C1483</t>
        </is>
      </c>
      <c r="C4127" t="inlineStr">
        <is>
          <t>CONSUMER BANKING</t>
        </is>
      </c>
      <c r="D4127" t="inlineStr">
        <is>
          <t>V</t>
        </is>
      </c>
      <c r="E4127" t="inlineStr">
        <is>
          <t>Stage 3</t>
        </is>
      </c>
      <c r="F4127" t="inlineStr">
        <is>
          <t>N/A</t>
        </is>
      </c>
      <c r="G4127" s="26">
        <v>2924333970</v>
      </c>
      <c r="H4127" s="26">
        <v>1608383683</v>
      </c>
      <c r="I4127" s="26">
        <v>356885099</v>
      </c>
      <c r="J4127" s="26">
        <v>72</v>
      </c>
      <c r="K4127" t="inlineStr">
        <is>
          <t>Oui</t>
        </is>
      </c>
      <c r="L4127">
        <f>SUBTOTAL(103,A4127)</f>
        <v>1</v>
      </c>
    </row>
    <row r="4128">
      <c r="A4128" t="inlineStr">
        <is>
          <t>SOCIETE C1228</t>
        </is>
      </c>
      <c r="B4128" t="inlineStr">
        <is>
          <t>C1228</t>
        </is>
      </c>
      <c r="C4128" t="inlineStr">
        <is>
          <t>CORPORATE BANKING</t>
        </is>
      </c>
      <c r="D4128" t="inlineStr">
        <is>
          <t>I</t>
        </is>
      </c>
      <c r="E4128" t="inlineStr">
        <is>
          <t>Stage 1</t>
        </is>
      </c>
      <c r="F4128" t="inlineStr">
        <is>
          <t>N/A</t>
        </is>
      </c>
      <c r="G4128" s="26">
        <v>1494857661</v>
      </c>
      <c r="H4128" s="26">
        <v>14948577</v>
      </c>
      <c r="I4128" s="26">
        <v>0</v>
      </c>
      <c r="J4128" s="26">
        <v>123</v>
      </c>
      <c r="K4128" t="inlineStr">
        <is>
          <t>Non</t>
        </is>
      </c>
      <c r="L4128">
        <f>SUBTOTAL(103,A4128)</f>
        <v>1</v>
      </c>
    </row>
    <row r="4129">
      <c r="A4129" t="inlineStr">
        <is>
          <t>SOCIETE C987</t>
        </is>
      </c>
      <c r="B4129" t="inlineStr">
        <is>
          <t>C987</t>
        </is>
      </c>
      <c r="C4129" t="inlineStr">
        <is>
          <t>COMMERCIAL BANKING</t>
        </is>
      </c>
      <c r="D4129" t="inlineStr">
        <is>
          <t>IA</t>
        </is>
      </c>
      <c r="E4129" t="inlineStr">
        <is>
          <t>Stage 2</t>
        </is>
      </c>
      <c r="F4129" t="inlineStr">
        <is>
          <t>N/A</t>
        </is>
      </c>
      <c r="G4129" s="26">
        <v>1000000</v>
      </c>
      <c r="H4129" s="26">
        <v>60000</v>
      </c>
      <c r="I4129" s="26">
        <v>0</v>
      </c>
      <c r="J4129" s="26">
        <v>35</v>
      </c>
      <c r="K4129" t="inlineStr">
        <is>
          <t>Non</t>
        </is>
      </c>
      <c r="L4129">
        <f>SUBTOTAL(103,A4129)</f>
        <v>1</v>
      </c>
    </row>
    <row r="4130">
      <c r="A4130" t="inlineStr">
        <is>
          <t>SOCIETE C2076</t>
        </is>
      </c>
      <c r="B4130" t="inlineStr">
        <is>
          <t>C2076</t>
        </is>
      </c>
      <c r="C4130" t="inlineStr">
        <is>
          <t>CONSUMER BANKING</t>
        </is>
      </c>
      <c r="D4130" t="inlineStr">
        <is>
          <t>II</t>
        </is>
      </c>
      <c r="E4130" t="inlineStr">
        <is>
          <t>Stage 2</t>
        </is>
      </c>
      <c r="F4130" t="inlineStr">
        <is>
          <t>N/A</t>
        </is>
      </c>
      <c r="G4130" s="26">
        <v>2766961</v>
      </c>
      <c r="H4130" s="26">
        <v>166018</v>
      </c>
      <c r="I4130" s="26">
        <v>0</v>
      </c>
      <c r="J4130" s="26">
        <v>146</v>
      </c>
      <c r="K4130" t="inlineStr">
        <is>
          <t>Non</t>
        </is>
      </c>
      <c r="L4130">
        <f>SUBTOTAL(103,A4130)</f>
        <v>1</v>
      </c>
    </row>
    <row r="4131">
      <c r="A4131" t="inlineStr">
        <is>
          <t>SOCIETE C1596</t>
        </is>
      </c>
      <c r="B4131" t="inlineStr">
        <is>
          <t>C1596</t>
        </is>
      </c>
      <c r="C4131" t="inlineStr">
        <is>
          <t>CORPORATE BANKING</t>
        </is>
      </c>
      <c r="D4131" t="inlineStr">
        <is>
          <t>I</t>
        </is>
      </c>
      <c r="E4131" t="inlineStr">
        <is>
          <t>Stage 1</t>
        </is>
      </c>
      <c r="F4131" t="inlineStr">
        <is>
          <t>N/A</t>
        </is>
      </c>
      <c r="G4131" s="26">
        <v>2810599501</v>
      </c>
      <c r="H4131" s="26">
        <v>28105995</v>
      </c>
      <c r="I4131" s="26">
        <v>0</v>
      </c>
      <c r="J4131" s="26">
        <v>57</v>
      </c>
      <c r="K4131" t="inlineStr">
        <is>
          <t>Non</t>
        </is>
      </c>
      <c r="L4131">
        <f>SUBTOTAL(103,A4131)</f>
        <v>1</v>
      </c>
    </row>
    <row r="4132">
      <c r="A4132" t="inlineStr">
        <is>
          <t>SOCIETE C108</t>
        </is>
      </c>
      <c r="B4132" t="inlineStr">
        <is>
          <t>C108</t>
        </is>
      </c>
      <c r="C4132" t="inlineStr">
        <is>
          <t>CORPORATE BANKING</t>
        </is>
      </c>
      <c r="D4132" t="inlineStr">
        <is>
          <t>II</t>
        </is>
      </c>
      <c r="E4132" t="inlineStr">
        <is>
          <t>Stage 2</t>
        </is>
      </c>
      <c r="F4132" t="inlineStr">
        <is>
          <t>N/A</t>
        </is>
      </c>
      <c r="G4132" s="26">
        <v>245917454</v>
      </c>
      <c r="H4132" s="26">
        <v>14755047</v>
      </c>
      <c r="I4132" s="26">
        <v>19007568</v>
      </c>
      <c r="J4132" s="26">
        <v>30</v>
      </c>
      <c r="K4132" t="inlineStr">
        <is>
          <t>Non</t>
        </is>
      </c>
      <c r="L4132">
        <f>SUBTOTAL(103,A4132)</f>
        <v>1</v>
      </c>
    </row>
    <row r="4133">
      <c r="A4133" t="inlineStr">
        <is>
          <t>SOCIETE C2346</t>
        </is>
      </c>
      <c r="B4133" t="inlineStr">
        <is>
          <t>C2346</t>
        </is>
      </c>
      <c r="C4133" t="inlineStr">
        <is>
          <t>CORPORATE BANKING</t>
        </is>
      </c>
      <c r="D4133" t="inlineStr">
        <is>
          <t>I</t>
        </is>
      </c>
      <c r="E4133" t="inlineStr">
        <is>
          <t>Stage 1</t>
        </is>
      </c>
      <c r="F4133" t="inlineStr">
        <is>
          <t>N/A</t>
        </is>
      </c>
      <c r="G4133" s="26">
        <v>67191530</v>
      </c>
      <c r="H4133" s="26">
        <v>671915</v>
      </c>
      <c r="I4133" s="26">
        <v>0</v>
      </c>
      <c r="J4133" s="26">
        <v>190</v>
      </c>
      <c r="K4133" t="inlineStr">
        <is>
          <t>Non</t>
        </is>
      </c>
      <c r="L4133">
        <f>SUBTOTAL(103,A4133)</f>
        <v>1</v>
      </c>
    </row>
    <row r="4134">
      <c r="A4134" t="inlineStr">
        <is>
          <t>SOCIETE C1027</t>
        </is>
      </c>
      <c r="B4134" t="inlineStr">
        <is>
          <t>C1027</t>
        </is>
      </c>
      <c r="C4134" t="inlineStr">
        <is>
          <t>CORPORATE BANKING</t>
        </is>
      </c>
      <c r="D4134" t="inlineStr">
        <is>
          <t>I</t>
        </is>
      </c>
      <c r="E4134" t="inlineStr">
        <is>
          <t>Stage 1</t>
        </is>
      </c>
      <c r="F4134" t="inlineStr">
        <is>
          <t>N/A</t>
        </is>
      </c>
      <c r="G4134" s="26">
        <v>1142922067</v>
      </c>
      <c r="H4134" s="26">
        <v>11429221</v>
      </c>
      <c r="I4134" s="26">
        <v>208256513</v>
      </c>
      <c r="J4134" s="26">
        <v>133</v>
      </c>
      <c r="K4134" t="inlineStr">
        <is>
          <t>Non</t>
        </is>
      </c>
      <c r="L4134">
        <f>SUBTOTAL(103,A4134)</f>
        <v>1</v>
      </c>
    </row>
    <row r="4135">
      <c r="A4135" t="inlineStr">
        <is>
          <t>SOCIETE C125</t>
        </is>
      </c>
      <c r="B4135" t="inlineStr">
        <is>
          <t>C125</t>
        </is>
      </c>
      <c r="C4135" t="inlineStr">
        <is>
          <t>SME</t>
        </is>
      </c>
      <c r="D4135" t="inlineStr">
        <is>
          <t>II</t>
        </is>
      </c>
      <c r="E4135" t="inlineStr">
        <is>
          <t>Stage 2</t>
        </is>
      </c>
      <c r="F4135" t="inlineStr">
        <is>
          <t>N/A</t>
        </is>
      </c>
      <c r="G4135" s="26">
        <v>1123324</v>
      </c>
      <c r="H4135" s="26">
        <v>67399</v>
      </c>
      <c r="I4135" s="26">
        <v>0</v>
      </c>
      <c r="J4135" s="26">
        <v>8</v>
      </c>
      <c r="K4135" t="inlineStr">
        <is>
          <t>Non</t>
        </is>
      </c>
      <c r="L4135">
        <f>SUBTOTAL(103,A4135)</f>
        <v>1</v>
      </c>
    </row>
    <row r="4136">
      <c r="A4136" t="inlineStr">
        <is>
          <t>SOCIETE C1879</t>
        </is>
      </c>
      <c r="B4136" t="inlineStr">
        <is>
          <t>C1879</t>
        </is>
      </c>
      <c r="C4136" t="inlineStr">
        <is>
          <t>CONSUMER BANKING</t>
        </is>
      </c>
      <c r="D4136" t="inlineStr">
        <is>
          <t>I</t>
        </is>
      </c>
      <c r="E4136" t="inlineStr">
        <is>
          <t>Stage 1</t>
        </is>
      </c>
      <c r="F4136" t="inlineStr">
        <is>
          <t>N/A</t>
        </is>
      </c>
      <c r="G4136" s="26">
        <v>22727154</v>
      </c>
      <c r="H4136" s="26">
        <v>227272</v>
      </c>
      <c r="I4136" s="26">
        <v>0</v>
      </c>
      <c r="J4136" s="26">
        <v>136</v>
      </c>
      <c r="K4136" t="inlineStr">
        <is>
          <t>Non</t>
        </is>
      </c>
      <c r="L4136">
        <f>SUBTOTAL(103,A4136)</f>
        <v>1</v>
      </c>
    </row>
    <row r="4137">
      <c r="A4137" t="inlineStr">
        <is>
          <t>SOCIETE C1364</t>
        </is>
      </c>
      <c r="B4137" t="inlineStr">
        <is>
          <t>C1364</t>
        </is>
      </c>
      <c r="C4137" t="inlineStr">
        <is>
          <t>COMMERCIAL BANKING</t>
        </is>
      </c>
      <c r="D4137" t="inlineStr">
        <is>
          <t>IA</t>
        </is>
      </c>
      <c r="E4137" t="inlineStr">
        <is>
          <t>Stage 2</t>
        </is>
      </c>
      <c r="F4137" t="inlineStr">
        <is>
          <t>N/A</t>
        </is>
      </c>
      <c r="G4137" s="26">
        <v>492822264</v>
      </c>
      <c r="H4137" s="26">
        <v>29569336</v>
      </c>
      <c r="I4137" s="26">
        <v>0</v>
      </c>
      <c r="J4137" s="26">
        <v>1</v>
      </c>
      <c r="K4137" t="inlineStr">
        <is>
          <t>Non</t>
        </is>
      </c>
      <c r="L4137">
        <f>SUBTOTAL(103,A4137)</f>
        <v>1</v>
      </c>
    </row>
    <row r="4138">
      <c r="A4138" t="inlineStr">
        <is>
          <t>SOCIETE C2142</t>
        </is>
      </c>
      <c r="B4138" t="inlineStr">
        <is>
          <t>C2142</t>
        </is>
      </c>
      <c r="C4138" t="inlineStr">
        <is>
          <t>CORPORATE BANKING</t>
        </is>
      </c>
      <c r="D4138" t="inlineStr">
        <is>
          <t>I</t>
        </is>
      </c>
      <c r="E4138" t="inlineStr">
        <is>
          <t>Stage 1</t>
        </is>
      </c>
      <c r="F4138" t="inlineStr">
        <is>
          <t>N/A</t>
        </is>
      </c>
      <c r="G4138" s="26">
        <v>1000815</v>
      </c>
      <c r="H4138" s="26">
        <v>10008</v>
      </c>
      <c r="I4138" s="26">
        <v>0</v>
      </c>
      <c r="J4138" s="26">
        <v>2</v>
      </c>
      <c r="K4138" t="inlineStr">
        <is>
          <t>Non</t>
        </is>
      </c>
      <c r="L4138">
        <f>SUBTOTAL(103,A4138)</f>
        <v>1</v>
      </c>
    </row>
    <row r="4139">
      <c r="A4139" t="inlineStr">
        <is>
          <t>SOCIETE C926</t>
        </is>
      </c>
      <c r="B4139" t="inlineStr">
        <is>
          <t>C926</t>
        </is>
      </c>
      <c r="C4139" t="inlineStr">
        <is>
          <t>COMMERCIAL BANKING</t>
        </is>
      </c>
      <c r="D4139" t="inlineStr">
        <is>
          <t>III</t>
        </is>
      </c>
      <c r="E4139" t="inlineStr">
        <is>
          <t>Stage 3</t>
        </is>
      </c>
      <c r="F4139" t="inlineStr">
        <is>
          <t>N/A</t>
        </is>
      </c>
      <c r="G4139" s="26">
        <v>2977697378</v>
      </c>
      <c r="H4139" s="26">
        <v>1637733558</v>
      </c>
      <c r="I4139" s="26">
        <v>0</v>
      </c>
      <c r="J4139" s="26">
        <v>92</v>
      </c>
      <c r="K4139" t="inlineStr">
        <is>
          <t>Oui</t>
        </is>
      </c>
      <c r="L4139">
        <f>SUBTOTAL(103,A4139)</f>
        <v>1</v>
      </c>
    </row>
    <row r="4140">
      <c r="A4140" t="inlineStr">
        <is>
          <t>SOCIETE C582</t>
        </is>
      </c>
      <c r="B4140" t="inlineStr">
        <is>
          <t>C582</t>
        </is>
      </c>
      <c r="C4140" t="inlineStr">
        <is>
          <t>CORPORATE BANKING</t>
        </is>
      </c>
      <c r="D4140" t="inlineStr">
        <is>
          <t>I</t>
        </is>
      </c>
      <c r="E4140" t="inlineStr">
        <is>
          <t>Stage 1</t>
        </is>
      </c>
      <c r="F4140" t="inlineStr">
        <is>
          <t>N/A</t>
        </is>
      </c>
      <c r="G4140" s="26">
        <v>1324717323</v>
      </c>
      <c r="H4140" s="26">
        <v>13247173</v>
      </c>
      <c r="I4140" s="26">
        <v>0</v>
      </c>
      <c r="J4140" s="26">
        <v>56</v>
      </c>
      <c r="K4140" t="inlineStr">
        <is>
          <t>Non</t>
        </is>
      </c>
      <c r="L4140">
        <f>SUBTOTAL(103,A4140)</f>
        <v>1</v>
      </c>
    </row>
    <row r="4141">
      <c r="A4141" t="inlineStr">
        <is>
          <t>SOCIETE C701</t>
        </is>
      </c>
      <c r="B4141" t="inlineStr">
        <is>
          <t>C701</t>
        </is>
      </c>
      <c r="C4141" t="inlineStr">
        <is>
          <t>CORPORATE BANKING</t>
        </is>
      </c>
      <c r="D4141" t="inlineStr">
        <is>
          <t>IA</t>
        </is>
      </c>
      <c r="E4141" t="inlineStr">
        <is>
          <t>Stage 2</t>
        </is>
      </c>
      <c r="F4141" t="inlineStr">
        <is>
          <t>N/A</t>
        </is>
      </c>
      <c r="G4141" s="26">
        <v>188029643</v>
      </c>
      <c r="H4141" s="26">
        <v>11281779</v>
      </c>
      <c r="I4141" s="26">
        <v>0</v>
      </c>
      <c r="J4141" s="26">
        <v>72</v>
      </c>
      <c r="K4141" t="inlineStr">
        <is>
          <t>Non</t>
        </is>
      </c>
      <c r="L4141">
        <f>SUBTOTAL(103,A4141)</f>
        <v>1</v>
      </c>
    </row>
    <row r="4142">
      <c r="A4142" t="inlineStr">
        <is>
          <t>SOCIETE C707</t>
        </is>
      </c>
      <c r="B4142" t="inlineStr">
        <is>
          <t>C707</t>
        </is>
      </c>
      <c r="C4142" t="inlineStr">
        <is>
          <t>CORPORATE BANKING</t>
        </is>
      </c>
      <c r="D4142" t="inlineStr">
        <is>
          <t>III</t>
        </is>
      </c>
      <c r="E4142" t="inlineStr">
        <is>
          <t>Stage 3</t>
        </is>
      </c>
      <c r="F4142" t="inlineStr">
        <is>
          <t>N/A</t>
        </is>
      </c>
      <c r="G4142" s="26">
        <v>2025836</v>
      </c>
      <c r="H4142" s="26">
        <v>1114210</v>
      </c>
      <c r="I4142" s="26">
        <v>0</v>
      </c>
      <c r="J4142" s="26">
        <v>266</v>
      </c>
      <c r="K4142" t="inlineStr">
        <is>
          <t>Oui</t>
        </is>
      </c>
      <c r="L4142">
        <f>SUBTOTAL(103,A4142)</f>
        <v>1</v>
      </c>
    </row>
    <row r="4143">
      <c r="A4143" t="inlineStr">
        <is>
          <t>SOCIETE C45</t>
        </is>
      </c>
      <c r="B4143" t="inlineStr">
        <is>
          <t>C45</t>
        </is>
      </c>
      <c r="C4143" t="inlineStr">
        <is>
          <t>CONSUMER BANKING</t>
        </is>
      </c>
      <c r="D4143" t="inlineStr">
        <is>
          <t>III</t>
        </is>
      </c>
      <c r="E4143" t="inlineStr">
        <is>
          <t>Stage 3</t>
        </is>
      </c>
      <c r="F4143" t="inlineStr">
        <is>
          <t>N/A</t>
        </is>
      </c>
      <c r="G4143" s="26">
        <v>281249059</v>
      </c>
      <c r="H4143" s="26">
        <v>154686983</v>
      </c>
      <c r="I4143" s="26">
        <v>0</v>
      </c>
      <c r="J4143" s="26">
        <v>121</v>
      </c>
      <c r="K4143" t="inlineStr">
        <is>
          <t>Oui</t>
        </is>
      </c>
      <c r="L4143">
        <f>SUBTOTAL(103,A4143)</f>
        <v>1</v>
      </c>
    </row>
    <row r="4144">
      <c r="A4144" t="inlineStr">
        <is>
          <t>SOCIETE C2324</t>
        </is>
      </c>
      <c r="B4144" t="inlineStr">
        <is>
          <t>C2324</t>
        </is>
      </c>
      <c r="C4144" t="inlineStr">
        <is>
          <t>CORPORATE BANKING</t>
        </is>
      </c>
      <c r="D4144" t="inlineStr">
        <is>
          <t>V</t>
        </is>
      </c>
      <c r="E4144" t="inlineStr">
        <is>
          <t>Stage 3</t>
        </is>
      </c>
      <c r="F4144" t="inlineStr">
        <is>
          <t>N/A</t>
        </is>
      </c>
      <c r="G4144" s="26">
        <v>2822555221</v>
      </c>
      <c r="H4144" s="26">
        <v>1552405371</v>
      </c>
      <c r="I4144" s="26">
        <v>0</v>
      </c>
      <c r="J4144" s="26">
        <v>9</v>
      </c>
      <c r="K4144" t="inlineStr">
        <is>
          <t>Oui</t>
        </is>
      </c>
      <c r="L4144">
        <f>SUBTOTAL(103,A4144)</f>
        <v>1</v>
      </c>
    </row>
    <row r="4145">
      <c r="A4145" t="inlineStr">
        <is>
          <t>SOCIETE C1971</t>
        </is>
      </c>
      <c r="B4145" t="inlineStr">
        <is>
          <t>C1971</t>
        </is>
      </c>
      <c r="C4145" t="inlineStr">
        <is>
          <t>CONSUMER BANKING</t>
        </is>
      </c>
      <c r="D4145" t="inlineStr">
        <is>
          <t>I</t>
        </is>
      </c>
      <c r="E4145" t="inlineStr">
        <is>
          <t>Stage 1</t>
        </is>
      </c>
      <c r="F4145" t="inlineStr">
        <is>
          <t>N/A</t>
        </is>
      </c>
      <c r="G4145" s="26">
        <v>319440189</v>
      </c>
      <c r="H4145" s="26">
        <v>3194402</v>
      </c>
      <c r="I4145" s="26">
        <v>37985404</v>
      </c>
      <c r="J4145" s="26">
        <v>321</v>
      </c>
      <c r="K4145" t="inlineStr">
        <is>
          <t>Non</t>
        </is>
      </c>
      <c r="L4145">
        <f>SUBTOTAL(103,A4145)</f>
        <v>1</v>
      </c>
    </row>
    <row r="4146">
      <c r="A4146" t="inlineStr">
        <is>
          <t>SOCIETE C1399</t>
        </is>
      </c>
      <c r="B4146" t="inlineStr">
        <is>
          <t>C1399</t>
        </is>
      </c>
      <c r="C4146" t="inlineStr">
        <is>
          <t>CORPORATE BANKING</t>
        </is>
      </c>
      <c r="D4146" t="inlineStr">
        <is>
          <t>I</t>
        </is>
      </c>
      <c r="E4146" t="inlineStr">
        <is>
          <t>Stage 1</t>
        </is>
      </c>
      <c r="F4146" t="inlineStr">
        <is>
          <t>N/A</t>
        </is>
      </c>
      <c r="G4146" s="26">
        <v>2691317590</v>
      </c>
      <c r="H4146" s="26">
        <v>26913176</v>
      </c>
      <c r="I4146" s="26">
        <v>0</v>
      </c>
      <c r="J4146" s="26">
        <v>116</v>
      </c>
      <c r="K4146" t="inlineStr">
        <is>
          <t>Non</t>
        </is>
      </c>
      <c r="L4146">
        <f>SUBTOTAL(103,A4146)</f>
        <v>1</v>
      </c>
    </row>
    <row r="4147">
      <c r="A4147" t="inlineStr">
        <is>
          <t>SOCIETE C671</t>
        </is>
      </c>
      <c r="B4147" t="inlineStr">
        <is>
          <t>C671</t>
        </is>
      </c>
      <c r="C4147" t="inlineStr">
        <is>
          <t>COMMERCIAL BANKING</t>
        </is>
      </c>
      <c r="D4147" t="inlineStr">
        <is>
          <t>I</t>
        </is>
      </c>
      <c r="E4147" t="inlineStr">
        <is>
          <t>Stage 1</t>
        </is>
      </c>
      <c r="F4147" t="inlineStr">
        <is>
          <t>N/A</t>
        </is>
      </c>
      <c r="G4147" s="26">
        <v>132387758</v>
      </c>
      <c r="H4147" s="26">
        <v>1323878</v>
      </c>
      <c r="I4147" s="26">
        <v>0</v>
      </c>
      <c r="J4147" s="26">
        <v>279</v>
      </c>
      <c r="K4147" t="inlineStr">
        <is>
          <t>Non</t>
        </is>
      </c>
      <c r="L4147">
        <f>SUBTOTAL(103,A4147)</f>
        <v>1</v>
      </c>
    </row>
    <row r="4148">
      <c r="A4148" t="inlineStr">
        <is>
          <t>SOCIETE C56</t>
        </is>
      </c>
      <c r="B4148" t="inlineStr">
        <is>
          <t>C56</t>
        </is>
      </c>
      <c r="C4148" t="inlineStr">
        <is>
          <t>COMMERCIAL BANKING</t>
        </is>
      </c>
      <c r="D4148" t="inlineStr">
        <is>
          <t>I</t>
        </is>
      </c>
      <c r="E4148" t="inlineStr">
        <is>
          <t>Stage 1</t>
        </is>
      </c>
      <c r="F4148" t="inlineStr">
        <is>
          <t>N/A</t>
        </is>
      </c>
      <c r="G4148" s="26">
        <v>732720854</v>
      </c>
      <c r="H4148" s="26">
        <v>7327209</v>
      </c>
      <c r="I4148" s="26">
        <v>39508493</v>
      </c>
      <c r="J4148" s="26">
        <v>38</v>
      </c>
      <c r="K4148" t="inlineStr">
        <is>
          <t>Non</t>
        </is>
      </c>
      <c r="L4148">
        <f>SUBTOTAL(103,A4148)</f>
        <v>1</v>
      </c>
    </row>
    <row r="4149">
      <c r="A4149" t="inlineStr">
        <is>
          <t>SOCIETE C2354</t>
        </is>
      </c>
      <c r="B4149" t="inlineStr">
        <is>
          <t>C2354</t>
        </is>
      </c>
      <c r="C4149" t="inlineStr">
        <is>
          <t>CONSUMER BANKING</t>
        </is>
      </c>
      <c r="D4149" t="inlineStr">
        <is>
          <t>I</t>
        </is>
      </c>
      <c r="E4149" t="inlineStr">
        <is>
          <t>Stage 1</t>
        </is>
      </c>
      <c r="F4149" t="inlineStr">
        <is>
          <t>N/A</t>
        </is>
      </c>
      <c r="G4149" s="26">
        <v>144991000</v>
      </c>
      <c r="H4149" s="26">
        <v>1449910</v>
      </c>
      <c r="I4149" s="26">
        <v>0</v>
      </c>
      <c r="J4149" s="26">
        <v>91</v>
      </c>
      <c r="K4149" t="inlineStr">
        <is>
          <t>Non</t>
        </is>
      </c>
      <c r="L4149">
        <f>SUBTOTAL(103,A4149)</f>
        <v>1</v>
      </c>
    </row>
    <row r="4150">
      <c r="A4150" t="inlineStr">
        <is>
          <t>SOCIETE C298</t>
        </is>
      </c>
      <c r="B4150" t="inlineStr">
        <is>
          <t>C298</t>
        </is>
      </c>
      <c r="C4150" t="inlineStr">
        <is>
          <t>CONSUMER BANKING</t>
        </is>
      </c>
      <c r="D4150" t="inlineStr">
        <is>
          <t>I</t>
        </is>
      </c>
      <c r="E4150" t="inlineStr">
        <is>
          <t>Stage 1</t>
        </is>
      </c>
      <c r="F4150" t="inlineStr">
        <is>
          <t>N/A</t>
        </is>
      </c>
      <c r="G4150" s="26">
        <v>740292608</v>
      </c>
      <c r="H4150" s="26">
        <v>7402926</v>
      </c>
      <c r="I4150" s="26">
        <v>0</v>
      </c>
      <c r="J4150" s="26">
        <v>243</v>
      </c>
      <c r="K4150" t="inlineStr">
        <is>
          <t>Non</t>
        </is>
      </c>
      <c r="L4150">
        <f>SUBTOTAL(103,A4150)</f>
        <v>1</v>
      </c>
    </row>
    <row r="4151">
      <c r="A4151" t="inlineStr">
        <is>
          <t>SOCIETE C1319</t>
        </is>
      </c>
      <c r="B4151" t="inlineStr">
        <is>
          <t>C1319</t>
        </is>
      </c>
      <c r="C4151" t="inlineStr">
        <is>
          <t>CORPORATE BANKING</t>
        </is>
      </c>
      <c r="D4151" t="inlineStr">
        <is>
          <t>V</t>
        </is>
      </c>
      <c r="E4151" t="inlineStr">
        <is>
          <t>Stage 3</t>
        </is>
      </c>
      <c r="F4151" t="inlineStr">
        <is>
          <t>N/A</t>
        </is>
      </c>
      <c r="G4151" s="26">
        <v>972242450</v>
      </c>
      <c r="H4151" s="26">
        <v>534733348</v>
      </c>
      <c r="I4151" s="26">
        <v>179380628</v>
      </c>
      <c r="J4151" s="26">
        <v>223</v>
      </c>
      <c r="K4151" t="inlineStr">
        <is>
          <t>Oui</t>
        </is>
      </c>
      <c r="L4151">
        <f>SUBTOTAL(103,A4151)</f>
        <v>1</v>
      </c>
    </row>
    <row r="4152">
      <c r="A4152" t="inlineStr">
        <is>
          <t>SOCIETE C541</t>
        </is>
      </c>
      <c r="B4152" t="inlineStr">
        <is>
          <t>C541</t>
        </is>
      </c>
      <c r="C4152" t="inlineStr">
        <is>
          <t>CORPORATE BANKING</t>
        </is>
      </c>
      <c r="D4152" t="inlineStr">
        <is>
          <t>II</t>
        </is>
      </c>
      <c r="E4152" t="inlineStr">
        <is>
          <t>Stage 2</t>
        </is>
      </c>
      <c r="F4152" t="inlineStr">
        <is>
          <t>N/A</t>
        </is>
      </c>
      <c r="G4152" s="26">
        <v>18950221</v>
      </c>
      <c r="H4152" s="26">
        <v>1137013</v>
      </c>
      <c r="I4152" s="26">
        <v>0</v>
      </c>
      <c r="J4152" s="26">
        <v>4</v>
      </c>
      <c r="K4152" t="inlineStr">
        <is>
          <t>Non</t>
        </is>
      </c>
      <c r="L4152">
        <f>SUBTOTAL(103,A4152)</f>
        <v>1</v>
      </c>
    </row>
    <row r="4153">
      <c r="A4153" t="inlineStr">
        <is>
          <t>SOCIETE C2081</t>
        </is>
      </c>
      <c r="B4153" t="inlineStr">
        <is>
          <t>C2081</t>
        </is>
      </c>
      <c r="C4153" t="inlineStr">
        <is>
          <t>COMMERCIAL BANKING</t>
        </is>
      </c>
      <c r="D4153" t="inlineStr">
        <is>
          <t>I</t>
        </is>
      </c>
      <c r="E4153" t="inlineStr">
        <is>
          <t>Stage 1</t>
        </is>
      </c>
      <c r="F4153" t="inlineStr">
        <is>
          <t>N/A</t>
        </is>
      </c>
      <c r="G4153" s="26">
        <v>1001880</v>
      </c>
      <c r="H4153" s="26">
        <v>10019</v>
      </c>
      <c r="I4153" s="26">
        <v>186334</v>
      </c>
      <c r="J4153" s="26">
        <v>36</v>
      </c>
      <c r="K4153" t="inlineStr">
        <is>
          <t>Non</t>
        </is>
      </c>
      <c r="L4153">
        <f>SUBTOTAL(103,A4153)</f>
        <v>1</v>
      </c>
    </row>
    <row r="4154">
      <c r="A4154" t="inlineStr">
        <is>
          <t>SOCIETE C1859</t>
        </is>
      </c>
      <c r="B4154" t="inlineStr">
        <is>
          <t>C1859</t>
        </is>
      </c>
      <c r="C4154" t="inlineStr">
        <is>
          <t>CONSUMER BANKING</t>
        </is>
      </c>
      <c r="D4154" t="inlineStr">
        <is>
          <t>IV</t>
        </is>
      </c>
      <c r="E4154" t="inlineStr">
        <is>
          <t>Stage 3</t>
        </is>
      </c>
      <c r="F4154" t="inlineStr">
        <is>
          <t>N/A</t>
        </is>
      </c>
      <c r="G4154" s="26">
        <v>251573607</v>
      </c>
      <c r="H4154" s="26">
        <v>138365484</v>
      </c>
      <c r="I4154" s="26">
        <v>0</v>
      </c>
      <c r="J4154" s="26">
        <v>24</v>
      </c>
      <c r="K4154" t="inlineStr">
        <is>
          <t>Oui</t>
        </is>
      </c>
      <c r="L4154">
        <f>SUBTOTAL(103,A4154)</f>
        <v>1</v>
      </c>
    </row>
    <row r="4155">
      <c r="A4155" t="inlineStr">
        <is>
          <t>SOCIETE C1779</t>
        </is>
      </c>
      <c r="B4155" t="inlineStr">
        <is>
          <t>C1779</t>
        </is>
      </c>
      <c r="C4155" t="inlineStr">
        <is>
          <t>COMMERCIAL BANKING</t>
        </is>
      </c>
      <c r="D4155" t="inlineStr">
        <is>
          <t>I</t>
        </is>
      </c>
      <c r="E4155" t="inlineStr">
        <is>
          <t>Stage 1</t>
        </is>
      </c>
      <c r="F4155" t="inlineStr">
        <is>
          <t>N/A</t>
        </is>
      </c>
      <c r="G4155" s="26">
        <v>1579780</v>
      </c>
      <c r="H4155" s="26">
        <v>15798</v>
      </c>
      <c r="I4155" s="26">
        <v>145380</v>
      </c>
      <c r="J4155" s="26">
        <v>122</v>
      </c>
      <c r="K4155" t="inlineStr">
        <is>
          <t>Non</t>
        </is>
      </c>
      <c r="L4155">
        <f>SUBTOTAL(103,A4155)</f>
        <v>1</v>
      </c>
    </row>
    <row r="4156">
      <c r="A4156" t="inlineStr">
        <is>
          <t>SOCIETE C352</t>
        </is>
      </c>
      <c r="B4156" t="inlineStr">
        <is>
          <t>C352</t>
        </is>
      </c>
      <c r="C4156" t="inlineStr">
        <is>
          <t>CORPORATE BANKING</t>
        </is>
      </c>
      <c r="D4156" t="inlineStr">
        <is>
          <t>I</t>
        </is>
      </c>
      <c r="E4156" t="inlineStr">
        <is>
          <t>Stage 1</t>
        </is>
      </c>
      <c r="F4156" t="inlineStr">
        <is>
          <t>N/A</t>
        </is>
      </c>
      <c r="G4156" s="26">
        <v>8481078</v>
      </c>
      <c r="H4156" s="26">
        <v>84811</v>
      </c>
      <c r="I4156" s="26">
        <v>1152814</v>
      </c>
      <c r="J4156" s="26">
        <v>61</v>
      </c>
      <c r="K4156" t="inlineStr">
        <is>
          <t>Non</t>
        </is>
      </c>
      <c r="L4156">
        <f>SUBTOTAL(103,A4156)</f>
        <v>1</v>
      </c>
    </row>
    <row r="4157">
      <c r="A4157" t="inlineStr">
        <is>
          <t>SOCIETE C2437</t>
        </is>
      </c>
      <c r="B4157" t="inlineStr">
        <is>
          <t>C2437</t>
        </is>
      </c>
      <c r="C4157" t="inlineStr">
        <is>
          <t>CORPORATE BANKING</t>
        </is>
      </c>
      <c r="D4157" t="inlineStr">
        <is>
          <t>IA</t>
        </is>
      </c>
      <c r="E4157" t="inlineStr">
        <is>
          <t>Stage 2</t>
        </is>
      </c>
      <c r="F4157" t="inlineStr">
        <is>
          <t>N/A</t>
        </is>
      </c>
      <c r="G4157" s="26">
        <v>2024675581</v>
      </c>
      <c r="H4157" s="26">
        <v>121480535</v>
      </c>
      <c r="I4157" s="26">
        <v>0</v>
      </c>
      <c r="J4157" s="26">
        <v>268</v>
      </c>
      <c r="K4157" t="inlineStr">
        <is>
          <t>Non</t>
        </is>
      </c>
      <c r="L4157">
        <f>SUBTOTAL(103,A4157)</f>
        <v>1</v>
      </c>
    </row>
    <row r="4158">
      <c r="A4158" t="inlineStr">
        <is>
          <t>SOCIETE C734</t>
        </is>
      </c>
      <c r="B4158" t="inlineStr">
        <is>
          <t>C734</t>
        </is>
      </c>
      <c r="C4158" t="inlineStr">
        <is>
          <t>CONSUMER BANKING</t>
        </is>
      </c>
      <c r="D4158" t="inlineStr">
        <is>
          <t>IA</t>
        </is>
      </c>
      <c r="E4158" t="inlineStr">
        <is>
          <t>Stage 2</t>
        </is>
      </c>
      <c r="F4158" t="inlineStr">
        <is>
          <t>N/A</t>
        </is>
      </c>
      <c r="G4158" s="26">
        <v>1618490275</v>
      </c>
      <c r="H4158" s="26">
        <v>97109417</v>
      </c>
      <c r="I4158" s="26">
        <v>0</v>
      </c>
      <c r="J4158" s="26">
        <v>48</v>
      </c>
      <c r="K4158" t="inlineStr">
        <is>
          <t>Non</t>
        </is>
      </c>
      <c r="L4158">
        <f>SUBTOTAL(103,A4158)</f>
        <v>1</v>
      </c>
    </row>
    <row r="4159">
      <c r="A4159" t="inlineStr">
        <is>
          <t>SOCIETE C2451</t>
        </is>
      </c>
      <c r="B4159" t="inlineStr">
        <is>
          <t>C2451</t>
        </is>
      </c>
      <c r="C4159" t="inlineStr">
        <is>
          <t>CORPORATE BANKING</t>
        </is>
      </c>
      <c r="D4159" t="inlineStr">
        <is>
          <t>I</t>
        </is>
      </c>
      <c r="E4159" t="inlineStr">
        <is>
          <t>Stage 1</t>
        </is>
      </c>
      <c r="F4159" t="inlineStr">
        <is>
          <t>N/A</t>
        </is>
      </c>
      <c r="G4159" s="26">
        <v>1780283784</v>
      </c>
      <c r="H4159" s="26">
        <v>17802838</v>
      </c>
      <c r="I4159" s="26">
        <v>0</v>
      </c>
      <c r="J4159" s="26">
        <v>59</v>
      </c>
      <c r="K4159" t="inlineStr">
        <is>
          <t>Non</t>
        </is>
      </c>
      <c r="L4159">
        <f>SUBTOTAL(103,A4159)</f>
        <v>1</v>
      </c>
    </row>
    <row r="4160">
      <c r="A4160" t="inlineStr">
        <is>
          <t>SOCIETE C1523</t>
        </is>
      </c>
      <c r="B4160" t="inlineStr">
        <is>
          <t>C1523</t>
        </is>
      </c>
      <c r="C4160" t="inlineStr">
        <is>
          <t>CORPORATE BANKING</t>
        </is>
      </c>
      <c r="D4160" t="inlineStr">
        <is>
          <t>V</t>
        </is>
      </c>
      <c r="E4160" t="inlineStr">
        <is>
          <t>Stage 3</t>
        </is>
      </c>
      <c r="F4160" t="inlineStr">
        <is>
          <t>N/A</t>
        </is>
      </c>
      <c r="G4160" s="26">
        <v>621336755</v>
      </c>
      <c r="H4160" s="26">
        <v>341735216</v>
      </c>
      <c r="I4160" s="26">
        <v>0</v>
      </c>
      <c r="J4160" s="26">
        <v>110</v>
      </c>
      <c r="K4160" t="inlineStr">
        <is>
          <t>Oui</t>
        </is>
      </c>
      <c r="L4160">
        <f>SUBTOTAL(103,A4160)</f>
        <v>1</v>
      </c>
    </row>
    <row r="4161">
      <c r="A4161" t="inlineStr">
        <is>
          <t>SOCIETE C2327</t>
        </is>
      </c>
      <c r="B4161" t="inlineStr">
        <is>
          <t>C2327</t>
        </is>
      </c>
      <c r="C4161" t="inlineStr">
        <is>
          <t>SME</t>
        </is>
      </c>
      <c r="D4161" t="inlineStr">
        <is>
          <t>I</t>
        </is>
      </c>
      <c r="E4161" t="inlineStr">
        <is>
          <t>Stage 1</t>
        </is>
      </c>
      <c r="F4161" t="inlineStr">
        <is>
          <t>N/A</t>
        </is>
      </c>
      <c r="G4161" s="26">
        <v>292069764</v>
      </c>
      <c r="H4161" s="26">
        <v>2920698</v>
      </c>
      <c r="I4161" s="26">
        <v>41212443</v>
      </c>
      <c r="J4161" s="26">
        <v>250</v>
      </c>
      <c r="K4161" t="inlineStr">
        <is>
          <t>Non</t>
        </is>
      </c>
      <c r="L4161">
        <f>SUBTOTAL(103,A4161)</f>
        <v>1</v>
      </c>
    </row>
    <row r="4162">
      <c r="A4162" t="inlineStr">
        <is>
          <t>SOCIETE C684</t>
        </is>
      </c>
      <c r="B4162" t="inlineStr">
        <is>
          <t>C684</t>
        </is>
      </c>
      <c r="C4162" t="inlineStr">
        <is>
          <t>CORPORATE BANKING</t>
        </is>
      </c>
      <c r="D4162" t="inlineStr">
        <is>
          <t>IA</t>
        </is>
      </c>
      <c r="E4162" t="inlineStr">
        <is>
          <t>Stage 2</t>
        </is>
      </c>
      <c r="F4162" t="inlineStr">
        <is>
          <t>N/A</t>
        </is>
      </c>
      <c r="G4162" s="26">
        <v>2626468559</v>
      </c>
      <c r="H4162" s="26">
        <v>157588114</v>
      </c>
      <c r="I4162" s="26">
        <v>0</v>
      </c>
      <c r="J4162" s="26">
        <v>62</v>
      </c>
      <c r="K4162" t="inlineStr">
        <is>
          <t>Non</t>
        </is>
      </c>
      <c r="L4162">
        <f>SUBTOTAL(103,A4162)</f>
        <v>1</v>
      </c>
    </row>
    <row r="4163">
      <c r="A4163" t="inlineStr">
        <is>
          <t>SOCIETE C2388</t>
        </is>
      </c>
      <c r="B4163" t="inlineStr">
        <is>
          <t>C2388</t>
        </is>
      </c>
      <c r="C4163" t="inlineStr">
        <is>
          <t>CORPORATE BANKING</t>
        </is>
      </c>
      <c r="D4163" t="inlineStr">
        <is>
          <t>II</t>
        </is>
      </c>
      <c r="E4163" t="inlineStr">
        <is>
          <t>Stage 2</t>
        </is>
      </c>
      <c r="F4163" t="inlineStr">
        <is>
          <t>N/A</t>
        </is>
      </c>
      <c r="G4163" s="26">
        <v>518671569</v>
      </c>
      <c r="H4163" s="26">
        <v>31120294</v>
      </c>
      <c r="I4163" s="26">
        <v>75866977</v>
      </c>
      <c r="J4163" s="26">
        <v>165</v>
      </c>
      <c r="K4163" t="inlineStr">
        <is>
          <t>Non</t>
        </is>
      </c>
      <c r="L4163">
        <f>SUBTOTAL(103,A4163)</f>
        <v>1</v>
      </c>
    </row>
    <row r="4164">
      <c r="A4164" t="inlineStr">
        <is>
          <t>SOCIETE C1770</t>
        </is>
      </c>
      <c r="B4164" t="inlineStr">
        <is>
          <t>C1770</t>
        </is>
      </c>
      <c r="C4164" t="inlineStr">
        <is>
          <t>COMMERCIAL BANKING</t>
        </is>
      </c>
      <c r="D4164" t="inlineStr">
        <is>
          <t>I</t>
        </is>
      </c>
      <c r="E4164" t="inlineStr">
        <is>
          <t>Stage 1</t>
        </is>
      </c>
      <c r="F4164" t="inlineStr">
        <is>
          <t>N/A</t>
        </is>
      </c>
      <c r="G4164" s="26">
        <v>1408832017</v>
      </c>
      <c r="H4164" s="26">
        <v>14088320</v>
      </c>
      <c r="I4164" s="26">
        <v>0</v>
      </c>
      <c r="J4164" s="26">
        <v>258</v>
      </c>
      <c r="K4164" t="inlineStr">
        <is>
          <t>Non</t>
        </is>
      </c>
      <c r="L4164">
        <f>SUBTOTAL(103,A4164)</f>
        <v>1</v>
      </c>
    </row>
    <row r="4165">
      <c r="A4165" t="inlineStr">
        <is>
          <t>SOCIETE C1843</t>
        </is>
      </c>
      <c r="B4165" t="inlineStr">
        <is>
          <t>C1843</t>
        </is>
      </c>
      <c r="C4165" t="inlineStr">
        <is>
          <t>CORPORATE BANKING</t>
        </is>
      </c>
      <c r="D4165" t="inlineStr">
        <is>
          <t>IA</t>
        </is>
      </c>
      <c r="E4165" t="inlineStr">
        <is>
          <t>Stage 2</t>
        </is>
      </c>
      <c r="F4165" t="inlineStr">
        <is>
          <t>N/A</t>
        </is>
      </c>
      <c r="G4165" s="26">
        <v>1030744637</v>
      </c>
      <c r="H4165" s="26">
        <v>61844678</v>
      </c>
      <c r="I4165" s="26">
        <v>61724317</v>
      </c>
      <c r="J4165" s="26">
        <v>42</v>
      </c>
      <c r="K4165" t="inlineStr">
        <is>
          <t>Non</t>
        </is>
      </c>
      <c r="L4165">
        <f>SUBTOTAL(103,A4165)</f>
        <v>1</v>
      </c>
    </row>
    <row r="4166">
      <c r="A4166" t="inlineStr">
        <is>
          <t>SOCIETE C818</t>
        </is>
      </c>
      <c r="B4166" t="inlineStr">
        <is>
          <t>C818</t>
        </is>
      </c>
      <c r="C4166" t="inlineStr">
        <is>
          <t>SME</t>
        </is>
      </c>
      <c r="D4166" t="inlineStr">
        <is>
          <t>I</t>
        </is>
      </c>
      <c r="E4166" t="inlineStr">
        <is>
          <t>Stage 1</t>
        </is>
      </c>
      <c r="F4166" t="inlineStr">
        <is>
          <t>N/A</t>
        </is>
      </c>
      <c r="G4166" s="26">
        <v>1030558</v>
      </c>
      <c r="H4166" s="26">
        <v>10306</v>
      </c>
      <c r="I4166" s="26">
        <v>92831</v>
      </c>
      <c r="J4166" s="26">
        <v>164</v>
      </c>
      <c r="K4166" t="inlineStr">
        <is>
          <t>Non</t>
        </is>
      </c>
      <c r="L4166">
        <f>SUBTOTAL(103,A4166)</f>
        <v>1</v>
      </c>
    </row>
    <row r="4167">
      <c r="A4167" t="inlineStr">
        <is>
          <t>SOCIETE C1241</t>
        </is>
      </c>
      <c r="B4167" t="inlineStr">
        <is>
          <t>C1241</t>
        </is>
      </c>
      <c r="C4167" t="inlineStr">
        <is>
          <t>SME</t>
        </is>
      </c>
      <c r="D4167" t="inlineStr">
        <is>
          <t>I</t>
        </is>
      </c>
      <c r="E4167" t="inlineStr">
        <is>
          <t>Stage 1</t>
        </is>
      </c>
      <c r="F4167" t="inlineStr">
        <is>
          <t>N/A</t>
        </is>
      </c>
      <c r="G4167" s="26">
        <v>1185408</v>
      </c>
      <c r="H4167" s="26">
        <v>11854</v>
      </c>
      <c r="I4167" s="26">
        <v>0</v>
      </c>
      <c r="J4167" s="26">
        <v>209</v>
      </c>
      <c r="K4167" t="inlineStr">
        <is>
          <t>Non</t>
        </is>
      </c>
      <c r="L4167">
        <f>SUBTOTAL(103,A4167)</f>
        <v>1</v>
      </c>
    </row>
    <row r="4168">
      <c r="A4168" t="inlineStr">
        <is>
          <t>SOCIETE C823</t>
        </is>
      </c>
      <c r="B4168" t="inlineStr">
        <is>
          <t>C823</t>
        </is>
      </c>
      <c r="C4168" t="inlineStr">
        <is>
          <t>PUBLIC SECTOR</t>
        </is>
      </c>
      <c r="D4168" t="inlineStr">
        <is>
          <t>II</t>
        </is>
      </c>
      <c r="E4168" t="inlineStr">
        <is>
          <t>Stage 2</t>
        </is>
      </c>
      <c r="F4168" t="inlineStr">
        <is>
          <t>N/A</t>
        </is>
      </c>
      <c r="G4168" s="26">
        <v>1818870141</v>
      </c>
      <c r="H4168" s="26">
        <v>109132208</v>
      </c>
      <c r="I4168" s="26">
        <v>0</v>
      </c>
      <c r="J4168" s="26">
        <v>128</v>
      </c>
      <c r="K4168" t="inlineStr">
        <is>
          <t>Non</t>
        </is>
      </c>
      <c r="L4168">
        <f>SUBTOTAL(103,A4168)</f>
        <v>1</v>
      </c>
    </row>
    <row r="4169">
      <c r="A4169" t="inlineStr">
        <is>
          <t>SOCIETE C745</t>
        </is>
      </c>
      <c r="B4169" t="inlineStr">
        <is>
          <t>C745</t>
        </is>
      </c>
      <c r="C4169" t="inlineStr">
        <is>
          <t>CORPORATE BANKING</t>
        </is>
      </c>
      <c r="D4169" t="inlineStr">
        <is>
          <t>I</t>
        </is>
      </c>
      <c r="E4169" t="inlineStr">
        <is>
          <t>Stage 1</t>
        </is>
      </c>
      <c r="F4169" t="inlineStr">
        <is>
          <t>N/A</t>
        </is>
      </c>
      <c r="G4169" s="26">
        <v>807743520</v>
      </c>
      <c r="H4169" s="26">
        <v>8077435</v>
      </c>
      <c r="I4169" s="26">
        <v>0</v>
      </c>
      <c r="J4169" s="26">
        <v>93</v>
      </c>
      <c r="K4169" t="inlineStr">
        <is>
          <t>Non</t>
        </is>
      </c>
      <c r="L4169">
        <f>SUBTOTAL(103,A4169)</f>
        <v>1</v>
      </c>
    </row>
    <row r="4170">
      <c r="A4170" t="inlineStr">
        <is>
          <t>SOCIETE C1742</t>
        </is>
      </c>
      <c r="B4170" t="inlineStr">
        <is>
          <t>C1742</t>
        </is>
      </c>
      <c r="C4170" t="inlineStr">
        <is>
          <t>CONSUMER BANKING</t>
        </is>
      </c>
      <c r="D4170" t="inlineStr">
        <is>
          <t>I</t>
        </is>
      </c>
      <c r="E4170" t="inlineStr">
        <is>
          <t>Stage 1</t>
        </is>
      </c>
      <c r="F4170" t="inlineStr">
        <is>
          <t>N/A</t>
        </is>
      </c>
      <c r="G4170" s="26">
        <v>152966846</v>
      </c>
      <c r="H4170" s="26">
        <v>1529668</v>
      </c>
      <c r="I4170" s="26">
        <v>0</v>
      </c>
      <c r="J4170" s="26">
        <v>0</v>
      </c>
      <c r="K4170" t="inlineStr">
        <is>
          <t>Non</t>
        </is>
      </c>
      <c r="L4170">
        <f>SUBTOTAL(103,A4170)</f>
        <v>1</v>
      </c>
    </row>
    <row r="4171">
      <c r="A4171" t="inlineStr">
        <is>
          <t>SOCIETE C756</t>
        </is>
      </c>
      <c r="B4171" t="inlineStr">
        <is>
          <t>C756</t>
        </is>
      </c>
      <c r="C4171" t="inlineStr">
        <is>
          <t>CONSUMER BANKING</t>
        </is>
      </c>
      <c r="D4171" t="inlineStr">
        <is>
          <t>II</t>
        </is>
      </c>
      <c r="E4171" t="inlineStr">
        <is>
          <t>Stage 2</t>
        </is>
      </c>
      <c r="F4171" t="inlineStr">
        <is>
          <t>N/A</t>
        </is>
      </c>
      <c r="G4171" s="26">
        <v>1262128010</v>
      </c>
      <c r="H4171" s="26">
        <v>75727681</v>
      </c>
      <c r="I4171" s="26">
        <v>0</v>
      </c>
      <c r="J4171" s="26">
        <v>133</v>
      </c>
      <c r="K4171" t="inlineStr">
        <is>
          <t>Non</t>
        </is>
      </c>
      <c r="L4171">
        <f>SUBTOTAL(103,A4171)</f>
        <v>1</v>
      </c>
    </row>
    <row r="4172">
      <c r="A4172" t="inlineStr">
        <is>
          <t>SOCIETE C918</t>
        </is>
      </c>
      <c r="B4172" t="inlineStr">
        <is>
          <t>C918</t>
        </is>
      </c>
      <c r="C4172" t="inlineStr">
        <is>
          <t>CORPORATE BANKING</t>
        </is>
      </c>
      <c r="D4172" t="inlineStr">
        <is>
          <t>I</t>
        </is>
      </c>
      <c r="E4172" t="inlineStr">
        <is>
          <t>Stage 1</t>
        </is>
      </c>
      <c r="F4172" t="inlineStr">
        <is>
          <t>N/A</t>
        </is>
      </c>
      <c r="G4172" s="26">
        <v>2731593</v>
      </c>
      <c r="H4172" s="26">
        <v>27316</v>
      </c>
      <c r="I4172" s="26">
        <v>0</v>
      </c>
      <c r="J4172" s="26">
        <v>109</v>
      </c>
      <c r="K4172" t="inlineStr">
        <is>
          <t>Non</t>
        </is>
      </c>
      <c r="L4172">
        <f>SUBTOTAL(103,A4172)</f>
        <v>1</v>
      </c>
    </row>
    <row r="4173">
      <c r="A4173" t="inlineStr">
        <is>
          <t>SOCIETE C120</t>
        </is>
      </c>
      <c r="B4173" t="inlineStr">
        <is>
          <t>C120</t>
        </is>
      </c>
      <c r="C4173" t="inlineStr">
        <is>
          <t>CORPORATE BANKING</t>
        </is>
      </c>
      <c r="D4173" t="inlineStr">
        <is>
          <t>V</t>
        </is>
      </c>
      <c r="E4173" t="inlineStr">
        <is>
          <t>Stage 3</t>
        </is>
      </c>
      <c r="F4173" t="inlineStr">
        <is>
          <t>N/A</t>
        </is>
      </c>
      <c r="G4173" s="26">
        <v>161277199</v>
      </c>
      <c r="H4173" s="26">
        <v>88702460</v>
      </c>
      <c r="I4173" s="26">
        <v>0</v>
      </c>
      <c r="J4173" s="26">
        <v>61</v>
      </c>
      <c r="K4173" t="inlineStr">
        <is>
          <t>Oui</t>
        </is>
      </c>
      <c r="L4173">
        <f>SUBTOTAL(103,A4173)</f>
        <v>1</v>
      </c>
    </row>
    <row r="4174">
      <c r="A4174" t="inlineStr">
        <is>
          <t>SOCIETE C1611</t>
        </is>
      </c>
      <c r="B4174" t="inlineStr">
        <is>
          <t>C1611</t>
        </is>
      </c>
      <c r="C4174" t="inlineStr">
        <is>
          <t>CORPORATE BANKING</t>
        </is>
      </c>
      <c r="D4174" t="inlineStr">
        <is>
          <t>I</t>
        </is>
      </c>
      <c r="E4174" t="inlineStr">
        <is>
          <t>Stage 1</t>
        </is>
      </c>
      <c r="F4174" t="inlineStr">
        <is>
          <t>N/A</t>
        </is>
      </c>
      <c r="G4174" s="26">
        <v>9797214</v>
      </c>
      <c r="H4174" s="26">
        <v>97972</v>
      </c>
      <c r="I4174" s="26">
        <v>1858189</v>
      </c>
      <c r="J4174" s="26">
        <v>54</v>
      </c>
      <c r="K4174" t="inlineStr">
        <is>
          <t>Non</t>
        </is>
      </c>
      <c r="L4174">
        <f>SUBTOTAL(103,A4174)</f>
        <v>1</v>
      </c>
    </row>
    <row r="4175">
      <c r="A4175" t="inlineStr">
        <is>
          <t>SOCIETE C1536</t>
        </is>
      </c>
      <c r="B4175" t="inlineStr">
        <is>
          <t>C1536</t>
        </is>
      </c>
      <c r="C4175" t="inlineStr">
        <is>
          <t>COMMERCIAL BANKING</t>
        </is>
      </c>
      <c r="D4175" t="inlineStr">
        <is>
          <t>V</t>
        </is>
      </c>
      <c r="E4175" t="inlineStr">
        <is>
          <t>Stage 3</t>
        </is>
      </c>
      <c r="F4175" t="inlineStr">
        <is>
          <t>N/A</t>
        </is>
      </c>
      <c r="G4175" s="26">
        <v>24095166</v>
      </c>
      <c r="H4175" s="26">
        <v>13252341</v>
      </c>
      <c r="I4175" s="26">
        <v>0</v>
      </c>
      <c r="J4175" s="26">
        <v>94</v>
      </c>
      <c r="K4175" t="inlineStr">
        <is>
          <t>Oui</t>
        </is>
      </c>
      <c r="L4175">
        <f>SUBTOTAL(103,A4175)</f>
        <v>1</v>
      </c>
    </row>
    <row r="4176">
      <c r="A4176" t="inlineStr">
        <is>
          <t>SOCIETE C705</t>
        </is>
      </c>
      <c r="B4176" t="inlineStr">
        <is>
          <t>C705</t>
        </is>
      </c>
      <c r="C4176" t="inlineStr">
        <is>
          <t>PUBLIC SECTOR</t>
        </is>
      </c>
      <c r="D4176" t="inlineStr">
        <is>
          <t>IA</t>
        </is>
      </c>
      <c r="E4176" t="inlineStr">
        <is>
          <t>Stage 2</t>
        </is>
      </c>
      <c r="F4176" t="inlineStr">
        <is>
          <t>N/A</t>
        </is>
      </c>
      <c r="G4176" s="26">
        <v>50831128</v>
      </c>
      <c r="H4176" s="26">
        <v>3049868</v>
      </c>
      <c r="I4176" s="26">
        <v>0</v>
      </c>
      <c r="J4176" s="26">
        <v>104</v>
      </c>
      <c r="K4176" t="inlineStr">
        <is>
          <t>Non</t>
        </is>
      </c>
      <c r="L4176">
        <f>SUBTOTAL(103,A4176)</f>
        <v>1</v>
      </c>
    </row>
    <row r="4177">
      <c r="A4177" t="inlineStr">
        <is>
          <t>SOCIETE C1293</t>
        </is>
      </c>
      <c r="B4177" t="inlineStr">
        <is>
          <t>C1293</t>
        </is>
      </c>
      <c r="C4177" t="inlineStr">
        <is>
          <t>CORPORATE BANKING</t>
        </is>
      </c>
      <c r="D4177" t="inlineStr">
        <is>
          <t>I</t>
        </is>
      </c>
      <c r="E4177" t="inlineStr">
        <is>
          <t>Stage 1</t>
        </is>
      </c>
      <c r="F4177" t="inlineStr">
        <is>
          <t>N/A</t>
        </is>
      </c>
      <c r="G4177" s="26">
        <v>83621217</v>
      </c>
      <c r="H4177" s="26">
        <v>836212</v>
      </c>
      <c r="I4177" s="26">
        <v>0</v>
      </c>
      <c r="J4177" s="26">
        <v>23</v>
      </c>
      <c r="K4177" t="inlineStr">
        <is>
          <t>Non</t>
        </is>
      </c>
      <c r="L4177">
        <f>SUBTOTAL(103,A4177)</f>
        <v>1</v>
      </c>
    </row>
    <row r="4178">
      <c r="A4178" t="inlineStr">
        <is>
          <t>SOCIETE C2052</t>
        </is>
      </c>
      <c r="B4178" t="inlineStr">
        <is>
          <t>C2052</t>
        </is>
      </c>
      <c r="C4178" t="inlineStr">
        <is>
          <t>PUBLIC SECTOR</t>
        </is>
      </c>
      <c r="D4178" t="inlineStr">
        <is>
          <t>I</t>
        </is>
      </c>
      <c r="E4178" t="inlineStr">
        <is>
          <t>Stage 1</t>
        </is>
      </c>
      <c r="F4178" t="inlineStr">
        <is>
          <t>N/A</t>
        </is>
      </c>
      <c r="G4178" s="26">
        <v>29843571</v>
      </c>
      <c r="H4178" s="26">
        <v>298436</v>
      </c>
      <c r="I4178" s="26">
        <v>0</v>
      </c>
      <c r="J4178" s="26">
        <v>42</v>
      </c>
      <c r="K4178" t="inlineStr">
        <is>
          <t>Non</t>
        </is>
      </c>
      <c r="L4178">
        <f>SUBTOTAL(103,A4178)</f>
        <v>1</v>
      </c>
    </row>
    <row r="4179">
      <c r="A4179" t="inlineStr">
        <is>
          <t>SOCIETE C569</t>
        </is>
      </c>
      <c r="B4179" t="inlineStr">
        <is>
          <t>C569</t>
        </is>
      </c>
      <c r="C4179" t="inlineStr">
        <is>
          <t>COMMERCIAL BANKING</t>
        </is>
      </c>
      <c r="D4179" t="inlineStr">
        <is>
          <t>IA</t>
        </is>
      </c>
      <c r="E4179" t="inlineStr">
        <is>
          <t>Stage 2</t>
        </is>
      </c>
      <c r="F4179" t="inlineStr">
        <is>
          <t>N/A</t>
        </is>
      </c>
      <c r="G4179" s="26">
        <v>286486095</v>
      </c>
      <c r="H4179" s="26">
        <v>17189166</v>
      </c>
      <c r="I4179" s="26">
        <v>30955462</v>
      </c>
      <c r="J4179" s="26">
        <v>63</v>
      </c>
      <c r="K4179" t="inlineStr">
        <is>
          <t>Non</t>
        </is>
      </c>
      <c r="L4179">
        <f>SUBTOTAL(103,A4179)</f>
        <v>1</v>
      </c>
    </row>
    <row r="4180">
      <c r="A4180" t="inlineStr">
        <is>
          <t>SOCIETE C1605</t>
        </is>
      </c>
      <c r="B4180" t="inlineStr">
        <is>
          <t>C1605</t>
        </is>
      </c>
      <c r="C4180" t="inlineStr">
        <is>
          <t>CORPORATE BANKING</t>
        </is>
      </c>
      <c r="D4180" t="inlineStr">
        <is>
          <t>I</t>
        </is>
      </c>
      <c r="E4180" t="inlineStr">
        <is>
          <t>Stage 1</t>
        </is>
      </c>
      <c r="F4180" t="inlineStr">
        <is>
          <t>N/A</t>
        </is>
      </c>
      <c r="G4180" s="26">
        <v>1059383</v>
      </c>
      <c r="H4180" s="26">
        <v>10594</v>
      </c>
      <c r="I4180" s="26">
        <v>0</v>
      </c>
      <c r="J4180" s="26">
        <v>23</v>
      </c>
      <c r="K4180" t="inlineStr">
        <is>
          <t>Non</t>
        </is>
      </c>
      <c r="L4180">
        <f>SUBTOTAL(103,A4180)</f>
        <v>1</v>
      </c>
    </row>
    <row r="4181">
      <c r="A4181" t="inlineStr">
        <is>
          <t>SOCIETE C344</t>
        </is>
      </c>
      <c r="B4181" t="inlineStr">
        <is>
          <t>C344</t>
        </is>
      </c>
      <c r="C4181" t="inlineStr">
        <is>
          <t>CORPORATE BANKING</t>
        </is>
      </c>
      <c r="D4181" t="inlineStr">
        <is>
          <t>I</t>
        </is>
      </c>
      <c r="E4181" t="inlineStr">
        <is>
          <t>Stage 1</t>
        </is>
      </c>
      <c r="F4181" t="inlineStr">
        <is>
          <t>N/A</t>
        </is>
      </c>
      <c r="G4181" s="26">
        <v>1917941222</v>
      </c>
      <c r="H4181" s="26">
        <v>19179412</v>
      </c>
      <c r="I4181" s="26">
        <v>0</v>
      </c>
      <c r="J4181" s="26">
        <v>2</v>
      </c>
      <c r="K4181" t="inlineStr">
        <is>
          <t>Non</t>
        </is>
      </c>
      <c r="L4181">
        <f>SUBTOTAL(103,A4181)</f>
        <v>1</v>
      </c>
    </row>
    <row r="4182">
      <c r="A4182" t="inlineStr">
        <is>
          <t>SOCIETE C2194</t>
        </is>
      </c>
      <c r="B4182" t="inlineStr">
        <is>
          <t>C2194</t>
        </is>
      </c>
      <c r="C4182" t="inlineStr">
        <is>
          <t>PUBLIC SECTOR</t>
        </is>
      </c>
      <c r="D4182" t="inlineStr">
        <is>
          <t>V</t>
        </is>
      </c>
      <c r="E4182" t="inlineStr">
        <is>
          <t>Stage 3</t>
        </is>
      </c>
      <c r="F4182" t="inlineStr">
        <is>
          <t>N/A</t>
        </is>
      </c>
      <c r="G4182" s="26">
        <v>21012887</v>
      </c>
      <c r="H4182" s="26">
        <v>11557088</v>
      </c>
      <c r="I4182" s="26">
        <v>0</v>
      </c>
      <c r="J4182" s="26">
        <v>156</v>
      </c>
      <c r="K4182" t="inlineStr">
        <is>
          <t>Oui</t>
        </is>
      </c>
      <c r="L4182">
        <f>SUBTOTAL(103,A4182)</f>
        <v>1</v>
      </c>
    </row>
    <row r="4183">
      <c r="A4183" t="inlineStr">
        <is>
          <t>SOCIETE C363</t>
        </is>
      </c>
      <c r="B4183" t="inlineStr">
        <is>
          <t>C363</t>
        </is>
      </c>
      <c r="C4183" t="inlineStr">
        <is>
          <t>COMMERCIAL BANKING</t>
        </is>
      </c>
      <c r="D4183" t="inlineStr">
        <is>
          <t>V</t>
        </is>
      </c>
      <c r="E4183" t="inlineStr">
        <is>
          <t>Stage 3</t>
        </is>
      </c>
      <c r="F4183" t="inlineStr">
        <is>
          <t>N/A</t>
        </is>
      </c>
      <c r="G4183" s="26">
        <v>7351739</v>
      </c>
      <c r="H4183" s="26">
        <v>4043456</v>
      </c>
      <c r="I4183" s="26">
        <v>374617</v>
      </c>
      <c r="J4183" s="26">
        <v>24</v>
      </c>
      <c r="K4183" t="inlineStr">
        <is>
          <t>Oui</t>
        </is>
      </c>
      <c r="L4183">
        <f>SUBTOTAL(103,A4183)</f>
        <v>1</v>
      </c>
    </row>
    <row r="4184">
      <c r="A4184" t="inlineStr">
        <is>
          <t>SOCIETE C1682</t>
        </is>
      </c>
      <c r="B4184" t="inlineStr">
        <is>
          <t>C1682</t>
        </is>
      </c>
      <c r="C4184" t="inlineStr">
        <is>
          <t>COMMERCIAL BANKING</t>
        </is>
      </c>
      <c r="D4184" t="inlineStr">
        <is>
          <t>I</t>
        </is>
      </c>
      <c r="E4184" t="inlineStr">
        <is>
          <t>Stage 1</t>
        </is>
      </c>
      <c r="F4184" t="inlineStr">
        <is>
          <t>N/A</t>
        </is>
      </c>
      <c r="G4184" s="26">
        <v>1544921058</v>
      </c>
      <c r="H4184" s="26">
        <v>15449211</v>
      </c>
      <c r="I4184" s="26">
        <v>8219269</v>
      </c>
      <c r="J4184" s="26">
        <v>15</v>
      </c>
      <c r="K4184" t="inlineStr">
        <is>
          <t>Non</t>
        </is>
      </c>
      <c r="L4184">
        <f>SUBTOTAL(103,A4184)</f>
        <v>1</v>
      </c>
    </row>
    <row r="4185">
      <c r="A4185" t="inlineStr">
        <is>
          <t>SOCIETE C659</t>
        </is>
      </c>
      <c r="B4185" t="inlineStr">
        <is>
          <t>C659</t>
        </is>
      </c>
      <c r="C4185" t="inlineStr">
        <is>
          <t>CORPORATE BANKING</t>
        </is>
      </c>
      <c r="D4185" t="inlineStr">
        <is>
          <t>II</t>
        </is>
      </c>
      <c r="E4185" t="inlineStr">
        <is>
          <t>Stage 2</t>
        </is>
      </c>
      <c r="F4185" t="inlineStr">
        <is>
          <t>N/A</t>
        </is>
      </c>
      <c r="G4185" s="26">
        <v>129941022</v>
      </c>
      <c r="H4185" s="26">
        <v>7796461</v>
      </c>
      <c r="I4185" s="26">
        <v>10745116</v>
      </c>
      <c r="J4185" s="26">
        <v>7</v>
      </c>
      <c r="K4185" t="inlineStr">
        <is>
          <t>Non</t>
        </is>
      </c>
      <c r="L4185">
        <f>SUBTOTAL(103,A4185)</f>
        <v>1</v>
      </c>
    </row>
    <row r="4186">
      <c r="A4186" t="inlineStr">
        <is>
          <t>SOCIETE C671</t>
        </is>
      </c>
      <c r="B4186" t="inlineStr">
        <is>
          <t>C671</t>
        </is>
      </c>
      <c r="C4186" t="inlineStr">
        <is>
          <t>CORPORATE BANKING</t>
        </is>
      </c>
      <c r="D4186" t="inlineStr">
        <is>
          <t>I</t>
        </is>
      </c>
      <c r="E4186" t="inlineStr">
        <is>
          <t>Stage 1</t>
        </is>
      </c>
      <c r="F4186" t="inlineStr">
        <is>
          <t>N/A</t>
        </is>
      </c>
      <c r="G4186" s="26">
        <v>186182497</v>
      </c>
      <c r="H4186" s="26">
        <v>1861825</v>
      </c>
      <c r="I4186" s="26">
        <v>16156285</v>
      </c>
      <c r="J4186" s="26">
        <v>61</v>
      </c>
      <c r="K4186" t="inlineStr">
        <is>
          <t>Non</t>
        </is>
      </c>
      <c r="L4186">
        <f>SUBTOTAL(103,A4186)</f>
        <v>1</v>
      </c>
    </row>
    <row r="4187">
      <c r="A4187" t="inlineStr">
        <is>
          <t>SOCIETE C186</t>
        </is>
      </c>
      <c r="B4187" t="inlineStr">
        <is>
          <t>C186</t>
        </is>
      </c>
      <c r="C4187" t="inlineStr">
        <is>
          <t>CORPORATE BANKING</t>
        </is>
      </c>
      <c r="D4187" t="inlineStr">
        <is>
          <t>III</t>
        </is>
      </c>
      <c r="E4187" t="inlineStr">
        <is>
          <t>Stage 3</t>
        </is>
      </c>
      <c r="F4187" t="inlineStr">
        <is>
          <t>N/A</t>
        </is>
      </c>
      <c r="G4187" s="26">
        <v>358679431</v>
      </c>
      <c r="H4187" s="26">
        <v>197273687</v>
      </c>
      <c r="I4187" s="26">
        <v>0</v>
      </c>
      <c r="J4187" s="26">
        <v>173</v>
      </c>
      <c r="K4187" t="inlineStr">
        <is>
          <t>Oui</t>
        </is>
      </c>
      <c r="L4187">
        <f>SUBTOTAL(103,A4187)</f>
        <v>1</v>
      </c>
    </row>
    <row r="4188">
      <c r="A4188" t="inlineStr">
        <is>
          <t>SOCIETE C30</t>
        </is>
      </c>
      <c r="B4188" t="inlineStr">
        <is>
          <t>C30</t>
        </is>
      </c>
      <c r="C4188" t="inlineStr">
        <is>
          <t>CONSUMER BANKING</t>
        </is>
      </c>
      <c r="D4188" t="inlineStr">
        <is>
          <t>I</t>
        </is>
      </c>
      <c r="E4188" t="inlineStr">
        <is>
          <t>Stage 1</t>
        </is>
      </c>
      <c r="F4188" t="inlineStr">
        <is>
          <t>N/A</t>
        </is>
      </c>
      <c r="G4188" s="26">
        <v>1098127225</v>
      </c>
      <c r="H4188" s="26">
        <v>10981272</v>
      </c>
      <c r="I4188" s="26">
        <v>0</v>
      </c>
      <c r="J4188" s="26">
        <v>157</v>
      </c>
      <c r="K4188" t="inlineStr">
        <is>
          <t>Non</t>
        </is>
      </c>
      <c r="L4188">
        <f>SUBTOTAL(103,A4188)</f>
        <v>1</v>
      </c>
    </row>
    <row r="4189">
      <c r="A4189" t="inlineStr">
        <is>
          <t>SOCIETE C294</t>
        </is>
      </c>
      <c r="B4189" t="inlineStr">
        <is>
          <t>C294</t>
        </is>
      </c>
      <c r="C4189" t="inlineStr">
        <is>
          <t>CORPORATE BANKING</t>
        </is>
      </c>
      <c r="D4189" t="inlineStr">
        <is>
          <t>IV</t>
        </is>
      </c>
      <c r="E4189" t="inlineStr">
        <is>
          <t>Stage 3</t>
        </is>
      </c>
      <c r="F4189" t="inlineStr">
        <is>
          <t>N/A</t>
        </is>
      </c>
      <c r="G4189" s="26">
        <v>34781442</v>
      </c>
      <c r="H4189" s="26">
        <v>19129793</v>
      </c>
      <c r="I4189" s="26">
        <v>0</v>
      </c>
      <c r="J4189" s="26">
        <v>241</v>
      </c>
      <c r="K4189" t="inlineStr">
        <is>
          <t>Oui</t>
        </is>
      </c>
      <c r="L4189">
        <f>SUBTOTAL(103,A4189)</f>
        <v>1</v>
      </c>
    </row>
    <row r="4190">
      <c r="A4190" t="inlineStr">
        <is>
          <t>SOCIETE C1126</t>
        </is>
      </c>
      <c r="B4190" t="inlineStr">
        <is>
          <t>C1126</t>
        </is>
      </c>
      <c r="C4190" t="inlineStr">
        <is>
          <t>CORPORATE BANKING</t>
        </is>
      </c>
      <c r="D4190" t="inlineStr">
        <is>
          <t>IA</t>
        </is>
      </c>
      <c r="E4190" t="inlineStr">
        <is>
          <t>Stage 2</t>
        </is>
      </c>
      <c r="F4190" t="inlineStr">
        <is>
          <t>N/A</t>
        </is>
      </c>
      <c r="G4190" s="26">
        <v>1374431749</v>
      </c>
      <c r="H4190" s="26">
        <v>82465905</v>
      </c>
      <c r="I4190" s="26">
        <v>99008009</v>
      </c>
      <c r="J4190" s="26">
        <v>26</v>
      </c>
      <c r="K4190" t="inlineStr">
        <is>
          <t>Non</t>
        </is>
      </c>
      <c r="L4190">
        <f>SUBTOTAL(103,A4190)</f>
        <v>1</v>
      </c>
    </row>
    <row r="4191">
      <c r="A4191" t="inlineStr">
        <is>
          <t>SOCIETE C1038</t>
        </is>
      </c>
      <c r="B4191" t="inlineStr">
        <is>
          <t>C1038</t>
        </is>
      </c>
      <c r="C4191" t="inlineStr">
        <is>
          <t>CORPORATE BANKING</t>
        </is>
      </c>
      <c r="D4191" t="inlineStr">
        <is>
          <t>I</t>
        </is>
      </c>
      <c r="E4191" t="inlineStr">
        <is>
          <t>Stage 1</t>
        </is>
      </c>
      <c r="F4191" t="inlineStr">
        <is>
          <t>N/A</t>
        </is>
      </c>
      <c r="G4191" s="26">
        <v>2525248</v>
      </c>
      <c r="H4191" s="26">
        <v>25252</v>
      </c>
      <c r="I4191" s="26">
        <v>0</v>
      </c>
      <c r="J4191" s="26">
        <v>1</v>
      </c>
      <c r="K4191" t="inlineStr">
        <is>
          <t>Non</t>
        </is>
      </c>
      <c r="L4191">
        <f>SUBTOTAL(103,A4191)</f>
        <v>1</v>
      </c>
    </row>
    <row r="4192">
      <c r="A4192" t="inlineStr">
        <is>
          <t>SOCIETE C1199</t>
        </is>
      </c>
      <c r="B4192" t="inlineStr">
        <is>
          <t>C1199</t>
        </is>
      </c>
      <c r="C4192" t="inlineStr">
        <is>
          <t>CORPORATE BANKING</t>
        </is>
      </c>
      <c r="D4192" t="inlineStr">
        <is>
          <t>I</t>
        </is>
      </c>
      <c r="E4192" t="inlineStr">
        <is>
          <t>Stage 1</t>
        </is>
      </c>
      <c r="F4192" t="inlineStr">
        <is>
          <t>N/A</t>
        </is>
      </c>
      <c r="G4192" s="26">
        <v>119042033</v>
      </c>
      <c r="H4192" s="26">
        <v>1190420</v>
      </c>
      <c r="I4192" s="26">
        <v>0</v>
      </c>
      <c r="J4192" s="26">
        <v>195</v>
      </c>
      <c r="K4192" t="inlineStr">
        <is>
          <t>Non</t>
        </is>
      </c>
      <c r="L4192">
        <f>SUBTOTAL(103,A4192)</f>
        <v>1</v>
      </c>
    </row>
    <row r="4193">
      <c r="A4193" t="inlineStr">
        <is>
          <t>SOCIETE C1044</t>
        </is>
      </c>
      <c r="B4193" t="inlineStr">
        <is>
          <t>C1044</t>
        </is>
      </c>
      <c r="C4193" t="inlineStr">
        <is>
          <t>CORPORATE BANKING</t>
        </is>
      </c>
      <c r="D4193" t="inlineStr">
        <is>
          <t>I</t>
        </is>
      </c>
      <c r="E4193" t="inlineStr">
        <is>
          <t>Stage 1</t>
        </is>
      </c>
      <c r="F4193" t="inlineStr">
        <is>
          <t>N/A</t>
        </is>
      </c>
      <c r="G4193" s="26">
        <v>77893831</v>
      </c>
      <c r="H4193" s="26">
        <v>778938</v>
      </c>
      <c r="I4193" s="26">
        <v>0</v>
      </c>
      <c r="J4193" s="26">
        <v>18</v>
      </c>
      <c r="K4193" t="inlineStr">
        <is>
          <t>Non</t>
        </is>
      </c>
      <c r="L4193">
        <f>SUBTOTAL(103,A4193)</f>
        <v>1</v>
      </c>
    </row>
    <row r="4194">
      <c r="A4194" t="inlineStr">
        <is>
          <t>SOCIETE C2288</t>
        </is>
      </c>
      <c r="B4194" t="inlineStr">
        <is>
          <t>C2288</t>
        </is>
      </c>
      <c r="C4194" t="inlineStr">
        <is>
          <t>COMMERCIAL BANKING</t>
        </is>
      </c>
      <c r="D4194" t="inlineStr">
        <is>
          <t>IA</t>
        </is>
      </c>
      <c r="E4194" t="inlineStr">
        <is>
          <t>Stage 2</t>
        </is>
      </c>
      <c r="F4194" t="inlineStr">
        <is>
          <t>N/A</t>
        </is>
      </c>
      <c r="G4194" s="26">
        <v>831991675</v>
      </c>
      <c r="H4194" s="26">
        <v>49919500</v>
      </c>
      <c r="I4194" s="26">
        <v>0</v>
      </c>
      <c r="J4194" s="26">
        <v>135</v>
      </c>
      <c r="K4194" t="inlineStr">
        <is>
          <t>Non</t>
        </is>
      </c>
      <c r="L4194">
        <f>SUBTOTAL(103,A4194)</f>
        <v>1</v>
      </c>
    </row>
    <row r="4195">
      <c r="A4195" t="inlineStr">
        <is>
          <t>SOCIETE C1714</t>
        </is>
      </c>
      <c r="B4195" t="inlineStr">
        <is>
          <t>C1714</t>
        </is>
      </c>
      <c r="C4195" t="inlineStr">
        <is>
          <t>CORPORATE BANKING</t>
        </is>
      </c>
      <c r="D4195" t="inlineStr">
        <is>
          <t>II</t>
        </is>
      </c>
      <c r="E4195" t="inlineStr">
        <is>
          <t>Stage 2</t>
        </is>
      </c>
      <c r="F4195" t="inlineStr">
        <is>
          <t>N/A</t>
        </is>
      </c>
      <c r="G4195" s="26">
        <v>154215733</v>
      </c>
      <c r="H4195" s="26">
        <v>9252944</v>
      </c>
      <c r="I4195" s="26">
        <v>27998231</v>
      </c>
      <c r="J4195" s="26">
        <v>270</v>
      </c>
      <c r="K4195" t="inlineStr">
        <is>
          <t>Non</t>
        </is>
      </c>
      <c r="L4195">
        <f>SUBTOTAL(103,A4195)</f>
        <v>1</v>
      </c>
    </row>
    <row r="4196">
      <c r="A4196" t="inlineStr">
        <is>
          <t>SOCIETE C2163</t>
        </is>
      </c>
      <c r="B4196" t="inlineStr">
        <is>
          <t>C2163</t>
        </is>
      </c>
      <c r="C4196" t="inlineStr">
        <is>
          <t>CORPORATE BANKING</t>
        </is>
      </c>
      <c r="D4196" t="inlineStr">
        <is>
          <t>IV</t>
        </is>
      </c>
      <c r="E4196" t="inlineStr">
        <is>
          <t>Stage 3</t>
        </is>
      </c>
      <c r="F4196" t="inlineStr">
        <is>
          <t>N/A</t>
        </is>
      </c>
      <c r="G4196" s="26">
        <v>1059124404</v>
      </c>
      <c r="H4196" s="26">
        <v>582518422</v>
      </c>
      <c r="I4196" s="26">
        <v>82774535</v>
      </c>
      <c r="J4196" s="26">
        <v>154</v>
      </c>
      <c r="K4196" t="inlineStr">
        <is>
          <t>Oui</t>
        </is>
      </c>
      <c r="L4196">
        <f>SUBTOTAL(103,A4196)</f>
        <v>1</v>
      </c>
    </row>
    <row r="4197">
      <c r="A4197" t="inlineStr">
        <is>
          <t>SOCIETE C1043</t>
        </is>
      </c>
      <c r="B4197" t="inlineStr">
        <is>
          <t>C1043</t>
        </is>
      </c>
      <c r="C4197" t="inlineStr">
        <is>
          <t>CORPORATE BANKING</t>
        </is>
      </c>
      <c r="D4197" t="inlineStr">
        <is>
          <t>IA</t>
        </is>
      </c>
      <c r="E4197" t="inlineStr">
        <is>
          <t>Stage 2</t>
        </is>
      </c>
      <c r="F4197" t="inlineStr">
        <is>
          <t>N/A</t>
        </is>
      </c>
      <c r="G4197" s="26">
        <v>251744915</v>
      </c>
      <c r="H4197" s="26">
        <v>15104695</v>
      </c>
      <c r="I4197" s="26">
        <v>0</v>
      </c>
      <c r="J4197" s="26">
        <v>247</v>
      </c>
      <c r="K4197" t="inlineStr">
        <is>
          <t>Non</t>
        </is>
      </c>
      <c r="L4197">
        <f>SUBTOTAL(103,A4197)</f>
        <v>1</v>
      </c>
    </row>
    <row r="4198">
      <c r="A4198" t="inlineStr">
        <is>
          <t>SOCIETE C1378</t>
        </is>
      </c>
      <c r="B4198" t="inlineStr">
        <is>
          <t>C1378</t>
        </is>
      </c>
      <c r="C4198" t="inlineStr">
        <is>
          <t>SME</t>
        </is>
      </c>
      <c r="D4198" t="inlineStr">
        <is>
          <t>II</t>
        </is>
      </c>
      <c r="E4198" t="inlineStr">
        <is>
          <t>Stage 2</t>
        </is>
      </c>
      <c r="F4198" t="inlineStr">
        <is>
          <t>N/A</t>
        </is>
      </c>
      <c r="G4198" s="26">
        <v>557372979</v>
      </c>
      <c r="H4198" s="26">
        <v>33442379</v>
      </c>
      <c r="I4198" s="26">
        <v>0</v>
      </c>
      <c r="J4198" s="26">
        <v>56</v>
      </c>
      <c r="K4198" t="inlineStr">
        <is>
          <t>Non</t>
        </is>
      </c>
      <c r="L4198">
        <f>SUBTOTAL(103,A4198)</f>
        <v>1</v>
      </c>
    </row>
    <row r="4199">
      <c r="A4199" t="inlineStr">
        <is>
          <t>SOCIETE C1347</t>
        </is>
      </c>
      <c r="B4199" t="inlineStr">
        <is>
          <t>C1347</t>
        </is>
      </c>
      <c r="C4199" t="inlineStr">
        <is>
          <t>CORPORATE BANKING</t>
        </is>
      </c>
      <c r="D4199" t="inlineStr">
        <is>
          <t>V</t>
        </is>
      </c>
      <c r="E4199" t="inlineStr">
        <is>
          <t>Stage 3</t>
        </is>
      </c>
      <c r="F4199" t="inlineStr">
        <is>
          <t>N/A</t>
        </is>
      </c>
      <c r="G4199" s="26">
        <v>73337416</v>
      </c>
      <c r="H4199" s="26">
        <v>40335579</v>
      </c>
      <c r="I4199" s="26">
        <v>9596661</v>
      </c>
      <c r="J4199" s="26">
        <v>98</v>
      </c>
      <c r="K4199" t="inlineStr">
        <is>
          <t>Oui</t>
        </is>
      </c>
      <c r="L4199">
        <f>SUBTOTAL(103,A4199)</f>
        <v>1</v>
      </c>
    </row>
    <row r="4200">
      <c r="A4200" t="inlineStr">
        <is>
          <t>SOCIETE C605</t>
        </is>
      </c>
      <c r="B4200" t="inlineStr">
        <is>
          <t>C605</t>
        </is>
      </c>
      <c r="C4200" t="inlineStr">
        <is>
          <t>COMMERCIAL BANKING</t>
        </is>
      </c>
      <c r="D4200" t="inlineStr">
        <is>
          <t>I</t>
        </is>
      </c>
      <c r="E4200" t="inlineStr">
        <is>
          <t>Stage 1</t>
        </is>
      </c>
      <c r="F4200" t="inlineStr">
        <is>
          <t>N/A</t>
        </is>
      </c>
      <c r="G4200" s="26">
        <v>406052519</v>
      </c>
      <c r="H4200" s="26">
        <v>4060525</v>
      </c>
      <c r="I4200" s="26">
        <v>0</v>
      </c>
      <c r="J4200" s="26">
        <v>45</v>
      </c>
      <c r="K4200" t="inlineStr">
        <is>
          <t>Non</t>
        </is>
      </c>
      <c r="L4200">
        <f>SUBTOTAL(103,A4200)</f>
        <v>1</v>
      </c>
    </row>
    <row r="4201">
      <c r="A4201" t="inlineStr">
        <is>
          <t>SOCIETE C598</t>
        </is>
      </c>
      <c r="B4201" t="inlineStr">
        <is>
          <t>C598</t>
        </is>
      </c>
      <c r="C4201" t="inlineStr">
        <is>
          <t>CORPORATE BANKING</t>
        </is>
      </c>
      <c r="D4201" t="inlineStr">
        <is>
          <t>I</t>
        </is>
      </c>
      <c r="E4201" t="inlineStr">
        <is>
          <t>Stage 1</t>
        </is>
      </c>
      <c r="F4201" t="inlineStr">
        <is>
          <t>N/A</t>
        </is>
      </c>
      <c r="G4201" s="26">
        <v>72655768</v>
      </c>
      <c r="H4201" s="26">
        <v>726558</v>
      </c>
      <c r="I4201" s="26">
        <v>0</v>
      </c>
      <c r="J4201" s="26">
        <v>14</v>
      </c>
      <c r="K4201" t="inlineStr">
        <is>
          <t>Non</t>
        </is>
      </c>
      <c r="L4201">
        <f>SUBTOTAL(103,A4201)</f>
        <v>1</v>
      </c>
    </row>
    <row r="4202">
      <c r="A4202" t="inlineStr">
        <is>
          <t>SOCIETE C2000</t>
        </is>
      </c>
      <c r="B4202" t="inlineStr">
        <is>
          <t>C2000</t>
        </is>
      </c>
      <c r="C4202" t="inlineStr">
        <is>
          <t>CORPORATE BANKING</t>
        </is>
      </c>
      <c r="D4202" t="inlineStr">
        <is>
          <t>IA</t>
        </is>
      </c>
      <c r="E4202" t="inlineStr">
        <is>
          <t>Stage 2</t>
        </is>
      </c>
      <c r="F4202" t="inlineStr">
        <is>
          <t>N/A</t>
        </is>
      </c>
      <c r="G4202" s="26">
        <v>604855330</v>
      </c>
      <c r="H4202" s="26">
        <v>36291320</v>
      </c>
      <c r="I4202" s="26">
        <v>65704444</v>
      </c>
      <c r="J4202" s="26">
        <v>67</v>
      </c>
      <c r="K4202" t="inlineStr">
        <is>
          <t>Non</t>
        </is>
      </c>
      <c r="L4202">
        <f>SUBTOTAL(103,A4202)</f>
        <v>1</v>
      </c>
    </row>
    <row r="4203">
      <c r="A4203" t="inlineStr">
        <is>
          <t>SOCIETE C387</t>
        </is>
      </c>
      <c r="B4203" t="inlineStr">
        <is>
          <t>C387</t>
        </is>
      </c>
      <c r="C4203" t="inlineStr">
        <is>
          <t>CORPORATE BANKING</t>
        </is>
      </c>
      <c r="D4203" t="inlineStr">
        <is>
          <t>I</t>
        </is>
      </c>
      <c r="E4203" t="inlineStr">
        <is>
          <t>Stage 1</t>
        </is>
      </c>
      <c r="F4203" t="inlineStr">
        <is>
          <t>N/A</t>
        </is>
      </c>
      <c r="G4203" s="26">
        <v>2654036</v>
      </c>
      <c r="H4203" s="26">
        <v>26540</v>
      </c>
      <c r="I4203" s="26">
        <v>0</v>
      </c>
      <c r="J4203" s="26">
        <v>88</v>
      </c>
      <c r="K4203" t="inlineStr">
        <is>
          <t>Non</t>
        </is>
      </c>
      <c r="L4203">
        <f>SUBTOTAL(103,A4203)</f>
        <v>1</v>
      </c>
    </row>
    <row r="4204">
      <c r="A4204" t="inlineStr">
        <is>
          <t>SOCIETE C1457</t>
        </is>
      </c>
      <c r="B4204" t="inlineStr">
        <is>
          <t>C1457</t>
        </is>
      </c>
      <c r="C4204" t="inlineStr">
        <is>
          <t>COMMERCIAL BANKING</t>
        </is>
      </c>
      <c r="D4204" t="inlineStr">
        <is>
          <t>I</t>
        </is>
      </c>
      <c r="E4204" t="inlineStr">
        <is>
          <t>Stage 1</t>
        </is>
      </c>
      <c r="F4204" t="inlineStr">
        <is>
          <t>N/A</t>
        </is>
      </c>
      <c r="G4204" s="26">
        <v>2429421011</v>
      </c>
      <c r="H4204" s="26">
        <v>24294210</v>
      </c>
      <c r="I4204" s="26">
        <v>80433163</v>
      </c>
      <c r="J4204" s="26">
        <v>22</v>
      </c>
      <c r="K4204" t="inlineStr">
        <is>
          <t>Non</t>
        </is>
      </c>
      <c r="L4204">
        <f>SUBTOTAL(103,A4204)</f>
        <v>1</v>
      </c>
    </row>
    <row r="4205">
      <c r="A4205" t="inlineStr">
        <is>
          <t>SOCIETE C399</t>
        </is>
      </c>
      <c r="B4205" t="inlineStr">
        <is>
          <t>C399</t>
        </is>
      </c>
      <c r="C4205" t="inlineStr">
        <is>
          <t>PUBLIC SECTOR</t>
        </is>
      </c>
      <c r="D4205" t="inlineStr">
        <is>
          <t>I</t>
        </is>
      </c>
      <c r="E4205" t="inlineStr">
        <is>
          <t>Stage 1</t>
        </is>
      </c>
      <c r="F4205" t="inlineStr">
        <is>
          <t>N/A</t>
        </is>
      </c>
      <c r="G4205" s="26">
        <v>11247300</v>
      </c>
      <c r="H4205" s="26">
        <v>112473</v>
      </c>
      <c r="I4205" s="26">
        <v>0</v>
      </c>
      <c r="J4205" s="26">
        <v>203</v>
      </c>
      <c r="K4205" t="inlineStr">
        <is>
          <t>Non</t>
        </is>
      </c>
      <c r="L4205">
        <f>SUBTOTAL(103,A4205)</f>
        <v>1</v>
      </c>
    </row>
    <row r="4206">
      <c r="A4206" t="inlineStr">
        <is>
          <t>SOCIETE C1610</t>
        </is>
      </c>
      <c r="B4206" t="inlineStr">
        <is>
          <t>C1610</t>
        </is>
      </c>
      <c r="C4206" t="inlineStr">
        <is>
          <t>PUBLIC SECTOR</t>
        </is>
      </c>
      <c r="D4206" t="inlineStr">
        <is>
          <t>I</t>
        </is>
      </c>
      <c r="E4206" t="inlineStr">
        <is>
          <t>Stage 1</t>
        </is>
      </c>
      <c r="F4206" t="inlineStr">
        <is>
          <t>N/A</t>
        </is>
      </c>
      <c r="G4206" s="26">
        <v>45373738</v>
      </c>
      <c r="H4206" s="26">
        <v>453737</v>
      </c>
      <c r="I4206" s="26">
        <v>0</v>
      </c>
      <c r="J4206" s="26">
        <v>198</v>
      </c>
      <c r="K4206" t="inlineStr">
        <is>
          <t>Non</t>
        </is>
      </c>
      <c r="L4206">
        <f>SUBTOTAL(103,A4206)</f>
        <v>1</v>
      </c>
    </row>
    <row r="4207">
      <c r="A4207" t="inlineStr">
        <is>
          <t>SOCIETE C131</t>
        </is>
      </c>
      <c r="B4207" t="inlineStr">
        <is>
          <t>C131</t>
        </is>
      </c>
      <c r="C4207" t="inlineStr">
        <is>
          <t>CORPORATE BANKING</t>
        </is>
      </c>
      <c r="D4207" t="inlineStr">
        <is>
          <t>V</t>
        </is>
      </c>
      <c r="E4207" t="inlineStr">
        <is>
          <t>Stage 3</t>
        </is>
      </c>
      <c r="F4207" t="inlineStr">
        <is>
          <t>N/A</t>
        </is>
      </c>
      <c r="G4207" s="26">
        <v>855913566</v>
      </c>
      <c r="H4207" s="26">
        <v>470752461</v>
      </c>
      <c r="I4207" s="26">
        <v>0</v>
      </c>
      <c r="J4207" s="26">
        <v>16</v>
      </c>
      <c r="K4207" t="inlineStr">
        <is>
          <t>Oui</t>
        </is>
      </c>
      <c r="L4207">
        <f>SUBTOTAL(103,A4207)</f>
        <v>1</v>
      </c>
    </row>
    <row r="4208">
      <c r="A4208" t="inlineStr">
        <is>
          <t>SOCIETE C2020</t>
        </is>
      </c>
      <c r="B4208" t="inlineStr">
        <is>
          <t>C2020</t>
        </is>
      </c>
      <c r="C4208" t="inlineStr">
        <is>
          <t>CORPORATE BANKING</t>
        </is>
      </c>
      <c r="D4208" t="inlineStr">
        <is>
          <t>V</t>
        </is>
      </c>
      <c r="E4208" t="inlineStr">
        <is>
          <t>Stage 3</t>
        </is>
      </c>
      <c r="F4208" t="inlineStr">
        <is>
          <t>N/A</t>
        </is>
      </c>
      <c r="G4208" s="26">
        <v>333572194</v>
      </c>
      <c r="H4208" s="26">
        <v>183464707</v>
      </c>
      <c r="I4208" s="26">
        <v>0</v>
      </c>
      <c r="J4208" s="26">
        <v>1</v>
      </c>
      <c r="K4208" t="inlineStr">
        <is>
          <t>Oui</t>
        </is>
      </c>
      <c r="L4208">
        <f>SUBTOTAL(103,A4208)</f>
        <v>1</v>
      </c>
    </row>
    <row r="4209">
      <c r="A4209" t="inlineStr">
        <is>
          <t>SOCIETE C912</t>
        </is>
      </c>
      <c r="B4209" t="inlineStr">
        <is>
          <t>C912</t>
        </is>
      </c>
      <c r="C4209" t="inlineStr">
        <is>
          <t>COMMERCIAL BANKING</t>
        </is>
      </c>
      <c r="D4209" t="inlineStr">
        <is>
          <t>I</t>
        </is>
      </c>
      <c r="E4209" t="inlineStr">
        <is>
          <t>Stage 1</t>
        </is>
      </c>
      <c r="F4209" t="inlineStr">
        <is>
          <t>N/A</t>
        </is>
      </c>
      <c r="G4209" s="26">
        <v>3522667</v>
      </c>
      <c r="H4209" s="26">
        <v>35227</v>
      </c>
      <c r="I4209" s="26">
        <v>0</v>
      </c>
      <c r="J4209" s="26">
        <v>21</v>
      </c>
      <c r="K4209" t="inlineStr">
        <is>
          <t>Non</t>
        </is>
      </c>
      <c r="L4209">
        <f>SUBTOTAL(103,A4209)</f>
        <v>1</v>
      </c>
    </row>
    <row r="4210">
      <c r="A4210" t="inlineStr">
        <is>
          <t>SOCIETE C2293</t>
        </is>
      </c>
      <c r="B4210" t="inlineStr">
        <is>
          <t>C2293</t>
        </is>
      </c>
      <c r="C4210" t="inlineStr">
        <is>
          <t>CORPORATE BANKING</t>
        </is>
      </c>
      <c r="D4210" t="inlineStr">
        <is>
          <t>I</t>
        </is>
      </c>
      <c r="E4210" t="inlineStr">
        <is>
          <t>Stage 1</t>
        </is>
      </c>
      <c r="F4210" t="inlineStr">
        <is>
          <t>N/A</t>
        </is>
      </c>
      <c r="G4210" s="26">
        <v>1431004509</v>
      </c>
      <c r="H4210" s="26">
        <v>14310045</v>
      </c>
      <c r="I4210" s="26">
        <v>0</v>
      </c>
      <c r="J4210" s="26">
        <v>81</v>
      </c>
      <c r="K4210" t="inlineStr">
        <is>
          <t>Non</t>
        </is>
      </c>
      <c r="L4210">
        <f>SUBTOTAL(103,A4210)</f>
        <v>1</v>
      </c>
    </row>
    <row r="4211">
      <c r="A4211" t="inlineStr">
        <is>
          <t>SOCIETE C1145</t>
        </is>
      </c>
      <c r="B4211" t="inlineStr">
        <is>
          <t>C1145</t>
        </is>
      </c>
      <c r="C4211" t="inlineStr">
        <is>
          <t>PUBLIC SECTOR</t>
        </is>
      </c>
      <c r="D4211" t="inlineStr">
        <is>
          <t>III</t>
        </is>
      </c>
      <c r="E4211" t="inlineStr">
        <is>
          <t>Stage 3</t>
        </is>
      </c>
      <c r="F4211" t="inlineStr">
        <is>
          <t>N/A</t>
        </is>
      </c>
      <c r="G4211" s="26">
        <v>6073889</v>
      </c>
      <c r="H4211" s="26">
        <v>3340639</v>
      </c>
      <c r="I4211" s="26">
        <v>482445</v>
      </c>
      <c r="J4211" s="26">
        <v>315</v>
      </c>
      <c r="K4211" t="inlineStr">
        <is>
          <t>Oui</t>
        </is>
      </c>
      <c r="L4211">
        <f>SUBTOTAL(103,A4211)</f>
        <v>1</v>
      </c>
    </row>
    <row r="4212">
      <c r="A4212" t="inlineStr">
        <is>
          <t>SOCIETE C958</t>
        </is>
      </c>
      <c r="B4212" t="inlineStr">
        <is>
          <t>C958</t>
        </is>
      </c>
      <c r="C4212" t="inlineStr">
        <is>
          <t>CONSUMER BANKING</t>
        </is>
      </c>
      <c r="D4212" t="inlineStr">
        <is>
          <t>IV</t>
        </is>
      </c>
      <c r="E4212" t="inlineStr">
        <is>
          <t>Stage 3</t>
        </is>
      </c>
      <c r="F4212" t="inlineStr">
        <is>
          <t>N/A</t>
        </is>
      </c>
      <c r="G4212" s="26">
        <v>2546988119</v>
      </c>
      <c r="H4212" s="26">
        <v>1400843466</v>
      </c>
      <c r="I4212" s="26">
        <v>0</v>
      </c>
      <c r="J4212" s="26">
        <v>4</v>
      </c>
      <c r="K4212" t="inlineStr">
        <is>
          <t>Oui</t>
        </is>
      </c>
      <c r="L4212">
        <f>SUBTOTAL(103,A4212)</f>
        <v>1</v>
      </c>
    </row>
    <row r="4213">
      <c r="A4213" t="inlineStr">
        <is>
          <t>SOCIETE C258</t>
        </is>
      </c>
      <c r="B4213" t="inlineStr">
        <is>
          <t>C258</t>
        </is>
      </c>
      <c r="C4213" t="inlineStr">
        <is>
          <t>CONSUMER BANKING</t>
        </is>
      </c>
      <c r="D4213" t="inlineStr">
        <is>
          <t>I</t>
        </is>
      </c>
      <c r="E4213" t="inlineStr">
        <is>
          <t>Stage 1</t>
        </is>
      </c>
      <c r="F4213" t="inlineStr">
        <is>
          <t>N/A</t>
        </is>
      </c>
      <c r="G4213" s="26">
        <v>631975534</v>
      </c>
      <c r="H4213" s="26">
        <v>6319755</v>
      </c>
      <c r="I4213" s="26">
        <v>0</v>
      </c>
      <c r="J4213" s="26">
        <v>29</v>
      </c>
      <c r="K4213" t="inlineStr">
        <is>
          <t>Non</t>
        </is>
      </c>
      <c r="L4213">
        <f>SUBTOTAL(103,A4213)</f>
        <v>1</v>
      </c>
    </row>
    <row r="4214">
      <c r="A4214" t="inlineStr">
        <is>
          <t>SOCIETE C2479</t>
        </is>
      </c>
      <c r="B4214" t="inlineStr">
        <is>
          <t>C2479</t>
        </is>
      </c>
      <c r="C4214" t="inlineStr">
        <is>
          <t>COMMERCIAL BANKING</t>
        </is>
      </c>
      <c r="D4214" t="inlineStr">
        <is>
          <t>I</t>
        </is>
      </c>
      <c r="E4214" t="inlineStr">
        <is>
          <t>Stage 1</t>
        </is>
      </c>
      <c r="F4214" t="inlineStr">
        <is>
          <t>N/A</t>
        </is>
      </c>
      <c r="G4214" s="26">
        <v>2540912</v>
      </c>
      <c r="H4214" s="26">
        <v>25409</v>
      </c>
      <c r="I4214" s="26">
        <v>0</v>
      </c>
      <c r="J4214" s="26">
        <v>53</v>
      </c>
      <c r="K4214" t="inlineStr">
        <is>
          <t>Non</t>
        </is>
      </c>
      <c r="L4214">
        <f>SUBTOTAL(103,A4214)</f>
        <v>1</v>
      </c>
    </row>
    <row r="4215">
      <c r="A4215" t="inlineStr">
        <is>
          <t>SOCIETE C1502</t>
        </is>
      </c>
      <c r="B4215" t="inlineStr">
        <is>
          <t>C1502</t>
        </is>
      </c>
      <c r="C4215" t="inlineStr">
        <is>
          <t>CORPORATE BANKING</t>
        </is>
      </c>
      <c r="D4215" t="inlineStr">
        <is>
          <t>I</t>
        </is>
      </c>
      <c r="E4215" t="inlineStr">
        <is>
          <t>Stage 1</t>
        </is>
      </c>
      <c r="F4215" t="inlineStr">
        <is>
          <t>N/A</t>
        </is>
      </c>
      <c r="G4215" s="26">
        <v>1041544</v>
      </c>
      <c r="H4215" s="26">
        <v>10415</v>
      </c>
      <c r="I4215" s="26">
        <v>174675</v>
      </c>
      <c r="J4215" s="26">
        <v>87</v>
      </c>
      <c r="K4215" t="inlineStr">
        <is>
          <t>Non</t>
        </is>
      </c>
      <c r="L4215">
        <f>SUBTOTAL(103,A4215)</f>
        <v>1</v>
      </c>
    </row>
    <row r="4216">
      <c r="A4216" t="inlineStr">
        <is>
          <t>SOCIETE C1743</t>
        </is>
      </c>
      <c r="B4216" t="inlineStr">
        <is>
          <t>C1743</t>
        </is>
      </c>
      <c r="C4216" t="inlineStr">
        <is>
          <t>PUBLIC SECTOR</t>
        </is>
      </c>
      <c r="D4216" t="inlineStr">
        <is>
          <t>IA</t>
        </is>
      </c>
      <c r="E4216" t="inlineStr">
        <is>
          <t>Stage 2</t>
        </is>
      </c>
      <c r="F4216" t="inlineStr">
        <is>
          <t>N/A</t>
        </is>
      </c>
      <c r="G4216" s="26">
        <v>239094246</v>
      </c>
      <c r="H4216" s="26">
        <v>14345655</v>
      </c>
      <c r="I4216" s="26">
        <v>0</v>
      </c>
      <c r="J4216" s="26">
        <v>14</v>
      </c>
      <c r="K4216" t="inlineStr">
        <is>
          <t>Non</t>
        </is>
      </c>
      <c r="L4216">
        <f>SUBTOTAL(103,A4216)</f>
        <v>1</v>
      </c>
    </row>
    <row r="4217">
      <c r="A4217" t="inlineStr">
        <is>
          <t>SOCIETE C2148</t>
        </is>
      </c>
      <c r="B4217" t="inlineStr">
        <is>
          <t>C2148</t>
        </is>
      </c>
      <c r="C4217" t="inlineStr">
        <is>
          <t>COMMERCIAL BANKING</t>
        </is>
      </c>
      <c r="D4217" t="inlineStr">
        <is>
          <t>I</t>
        </is>
      </c>
      <c r="E4217" t="inlineStr">
        <is>
          <t>Stage 1</t>
        </is>
      </c>
      <c r="F4217" t="inlineStr">
        <is>
          <t>N/A</t>
        </is>
      </c>
      <c r="G4217" s="26">
        <v>178316723</v>
      </c>
      <c r="H4217" s="26">
        <v>1783167</v>
      </c>
      <c r="I4217" s="26">
        <v>3079487</v>
      </c>
      <c r="J4217" s="26">
        <v>66</v>
      </c>
      <c r="K4217" t="inlineStr">
        <is>
          <t>Non</t>
        </is>
      </c>
      <c r="L4217">
        <f>SUBTOTAL(103,A4217)</f>
        <v>1</v>
      </c>
    </row>
    <row r="4218">
      <c r="A4218" t="inlineStr">
        <is>
          <t>SOCIETE C1053</t>
        </is>
      </c>
      <c r="B4218" t="inlineStr">
        <is>
          <t>C1053</t>
        </is>
      </c>
      <c r="C4218" t="inlineStr">
        <is>
          <t>CORPORATE BANKING</t>
        </is>
      </c>
      <c r="D4218" t="inlineStr">
        <is>
          <t>IA</t>
        </is>
      </c>
      <c r="E4218" t="inlineStr">
        <is>
          <t>Stage 2</t>
        </is>
      </c>
      <c r="F4218" t="inlineStr">
        <is>
          <t>N/A</t>
        </is>
      </c>
      <c r="G4218" s="26">
        <v>2628011069</v>
      </c>
      <c r="H4218" s="26">
        <v>157680664</v>
      </c>
      <c r="I4218" s="26">
        <v>0</v>
      </c>
      <c r="J4218" s="26">
        <v>38</v>
      </c>
      <c r="K4218" t="inlineStr">
        <is>
          <t>Non</t>
        </is>
      </c>
      <c r="L4218">
        <f>SUBTOTAL(103,A4218)</f>
        <v>1</v>
      </c>
    </row>
    <row r="4219">
      <c r="A4219" t="inlineStr">
        <is>
          <t>SOCIETE C1527</t>
        </is>
      </c>
      <c r="B4219" t="inlineStr">
        <is>
          <t>C1527</t>
        </is>
      </c>
      <c r="C4219" t="inlineStr">
        <is>
          <t>CONSUMER BANKING</t>
        </is>
      </c>
      <c r="D4219" t="inlineStr">
        <is>
          <t>V</t>
        </is>
      </c>
      <c r="E4219" t="inlineStr">
        <is>
          <t>Stage 3</t>
        </is>
      </c>
      <c r="F4219" t="inlineStr">
        <is>
          <t>N/A</t>
        </is>
      </c>
      <c r="G4219" s="26">
        <v>611280391</v>
      </c>
      <c r="H4219" s="26">
        <v>336204215</v>
      </c>
      <c r="I4219" s="26">
        <v>0</v>
      </c>
      <c r="J4219" s="26">
        <v>103</v>
      </c>
      <c r="K4219" t="inlineStr">
        <is>
          <t>Oui</t>
        </is>
      </c>
      <c r="L4219">
        <f>SUBTOTAL(103,A4219)</f>
        <v>1</v>
      </c>
    </row>
    <row r="4220">
      <c r="A4220" t="inlineStr">
        <is>
          <t>SOCIETE C1792</t>
        </is>
      </c>
      <c r="B4220" t="inlineStr">
        <is>
          <t>C1792</t>
        </is>
      </c>
      <c r="C4220" t="inlineStr">
        <is>
          <t>COMMERCIAL BANKING</t>
        </is>
      </c>
      <c r="D4220" t="inlineStr">
        <is>
          <t>II</t>
        </is>
      </c>
      <c r="E4220" t="inlineStr">
        <is>
          <t>Stage 2</t>
        </is>
      </c>
      <c r="F4220" t="inlineStr">
        <is>
          <t>N/A</t>
        </is>
      </c>
      <c r="G4220" s="26">
        <v>1008068864</v>
      </c>
      <c r="H4220" s="26">
        <v>60484132</v>
      </c>
      <c r="I4220" s="26">
        <v>0</v>
      </c>
      <c r="J4220" s="26">
        <v>157</v>
      </c>
      <c r="K4220" t="inlineStr">
        <is>
          <t>Non</t>
        </is>
      </c>
      <c r="L4220">
        <f>SUBTOTAL(103,A4220)</f>
        <v>1</v>
      </c>
    </row>
    <row r="4221">
      <c r="A4221" t="inlineStr">
        <is>
          <t>SOCIETE C827</t>
        </is>
      </c>
      <c r="B4221" t="inlineStr">
        <is>
          <t>C827</t>
        </is>
      </c>
      <c r="C4221" t="inlineStr">
        <is>
          <t>CORPORATE BANKING</t>
        </is>
      </c>
      <c r="D4221" t="inlineStr">
        <is>
          <t>V</t>
        </is>
      </c>
      <c r="E4221" t="inlineStr">
        <is>
          <t>Stage 3</t>
        </is>
      </c>
      <c r="F4221" t="inlineStr">
        <is>
          <t>N/A</t>
        </is>
      </c>
      <c r="G4221" s="26">
        <v>30984414</v>
      </c>
      <c r="H4221" s="26">
        <v>17041428</v>
      </c>
      <c r="I4221" s="26">
        <v>0</v>
      </c>
      <c r="J4221" s="26">
        <v>42</v>
      </c>
      <c r="K4221" t="inlineStr">
        <is>
          <t>Oui</t>
        </is>
      </c>
      <c r="L4221">
        <f>SUBTOTAL(103,A4221)</f>
        <v>1</v>
      </c>
    </row>
    <row r="4222">
      <c r="A4222" t="inlineStr">
        <is>
          <t>SOCIETE C238</t>
        </is>
      </c>
      <c r="B4222" t="inlineStr">
        <is>
          <t>C238</t>
        </is>
      </c>
      <c r="C4222" t="inlineStr">
        <is>
          <t>CORPORATE BANKING</t>
        </is>
      </c>
      <c r="D4222" t="inlineStr">
        <is>
          <t>IA</t>
        </is>
      </c>
      <c r="E4222" t="inlineStr">
        <is>
          <t>Stage 2</t>
        </is>
      </c>
      <c r="F4222" t="inlineStr">
        <is>
          <t>N/A</t>
        </is>
      </c>
      <c r="G4222" s="26">
        <v>2181411633</v>
      </c>
      <c r="H4222" s="26">
        <v>130884698</v>
      </c>
      <c r="I4222" s="26">
        <v>0</v>
      </c>
      <c r="J4222" s="26">
        <v>327</v>
      </c>
      <c r="K4222" t="inlineStr">
        <is>
          <t>Non</t>
        </is>
      </c>
      <c r="L4222">
        <f>SUBTOTAL(103,A4222)</f>
        <v>1</v>
      </c>
    </row>
    <row r="4223">
      <c r="A4223" t="inlineStr">
        <is>
          <t>SOCIETE C759</t>
        </is>
      </c>
      <c r="B4223" t="inlineStr">
        <is>
          <t>C759</t>
        </is>
      </c>
      <c r="C4223" t="inlineStr">
        <is>
          <t>COMMERCIAL BANKING</t>
        </is>
      </c>
      <c r="D4223" t="inlineStr">
        <is>
          <t>III</t>
        </is>
      </c>
      <c r="E4223" t="inlineStr">
        <is>
          <t>Stage 3</t>
        </is>
      </c>
      <c r="F4223" t="inlineStr">
        <is>
          <t>N/A</t>
        </is>
      </c>
      <c r="G4223" s="26">
        <v>1024684</v>
      </c>
      <c r="H4223" s="26">
        <v>563576</v>
      </c>
      <c r="I4223" s="26">
        <v>23642</v>
      </c>
      <c r="J4223" s="26">
        <v>49</v>
      </c>
      <c r="K4223" t="inlineStr">
        <is>
          <t>Oui</t>
        </is>
      </c>
      <c r="L4223">
        <f>SUBTOTAL(103,A4223)</f>
        <v>1</v>
      </c>
    </row>
    <row r="4224">
      <c r="A4224" t="inlineStr">
        <is>
          <t>SOCIETE C465</t>
        </is>
      </c>
      <c r="B4224" t="inlineStr">
        <is>
          <t>C465</t>
        </is>
      </c>
      <c r="C4224" t="inlineStr">
        <is>
          <t>COMMERCIAL BANKING</t>
        </is>
      </c>
      <c r="D4224" t="inlineStr">
        <is>
          <t>IA</t>
        </is>
      </c>
      <c r="E4224" t="inlineStr">
        <is>
          <t>Stage 2</t>
        </is>
      </c>
      <c r="F4224" t="inlineStr">
        <is>
          <t>N/A</t>
        </is>
      </c>
      <c r="G4224" s="26">
        <v>1947909876</v>
      </c>
      <c r="H4224" s="26">
        <v>116874593</v>
      </c>
      <c r="I4224" s="26">
        <v>0</v>
      </c>
      <c r="J4224" s="26">
        <v>55</v>
      </c>
      <c r="K4224" t="inlineStr">
        <is>
          <t>Non</t>
        </is>
      </c>
      <c r="L4224">
        <f>SUBTOTAL(103,A4224)</f>
        <v>1</v>
      </c>
    </row>
    <row r="4225">
      <c r="A4225" t="inlineStr">
        <is>
          <t>SOCIETE C1623</t>
        </is>
      </c>
      <c r="B4225" t="inlineStr">
        <is>
          <t>C1623</t>
        </is>
      </c>
      <c r="C4225" t="inlineStr">
        <is>
          <t>CONSUMER BANKING</t>
        </is>
      </c>
      <c r="D4225" t="inlineStr">
        <is>
          <t>II</t>
        </is>
      </c>
      <c r="E4225" t="inlineStr">
        <is>
          <t>Stage 2</t>
        </is>
      </c>
      <c r="F4225" t="inlineStr">
        <is>
          <t>N/A</t>
        </is>
      </c>
      <c r="G4225" s="26">
        <v>239980635</v>
      </c>
      <c r="H4225" s="26">
        <v>14398838</v>
      </c>
      <c r="I4225" s="26">
        <v>0</v>
      </c>
      <c r="J4225" s="26">
        <v>57</v>
      </c>
      <c r="K4225" t="inlineStr">
        <is>
          <t>Non</t>
        </is>
      </c>
      <c r="L4225">
        <f>SUBTOTAL(103,A4225)</f>
        <v>1</v>
      </c>
    </row>
    <row r="4226">
      <c r="A4226" t="inlineStr">
        <is>
          <t>SOCIETE C2298</t>
        </is>
      </c>
      <c r="B4226" t="inlineStr">
        <is>
          <t>C2298</t>
        </is>
      </c>
      <c r="C4226" t="inlineStr">
        <is>
          <t>PUBLIC SECTOR</t>
        </is>
      </c>
      <c r="D4226" t="inlineStr">
        <is>
          <t>IA</t>
        </is>
      </c>
      <c r="E4226" t="inlineStr">
        <is>
          <t>Stage 2</t>
        </is>
      </c>
      <c r="F4226" t="inlineStr">
        <is>
          <t>N/A</t>
        </is>
      </c>
      <c r="G4226" s="26">
        <v>935695314</v>
      </c>
      <c r="H4226" s="26">
        <v>56141719</v>
      </c>
      <c r="I4226" s="26">
        <v>9690362</v>
      </c>
      <c r="J4226" s="26">
        <v>87</v>
      </c>
      <c r="K4226" t="inlineStr">
        <is>
          <t>Non</t>
        </is>
      </c>
      <c r="L4226">
        <f>SUBTOTAL(103,A4226)</f>
        <v>1</v>
      </c>
    </row>
    <row r="4227">
      <c r="A4227" t="inlineStr">
        <is>
          <t>SOCIETE C1767</t>
        </is>
      </c>
      <c r="B4227" t="inlineStr">
        <is>
          <t>C1767</t>
        </is>
      </c>
      <c r="C4227" t="inlineStr">
        <is>
          <t>CORPORATE BANKING</t>
        </is>
      </c>
      <c r="D4227" t="inlineStr">
        <is>
          <t>IA</t>
        </is>
      </c>
      <c r="E4227" t="inlineStr">
        <is>
          <t>Stage 2</t>
        </is>
      </c>
      <c r="F4227" t="inlineStr">
        <is>
          <t>N/A</t>
        </is>
      </c>
      <c r="G4227" s="26">
        <v>126518509</v>
      </c>
      <c r="H4227" s="26">
        <v>7591111</v>
      </c>
      <c r="I4227" s="26">
        <v>0</v>
      </c>
      <c r="J4227" s="26">
        <v>41</v>
      </c>
      <c r="K4227" t="inlineStr">
        <is>
          <t>Non</t>
        </is>
      </c>
      <c r="L4227">
        <f>SUBTOTAL(103,A4227)</f>
        <v>1</v>
      </c>
    </row>
    <row r="4228">
      <c r="A4228" t="inlineStr">
        <is>
          <t>SOCIETE C1492</t>
        </is>
      </c>
      <c r="B4228" t="inlineStr">
        <is>
          <t>C1492</t>
        </is>
      </c>
      <c r="C4228" t="inlineStr">
        <is>
          <t>COMMERCIAL BANKING</t>
        </is>
      </c>
      <c r="D4228" t="inlineStr">
        <is>
          <t>I</t>
        </is>
      </c>
      <c r="E4228" t="inlineStr">
        <is>
          <t>Stage 1</t>
        </is>
      </c>
      <c r="F4228" t="inlineStr">
        <is>
          <t>N/A</t>
        </is>
      </c>
      <c r="G4228" s="26">
        <v>65217226</v>
      </c>
      <c r="H4228" s="26">
        <v>652172</v>
      </c>
      <c r="I4228" s="26">
        <v>0</v>
      </c>
      <c r="J4228" s="26">
        <v>57</v>
      </c>
      <c r="K4228" t="inlineStr">
        <is>
          <t>Non</t>
        </is>
      </c>
      <c r="L4228">
        <f>SUBTOTAL(103,A4228)</f>
        <v>1</v>
      </c>
    </row>
    <row r="4229">
      <c r="A4229" t="inlineStr">
        <is>
          <t>SOCIETE C612</t>
        </is>
      </c>
      <c r="B4229" t="inlineStr">
        <is>
          <t>C612</t>
        </is>
      </c>
      <c r="C4229" t="inlineStr">
        <is>
          <t>SME</t>
        </is>
      </c>
      <c r="D4229" t="inlineStr">
        <is>
          <t>II</t>
        </is>
      </c>
      <c r="E4229" t="inlineStr">
        <is>
          <t>Stage 2</t>
        </is>
      </c>
      <c r="F4229" t="inlineStr">
        <is>
          <t>N/A</t>
        </is>
      </c>
      <c r="G4229" s="26">
        <v>1785681270</v>
      </c>
      <c r="H4229" s="26">
        <v>107140876</v>
      </c>
      <c r="I4229" s="26">
        <v>0</v>
      </c>
      <c r="J4229" s="26">
        <v>3</v>
      </c>
      <c r="K4229" t="inlineStr">
        <is>
          <t>Non</t>
        </is>
      </c>
      <c r="L4229">
        <f>SUBTOTAL(103,A4229)</f>
        <v>1</v>
      </c>
    </row>
    <row r="4230">
      <c r="A4230" t="inlineStr">
        <is>
          <t>SOCIETE C304</t>
        </is>
      </c>
      <c r="B4230" t="inlineStr">
        <is>
          <t>C304</t>
        </is>
      </c>
      <c r="C4230" t="inlineStr">
        <is>
          <t>CONSUMER BANKING</t>
        </is>
      </c>
      <c r="D4230" t="inlineStr">
        <is>
          <t>I</t>
        </is>
      </c>
      <c r="E4230" t="inlineStr">
        <is>
          <t>Stage 1</t>
        </is>
      </c>
      <c r="F4230" t="inlineStr">
        <is>
          <t>N/A</t>
        </is>
      </c>
      <c r="G4230" s="26">
        <v>385670151</v>
      </c>
      <c r="H4230" s="26">
        <v>3856702</v>
      </c>
      <c r="I4230" s="26">
        <v>0</v>
      </c>
      <c r="J4230" s="26">
        <v>60</v>
      </c>
      <c r="K4230" t="inlineStr">
        <is>
          <t>Non</t>
        </is>
      </c>
      <c r="L4230">
        <f>SUBTOTAL(103,A4230)</f>
        <v>1</v>
      </c>
    </row>
    <row r="4231">
      <c r="A4231" t="inlineStr">
        <is>
          <t>SOCIETE C336</t>
        </is>
      </c>
      <c r="B4231" t="inlineStr">
        <is>
          <t>C336</t>
        </is>
      </c>
      <c r="C4231" t="inlineStr">
        <is>
          <t>SME</t>
        </is>
      </c>
      <c r="D4231" t="inlineStr">
        <is>
          <t>I</t>
        </is>
      </c>
      <c r="E4231" t="inlineStr">
        <is>
          <t>Stage 1</t>
        </is>
      </c>
      <c r="F4231" t="inlineStr">
        <is>
          <t>N/A</t>
        </is>
      </c>
      <c r="G4231" s="26">
        <v>4404837</v>
      </c>
      <c r="H4231" s="26">
        <v>44048</v>
      </c>
      <c r="I4231" s="26">
        <v>0</v>
      </c>
      <c r="J4231" s="26">
        <v>318</v>
      </c>
      <c r="K4231" t="inlineStr">
        <is>
          <t>Non</t>
        </is>
      </c>
      <c r="L4231">
        <f>SUBTOTAL(103,A4231)</f>
        <v>1</v>
      </c>
    </row>
    <row r="4232">
      <c r="A4232" t="inlineStr">
        <is>
          <t>SOCIETE C644</t>
        </is>
      </c>
      <c r="B4232" t="inlineStr">
        <is>
          <t>C644</t>
        </is>
      </c>
      <c r="C4232" t="inlineStr">
        <is>
          <t>CORPORATE BANKING</t>
        </is>
      </c>
      <c r="D4232" t="inlineStr">
        <is>
          <t>III</t>
        </is>
      </c>
      <c r="E4232" t="inlineStr">
        <is>
          <t>Stage 3</t>
        </is>
      </c>
      <c r="F4232" t="inlineStr">
        <is>
          <t>N/A</t>
        </is>
      </c>
      <c r="G4232" s="26">
        <v>3512628</v>
      </c>
      <c r="H4232" s="26">
        <v>1931946</v>
      </c>
      <c r="I4232" s="26">
        <v>187102</v>
      </c>
      <c r="J4232" s="26">
        <v>65</v>
      </c>
      <c r="K4232" t="inlineStr">
        <is>
          <t>Oui</t>
        </is>
      </c>
      <c r="L4232">
        <f>SUBTOTAL(103,A4232)</f>
        <v>1</v>
      </c>
    </row>
    <row r="4233">
      <c r="A4233" t="inlineStr">
        <is>
          <t>SOCIETE C354</t>
        </is>
      </c>
      <c r="B4233" t="inlineStr">
        <is>
          <t>C354</t>
        </is>
      </c>
      <c r="C4233" t="inlineStr">
        <is>
          <t>CONSUMER BANKING</t>
        </is>
      </c>
      <c r="D4233" t="inlineStr">
        <is>
          <t>I</t>
        </is>
      </c>
      <c r="E4233" t="inlineStr">
        <is>
          <t>Stage 1</t>
        </is>
      </c>
      <c r="F4233" t="inlineStr">
        <is>
          <t>N/A</t>
        </is>
      </c>
      <c r="G4233" s="26">
        <v>8471244</v>
      </c>
      <c r="H4233" s="26">
        <v>84712</v>
      </c>
      <c r="I4233" s="26">
        <v>0</v>
      </c>
      <c r="J4233" s="26">
        <v>41</v>
      </c>
      <c r="K4233" t="inlineStr">
        <is>
          <t>Non</t>
        </is>
      </c>
      <c r="L4233">
        <f>SUBTOTAL(103,A4233)</f>
        <v>1</v>
      </c>
    </row>
    <row r="4234">
      <c r="A4234" t="inlineStr">
        <is>
          <t>SOCIETE C830</t>
        </is>
      </c>
      <c r="B4234" t="inlineStr">
        <is>
          <t>C830</t>
        </is>
      </c>
      <c r="C4234" t="inlineStr">
        <is>
          <t>CORPORATE BANKING</t>
        </is>
      </c>
      <c r="D4234" t="inlineStr">
        <is>
          <t>IV</t>
        </is>
      </c>
      <c r="E4234" t="inlineStr">
        <is>
          <t>Stage 3</t>
        </is>
      </c>
      <c r="F4234" t="inlineStr">
        <is>
          <t>N/A</t>
        </is>
      </c>
      <c r="G4234" s="26">
        <v>2795604227</v>
      </c>
      <c r="H4234" s="26">
        <v>1537582325</v>
      </c>
      <c r="I4234" s="26">
        <v>0</v>
      </c>
      <c r="J4234" s="26">
        <v>77</v>
      </c>
      <c r="K4234" t="inlineStr">
        <is>
          <t>Oui</t>
        </is>
      </c>
      <c r="L4234">
        <f>SUBTOTAL(103,A4234)</f>
        <v>1</v>
      </c>
    </row>
    <row r="4235">
      <c r="A4235" t="inlineStr">
        <is>
          <t>SOCIETE C631</t>
        </is>
      </c>
      <c r="B4235" t="inlineStr">
        <is>
          <t>C631</t>
        </is>
      </c>
      <c r="C4235" t="inlineStr">
        <is>
          <t>CONSUMER BANKING</t>
        </is>
      </c>
      <c r="D4235" t="inlineStr">
        <is>
          <t>I</t>
        </is>
      </c>
      <c r="E4235" t="inlineStr">
        <is>
          <t>Stage 1</t>
        </is>
      </c>
      <c r="F4235" t="inlineStr">
        <is>
          <t>N/A</t>
        </is>
      </c>
      <c r="G4235" s="26">
        <v>7195065</v>
      </c>
      <c r="H4235" s="26">
        <v>71951</v>
      </c>
      <c r="I4235" s="26">
        <v>0</v>
      </c>
      <c r="J4235" s="26">
        <v>180</v>
      </c>
      <c r="K4235" t="inlineStr">
        <is>
          <t>Non</t>
        </is>
      </c>
      <c r="L4235">
        <f>SUBTOTAL(103,A4235)</f>
        <v>1</v>
      </c>
    </row>
    <row r="4236">
      <c r="A4236" t="inlineStr">
        <is>
          <t>SOCIETE C2360</t>
        </is>
      </c>
      <c r="B4236" t="inlineStr">
        <is>
          <t>C2360</t>
        </is>
      </c>
      <c r="C4236" t="inlineStr">
        <is>
          <t>CONSUMER BANKING</t>
        </is>
      </c>
      <c r="D4236" t="inlineStr">
        <is>
          <t>I</t>
        </is>
      </c>
      <c r="E4236" t="inlineStr">
        <is>
          <t>Stage 1</t>
        </is>
      </c>
      <c r="F4236" t="inlineStr">
        <is>
          <t>N/A</t>
        </is>
      </c>
      <c r="G4236" s="26">
        <v>92122339</v>
      </c>
      <c r="H4236" s="26">
        <v>921223</v>
      </c>
      <c r="I4236" s="26">
        <v>14236795</v>
      </c>
      <c r="J4236" s="26">
        <v>61</v>
      </c>
      <c r="K4236" t="inlineStr">
        <is>
          <t>Non</t>
        </is>
      </c>
      <c r="L4236">
        <f>SUBTOTAL(103,A4236)</f>
        <v>1</v>
      </c>
    </row>
    <row r="4237">
      <c r="A4237" t="inlineStr">
        <is>
          <t>SOCIETE C2277</t>
        </is>
      </c>
      <c r="B4237" t="inlineStr">
        <is>
          <t>C2277</t>
        </is>
      </c>
      <c r="C4237" t="inlineStr">
        <is>
          <t>CORPORATE BANKING</t>
        </is>
      </c>
      <c r="D4237" t="inlineStr">
        <is>
          <t>IA</t>
        </is>
      </c>
      <c r="E4237" t="inlineStr">
        <is>
          <t>Stage 2</t>
        </is>
      </c>
      <c r="F4237" t="inlineStr">
        <is>
          <t>N/A</t>
        </is>
      </c>
      <c r="G4237" s="26">
        <v>164940405</v>
      </c>
      <c r="H4237" s="26">
        <v>9896424</v>
      </c>
      <c r="I4237" s="26">
        <v>0</v>
      </c>
      <c r="J4237" s="26">
        <v>35</v>
      </c>
      <c r="K4237" t="inlineStr">
        <is>
          <t>Non</t>
        </is>
      </c>
      <c r="L4237">
        <f>SUBTOTAL(103,A4237)</f>
        <v>1</v>
      </c>
    </row>
    <row r="4238">
      <c r="A4238" t="inlineStr">
        <is>
          <t>SOCIETE C250</t>
        </is>
      </c>
      <c r="B4238" t="inlineStr">
        <is>
          <t>C250</t>
        </is>
      </c>
      <c r="C4238" t="inlineStr">
        <is>
          <t>CORPORATE BANKING</t>
        </is>
      </c>
      <c r="D4238" t="inlineStr">
        <is>
          <t>III</t>
        </is>
      </c>
      <c r="E4238" t="inlineStr">
        <is>
          <t>Stage 3</t>
        </is>
      </c>
      <c r="F4238" t="inlineStr">
        <is>
          <t>N/A</t>
        </is>
      </c>
      <c r="G4238" s="26">
        <v>597036001</v>
      </c>
      <c r="H4238" s="26">
        <v>328369801</v>
      </c>
      <c r="I4238" s="26">
        <v>28631162</v>
      </c>
      <c r="J4238" s="26">
        <v>195</v>
      </c>
      <c r="K4238" t="inlineStr">
        <is>
          <t>Oui</t>
        </is>
      </c>
      <c r="L4238">
        <f>SUBTOTAL(103,A4238)</f>
        <v>1</v>
      </c>
    </row>
    <row r="4239">
      <c r="A4239" t="inlineStr">
        <is>
          <t>SOCIETE C623</t>
        </is>
      </c>
      <c r="B4239" t="inlineStr">
        <is>
          <t>C623</t>
        </is>
      </c>
      <c r="C4239" t="inlineStr">
        <is>
          <t>CONSUMER BANKING</t>
        </is>
      </c>
      <c r="D4239" t="inlineStr">
        <is>
          <t>IA</t>
        </is>
      </c>
      <c r="E4239" t="inlineStr">
        <is>
          <t>Stage 2</t>
        </is>
      </c>
      <c r="F4239" t="inlineStr">
        <is>
          <t>N/A</t>
        </is>
      </c>
      <c r="G4239" s="26">
        <v>9607752</v>
      </c>
      <c r="H4239" s="26">
        <v>576465</v>
      </c>
      <c r="I4239" s="26">
        <v>1629650</v>
      </c>
      <c r="J4239" s="26">
        <v>192</v>
      </c>
      <c r="K4239" t="inlineStr">
        <is>
          <t>Non</t>
        </is>
      </c>
      <c r="L4239">
        <f>SUBTOTAL(103,A4239)</f>
        <v>1</v>
      </c>
    </row>
    <row r="4240">
      <c r="A4240" t="inlineStr">
        <is>
          <t>SOCIETE C1123</t>
        </is>
      </c>
      <c r="B4240" t="inlineStr">
        <is>
          <t>C1123</t>
        </is>
      </c>
      <c r="C4240" t="inlineStr">
        <is>
          <t>CORPORATE BANKING</t>
        </is>
      </c>
      <c r="D4240" t="inlineStr">
        <is>
          <t>I</t>
        </is>
      </c>
      <c r="E4240" t="inlineStr">
        <is>
          <t>Stage 1</t>
        </is>
      </c>
      <c r="F4240" t="inlineStr">
        <is>
          <t>N/A</t>
        </is>
      </c>
      <c r="G4240" s="26">
        <v>1207089</v>
      </c>
      <c r="H4240" s="26">
        <v>12071</v>
      </c>
      <c r="I4240" s="26">
        <v>234736</v>
      </c>
      <c r="J4240" s="26">
        <v>150</v>
      </c>
      <c r="K4240" t="inlineStr">
        <is>
          <t>Non</t>
        </is>
      </c>
      <c r="L4240">
        <f>SUBTOTAL(103,A4240)</f>
        <v>1</v>
      </c>
    </row>
    <row r="4241">
      <c r="A4241" t="inlineStr">
        <is>
          <t>SOCIETE C777</t>
        </is>
      </c>
      <c r="B4241" t="inlineStr">
        <is>
          <t>C777</t>
        </is>
      </c>
      <c r="C4241" t="inlineStr">
        <is>
          <t>COMMERCIAL BANKING</t>
        </is>
      </c>
      <c r="D4241" t="inlineStr">
        <is>
          <t>IA</t>
        </is>
      </c>
      <c r="E4241" t="inlineStr">
        <is>
          <t>Stage 2</t>
        </is>
      </c>
      <c r="F4241" t="inlineStr">
        <is>
          <t>N/A</t>
        </is>
      </c>
      <c r="G4241" s="26">
        <v>59909394</v>
      </c>
      <c r="H4241" s="26">
        <v>3594564</v>
      </c>
      <c r="I4241" s="26">
        <v>0</v>
      </c>
      <c r="J4241" s="26">
        <v>21</v>
      </c>
      <c r="K4241" t="inlineStr">
        <is>
          <t>Non</t>
        </is>
      </c>
      <c r="L4241">
        <f>SUBTOTAL(103,A4241)</f>
        <v>1</v>
      </c>
    </row>
    <row r="4242">
      <c r="A4242" t="inlineStr">
        <is>
          <t>SOCIETE C1944</t>
        </is>
      </c>
      <c r="B4242" t="inlineStr">
        <is>
          <t>C1944</t>
        </is>
      </c>
      <c r="C4242" t="inlineStr">
        <is>
          <t>CONSUMER BANKING</t>
        </is>
      </c>
      <c r="D4242" t="inlineStr">
        <is>
          <t>I</t>
        </is>
      </c>
      <c r="E4242" t="inlineStr">
        <is>
          <t>Stage 1</t>
        </is>
      </c>
      <c r="F4242" t="inlineStr">
        <is>
          <t>N/A</t>
        </is>
      </c>
      <c r="G4242" s="26">
        <v>1208289</v>
      </c>
      <c r="H4242" s="26">
        <v>12083</v>
      </c>
      <c r="I4242" s="26">
        <v>118411</v>
      </c>
      <c r="J4242" s="26">
        <v>32</v>
      </c>
      <c r="K4242" t="inlineStr">
        <is>
          <t>Non</t>
        </is>
      </c>
      <c r="L4242">
        <f>SUBTOTAL(103,A4242)</f>
        <v>1</v>
      </c>
    </row>
    <row r="4243">
      <c r="A4243" t="inlineStr">
        <is>
          <t>SOCIETE C1033</t>
        </is>
      </c>
      <c r="B4243" t="inlineStr">
        <is>
          <t>C1033</t>
        </is>
      </c>
      <c r="C4243" t="inlineStr">
        <is>
          <t>CORPORATE BANKING</t>
        </is>
      </c>
      <c r="D4243" t="inlineStr">
        <is>
          <t>IA</t>
        </is>
      </c>
      <c r="E4243" t="inlineStr">
        <is>
          <t>Stage 2</t>
        </is>
      </c>
      <c r="F4243" t="inlineStr">
        <is>
          <t>N/A</t>
        </is>
      </c>
      <c r="G4243" s="26">
        <v>445034294</v>
      </c>
      <c r="H4243" s="26">
        <v>26702058</v>
      </c>
      <c r="I4243" s="26">
        <v>0</v>
      </c>
      <c r="J4243" s="26">
        <v>64</v>
      </c>
      <c r="K4243" t="inlineStr">
        <is>
          <t>Non</t>
        </is>
      </c>
      <c r="L4243">
        <f>SUBTOTAL(103,A4243)</f>
        <v>1</v>
      </c>
    </row>
    <row r="4244">
      <c r="A4244" t="inlineStr">
        <is>
          <t>SOCIETE C2271</t>
        </is>
      </c>
      <c r="B4244" t="inlineStr">
        <is>
          <t>C2271</t>
        </is>
      </c>
      <c r="C4244" t="inlineStr">
        <is>
          <t>PUBLIC SECTOR</t>
        </is>
      </c>
      <c r="D4244" t="inlineStr">
        <is>
          <t>IA</t>
        </is>
      </c>
      <c r="E4244" t="inlineStr">
        <is>
          <t>Stage 2</t>
        </is>
      </c>
      <c r="F4244" t="inlineStr">
        <is>
          <t>N/A</t>
        </is>
      </c>
      <c r="G4244" s="26">
        <v>5265531</v>
      </c>
      <c r="H4244" s="26">
        <v>315932</v>
      </c>
      <c r="I4244" s="26">
        <v>0</v>
      </c>
      <c r="J4244" s="26">
        <v>57</v>
      </c>
      <c r="K4244" t="inlineStr">
        <is>
          <t>Non</t>
        </is>
      </c>
      <c r="L4244">
        <f>SUBTOTAL(103,A4244)</f>
        <v>1</v>
      </c>
    </row>
    <row r="4245">
      <c r="A4245" t="inlineStr">
        <is>
          <t>SOCIETE C863</t>
        </is>
      </c>
      <c r="B4245" t="inlineStr">
        <is>
          <t>C863</t>
        </is>
      </c>
      <c r="C4245" t="inlineStr">
        <is>
          <t>CORPORATE BANKING</t>
        </is>
      </c>
      <c r="D4245" t="inlineStr">
        <is>
          <t>I</t>
        </is>
      </c>
      <c r="E4245" t="inlineStr">
        <is>
          <t>Stage 1</t>
        </is>
      </c>
      <c r="F4245" t="inlineStr">
        <is>
          <t>N/A</t>
        </is>
      </c>
      <c r="G4245" s="26">
        <v>50798474</v>
      </c>
      <c r="H4245" s="26">
        <v>507985</v>
      </c>
      <c r="I4245" s="26">
        <v>0</v>
      </c>
      <c r="J4245" s="26">
        <v>19</v>
      </c>
      <c r="K4245" t="inlineStr">
        <is>
          <t>Non</t>
        </is>
      </c>
      <c r="L4245">
        <f>SUBTOTAL(103,A4245)</f>
        <v>1</v>
      </c>
    </row>
    <row r="4246">
      <c r="A4246" t="inlineStr">
        <is>
          <t>SOCIETE C1464</t>
        </is>
      </c>
      <c r="B4246" t="inlineStr">
        <is>
          <t>C1464</t>
        </is>
      </c>
      <c r="C4246" t="inlineStr">
        <is>
          <t>CORPORATE BANKING</t>
        </is>
      </c>
      <c r="D4246" t="inlineStr">
        <is>
          <t>IA</t>
        </is>
      </c>
      <c r="E4246" t="inlineStr">
        <is>
          <t>Stage 2</t>
        </is>
      </c>
      <c r="F4246" t="inlineStr">
        <is>
          <t>N/A</t>
        </is>
      </c>
      <c r="G4246" s="26">
        <v>1353002</v>
      </c>
      <c r="H4246" s="26">
        <v>81180</v>
      </c>
      <c r="I4246" s="26">
        <v>0</v>
      </c>
      <c r="J4246" s="26">
        <v>9</v>
      </c>
      <c r="K4246" t="inlineStr">
        <is>
          <t>Non</t>
        </is>
      </c>
      <c r="L4246">
        <f>SUBTOTAL(103,A4246)</f>
        <v>1</v>
      </c>
    </row>
    <row r="4247">
      <c r="A4247" t="inlineStr">
        <is>
          <t>SOCIETE C1018</t>
        </is>
      </c>
      <c r="B4247" t="inlineStr">
        <is>
          <t>C1018</t>
        </is>
      </c>
      <c r="C4247" t="inlineStr">
        <is>
          <t>COMMERCIAL BANKING</t>
        </is>
      </c>
      <c r="D4247" t="inlineStr">
        <is>
          <t>IV</t>
        </is>
      </c>
      <c r="E4247" t="inlineStr">
        <is>
          <t>Stage 3</t>
        </is>
      </c>
      <c r="F4247" t="inlineStr">
        <is>
          <t>N/A</t>
        </is>
      </c>
      <c r="G4247" s="26">
        <v>1736209148</v>
      </c>
      <c r="H4247" s="26">
        <v>954915031</v>
      </c>
      <c r="I4247" s="26">
        <v>0</v>
      </c>
      <c r="J4247" s="26">
        <v>221</v>
      </c>
      <c r="K4247" t="inlineStr">
        <is>
          <t>Oui</t>
        </is>
      </c>
      <c r="L4247">
        <f>SUBTOTAL(103,A4247)</f>
        <v>1</v>
      </c>
    </row>
    <row r="4248">
      <c r="A4248" t="inlineStr">
        <is>
          <t>SOCIETE C1225</t>
        </is>
      </c>
      <c r="B4248" t="inlineStr">
        <is>
          <t>C1225</t>
        </is>
      </c>
      <c r="C4248" t="inlineStr">
        <is>
          <t>CONSUMER BANKING</t>
        </is>
      </c>
      <c r="D4248" t="inlineStr">
        <is>
          <t>III</t>
        </is>
      </c>
      <c r="E4248" t="inlineStr">
        <is>
          <t>Stage 3</t>
        </is>
      </c>
      <c r="F4248" t="inlineStr">
        <is>
          <t>N/A</t>
        </is>
      </c>
      <c r="G4248" s="26">
        <v>1531143668</v>
      </c>
      <c r="H4248" s="26">
        <v>842129017</v>
      </c>
      <c r="I4248" s="26">
        <v>0</v>
      </c>
      <c r="J4248" s="26">
        <v>26</v>
      </c>
      <c r="K4248" t="inlineStr">
        <is>
          <t>Oui</t>
        </is>
      </c>
      <c r="L4248">
        <f>SUBTOTAL(103,A4248)</f>
        <v>1</v>
      </c>
    </row>
    <row r="4249">
      <c r="A4249" t="inlineStr">
        <is>
          <t>SOCIETE C1138</t>
        </is>
      </c>
      <c r="B4249" t="inlineStr">
        <is>
          <t>C1138</t>
        </is>
      </c>
      <c r="C4249" t="inlineStr">
        <is>
          <t>CONSUMER BANKING</t>
        </is>
      </c>
      <c r="D4249" t="inlineStr">
        <is>
          <t>I</t>
        </is>
      </c>
      <c r="E4249" t="inlineStr">
        <is>
          <t>Stage 1</t>
        </is>
      </c>
      <c r="F4249" t="inlineStr">
        <is>
          <t>N/A</t>
        </is>
      </c>
      <c r="G4249" s="26">
        <v>26778376</v>
      </c>
      <c r="H4249" s="26">
        <v>267784</v>
      </c>
      <c r="I4249" s="26">
        <v>0</v>
      </c>
      <c r="J4249" s="26">
        <v>33</v>
      </c>
      <c r="K4249" t="inlineStr">
        <is>
          <t>Non</t>
        </is>
      </c>
      <c r="L4249">
        <f>SUBTOTAL(103,A4249)</f>
        <v>1</v>
      </c>
    </row>
    <row r="4250">
      <c r="A4250" t="inlineStr">
        <is>
          <t>SOCIETE C514</t>
        </is>
      </c>
      <c r="B4250" t="inlineStr">
        <is>
          <t>C514</t>
        </is>
      </c>
      <c r="C4250" t="inlineStr">
        <is>
          <t>COMMERCIAL BANKING</t>
        </is>
      </c>
      <c r="D4250" t="inlineStr">
        <is>
          <t>IA</t>
        </is>
      </c>
      <c r="E4250" t="inlineStr">
        <is>
          <t>Stage 2</t>
        </is>
      </c>
      <c r="F4250" t="inlineStr">
        <is>
          <t>N/A</t>
        </is>
      </c>
      <c r="G4250" s="26">
        <v>95780842</v>
      </c>
      <c r="H4250" s="26">
        <v>5746851</v>
      </c>
      <c r="I4250" s="26">
        <v>9433249</v>
      </c>
      <c r="J4250" s="26">
        <v>131</v>
      </c>
      <c r="K4250" t="inlineStr">
        <is>
          <t>Non</t>
        </is>
      </c>
      <c r="L4250">
        <f>SUBTOTAL(103,A4250)</f>
        <v>1</v>
      </c>
    </row>
    <row r="4251">
      <c r="A4251" t="inlineStr">
        <is>
          <t>SOCIETE C1621</t>
        </is>
      </c>
      <c r="B4251" t="inlineStr">
        <is>
          <t>C1621</t>
        </is>
      </c>
      <c r="C4251" t="inlineStr">
        <is>
          <t>CONSUMER BANKING</t>
        </is>
      </c>
      <c r="D4251" t="inlineStr">
        <is>
          <t>V</t>
        </is>
      </c>
      <c r="E4251" t="inlineStr">
        <is>
          <t>Stage 3</t>
        </is>
      </c>
      <c r="F4251" t="inlineStr">
        <is>
          <t>N/A</t>
        </is>
      </c>
      <c r="G4251" s="26">
        <v>32636787</v>
      </c>
      <c r="H4251" s="26">
        <v>17950233</v>
      </c>
      <c r="I4251" s="26">
        <v>0</v>
      </c>
      <c r="J4251" s="26">
        <v>5</v>
      </c>
      <c r="K4251" t="inlineStr">
        <is>
          <t>Oui</t>
        </is>
      </c>
      <c r="L4251">
        <f>SUBTOTAL(103,A4251)</f>
        <v>1</v>
      </c>
    </row>
    <row r="4252">
      <c r="A4252" t="inlineStr">
        <is>
          <t>SOCIETE C520</t>
        </is>
      </c>
      <c r="B4252" t="inlineStr">
        <is>
          <t>C520</t>
        </is>
      </c>
      <c r="C4252" t="inlineStr">
        <is>
          <t>PUBLIC SECTOR</t>
        </is>
      </c>
      <c r="D4252" t="inlineStr">
        <is>
          <t>IV</t>
        </is>
      </c>
      <c r="E4252" t="inlineStr">
        <is>
          <t>Stage 3</t>
        </is>
      </c>
      <c r="F4252" t="inlineStr">
        <is>
          <t>N/A</t>
        </is>
      </c>
      <c r="G4252" s="26">
        <v>36507315</v>
      </c>
      <c r="H4252" s="26">
        <v>20079023</v>
      </c>
      <c r="I4252" s="26">
        <v>0</v>
      </c>
      <c r="J4252" s="26">
        <v>112</v>
      </c>
      <c r="K4252" t="inlineStr">
        <is>
          <t>Oui</t>
        </is>
      </c>
      <c r="L4252">
        <f>SUBTOTAL(103,A4252)</f>
        <v>1</v>
      </c>
    </row>
    <row r="4253">
      <c r="A4253" t="inlineStr">
        <is>
          <t>SOCIETE C2219</t>
        </is>
      </c>
      <c r="B4253" t="inlineStr">
        <is>
          <t>C2219</t>
        </is>
      </c>
      <c r="C4253" t="inlineStr">
        <is>
          <t>PUBLIC SECTOR</t>
        </is>
      </c>
      <c r="D4253" t="inlineStr">
        <is>
          <t>I</t>
        </is>
      </c>
      <c r="E4253" t="inlineStr">
        <is>
          <t>Stage 1</t>
        </is>
      </c>
      <c r="F4253" t="inlineStr">
        <is>
          <t>N/A</t>
        </is>
      </c>
      <c r="G4253" s="26">
        <v>39410856</v>
      </c>
      <c r="H4253" s="26">
        <v>394109</v>
      </c>
      <c r="I4253" s="26">
        <v>0</v>
      </c>
      <c r="J4253" s="26">
        <v>119</v>
      </c>
      <c r="K4253" t="inlineStr">
        <is>
          <t>Non</t>
        </is>
      </c>
      <c r="L4253">
        <f>SUBTOTAL(103,A4253)</f>
        <v>1</v>
      </c>
    </row>
    <row r="4254">
      <c r="A4254" t="inlineStr">
        <is>
          <t>SOCIETE C2346</t>
        </is>
      </c>
      <c r="B4254" t="inlineStr">
        <is>
          <t>C2346</t>
        </is>
      </c>
      <c r="C4254" t="inlineStr">
        <is>
          <t>SME</t>
        </is>
      </c>
      <c r="D4254" t="inlineStr">
        <is>
          <t>I</t>
        </is>
      </c>
      <c r="E4254" t="inlineStr">
        <is>
          <t>Stage 1</t>
        </is>
      </c>
      <c r="F4254" t="inlineStr">
        <is>
          <t>N/A</t>
        </is>
      </c>
      <c r="G4254" s="26">
        <v>1668534044</v>
      </c>
      <c r="H4254" s="26">
        <v>16685340</v>
      </c>
      <c r="I4254" s="26">
        <v>0</v>
      </c>
      <c r="J4254" s="26">
        <v>13</v>
      </c>
      <c r="K4254" t="inlineStr">
        <is>
          <t>Non</t>
        </is>
      </c>
      <c r="L4254">
        <f>SUBTOTAL(103,A4254)</f>
        <v>1</v>
      </c>
    </row>
    <row r="4255">
      <c r="A4255" t="inlineStr">
        <is>
          <t>SOCIETE C1621</t>
        </is>
      </c>
      <c r="B4255" t="inlineStr">
        <is>
          <t>C1621</t>
        </is>
      </c>
      <c r="C4255" t="inlineStr">
        <is>
          <t>INSTITUTIONAL</t>
        </is>
      </c>
      <c r="D4255" t="inlineStr">
        <is>
          <t>IV</t>
        </is>
      </c>
      <c r="E4255" t="inlineStr">
        <is>
          <t>Stage 3</t>
        </is>
      </c>
      <c r="F4255" t="inlineStr">
        <is>
          <t>N/A</t>
        </is>
      </c>
      <c r="G4255" s="26">
        <v>2510332476</v>
      </c>
      <c r="H4255" s="26">
        <v>1380682862</v>
      </c>
      <c r="I4255" s="26">
        <v>0</v>
      </c>
      <c r="J4255" s="26">
        <v>206</v>
      </c>
      <c r="K4255" t="inlineStr">
        <is>
          <t>Oui</t>
        </is>
      </c>
      <c r="L4255">
        <f>SUBTOTAL(103,A4255)</f>
        <v>1</v>
      </c>
    </row>
    <row r="4256">
      <c r="A4256" t="inlineStr">
        <is>
          <t>SOCIETE C875</t>
        </is>
      </c>
      <c r="B4256" t="inlineStr">
        <is>
          <t>C875</t>
        </is>
      </c>
      <c r="C4256" t="inlineStr">
        <is>
          <t>CORPORATE BANKING</t>
        </is>
      </c>
      <c r="D4256" t="inlineStr">
        <is>
          <t>I</t>
        </is>
      </c>
      <c r="E4256" t="inlineStr">
        <is>
          <t>Stage 1</t>
        </is>
      </c>
      <c r="F4256" t="inlineStr">
        <is>
          <t>N/A</t>
        </is>
      </c>
      <c r="G4256" s="26">
        <v>224343559</v>
      </c>
      <c r="H4256" s="26">
        <v>2243436</v>
      </c>
      <c r="I4256" s="26">
        <v>9714982</v>
      </c>
      <c r="J4256" s="26">
        <v>16</v>
      </c>
      <c r="K4256" t="inlineStr">
        <is>
          <t>Non</t>
        </is>
      </c>
      <c r="L4256">
        <f>SUBTOTAL(103,A4256)</f>
        <v>1</v>
      </c>
    </row>
    <row r="4257">
      <c r="A4257" t="inlineStr">
        <is>
          <t>SOCIETE C1387</t>
        </is>
      </c>
      <c r="B4257" t="inlineStr">
        <is>
          <t>C1387</t>
        </is>
      </c>
      <c r="C4257" t="inlineStr">
        <is>
          <t>CONSUMER BANKING</t>
        </is>
      </c>
      <c r="D4257" t="inlineStr">
        <is>
          <t>III</t>
        </is>
      </c>
      <c r="E4257" t="inlineStr">
        <is>
          <t>Stage 3</t>
        </is>
      </c>
      <c r="F4257" t="inlineStr">
        <is>
          <t>N/A</t>
        </is>
      </c>
      <c r="G4257" s="26">
        <v>2767212147</v>
      </c>
      <c r="H4257" s="26">
        <v>1521966681</v>
      </c>
      <c r="I4257" s="26">
        <v>545581795</v>
      </c>
      <c r="J4257" s="26">
        <v>42</v>
      </c>
      <c r="K4257" t="inlineStr">
        <is>
          <t>Oui</t>
        </is>
      </c>
      <c r="L4257">
        <f>SUBTOTAL(103,A4257)</f>
        <v>1</v>
      </c>
    </row>
    <row r="4258">
      <c r="A4258" t="inlineStr">
        <is>
          <t>SOCIETE C2154</t>
        </is>
      </c>
      <c r="B4258" t="inlineStr">
        <is>
          <t>C2154</t>
        </is>
      </c>
      <c r="C4258" t="inlineStr">
        <is>
          <t>CORPORATE BANKING</t>
        </is>
      </c>
      <c r="D4258" t="inlineStr">
        <is>
          <t>V</t>
        </is>
      </c>
      <c r="E4258" t="inlineStr">
        <is>
          <t>Stage 3</t>
        </is>
      </c>
      <c r="F4258" t="inlineStr">
        <is>
          <t>N/A</t>
        </is>
      </c>
      <c r="G4258" s="26">
        <v>408257801</v>
      </c>
      <c r="H4258" s="26">
        <v>224541790</v>
      </c>
      <c r="I4258" s="26">
        <v>13987820</v>
      </c>
      <c r="J4258" s="26">
        <v>18</v>
      </c>
      <c r="K4258" t="inlineStr">
        <is>
          <t>Oui</t>
        </is>
      </c>
      <c r="L4258">
        <f>SUBTOTAL(103,A4258)</f>
        <v>1</v>
      </c>
    </row>
    <row r="4259">
      <c r="A4259" t="inlineStr">
        <is>
          <t>SOCIETE C331</t>
        </is>
      </c>
      <c r="B4259" t="inlineStr">
        <is>
          <t>C331</t>
        </is>
      </c>
      <c r="C4259" t="inlineStr">
        <is>
          <t>SME</t>
        </is>
      </c>
      <c r="D4259" t="inlineStr">
        <is>
          <t>I</t>
        </is>
      </c>
      <c r="E4259" t="inlineStr">
        <is>
          <t>Stage 1</t>
        </is>
      </c>
      <c r="F4259" t="inlineStr">
        <is>
          <t>N/A</t>
        </is>
      </c>
      <c r="G4259" s="26">
        <v>1909608735</v>
      </c>
      <c r="H4259" s="26">
        <v>19096087</v>
      </c>
      <c r="I4259" s="26">
        <v>339637581</v>
      </c>
      <c r="J4259" s="26">
        <v>52</v>
      </c>
      <c r="K4259" t="inlineStr">
        <is>
          <t>Non</t>
        </is>
      </c>
      <c r="L4259">
        <f>SUBTOTAL(103,A4259)</f>
        <v>1</v>
      </c>
    </row>
    <row r="4260">
      <c r="A4260" t="inlineStr">
        <is>
          <t>SOCIETE C121</t>
        </is>
      </c>
      <c r="B4260" t="inlineStr">
        <is>
          <t>C121</t>
        </is>
      </c>
      <c r="C4260" t="inlineStr">
        <is>
          <t>CORPORATE BANKING</t>
        </is>
      </c>
      <c r="D4260" t="inlineStr">
        <is>
          <t>I</t>
        </is>
      </c>
      <c r="E4260" t="inlineStr">
        <is>
          <t>Stage 1</t>
        </is>
      </c>
      <c r="F4260" t="inlineStr">
        <is>
          <t>N/A</t>
        </is>
      </c>
      <c r="G4260" s="26">
        <v>18028120</v>
      </c>
      <c r="H4260" s="26">
        <v>180281</v>
      </c>
      <c r="I4260" s="26">
        <v>0</v>
      </c>
      <c r="J4260" s="26">
        <v>196</v>
      </c>
      <c r="K4260" t="inlineStr">
        <is>
          <t>Non</t>
        </is>
      </c>
      <c r="L4260">
        <f>SUBTOTAL(103,A4260)</f>
        <v>1</v>
      </c>
    </row>
    <row r="4261">
      <c r="A4261" t="inlineStr">
        <is>
          <t>SOCIETE C1142</t>
        </is>
      </c>
      <c r="B4261" t="inlineStr">
        <is>
          <t>C1142</t>
        </is>
      </c>
      <c r="C4261" t="inlineStr">
        <is>
          <t>SME</t>
        </is>
      </c>
      <c r="D4261" t="inlineStr">
        <is>
          <t>II</t>
        </is>
      </c>
      <c r="E4261" t="inlineStr">
        <is>
          <t>Stage 2</t>
        </is>
      </c>
      <c r="F4261" t="inlineStr">
        <is>
          <t>N/A</t>
        </is>
      </c>
      <c r="G4261" s="26">
        <v>71472876</v>
      </c>
      <c r="H4261" s="26">
        <v>4288373</v>
      </c>
      <c r="I4261" s="26">
        <v>10135228</v>
      </c>
      <c r="J4261" s="26">
        <v>38</v>
      </c>
      <c r="K4261" t="inlineStr">
        <is>
          <t>Non</t>
        </is>
      </c>
      <c r="L4261">
        <f>SUBTOTAL(103,A4261)</f>
        <v>1</v>
      </c>
    </row>
    <row r="4262">
      <c r="A4262" t="inlineStr">
        <is>
          <t>SOCIETE C1443</t>
        </is>
      </c>
      <c r="B4262" t="inlineStr">
        <is>
          <t>C1443</t>
        </is>
      </c>
      <c r="C4262" t="inlineStr">
        <is>
          <t>CONSUMER BANKING</t>
        </is>
      </c>
      <c r="D4262" t="inlineStr">
        <is>
          <t>IA</t>
        </is>
      </c>
      <c r="E4262" t="inlineStr">
        <is>
          <t>Stage 2</t>
        </is>
      </c>
      <c r="F4262" t="inlineStr">
        <is>
          <t>N/A</t>
        </is>
      </c>
      <c r="G4262" s="26">
        <v>147311453</v>
      </c>
      <c r="H4262" s="26">
        <v>8838687</v>
      </c>
      <c r="I4262" s="26">
        <v>0</v>
      </c>
      <c r="J4262" s="26">
        <v>129</v>
      </c>
      <c r="K4262" t="inlineStr">
        <is>
          <t>Non</t>
        </is>
      </c>
      <c r="L4262">
        <f>SUBTOTAL(103,A4262)</f>
        <v>1</v>
      </c>
    </row>
    <row r="4263">
      <c r="A4263" t="inlineStr">
        <is>
          <t>SOCIETE C1692</t>
        </is>
      </c>
      <c r="B4263" t="inlineStr">
        <is>
          <t>C1692</t>
        </is>
      </c>
      <c r="C4263" t="inlineStr">
        <is>
          <t>CORPORATE BANKING</t>
        </is>
      </c>
      <c r="D4263" t="inlineStr">
        <is>
          <t>IA</t>
        </is>
      </c>
      <c r="E4263" t="inlineStr">
        <is>
          <t>Stage 2</t>
        </is>
      </c>
      <c r="F4263" t="inlineStr">
        <is>
          <t>N/A</t>
        </is>
      </c>
      <c r="G4263" s="26">
        <v>1560251</v>
      </c>
      <c r="H4263" s="26">
        <v>93615</v>
      </c>
      <c r="I4263" s="26">
        <v>0</v>
      </c>
      <c r="J4263" s="26">
        <v>35</v>
      </c>
      <c r="K4263" t="inlineStr">
        <is>
          <t>Non</t>
        </is>
      </c>
      <c r="L4263">
        <f>SUBTOTAL(103,A4263)</f>
        <v>1</v>
      </c>
    </row>
    <row r="4264">
      <c r="A4264" t="inlineStr">
        <is>
          <t>SOCIETE C2024</t>
        </is>
      </c>
      <c r="B4264" t="inlineStr">
        <is>
          <t>C2024</t>
        </is>
      </c>
      <c r="C4264" t="inlineStr">
        <is>
          <t>CORPORATE BANKING</t>
        </is>
      </c>
      <c r="D4264" t="inlineStr">
        <is>
          <t>I</t>
        </is>
      </c>
      <c r="E4264" t="inlineStr">
        <is>
          <t>Stage 1</t>
        </is>
      </c>
      <c r="F4264" t="inlineStr">
        <is>
          <t>N/A</t>
        </is>
      </c>
      <c r="G4264" s="26">
        <v>433802203</v>
      </c>
      <c r="H4264" s="26">
        <v>4338022</v>
      </c>
      <c r="I4264" s="26">
        <v>633207</v>
      </c>
      <c r="J4264" s="26">
        <v>94</v>
      </c>
      <c r="K4264" t="inlineStr">
        <is>
          <t>Non</t>
        </is>
      </c>
      <c r="L4264">
        <f>SUBTOTAL(103,A4264)</f>
        <v>1</v>
      </c>
    </row>
    <row r="4265">
      <c r="A4265" t="inlineStr">
        <is>
          <t>SOCIETE C2009</t>
        </is>
      </c>
      <c r="B4265" t="inlineStr">
        <is>
          <t>C2009</t>
        </is>
      </c>
      <c r="C4265" t="inlineStr">
        <is>
          <t>COMMERCIAL BANKING</t>
        </is>
      </c>
      <c r="D4265" t="inlineStr">
        <is>
          <t>I</t>
        </is>
      </c>
      <c r="E4265" t="inlineStr">
        <is>
          <t>Stage 1</t>
        </is>
      </c>
      <c r="F4265" t="inlineStr">
        <is>
          <t>N/A</t>
        </is>
      </c>
      <c r="G4265" s="26">
        <v>2992870015</v>
      </c>
      <c r="H4265" s="26">
        <v>29928700</v>
      </c>
      <c r="I4265" s="26">
        <v>94164579</v>
      </c>
      <c r="J4265" s="26">
        <v>22</v>
      </c>
      <c r="K4265" t="inlineStr">
        <is>
          <t>Non</t>
        </is>
      </c>
      <c r="L4265">
        <f>SUBTOTAL(103,A4265)</f>
        <v>1</v>
      </c>
    </row>
    <row r="4266">
      <c r="A4266" t="inlineStr">
        <is>
          <t>SOCIETE C530</t>
        </is>
      </c>
      <c r="B4266" t="inlineStr">
        <is>
          <t>C530</t>
        </is>
      </c>
      <c r="C4266" t="inlineStr">
        <is>
          <t>CORPORATE BANKING</t>
        </is>
      </c>
      <c r="D4266" t="inlineStr">
        <is>
          <t>III</t>
        </is>
      </c>
      <c r="E4266" t="inlineStr">
        <is>
          <t>Stage 3</t>
        </is>
      </c>
      <c r="F4266" t="inlineStr">
        <is>
          <t>N/A</t>
        </is>
      </c>
      <c r="G4266" s="26">
        <v>447856977</v>
      </c>
      <c r="H4266" s="26">
        <v>246321338</v>
      </c>
      <c r="I4266" s="26">
        <v>21000453</v>
      </c>
      <c r="J4266" s="26">
        <v>51</v>
      </c>
      <c r="K4266" t="inlineStr">
        <is>
          <t>Oui</t>
        </is>
      </c>
      <c r="L4266">
        <f>SUBTOTAL(103,A4266)</f>
        <v>1</v>
      </c>
    </row>
    <row r="4267">
      <c r="A4267" t="inlineStr">
        <is>
          <t>SOCIETE C2296</t>
        </is>
      </c>
      <c r="B4267" t="inlineStr">
        <is>
          <t>C2296</t>
        </is>
      </c>
      <c r="C4267" t="inlineStr">
        <is>
          <t>CORPORATE BANKING</t>
        </is>
      </c>
      <c r="D4267" t="inlineStr">
        <is>
          <t>I</t>
        </is>
      </c>
      <c r="E4267" t="inlineStr">
        <is>
          <t>Stage 1</t>
        </is>
      </c>
      <c r="F4267" t="inlineStr">
        <is>
          <t>N/A</t>
        </is>
      </c>
      <c r="G4267" s="26">
        <v>1877619458</v>
      </c>
      <c r="H4267" s="26">
        <v>18776195</v>
      </c>
      <c r="I4267" s="26">
        <v>167588897</v>
      </c>
      <c r="J4267" s="26">
        <v>72</v>
      </c>
      <c r="K4267" t="inlineStr">
        <is>
          <t>Non</t>
        </is>
      </c>
      <c r="L4267">
        <f>SUBTOTAL(103,A4267)</f>
        <v>1</v>
      </c>
    </row>
    <row r="4268">
      <c r="A4268" t="inlineStr">
        <is>
          <t>SOCIETE C1219</t>
        </is>
      </c>
      <c r="B4268" t="inlineStr">
        <is>
          <t>C1219</t>
        </is>
      </c>
      <c r="C4268" t="inlineStr">
        <is>
          <t>CORPORATE BANKING</t>
        </is>
      </c>
      <c r="D4268" t="inlineStr">
        <is>
          <t>I</t>
        </is>
      </c>
      <c r="E4268" t="inlineStr">
        <is>
          <t>Stage 1</t>
        </is>
      </c>
      <c r="F4268" t="inlineStr">
        <is>
          <t>N/A</t>
        </is>
      </c>
      <c r="G4268" s="26">
        <v>847923337</v>
      </c>
      <c r="H4268" s="26">
        <v>8479233</v>
      </c>
      <c r="I4268" s="26">
        <v>0</v>
      </c>
      <c r="J4268" s="26">
        <v>10</v>
      </c>
      <c r="K4268" t="inlineStr">
        <is>
          <t>Non</t>
        </is>
      </c>
      <c r="L4268">
        <f>SUBTOTAL(103,A4268)</f>
        <v>1</v>
      </c>
    </row>
    <row r="4269">
      <c r="A4269" t="inlineStr">
        <is>
          <t>SOCIETE C542</t>
        </is>
      </c>
      <c r="B4269" t="inlineStr">
        <is>
          <t>C542</t>
        </is>
      </c>
      <c r="C4269" t="inlineStr">
        <is>
          <t>CONSUMER BANKING</t>
        </is>
      </c>
      <c r="D4269" t="inlineStr">
        <is>
          <t>I</t>
        </is>
      </c>
      <c r="E4269" t="inlineStr">
        <is>
          <t>Stage 1</t>
        </is>
      </c>
      <c r="F4269" t="inlineStr">
        <is>
          <t>N/A</t>
        </is>
      </c>
      <c r="G4269" s="26">
        <v>207434339</v>
      </c>
      <c r="H4269" s="26">
        <v>2074343</v>
      </c>
      <c r="I4269" s="26">
        <v>0</v>
      </c>
      <c r="J4269" s="26">
        <v>22</v>
      </c>
      <c r="K4269" t="inlineStr">
        <is>
          <t>Non</t>
        </is>
      </c>
      <c r="L4269">
        <f>SUBTOTAL(103,A4269)</f>
        <v>1</v>
      </c>
    </row>
    <row r="4270">
      <c r="A4270" t="inlineStr">
        <is>
          <t>SOCIETE C1149</t>
        </is>
      </c>
      <c r="B4270" t="inlineStr">
        <is>
          <t>C1149</t>
        </is>
      </c>
      <c r="C4270" t="inlineStr">
        <is>
          <t>CONSUMER BANKING</t>
        </is>
      </c>
      <c r="D4270" t="inlineStr">
        <is>
          <t>I</t>
        </is>
      </c>
      <c r="E4270" t="inlineStr">
        <is>
          <t>Stage 1</t>
        </is>
      </c>
      <c r="F4270" t="inlineStr">
        <is>
          <t>N/A</t>
        </is>
      </c>
      <c r="G4270" s="26">
        <v>392289680</v>
      </c>
      <c r="H4270" s="26">
        <v>3922897</v>
      </c>
      <c r="I4270" s="26">
        <v>74994898</v>
      </c>
      <c r="J4270" s="26">
        <v>40</v>
      </c>
      <c r="K4270" t="inlineStr">
        <is>
          <t>Non</t>
        </is>
      </c>
      <c r="L4270">
        <f>SUBTOTAL(103,A4270)</f>
        <v>1</v>
      </c>
    </row>
    <row r="4271">
      <c r="A4271" t="inlineStr">
        <is>
          <t>SOCIETE C1610</t>
        </is>
      </c>
      <c r="B4271" t="inlineStr">
        <is>
          <t>C1610</t>
        </is>
      </c>
      <c r="C4271" t="inlineStr">
        <is>
          <t>CORPORATE BANKING</t>
        </is>
      </c>
      <c r="D4271" t="inlineStr">
        <is>
          <t>IA</t>
        </is>
      </c>
      <c r="E4271" t="inlineStr">
        <is>
          <t>Stage 2</t>
        </is>
      </c>
      <c r="F4271" t="inlineStr">
        <is>
          <t>N/A</t>
        </is>
      </c>
      <c r="G4271" s="26">
        <v>1820908809</v>
      </c>
      <c r="H4271" s="26">
        <v>109254529</v>
      </c>
      <c r="I4271" s="26">
        <v>232889291</v>
      </c>
      <c r="J4271" s="26">
        <v>314</v>
      </c>
      <c r="K4271" t="inlineStr">
        <is>
          <t>Non</t>
        </is>
      </c>
      <c r="L4271">
        <f>SUBTOTAL(103,A4271)</f>
        <v>1</v>
      </c>
    </row>
    <row r="4272">
      <c r="A4272" t="inlineStr">
        <is>
          <t>SOCIETE C1432</t>
        </is>
      </c>
      <c r="B4272" t="inlineStr">
        <is>
          <t>C1432</t>
        </is>
      </c>
      <c r="C4272" t="inlineStr">
        <is>
          <t>CORPORATE BANKING</t>
        </is>
      </c>
      <c r="D4272" t="inlineStr">
        <is>
          <t>I</t>
        </is>
      </c>
      <c r="E4272" t="inlineStr">
        <is>
          <t>Stage 1</t>
        </is>
      </c>
      <c r="F4272" t="inlineStr">
        <is>
          <t>N/A</t>
        </is>
      </c>
      <c r="G4272" s="26">
        <v>326305803</v>
      </c>
      <c r="H4272" s="26">
        <v>3263058</v>
      </c>
      <c r="I4272" s="26">
        <v>0</v>
      </c>
      <c r="J4272" s="26">
        <v>21</v>
      </c>
      <c r="K4272" t="inlineStr">
        <is>
          <t>Non</t>
        </is>
      </c>
      <c r="L4272">
        <f>SUBTOTAL(103,A4272)</f>
        <v>1</v>
      </c>
    </row>
    <row r="4273">
      <c r="A4273" t="inlineStr">
        <is>
          <t>SOCIETE C1600</t>
        </is>
      </c>
      <c r="B4273" t="inlineStr">
        <is>
          <t>C1600</t>
        </is>
      </c>
      <c r="C4273" t="inlineStr">
        <is>
          <t>CORPORATE BANKING</t>
        </is>
      </c>
      <c r="D4273" t="inlineStr">
        <is>
          <t>V</t>
        </is>
      </c>
      <c r="E4273" t="inlineStr">
        <is>
          <t>Stage 3</t>
        </is>
      </c>
      <c r="F4273" t="inlineStr">
        <is>
          <t>N/A</t>
        </is>
      </c>
      <c r="G4273" s="26">
        <v>958700536</v>
      </c>
      <c r="H4273" s="26">
        <v>527285295</v>
      </c>
      <c r="I4273" s="26">
        <v>0</v>
      </c>
      <c r="J4273" s="26">
        <v>46</v>
      </c>
      <c r="K4273" t="inlineStr">
        <is>
          <t>Oui</t>
        </is>
      </c>
      <c r="L4273">
        <f>SUBTOTAL(103,A4273)</f>
        <v>1</v>
      </c>
    </row>
    <row r="4274">
      <c r="A4274" t="inlineStr">
        <is>
          <t>SOCIETE C882</t>
        </is>
      </c>
      <c r="B4274" t="inlineStr">
        <is>
          <t>C882</t>
        </is>
      </c>
      <c r="C4274" t="inlineStr">
        <is>
          <t>COMMERCIAL BANKING</t>
        </is>
      </c>
      <c r="D4274" t="inlineStr">
        <is>
          <t>I</t>
        </is>
      </c>
      <c r="E4274" t="inlineStr">
        <is>
          <t>Stage 1</t>
        </is>
      </c>
      <c r="F4274" t="inlineStr">
        <is>
          <t>N/A</t>
        </is>
      </c>
      <c r="G4274" s="26">
        <v>15834581</v>
      </c>
      <c r="H4274" s="26">
        <v>158346</v>
      </c>
      <c r="I4274" s="26">
        <v>1045919</v>
      </c>
      <c r="J4274" s="26">
        <v>298</v>
      </c>
      <c r="K4274" t="inlineStr">
        <is>
          <t>Non</t>
        </is>
      </c>
      <c r="L4274">
        <f>SUBTOTAL(103,A4274)</f>
        <v>1</v>
      </c>
    </row>
    <row r="4275">
      <c r="A4275" t="inlineStr">
        <is>
          <t>SOCIETE C334</t>
        </is>
      </c>
      <c r="B4275" t="inlineStr">
        <is>
          <t>C334</t>
        </is>
      </c>
      <c r="C4275" t="inlineStr">
        <is>
          <t>CORPORATE BANKING</t>
        </is>
      </c>
      <c r="D4275" t="inlineStr">
        <is>
          <t>II</t>
        </is>
      </c>
      <c r="E4275" t="inlineStr">
        <is>
          <t>Stage 2</t>
        </is>
      </c>
      <c r="F4275" t="inlineStr">
        <is>
          <t>N/A</t>
        </is>
      </c>
      <c r="G4275" s="26">
        <v>58779491</v>
      </c>
      <c r="H4275" s="26">
        <v>3526769</v>
      </c>
      <c r="I4275" s="26">
        <v>0</v>
      </c>
      <c r="J4275" s="26">
        <v>20</v>
      </c>
      <c r="K4275" t="inlineStr">
        <is>
          <t>Non</t>
        </is>
      </c>
      <c r="L4275">
        <f>SUBTOTAL(103,A4275)</f>
        <v>1</v>
      </c>
    </row>
    <row r="4276">
      <c r="A4276" t="inlineStr">
        <is>
          <t>SOCIETE C2263</t>
        </is>
      </c>
      <c r="B4276" t="inlineStr">
        <is>
          <t>C2263</t>
        </is>
      </c>
      <c r="C4276" t="inlineStr">
        <is>
          <t>CORPORATE BANKING</t>
        </is>
      </c>
      <c r="D4276" t="inlineStr">
        <is>
          <t>IA</t>
        </is>
      </c>
      <c r="E4276" t="inlineStr">
        <is>
          <t>Stage 2</t>
        </is>
      </c>
      <c r="F4276" t="inlineStr">
        <is>
          <t>N/A</t>
        </is>
      </c>
      <c r="G4276" s="26">
        <v>460262435</v>
      </c>
      <c r="H4276" s="26">
        <v>27615746</v>
      </c>
      <c r="I4276" s="26">
        <v>0</v>
      </c>
      <c r="J4276" s="26">
        <v>18</v>
      </c>
      <c r="K4276" t="inlineStr">
        <is>
          <t>Non</t>
        </is>
      </c>
      <c r="L4276">
        <f>SUBTOTAL(103,A4276)</f>
        <v>1</v>
      </c>
    </row>
    <row r="4277">
      <c r="A4277" t="inlineStr">
        <is>
          <t>SOCIETE C1397</t>
        </is>
      </c>
      <c r="B4277" t="inlineStr">
        <is>
          <t>C1397</t>
        </is>
      </c>
      <c r="C4277" t="inlineStr">
        <is>
          <t>CORPORATE BANKING</t>
        </is>
      </c>
      <c r="D4277" t="inlineStr">
        <is>
          <t>I</t>
        </is>
      </c>
      <c r="E4277" t="inlineStr">
        <is>
          <t>Stage 1</t>
        </is>
      </c>
      <c r="F4277" t="inlineStr">
        <is>
          <t>N/A</t>
        </is>
      </c>
      <c r="G4277" s="26">
        <v>2694804585</v>
      </c>
      <c r="H4277" s="26">
        <v>26948046</v>
      </c>
      <c r="I4277" s="26">
        <v>0</v>
      </c>
      <c r="J4277" s="26">
        <v>174</v>
      </c>
      <c r="K4277" t="inlineStr">
        <is>
          <t>Non</t>
        </is>
      </c>
      <c r="L4277">
        <f>SUBTOTAL(103,A4277)</f>
        <v>1</v>
      </c>
    </row>
    <row r="4278">
      <c r="A4278" t="inlineStr">
        <is>
          <t>SOCIETE C963</t>
        </is>
      </c>
      <c r="B4278" t="inlineStr">
        <is>
          <t>C963</t>
        </is>
      </c>
      <c r="C4278" t="inlineStr">
        <is>
          <t>CONSUMER BANKING</t>
        </is>
      </c>
      <c r="D4278" t="inlineStr">
        <is>
          <t>I</t>
        </is>
      </c>
      <c r="E4278" t="inlineStr">
        <is>
          <t>Stage 1</t>
        </is>
      </c>
      <c r="F4278" t="inlineStr">
        <is>
          <t>N/A</t>
        </is>
      </c>
      <c r="G4278" s="26">
        <v>190321004</v>
      </c>
      <c r="H4278" s="26">
        <v>1903210</v>
      </c>
      <c r="I4278" s="26">
        <v>19514914</v>
      </c>
      <c r="J4278" s="26">
        <v>145</v>
      </c>
      <c r="K4278" t="inlineStr">
        <is>
          <t>Non</t>
        </is>
      </c>
      <c r="L4278">
        <f>SUBTOTAL(103,A4278)</f>
        <v>1</v>
      </c>
    </row>
    <row r="4279">
      <c r="A4279" t="inlineStr">
        <is>
          <t>SOCIETE C807</t>
        </is>
      </c>
      <c r="B4279" t="inlineStr">
        <is>
          <t>C807</t>
        </is>
      </c>
      <c r="C4279" t="inlineStr">
        <is>
          <t>CORPORATE BANKING</t>
        </is>
      </c>
      <c r="D4279" t="inlineStr">
        <is>
          <t>IV</t>
        </is>
      </c>
      <c r="E4279" t="inlineStr">
        <is>
          <t>Stage 3</t>
        </is>
      </c>
      <c r="F4279" t="inlineStr">
        <is>
          <t>N/A</t>
        </is>
      </c>
      <c r="G4279" s="26">
        <v>1162045</v>
      </c>
      <c r="H4279" s="26">
        <v>639124</v>
      </c>
      <c r="I4279" s="26">
        <v>131979</v>
      </c>
      <c r="J4279" s="26">
        <v>57</v>
      </c>
      <c r="K4279" t="inlineStr">
        <is>
          <t>Oui</t>
        </is>
      </c>
      <c r="L4279">
        <f>SUBTOTAL(103,A4279)</f>
        <v>1</v>
      </c>
    </row>
    <row r="4280">
      <c r="A4280" t="inlineStr">
        <is>
          <t>SOCIETE C482</t>
        </is>
      </c>
      <c r="B4280" t="inlineStr">
        <is>
          <t>C482</t>
        </is>
      </c>
      <c r="C4280" t="inlineStr">
        <is>
          <t>CORPORATE BANKING</t>
        </is>
      </c>
      <c r="D4280" t="inlineStr">
        <is>
          <t>I</t>
        </is>
      </c>
      <c r="E4280" t="inlineStr">
        <is>
          <t>Stage 1</t>
        </is>
      </c>
      <c r="F4280" t="inlineStr">
        <is>
          <t>N/A</t>
        </is>
      </c>
      <c r="G4280" s="26">
        <v>570649978</v>
      </c>
      <c r="H4280" s="26">
        <v>5706500</v>
      </c>
      <c r="I4280" s="26">
        <v>19159363</v>
      </c>
      <c r="J4280" s="26">
        <v>75</v>
      </c>
      <c r="K4280" t="inlineStr">
        <is>
          <t>Non</t>
        </is>
      </c>
      <c r="L4280">
        <f>SUBTOTAL(103,A4280)</f>
        <v>1</v>
      </c>
    </row>
    <row r="4281">
      <c r="A4281" t="inlineStr">
        <is>
          <t>SOCIETE C1167</t>
        </is>
      </c>
      <c r="B4281" t="inlineStr">
        <is>
          <t>C1167</t>
        </is>
      </c>
      <c r="C4281" t="inlineStr">
        <is>
          <t>SME</t>
        </is>
      </c>
      <c r="D4281" t="inlineStr">
        <is>
          <t>V</t>
        </is>
      </c>
      <c r="E4281" t="inlineStr">
        <is>
          <t>Stage 3</t>
        </is>
      </c>
      <c r="F4281" t="inlineStr">
        <is>
          <t>N/A</t>
        </is>
      </c>
      <c r="G4281" s="26">
        <v>243949917</v>
      </c>
      <c r="H4281" s="26">
        <v>134172454</v>
      </c>
      <c r="I4281" s="26">
        <v>0</v>
      </c>
      <c r="J4281" s="26">
        <v>53</v>
      </c>
      <c r="K4281" t="inlineStr">
        <is>
          <t>Oui</t>
        </is>
      </c>
      <c r="L4281">
        <f>SUBTOTAL(103,A4281)</f>
        <v>1</v>
      </c>
    </row>
    <row r="4282">
      <c r="A4282" t="inlineStr">
        <is>
          <t>SOCIETE C222</t>
        </is>
      </c>
      <c r="B4282" t="inlineStr">
        <is>
          <t>C222</t>
        </is>
      </c>
      <c r="C4282" t="inlineStr">
        <is>
          <t>CORPORATE BANKING</t>
        </is>
      </c>
      <c r="D4282" t="inlineStr">
        <is>
          <t>I</t>
        </is>
      </c>
      <c r="E4282" t="inlineStr">
        <is>
          <t>Stage 1</t>
        </is>
      </c>
      <c r="F4282" t="inlineStr">
        <is>
          <t>N/A</t>
        </is>
      </c>
      <c r="G4282" s="26">
        <v>561657060</v>
      </c>
      <c r="H4282" s="26">
        <v>5616571</v>
      </c>
      <c r="I4282" s="26">
        <v>48353056</v>
      </c>
      <c r="J4282" s="26">
        <v>7</v>
      </c>
      <c r="K4282" t="inlineStr">
        <is>
          <t>Non</t>
        </is>
      </c>
      <c r="L4282">
        <f>SUBTOTAL(103,A4282)</f>
        <v>1</v>
      </c>
    </row>
    <row r="4283">
      <c r="A4283" t="inlineStr">
        <is>
          <t>SOCIETE C671</t>
        </is>
      </c>
      <c r="B4283" t="inlineStr">
        <is>
          <t>C671</t>
        </is>
      </c>
      <c r="C4283" t="inlineStr">
        <is>
          <t>PUBLIC SECTOR</t>
        </is>
      </c>
      <c r="D4283" t="inlineStr">
        <is>
          <t>III</t>
        </is>
      </c>
      <c r="E4283" t="inlineStr">
        <is>
          <t>Stage 3</t>
        </is>
      </c>
      <c r="F4283" t="inlineStr">
        <is>
          <t>N/A</t>
        </is>
      </c>
      <c r="G4283" s="26">
        <v>263264412</v>
      </c>
      <c r="H4283" s="26">
        <v>144795427</v>
      </c>
      <c r="I4283" s="26">
        <v>0</v>
      </c>
      <c r="J4283" s="26">
        <v>52</v>
      </c>
      <c r="K4283" t="inlineStr">
        <is>
          <t>Oui</t>
        </is>
      </c>
      <c r="L4283">
        <f>SUBTOTAL(103,A4283)</f>
        <v>1</v>
      </c>
    </row>
    <row r="4284">
      <c r="A4284" t="inlineStr">
        <is>
          <t>SOCIETE C2220</t>
        </is>
      </c>
      <c r="B4284" t="inlineStr">
        <is>
          <t>C2220</t>
        </is>
      </c>
      <c r="C4284" t="inlineStr">
        <is>
          <t>CORPORATE BANKING</t>
        </is>
      </c>
      <c r="D4284" t="inlineStr">
        <is>
          <t>IA</t>
        </is>
      </c>
      <c r="E4284" t="inlineStr">
        <is>
          <t>Stage 2</t>
        </is>
      </c>
      <c r="F4284" t="inlineStr">
        <is>
          <t>N/A</t>
        </is>
      </c>
      <c r="G4284" s="26">
        <v>543957495</v>
      </c>
      <c r="H4284" s="26">
        <v>32637450</v>
      </c>
      <c r="I4284" s="26">
        <v>0</v>
      </c>
      <c r="J4284" s="26">
        <v>16</v>
      </c>
      <c r="K4284" t="inlineStr">
        <is>
          <t>Non</t>
        </is>
      </c>
      <c r="L4284">
        <f>SUBTOTAL(103,A4284)</f>
        <v>1</v>
      </c>
    </row>
    <row r="4285">
      <c r="A4285" t="inlineStr">
        <is>
          <t>SOCIETE C915</t>
        </is>
      </c>
      <c r="B4285" t="inlineStr">
        <is>
          <t>C915</t>
        </is>
      </c>
      <c r="C4285" t="inlineStr">
        <is>
          <t>SME</t>
        </is>
      </c>
      <c r="D4285" t="inlineStr">
        <is>
          <t>I</t>
        </is>
      </c>
      <c r="E4285" t="inlineStr">
        <is>
          <t>Stage 1</t>
        </is>
      </c>
      <c r="F4285" t="inlineStr">
        <is>
          <t>N/A</t>
        </is>
      </c>
      <c r="G4285" s="26">
        <v>2027721332</v>
      </c>
      <c r="H4285" s="26">
        <v>20277213</v>
      </c>
      <c r="I4285" s="26">
        <v>0</v>
      </c>
      <c r="J4285" s="26">
        <v>60</v>
      </c>
      <c r="K4285" t="inlineStr">
        <is>
          <t>Non</t>
        </is>
      </c>
      <c r="L4285">
        <f>SUBTOTAL(103,A4285)</f>
        <v>1</v>
      </c>
    </row>
    <row r="4286">
      <c r="A4286" t="inlineStr">
        <is>
          <t>SOCIETE C190</t>
        </is>
      </c>
      <c r="B4286" t="inlineStr">
        <is>
          <t>C190</t>
        </is>
      </c>
      <c r="C4286" t="inlineStr">
        <is>
          <t>COMMERCIAL BANKING</t>
        </is>
      </c>
      <c r="D4286" t="inlineStr">
        <is>
          <t>V</t>
        </is>
      </c>
      <c r="E4286" t="inlineStr">
        <is>
          <t>Stage 3</t>
        </is>
      </c>
      <c r="F4286" t="inlineStr">
        <is>
          <t>N/A</t>
        </is>
      </c>
      <c r="G4286" s="26">
        <v>2018134363</v>
      </c>
      <c r="H4286" s="26">
        <v>1109973899</v>
      </c>
      <c r="I4286" s="26">
        <v>0</v>
      </c>
      <c r="J4286" s="26">
        <v>6</v>
      </c>
      <c r="K4286" t="inlineStr">
        <is>
          <t>Oui</t>
        </is>
      </c>
      <c r="L4286">
        <f>SUBTOTAL(103,A4286)</f>
        <v>1</v>
      </c>
    </row>
    <row r="4287">
      <c r="A4287" t="inlineStr">
        <is>
          <t>SOCIETE C1386</t>
        </is>
      </c>
      <c r="B4287" t="inlineStr">
        <is>
          <t>C1386</t>
        </is>
      </c>
      <c r="C4287" t="inlineStr">
        <is>
          <t>CORPORATE BANKING</t>
        </is>
      </c>
      <c r="D4287" t="inlineStr">
        <is>
          <t>II</t>
        </is>
      </c>
      <c r="E4287" t="inlineStr">
        <is>
          <t>Stage 2</t>
        </is>
      </c>
      <c r="F4287" t="inlineStr">
        <is>
          <t>N/A</t>
        </is>
      </c>
      <c r="G4287" s="26">
        <v>1023450</v>
      </c>
      <c r="H4287" s="26">
        <v>61407</v>
      </c>
      <c r="I4287" s="26">
        <v>0</v>
      </c>
      <c r="J4287" s="26">
        <v>97</v>
      </c>
      <c r="K4287" t="inlineStr">
        <is>
          <t>Non</t>
        </is>
      </c>
      <c r="L4287">
        <f>SUBTOTAL(103,A4287)</f>
        <v>1</v>
      </c>
    </row>
    <row r="4288">
      <c r="A4288" t="inlineStr">
        <is>
          <t>SOCIETE C823</t>
        </is>
      </c>
      <c r="B4288" t="inlineStr">
        <is>
          <t>C823</t>
        </is>
      </c>
      <c r="C4288" t="inlineStr">
        <is>
          <t>CORPORATE BANKING</t>
        </is>
      </c>
      <c r="D4288" t="inlineStr">
        <is>
          <t>V</t>
        </is>
      </c>
      <c r="E4288" t="inlineStr">
        <is>
          <t>Stage 3</t>
        </is>
      </c>
      <c r="F4288" t="inlineStr">
        <is>
          <t>N/A</t>
        </is>
      </c>
      <c r="G4288" s="26">
        <v>1138087</v>
      </c>
      <c r="H4288" s="26">
        <v>625948</v>
      </c>
      <c r="I4288" s="26">
        <v>0</v>
      </c>
      <c r="J4288" s="26">
        <v>30</v>
      </c>
      <c r="K4288" t="inlineStr">
        <is>
          <t>Oui</t>
        </is>
      </c>
      <c r="L4288">
        <f>SUBTOTAL(103,A4288)</f>
        <v>1</v>
      </c>
    </row>
    <row r="4289">
      <c r="A4289" t="inlineStr">
        <is>
          <t>SOCIETE C1842</t>
        </is>
      </c>
      <c r="B4289" t="inlineStr">
        <is>
          <t>C1842</t>
        </is>
      </c>
      <c r="C4289" t="inlineStr">
        <is>
          <t>COMMERCIAL BANKING</t>
        </is>
      </c>
      <c r="D4289" t="inlineStr">
        <is>
          <t>V</t>
        </is>
      </c>
      <c r="E4289" t="inlineStr">
        <is>
          <t>Stage 3</t>
        </is>
      </c>
      <c r="F4289" t="inlineStr">
        <is>
          <t>N/A</t>
        </is>
      </c>
      <c r="G4289" s="26">
        <v>67859270</v>
      </c>
      <c r="H4289" s="26">
        <v>37322598</v>
      </c>
      <c r="I4289" s="26">
        <v>9239947</v>
      </c>
      <c r="J4289" s="26">
        <v>142</v>
      </c>
      <c r="K4289" t="inlineStr">
        <is>
          <t>Oui</t>
        </is>
      </c>
      <c r="L4289">
        <f>SUBTOTAL(103,A4289)</f>
        <v>1</v>
      </c>
    </row>
    <row r="4290">
      <c r="A4290" t="inlineStr">
        <is>
          <t>SOCIETE C1011</t>
        </is>
      </c>
      <c r="B4290" t="inlineStr">
        <is>
          <t>C1011</t>
        </is>
      </c>
      <c r="C4290" t="inlineStr">
        <is>
          <t>PUBLIC SECTOR</t>
        </is>
      </c>
      <c r="D4290" t="inlineStr">
        <is>
          <t>I</t>
        </is>
      </c>
      <c r="E4290" t="inlineStr">
        <is>
          <t>Stage 1</t>
        </is>
      </c>
      <c r="F4290" t="inlineStr">
        <is>
          <t>N/A</t>
        </is>
      </c>
      <c r="G4290" s="26">
        <v>47496314</v>
      </c>
      <c r="H4290" s="26">
        <v>474963</v>
      </c>
      <c r="I4290" s="26">
        <v>8883232</v>
      </c>
      <c r="J4290" s="26">
        <v>6</v>
      </c>
      <c r="K4290" t="inlineStr">
        <is>
          <t>Non</t>
        </is>
      </c>
      <c r="L4290">
        <f>SUBTOTAL(103,A4290)</f>
        <v>1</v>
      </c>
    </row>
    <row r="4291">
      <c r="A4291" t="inlineStr">
        <is>
          <t>SOCIETE C685</t>
        </is>
      </c>
      <c r="B4291" t="inlineStr">
        <is>
          <t>C685</t>
        </is>
      </c>
      <c r="C4291" t="inlineStr">
        <is>
          <t>CORPORATE BANKING</t>
        </is>
      </c>
      <c r="D4291" t="inlineStr">
        <is>
          <t>I</t>
        </is>
      </c>
      <c r="E4291" t="inlineStr">
        <is>
          <t>Stage 1</t>
        </is>
      </c>
      <c r="F4291" t="inlineStr">
        <is>
          <t>N/A</t>
        </is>
      </c>
      <c r="G4291" s="26">
        <v>936274949</v>
      </c>
      <c r="H4291" s="26">
        <v>9362749</v>
      </c>
      <c r="I4291" s="26">
        <v>0</v>
      </c>
      <c r="J4291" s="26">
        <v>100</v>
      </c>
      <c r="K4291" t="inlineStr">
        <is>
          <t>Non</t>
        </is>
      </c>
      <c r="L4291">
        <f>SUBTOTAL(103,A4291)</f>
        <v>1</v>
      </c>
    </row>
    <row r="4292">
      <c r="A4292" t="inlineStr">
        <is>
          <t>SOCIETE C1633</t>
        </is>
      </c>
      <c r="B4292" t="inlineStr">
        <is>
          <t>C1633</t>
        </is>
      </c>
      <c r="C4292" t="inlineStr">
        <is>
          <t>CONSUMER BANKING</t>
        </is>
      </c>
      <c r="D4292" t="inlineStr">
        <is>
          <t>I</t>
        </is>
      </c>
      <c r="E4292" t="inlineStr">
        <is>
          <t>Stage 1</t>
        </is>
      </c>
      <c r="F4292" t="inlineStr">
        <is>
          <t>N/A</t>
        </is>
      </c>
      <c r="G4292" s="26">
        <v>2372692974</v>
      </c>
      <c r="H4292" s="26">
        <v>23726930</v>
      </c>
      <c r="I4292" s="26">
        <v>0</v>
      </c>
      <c r="J4292" s="26">
        <v>26</v>
      </c>
      <c r="K4292" t="inlineStr">
        <is>
          <t>Non</t>
        </is>
      </c>
      <c r="L4292">
        <f>SUBTOTAL(103,A4292)</f>
        <v>1</v>
      </c>
    </row>
    <row r="4293">
      <c r="A4293" t="inlineStr">
        <is>
          <t>SOCIETE C871</t>
        </is>
      </c>
      <c r="B4293" t="inlineStr">
        <is>
          <t>C871</t>
        </is>
      </c>
      <c r="C4293" t="inlineStr">
        <is>
          <t>CONSUMER BANKING</t>
        </is>
      </c>
      <c r="D4293" t="inlineStr">
        <is>
          <t>IA</t>
        </is>
      </c>
      <c r="E4293" t="inlineStr">
        <is>
          <t>Stage 2</t>
        </is>
      </c>
      <c r="F4293" t="inlineStr">
        <is>
          <t>N/A</t>
        </is>
      </c>
      <c r="G4293" s="26">
        <v>1781557229</v>
      </c>
      <c r="H4293" s="26">
        <v>106893434</v>
      </c>
      <c r="I4293" s="26">
        <v>0</v>
      </c>
      <c r="J4293" s="26">
        <v>392</v>
      </c>
      <c r="K4293" t="inlineStr">
        <is>
          <t>Non</t>
        </is>
      </c>
      <c r="L4293">
        <f>SUBTOTAL(103,A4293)</f>
        <v>1</v>
      </c>
    </row>
    <row r="4294">
      <c r="A4294" t="inlineStr">
        <is>
          <t>SOCIETE C760</t>
        </is>
      </c>
      <c r="B4294" t="inlineStr">
        <is>
          <t>C760</t>
        </is>
      </c>
      <c r="C4294" t="inlineStr">
        <is>
          <t>SME</t>
        </is>
      </c>
      <c r="D4294" t="inlineStr">
        <is>
          <t>V</t>
        </is>
      </c>
      <c r="E4294" t="inlineStr">
        <is>
          <t>Stage 3</t>
        </is>
      </c>
      <c r="F4294" t="inlineStr">
        <is>
          <t>N/A</t>
        </is>
      </c>
      <c r="G4294" s="26">
        <v>1065134086</v>
      </c>
      <c r="H4294" s="26">
        <v>585823747</v>
      </c>
      <c r="I4294" s="26">
        <v>0</v>
      </c>
      <c r="J4294" s="26">
        <v>121</v>
      </c>
      <c r="K4294" t="inlineStr">
        <is>
          <t>Oui</t>
        </is>
      </c>
      <c r="L4294">
        <f>SUBTOTAL(103,A4294)</f>
        <v>1</v>
      </c>
    </row>
    <row r="4295">
      <c r="A4295" t="inlineStr">
        <is>
          <t>SOCIETE C2379</t>
        </is>
      </c>
      <c r="B4295" t="inlineStr">
        <is>
          <t>C2379</t>
        </is>
      </c>
      <c r="C4295" t="inlineStr">
        <is>
          <t>COMMERCIAL BANKING</t>
        </is>
      </c>
      <c r="D4295" t="inlineStr">
        <is>
          <t>I</t>
        </is>
      </c>
      <c r="E4295" t="inlineStr">
        <is>
          <t>Stage 1</t>
        </is>
      </c>
      <c r="F4295" t="inlineStr">
        <is>
          <t>N/A</t>
        </is>
      </c>
      <c r="G4295" s="26">
        <v>2406410263</v>
      </c>
      <c r="H4295" s="26">
        <v>24064103</v>
      </c>
      <c r="I4295" s="26">
        <v>98766156</v>
      </c>
      <c r="J4295" s="26">
        <v>1</v>
      </c>
      <c r="K4295" t="inlineStr">
        <is>
          <t>Non</t>
        </is>
      </c>
      <c r="L4295">
        <f>SUBTOTAL(103,A4295)</f>
        <v>1</v>
      </c>
    </row>
    <row r="4296">
      <c r="A4296" t="inlineStr">
        <is>
          <t>SOCIETE C733</t>
        </is>
      </c>
      <c r="B4296" t="inlineStr">
        <is>
          <t>C733</t>
        </is>
      </c>
      <c r="C4296" t="inlineStr">
        <is>
          <t>CORPORATE BANKING</t>
        </is>
      </c>
      <c r="D4296" t="inlineStr">
        <is>
          <t>III</t>
        </is>
      </c>
      <c r="E4296" t="inlineStr">
        <is>
          <t>Stage 3</t>
        </is>
      </c>
      <c r="F4296" t="inlineStr">
        <is>
          <t>N/A</t>
        </is>
      </c>
      <c r="G4296" s="26">
        <v>77888035</v>
      </c>
      <c r="H4296" s="26">
        <v>42838419</v>
      </c>
      <c r="I4296" s="26">
        <v>0</v>
      </c>
      <c r="J4296" s="26">
        <v>41</v>
      </c>
      <c r="K4296" t="inlineStr">
        <is>
          <t>Oui</t>
        </is>
      </c>
      <c r="L4296">
        <f>SUBTOTAL(103,A4296)</f>
        <v>1</v>
      </c>
    </row>
    <row r="4297">
      <c r="A4297" t="inlineStr">
        <is>
          <t>SOCIETE C2472</t>
        </is>
      </c>
      <c r="B4297" t="inlineStr">
        <is>
          <t>C2472</t>
        </is>
      </c>
      <c r="C4297" t="inlineStr">
        <is>
          <t>COMMERCIAL BANKING</t>
        </is>
      </c>
      <c r="D4297" t="inlineStr">
        <is>
          <t>I</t>
        </is>
      </c>
      <c r="E4297" t="inlineStr">
        <is>
          <t>Stage 1</t>
        </is>
      </c>
      <c r="F4297" t="inlineStr">
        <is>
          <t>N/A</t>
        </is>
      </c>
      <c r="G4297" s="26">
        <v>626854383</v>
      </c>
      <c r="H4297" s="26">
        <v>6268544</v>
      </c>
      <c r="I4297" s="26">
        <v>0</v>
      </c>
      <c r="J4297" s="26">
        <v>200</v>
      </c>
      <c r="K4297" t="inlineStr">
        <is>
          <t>Non</t>
        </is>
      </c>
      <c r="L4297">
        <f>SUBTOTAL(103,A4297)</f>
        <v>1</v>
      </c>
    </row>
    <row r="4298">
      <c r="A4298" t="inlineStr">
        <is>
          <t>SOCIETE C926</t>
        </is>
      </c>
      <c r="B4298" t="inlineStr">
        <is>
          <t>C926</t>
        </is>
      </c>
      <c r="C4298" t="inlineStr">
        <is>
          <t>COMMERCIAL BANKING</t>
        </is>
      </c>
      <c r="D4298" t="inlineStr">
        <is>
          <t>I</t>
        </is>
      </c>
      <c r="E4298" t="inlineStr">
        <is>
          <t>Stage 1</t>
        </is>
      </c>
      <c r="F4298" t="inlineStr">
        <is>
          <t>N/A</t>
        </is>
      </c>
      <c r="G4298" s="26">
        <v>153750671</v>
      </c>
      <c r="H4298" s="26">
        <v>1537507</v>
      </c>
      <c r="I4298" s="26">
        <v>0</v>
      </c>
      <c r="J4298" s="26">
        <v>43</v>
      </c>
      <c r="K4298" t="inlineStr">
        <is>
          <t>Non</t>
        </is>
      </c>
      <c r="L4298">
        <f>SUBTOTAL(103,A4298)</f>
        <v>1</v>
      </c>
    </row>
    <row r="4299">
      <c r="A4299" t="inlineStr">
        <is>
          <t>SOCIETE C198</t>
        </is>
      </c>
      <c r="B4299" t="inlineStr">
        <is>
          <t>C198</t>
        </is>
      </c>
      <c r="C4299" t="inlineStr">
        <is>
          <t>CONSUMER BANKING</t>
        </is>
      </c>
      <c r="D4299" t="inlineStr">
        <is>
          <t>IV</t>
        </is>
      </c>
      <c r="E4299" t="inlineStr">
        <is>
          <t>Stage 3</t>
        </is>
      </c>
      <c r="F4299" t="inlineStr">
        <is>
          <t>N/A</t>
        </is>
      </c>
      <c r="G4299" s="26">
        <v>1534081682</v>
      </c>
      <c r="H4299" s="26">
        <v>843744925</v>
      </c>
      <c r="I4299" s="26">
        <v>0</v>
      </c>
      <c r="J4299" s="26">
        <v>328</v>
      </c>
      <c r="K4299" t="inlineStr">
        <is>
          <t>Oui</t>
        </is>
      </c>
      <c r="L4299">
        <f>SUBTOTAL(103,A4299)</f>
        <v>1</v>
      </c>
    </row>
    <row r="4300">
      <c r="A4300" t="inlineStr">
        <is>
          <t>SOCIETE C1118</t>
        </is>
      </c>
      <c r="B4300" t="inlineStr">
        <is>
          <t>C1118</t>
        </is>
      </c>
      <c r="C4300" t="inlineStr">
        <is>
          <t>COMMERCIAL BANKING</t>
        </is>
      </c>
      <c r="D4300" t="inlineStr">
        <is>
          <t>IV</t>
        </is>
      </c>
      <c r="E4300" t="inlineStr">
        <is>
          <t>Stage 3</t>
        </is>
      </c>
      <c r="F4300" t="inlineStr">
        <is>
          <t>N/A</t>
        </is>
      </c>
      <c r="G4300" s="26">
        <v>247473046</v>
      </c>
      <c r="H4300" s="26">
        <v>136110175</v>
      </c>
      <c r="I4300" s="26">
        <v>133506</v>
      </c>
      <c r="J4300" s="26">
        <v>130</v>
      </c>
      <c r="K4300" t="inlineStr">
        <is>
          <t>Oui</t>
        </is>
      </c>
      <c r="L4300">
        <f>SUBTOTAL(103,A4300)</f>
        <v>1</v>
      </c>
    </row>
    <row r="4301">
      <c r="A4301" t="inlineStr">
        <is>
          <t>SOCIETE C122</t>
        </is>
      </c>
      <c r="B4301" t="inlineStr">
        <is>
          <t>C122</t>
        </is>
      </c>
      <c r="C4301" t="inlineStr">
        <is>
          <t>COMMERCIAL BANKING</t>
        </is>
      </c>
      <c r="D4301" t="inlineStr">
        <is>
          <t>IA</t>
        </is>
      </c>
      <c r="E4301" t="inlineStr">
        <is>
          <t>Stage 2</t>
        </is>
      </c>
      <c r="F4301" t="inlineStr">
        <is>
          <t>N/A</t>
        </is>
      </c>
      <c r="G4301" s="26">
        <v>280481449</v>
      </c>
      <c r="H4301" s="26">
        <v>16828887</v>
      </c>
      <c r="I4301" s="26">
        <v>37071423</v>
      </c>
      <c r="J4301" s="26">
        <v>4</v>
      </c>
      <c r="K4301" t="inlineStr">
        <is>
          <t>Non</t>
        </is>
      </c>
      <c r="L4301">
        <f>SUBTOTAL(103,A4301)</f>
        <v>1</v>
      </c>
    </row>
    <row r="4302">
      <c r="A4302" t="inlineStr">
        <is>
          <t>SOCIETE C1012</t>
        </is>
      </c>
      <c r="B4302" t="inlineStr">
        <is>
          <t>C1012</t>
        </is>
      </c>
      <c r="C4302" t="inlineStr">
        <is>
          <t>COMMERCIAL BANKING</t>
        </is>
      </c>
      <c r="D4302" t="inlineStr">
        <is>
          <t>I</t>
        </is>
      </c>
      <c r="E4302" t="inlineStr">
        <is>
          <t>Stage 1</t>
        </is>
      </c>
      <c r="F4302" t="inlineStr">
        <is>
          <t>N/A</t>
        </is>
      </c>
      <c r="G4302" s="26">
        <v>1348813262</v>
      </c>
      <c r="H4302" s="26">
        <v>13488133</v>
      </c>
      <c r="I4302" s="26">
        <v>0</v>
      </c>
      <c r="J4302" s="26">
        <v>44</v>
      </c>
      <c r="K4302" t="inlineStr">
        <is>
          <t>Non</t>
        </is>
      </c>
      <c r="L4302">
        <f>SUBTOTAL(103,A4302)</f>
        <v>1</v>
      </c>
    </row>
    <row r="4303">
      <c r="A4303" t="inlineStr">
        <is>
          <t>SOCIETE C1743</t>
        </is>
      </c>
      <c r="B4303" t="inlineStr">
        <is>
          <t>C1743</t>
        </is>
      </c>
      <c r="C4303" t="inlineStr">
        <is>
          <t>CORPORATE BANKING</t>
        </is>
      </c>
      <c r="D4303" t="inlineStr">
        <is>
          <t>IA</t>
        </is>
      </c>
      <c r="E4303" t="inlineStr">
        <is>
          <t>Stage 2</t>
        </is>
      </c>
      <c r="F4303" t="inlineStr">
        <is>
          <t>N/A</t>
        </is>
      </c>
      <c r="G4303" s="26">
        <v>10834409</v>
      </c>
      <c r="H4303" s="26">
        <v>650065</v>
      </c>
      <c r="I4303" s="26">
        <v>0</v>
      </c>
      <c r="J4303" s="26">
        <v>22</v>
      </c>
      <c r="K4303" t="inlineStr">
        <is>
          <t>Non</t>
        </is>
      </c>
      <c r="L4303">
        <f>SUBTOTAL(103,A4303)</f>
        <v>1</v>
      </c>
    </row>
    <row r="4304">
      <c r="A4304" t="inlineStr">
        <is>
          <t>SOCIETE C1112</t>
        </is>
      </c>
      <c r="B4304" t="inlineStr">
        <is>
          <t>C1112</t>
        </is>
      </c>
      <c r="C4304" t="inlineStr">
        <is>
          <t>CORPORATE BANKING</t>
        </is>
      </c>
      <c r="D4304" t="inlineStr">
        <is>
          <t>I</t>
        </is>
      </c>
      <c r="E4304" t="inlineStr">
        <is>
          <t>Stage 1</t>
        </is>
      </c>
      <c r="F4304" t="inlineStr">
        <is>
          <t>N/A</t>
        </is>
      </c>
      <c r="G4304" s="26">
        <v>1666184430</v>
      </c>
      <c r="H4304" s="26">
        <v>16661844</v>
      </c>
      <c r="I4304" s="26">
        <v>97960192</v>
      </c>
      <c r="J4304" s="26">
        <v>44</v>
      </c>
      <c r="K4304" t="inlineStr">
        <is>
          <t>Non</t>
        </is>
      </c>
      <c r="L4304">
        <f>SUBTOTAL(103,A4304)</f>
        <v>1</v>
      </c>
    </row>
    <row r="4305">
      <c r="A4305" t="inlineStr">
        <is>
          <t>SOCIETE C2376</t>
        </is>
      </c>
      <c r="B4305" t="inlineStr">
        <is>
          <t>C2376</t>
        </is>
      </c>
      <c r="C4305" t="inlineStr">
        <is>
          <t>SME</t>
        </is>
      </c>
      <c r="D4305" t="inlineStr">
        <is>
          <t>II</t>
        </is>
      </c>
      <c r="E4305" t="inlineStr">
        <is>
          <t>Stage 2</t>
        </is>
      </c>
      <c r="F4305" t="inlineStr">
        <is>
          <t>N/A</t>
        </is>
      </c>
      <c r="G4305" s="26">
        <v>8829120</v>
      </c>
      <c r="H4305" s="26">
        <v>529747</v>
      </c>
      <c r="I4305" s="26">
        <v>745137</v>
      </c>
      <c r="J4305" s="26">
        <v>19</v>
      </c>
      <c r="K4305" t="inlineStr">
        <is>
          <t>Non</t>
        </is>
      </c>
      <c r="L4305">
        <f>SUBTOTAL(103,A4305)</f>
        <v>1</v>
      </c>
    </row>
    <row r="4306">
      <c r="A4306" t="inlineStr">
        <is>
          <t>SOCIETE C1951</t>
        </is>
      </c>
      <c r="B4306" t="inlineStr">
        <is>
          <t>C1951</t>
        </is>
      </c>
      <c r="C4306" t="inlineStr">
        <is>
          <t>CONSUMER BANKING</t>
        </is>
      </c>
      <c r="D4306" t="inlineStr">
        <is>
          <t>I</t>
        </is>
      </c>
      <c r="E4306" t="inlineStr">
        <is>
          <t>Stage 1</t>
        </is>
      </c>
      <c r="F4306" t="inlineStr">
        <is>
          <t>N/A</t>
        </is>
      </c>
      <c r="G4306" s="26">
        <v>2191246220</v>
      </c>
      <c r="H4306" s="26">
        <v>21912462</v>
      </c>
      <c r="I4306" s="26">
        <v>0</v>
      </c>
      <c r="J4306" s="26">
        <v>17</v>
      </c>
      <c r="K4306" t="inlineStr">
        <is>
          <t>Non</t>
        </is>
      </c>
      <c r="L4306">
        <f>SUBTOTAL(103,A4306)</f>
        <v>1</v>
      </c>
    </row>
    <row r="4307">
      <c r="A4307" t="inlineStr">
        <is>
          <t>SOCIETE C2407</t>
        </is>
      </c>
      <c r="B4307" t="inlineStr">
        <is>
          <t>C2407</t>
        </is>
      </c>
      <c r="C4307" t="inlineStr">
        <is>
          <t>CORPORATE BANKING</t>
        </is>
      </c>
      <c r="D4307" t="inlineStr">
        <is>
          <t>II</t>
        </is>
      </c>
      <c r="E4307" t="inlineStr">
        <is>
          <t>Stage 2</t>
        </is>
      </c>
      <c r="F4307" t="inlineStr">
        <is>
          <t>N/A</t>
        </is>
      </c>
      <c r="G4307" s="26">
        <v>1883518028</v>
      </c>
      <c r="H4307" s="26">
        <v>113011082</v>
      </c>
      <c r="I4307" s="26">
        <v>0</v>
      </c>
      <c r="J4307" s="26">
        <v>208</v>
      </c>
      <c r="K4307" t="inlineStr">
        <is>
          <t>Non</t>
        </is>
      </c>
      <c r="L4307">
        <f>SUBTOTAL(103,A4307)</f>
        <v>1</v>
      </c>
    </row>
    <row r="4308">
      <c r="A4308" t="inlineStr">
        <is>
          <t>SOCIETE C1666</t>
        </is>
      </c>
      <c r="B4308" t="inlineStr">
        <is>
          <t>C1666</t>
        </is>
      </c>
      <c r="C4308" t="inlineStr">
        <is>
          <t>CORPORATE BANKING</t>
        </is>
      </c>
      <c r="D4308" t="inlineStr">
        <is>
          <t>III</t>
        </is>
      </c>
      <c r="E4308" t="inlineStr">
        <is>
          <t>Stage 3</t>
        </is>
      </c>
      <c r="F4308" t="inlineStr">
        <is>
          <t>N/A</t>
        </is>
      </c>
      <c r="G4308" s="26">
        <v>188399166</v>
      </c>
      <c r="H4308" s="26">
        <v>103619541</v>
      </c>
      <c r="I4308" s="26">
        <v>0</v>
      </c>
      <c r="J4308" s="26">
        <v>32</v>
      </c>
      <c r="K4308" t="inlineStr">
        <is>
          <t>Oui</t>
        </is>
      </c>
      <c r="L4308">
        <f>SUBTOTAL(103,A4308)</f>
        <v>1</v>
      </c>
    </row>
    <row r="4309">
      <c r="A4309" t="inlineStr">
        <is>
          <t>SOCIETE C1303</t>
        </is>
      </c>
      <c r="B4309" t="inlineStr">
        <is>
          <t>C1303</t>
        </is>
      </c>
      <c r="C4309" t="inlineStr">
        <is>
          <t>CONSUMER BANKING</t>
        </is>
      </c>
      <c r="D4309" t="inlineStr">
        <is>
          <t>I</t>
        </is>
      </c>
      <c r="E4309" t="inlineStr">
        <is>
          <t>Stage 1</t>
        </is>
      </c>
      <c r="F4309" t="inlineStr">
        <is>
          <t>N/A</t>
        </is>
      </c>
      <c r="G4309" s="26">
        <v>241557670</v>
      </c>
      <c r="H4309" s="26">
        <v>2415577</v>
      </c>
      <c r="I4309" s="26">
        <v>0</v>
      </c>
      <c r="J4309" s="26">
        <v>13</v>
      </c>
      <c r="K4309" t="inlineStr">
        <is>
          <t>Non</t>
        </is>
      </c>
      <c r="L4309">
        <f>SUBTOTAL(103,A4309)</f>
        <v>1</v>
      </c>
    </row>
    <row r="4310">
      <c r="A4310" t="inlineStr">
        <is>
          <t>SOCIETE C1263</t>
        </is>
      </c>
      <c r="B4310" t="inlineStr">
        <is>
          <t>C1263</t>
        </is>
      </c>
      <c r="C4310" t="inlineStr">
        <is>
          <t>CONSUMER BANKING</t>
        </is>
      </c>
      <c r="D4310" t="inlineStr">
        <is>
          <t>V</t>
        </is>
      </c>
      <c r="E4310" t="inlineStr">
        <is>
          <t>Stage 3</t>
        </is>
      </c>
      <c r="F4310" t="inlineStr">
        <is>
          <t>N/A</t>
        </is>
      </c>
      <c r="G4310" s="26">
        <v>1376358514</v>
      </c>
      <c r="H4310" s="26">
        <v>756997183</v>
      </c>
      <c r="I4310" s="26">
        <v>0</v>
      </c>
      <c r="J4310" s="26">
        <v>285</v>
      </c>
      <c r="K4310" t="inlineStr">
        <is>
          <t>Oui</t>
        </is>
      </c>
      <c r="L4310">
        <f>SUBTOTAL(103,A4310)</f>
        <v>1</v>
      </c>
    </row>
    <row r="4311">
      <c r="A4311" t="inlineStr">
        <is>
          <t>SOCIETE C629</t>
        </is>
      </c>
      <c r="B4311" t="inlineStr">
        <is>
          <t>C629</t>
        </is>
      </c>
      <c r="C4311" t="inlineStr">
        <is>
          <t>CORPORATE BANKING</t>
        </is>
      </c>
      <c r="D4311" t="inlineStr">
        <is>
          <t>I</t>
        </is>
      </c>
      <c r="E4311" t="inlineStr">
        <is>
          <t>Stage 1</t>
        </is>
      </c>
      <c r="F4311" t="inlineStr">
        <is>
          <t>N/A</t>
        </is>
      </c>
      <c r="G4311" s="26">
        <v>187102626</v>
      </c>
      <c r="H4311" s="26">
        <v>1871026</v>
      </c>
      <c r="I4311" s="26">
        <v>0</v>
      </c>
      <c r="J4311" s="26">
        <v>137</v>
      </c>
      <c r="K4311" t="inlineStr">
        <is>
          <t>Non</t>
        </is>
      </c>
      <c r="L4311">
        <f>SUBTOTAL(103,A4311)</f>
        <v>1</v>
      </c>
    </row>
    <row r="4312">
      <c r="A4312" t="inlineStr">
        <is>
          <t>SOCIETE C2215</t>
        </is>
      </c>
      <c r="B4312" t="inlineStr">
        <is>
          <t>C2215</t>
        </is>
      </c>
      <c r="C4312" t="inlineStr">
        <is>
          <t>CORPORATE BANKING</t>
        </is>
      </c>
      <c r="D4312" t="inlineStr">
        <is>
          <t>IA</t>
        </is>
      </c>
      <c r="E4312" t="inlineStr">
        <is>
          <t>Stage 2</t>
        </is>
      </c>
      <c r="F4312" t="inlineStr">
        <is>
          <t>N/A</t>
        </is>
      </c>
      <c r="G4312" s="26">
        <v>1471313</v>
      </c>
      <c r="H4312" s="26">
        <v>88279</v>
      </c>
      <c r="I4312" s="26">
        <v>64460</v>
      </c>
      <c r="J4312" s="26">
        <v>125</v>
      </c>
      <c r="K4312" t="inlineStr">
        <is>
          <t>Non</t>
        </is>
      </c>
      <c r="L4312">
        <f>SUBTOTAL(103,A4312)</f>
        <v>1</v>
      </c>
    </row>
    <row r="4313">
      <c r="A4313" t="inlineStr">
        <is>
          <t>SOCIETE C854</t>
        </is>
      </c>
      <c r="B4313" t="inlineStr">
        <is>
          <t>C854</t>
        </is>
      </c>
      <c r="C4313" t="inlineStr">
        <is>
          <t>CORPORATE BANKING</t>
        </is>
      </c>
      <c r="D4313" t="inlineStr">
        <is>
          <t>I</t>
        </is>
      </c>
      <c r="E4313" t="inlineStr">
        <is>
          <t>Stage 1</t>
        </is>
      </c>
      <c r="F4313" t="inlineStr">
        <is>
          <t>N/A</t>
        </is>
      </c>
      <c r="G4313" s="26">
        <v>2871365556</v>
      </c>
      <c r="H4313" s="26">
        <v>28713656</v>
      </c>
      <c r="I4313" s="26">
        <v>0</v>
      </c>
      <c r="J4313" s="26">
        <v>108</v>
      </c>
      <c r="K4313" t="inlineStr">
        <is>
          <t>Non</t>
        </is>
      </c>
      <c r="L4313">
        <f>SUBTOTAL(103,A4313)</f>
        <v>1</v>
      </c>
    </row>
    <row r="4314">
      <c r="A4314" t="inlineStr">
        <is>
          <t>SOCIETE C776</t>
        </is>
      </c>
      <c r="B4314" t="inlineStr">
        <is>
          <t>C776</t>
        </is>
      </c>
      <c r="C4314" t="inlineStr">
        <is>
          <t>CORPORATE BANKING</t>
        </is>
      </c>
      <c r="D4314" t="inlineStr">
        <is>
          <t>I</t>
        </is>
      </c>
      <c r="E4314" t="inlineStr">
        <is>
          <t>Stage 1</t>
        </is>
      </c>
      <c r="F4314" t="inlineStr">
        <is>
          <t>N/A</t>
        </is>
      </c>
      <c r="G4314" s="26">
        <v>186520787</v>
      </c>
      <c r="H4314" s="26">
        <v>1865208</v>
      </c>
      <c r="I4314" s="26">
        <v>0</v>
      </c>
      <c r="J4314" s="26">
        <v>8</v>
      </c>
      <c r="K4314" t="inlineStr">
        <is>
          <t>Non</t>
        </is>
      </c>
      <c r="L4314">
        <f>SUBTOTAL(103,A4314)</f>
        <v>1</v>
      </c>
    </row>
    <row r="4315">
      <c r="A4315" t="inlineStr">
        <is>
          <t>SOCIETE C991</t>
        </is>
      </c>
      <c r="B4315" t="inlineStr">
        <is>
          <t>C991</t>
        </is>
      </c>
      <c r="C4315" t="inlineStr">
        <is>
          <t>CORPORATE BANKING</t>
        </is>
      </c>
      <c r="D4315" t="inlineStr">
        <is>
          <t>IA</t>
        </is>
      </c>
      <c r="E4315" t="inlineStr">
        <is>
          <t>Stage 2</t>
        </is>
      </c>
      <c r="F4315" t="inlineStr">
        <is>
          <t>N/A</t>
        </is>
      </c>
      <c r="G4315" s="26">
        <v>211250431</v>
      </c>
      <c r="H4315" s="26">
        <v>12675026</v>
      </c>
      <c r="I4315" s="26">
        <v>19487263</v>
      </c>
      <c r="J4315" s="26">
        <v>175</v>
      </c>
      <c r="K4315" t="inlineStr">
        <is>
          <t>Non</t>
        </is>
      </c>
      <c r="L4315">
        <f>SUBTOTAL(103,A4315)</f>
        <v>1</v>
      </c>
    </row>
    <row r="4316">
      <c r="A4316" t="inlineStr">
        <is>
          <t>SOCIETE C238</t>
        </is>
      </c>
      <c r="B4316" t="inlineStr">
        <is>
          <t>C238</t>
        </is>
      </c>
      <c r="C4316" t="inlineStr">
        <is>
          <t>CORPORATE BANKING</t>
        </is>
      </c>
      <c r="D4316" t="inlineStr">
        <is>
          <t>IA</t>
        </is>
      </c>
      <c r="E4316" t="inlineStr">
        <is>
          <t>Stage 2</t>
        </is>
      </c>
      <c r="F4316" t="inlineStr">
        <is>
          <t>N/A</t>
        </is>
      </c>
      <c r="G4316" s="26">
        <v>3593595</v>
      </c>
      <c r="H4316" s="26">
        <v>215616</v>
      </c>
      <c r="I4316" s="26">
        <v>563055</v>
      </c>
      <c r="J4316" s="26">
        <v>131</v>
      </c>
      <c r="K4316" t="inlineStr">
        <is>
          <t>Non</t>
        </is>
      </c>
      <c r="L4316">
        <f>SUBTOTAL(103,A4316)</f>
        <v>1</v>
      </c>
    </row>
    <row r="4317">
      <c r="A4317" t="inlineStr">
        <is>
          <t>SOCIETE C666</t>
        </is>
      </c>
      <c r="B4317" t="inlineStr">
        <is>
          <t>C666</t>
        </is>
      </c>
      <c r="C4317" t="inlineStr">
        <is>
          <t>CORPORATE BANKING</t>
        </is>
      </c>
      <c r="D4317" t="inlineStr">
        <is>
          <t>III</t>
        </is>
      </c>
      <c r="E4317" t="inlineStr">
        <is>
          <t>Stage 3</t>
        </is>
      </c>
      <c r="F4317" t="inlineStr">
        <is>
          <t>N/A</t>
        </is>
      </c>
      <c r="G4317" s="26">
        <v>197008786</v>
      </c>
      <c r="H4317" s="26">
        <v>108354832</v>
      </c>
      <c r="I4317" s="26">
        <v>13665266</v>
      </c>
      <c r="J4317" s="26">
        <v>18</v>
      </c>
      <c r="K4317" t="inlineStr">
        <is>
          <t>Oui</t>
        </is>
      </c>
      <c r="L4317">
        <f>SUBTOTAL(103,A4317)</f>
        <v>1</v>
      </c>
    </row>
    <row r="4318">
      <c r="A4318" t="inlineStr">
        <is>
          <t>SOCIETE C631</t>
        </is>
      </c>
      <c r="B4318" t="inlineStr">
        <is>
          <t>C631</t>
        </is>
      </c>
      <c r="C4318" t="inlineStr">
        <is>
          <t>CONSUMER BANKING</t>
        </is>
      </c>
      <c r="D4318" t="inlineStr">
        <is>
          <t>V</t>
        </is>
      </c>
      <c r="E4318" t="inlineStr">
        <is>
          <t>Stage 3</t>
        </is>
      </c>
      <c r="F4318" t="inlineStr">
        <is>
          <t>N/A</t>
        </is>
      </c>
      <c r="G4318" s="26">
        <v>2951608260</v>
      </c>
      <c r="H4318" s="26">
        <v>1623384543</v>
      </c>
      <c r="I4318" s="26">
        <v>0</v>
      </c>
      <c r="J4318" s="26">
        <v>69</v>
      </c>
      <c r="K4318" t="inlineStr">
        <is>
          <t>Oui</t>
        </is>
      </c>
      <c r="L4318">
        <f>SUBTOTAL(103,A4318)</f>
        <v>1</v>
      </c>
    </row>
    <row r="4319">
      <c r="A4319" t="inlineStr">
        <is>
          <t>SOCIETE C739</t>
        </is>
      </c>
      <c r="B4319" t="inlineStr">
        <is>
          <t>C739</t>
        </is>
      </c>
      <c r="C4319" t="inlineStr">
        <is>
          <t>CONSUMER BANKING</t>
        </is>
      </c>
      <c r="D4319" t="inlineStr">
        <is>
          <t>IV</t>
        </is>
      </c>
      <c r="E4319" t="inlineStr">
        <is>
          <t>Stage 3</t>
        </is>
      </c>
      <c r="F4319" t="inlineStr">
        <is>
          <t>N/A</t>
        </is>
      </c>
      <c r="G4319" s="26">
        <v>2065652</v>
      </c>
      <c r="H4319" s="26">
        <v>1136109</v>
      </c>
      <c r="I4319" s="26">
        <v>307988</v>
      </c>
      <c r="J4319" s="26">
        <v>81</v>
      </c>
      <c r="K4319" t="inlineStr">
        <is>
          <t>Oui</t>
        </is>
      </c>
      <c r="L4319">
        <f>SUBTOTAL(103,A4319)</f>
        <v>1</v>
      </c>
    </row>
    <row r="4320">
      <c r="A4320" t="inlineStr">
        <is>
          <t>SOCIETE C2109</t>
        </is>
      </c>
      <c r="B4320" t="inlineStr">
        <is>
          <t>C2109</t>
        </is>
      </c>
      <c r="C4320" t="inlineStr">
        <is>
          <t>CORPORATE BANKING</t>
        </is>
      </c>
      <c r="D4320" t="inlineStr">
        <is>
          <t>III</t>
        </is>
      </c>
      <c r="E4320" t="inlineStr">
        <is>
          <t>Stage 3</t>
        </is>
      </c>
      <c r="F4320" t="inlineStr">
        <is>
          <t>N/A</t>
        </is>
      </c>
      <c r="G4320" s="26">
        <v>230414795</v>
      </c>
      <c r="H4320" s="26">
        <v>126728137</v>
      </c>
      <c r="I4320" s="26">
        <v>25244699</v>
      </c>
      <c r="J4320" s="26">
        <v>8</v>
      </c>
      <c r="K4320" t="inlineStr">
        <is>
          <t>Oui</t>
        </is>
      </c>
      <c r="L4320">
        <f>SUBTOTAL(103,A4320)</f>
        <v>1</v>
      </c>
    </row>
    <row r="4321">
      <c r="A4321" t="inlineStr">
        <is>
          <t>SOCIETE C1244</t>
        </is>
      </c>
      <c r="B4321" t="inlineStr">
        <is>
          <t>C1244</t>
        </is>
      </c>
      <c r="C4321" t="inlineStr">
        <is>
          <t>CORPORATE BANKING</t>
        </is>
      </c>
      <c r="D4321" t="inlineStr">
        <is>
          <t>I</t>
        </is>
      </c>
      <c r="E4321" t="inlineStr">
        <is>
          <t>Stage 1</t>
        </is>
      </c>
      <c r="F4321" t="inlineStr">
        <is>
          <t>N/A</t>
        </is>
      </c>
      <c r="G4321" s="26">
        <v>1123649561</v>
      </c>
      <c r="H4321" s="26">
        <v>11236496</v>
      </c>
      <c r="I4321" s="26">
        <v>0</v>
      </c>
      <c r="J4321" s="26">
        <v>112</v>
      </c>
      <c r="K4321" t="inlineStr">
        <is>
          <t>Non</t>
        </is>
      </c>
      <c r="L4321">
        <f>SUBTOTAL(103,A4321)</f>
        <v>1</v>
      </c>
    </row>
    <row r="4322">
      <c r="A4322" t="inlineStr">
        <is>
          <t>SOCIETE C1909</t>
        </is>
      </c>
      <c r="B4322" t="inlineStr">
        <is>
          <t>C1909</t>
        </is>
      </c>
      <c r="C4322" t="inlineStr">
        <is>
          <t>CORPORATE BANKING</t>
        </is>
      </c>
      <c r="D4322" t="inlineStr">
        <is>
          <t>V</t>
        </is>
      </c>
      <c r="E4322" t="inlineStr">
        <is>
          <t>Stage 3</t>
        </is>
      </c>
      <c r="F4322" t="inlineStr">
        <is>
          <t>N/A</t>
        </is>
      </c>
      <c r="G4322" s="26">
        <v>817254685</v>
      </c>
      <c r="H4322" s="26">
        <v>449490077</v>
      </c>
      <c r="I4322" s="26">
        <v>0</v>
      </c>
      <c r="J4322" s="26">
        <v>5</v>
      </c>
      <c r="K4322" t="inlineStr">
        <is>
          <t>Oui</t>
        </is>
      </c>
      <c r="L4322">
        <f>SUBTOTAL(103,A4322)</f>
        <v>1</v>
      </c>
    </row>
    <row r="4323">
      <c r="A4323" t="inlineStr">
        <is>
          <t>SOCIETE C2298</t>
        </is>
      </c>
      <c r="B4323" t="inlineStr">
        <is>
          <t>C2298</t>
        </is>
      </c>
      <c r="C4323" t="inlineStr">
        <is>
          <t>CORPORATE BANKING</t>
        </is>
      </c>
      <c r="D4323" t="inlineStr">
        <is>
          <t>I</t>
        </is>
      </c>
      <c r="E4323" t="inlineStr">
        <is>
          <t>Stage 1</t>
        </is>
      </c>
      <c r="F4323" t="inlineStr">
        <is>
          <t>N/A</t>
        </is>
      </c>
      <c r="G4323" s="26">
        <v>48182551</v>
      </c>
      <c r="H4323" s="26">
        <v>481826</v>
      </c>
      <c r="I4323" s="26">
        <v>0</v>
      </c>
      <c r="J4323" s="26">
        <v>41</v>
      </c>
      <c r="K4323" t="inlineStr">
        <is>
          <t>Non</t>
        </is>
      </c>
      <c r="L4323">
        <f>SUBTOTAL(103,A4323)</f>
        <v>1</v>
      </c>
    </row>
    <row r="4324">
      <c r="A4324" t="inlineStr">
        <is>
          <t>SOCIETE C2084</t>
        </is>
      </c>
      <c r="B4324" t="inlineStr">
        <is>
          <t>C2084</t>
        </is>
      </c>
      <c r="C4324" t="inlineStr">
        <is>
          <t>CORPORATE BANKING</t>
        </is>
      </c>
      <c r="D4324" t="inlineStr">
        <is>
          <t>I</t>
        </is>
      </c>
      <c r="E4324" t="inlineStr">
        <is>
          <t>Stage 1</t>
        </is>
      </c>
      <c r="F4324" t="inlineStr">
        <is>
          <t>N/A</t>
        </is>
      </c>
      <c r="G4324" s="26">
        <v>1654777741</v>
      </c>
      <c r="H4324" s="26">
        <v>16547777</v>
      </c>
      <c r="I4324" s="26">
        <v>0</v>
      </c>
      <c r="J4324" s="26">
        <v>148</v>
      </c>
      <c r="K4324" t="inlineStr">
        <is>
          <t>Non</t>
        </is>
      </c>
      <c r="L4324">
        <f>SUBTOTAL(103,A4324)</f>
        <v>1</v>
      </c>
    </row>
    <row r="4325">
      <c r="A4325" t="inlineStr">
        <is>
          <t>SOCIETE C2095</t>
        </is>
      </c>
      <c r="B4325" t="inlineStr">
        <is>
          <t>C2095</t>
        </is>
      </c>
      <c r="C4325" t="inlineStr">
        <is>
          <t>CORPORATE BANKING</t>
        </is>
      </c>
      <c r="D4325" t="inlineStr">
        <is>
          <t>I</t>
        </is>
      </c>
      <c r="E4325" t="inlineStr">
        <is>
          <t>Stage 1</t>
        </is>
      </c>
      <c r="F4325" t="inlineStr">
        <is>
          <t>N/A</t>
        </is>
      </c>
      <c r="G4325" s="26">
        <v>2344958398</v>
      </c>
      <c r="H4325" s="26">
        <v>23449584</v>
      </c>
      <c r="I4325" s="26">
        <v>0</v>
      </c>
      <c r="J4325" s="26">
        <v>104</v>
      </c>
      <c r="K4325" t="inlineStr">
        <is>
          <t>Non</t>
        </is>
      </c>
      <c r="L4325">
        <f>SUBTOTAL(103,A4325)</f>
        <v>1</v>
      </c>
    </row>
    <row r="4326">
      <c r="A4326" t="inlineStr">
        <is>
          <t>SOCIETE C1043</t>
        </is>
      </c>
      <c r="B4326" t="inlineStr">
        <is>
          <t>C1043</t>
        </is>
      </c>
      <c r="C4326" t="inlineStr">
        <is>
          <t>CORPORATE BANKING</t>
        </is>
      </c>
      <c r="D4326" t="inlineStr">
        <is>
          <t>I</t>
        </is>
      </c>
      <c r="E4326" t="inlineStr">
        <is>
          <t>Stage 1</t>
        </is>
      </c>
      <c r="F4326" t="inlineStr">
        <is>
          <t>N/A</t>
        </is>
      </c>
      <c r="G4326" s="26">
        <v>149022163</v>
      </c>
      <c r="H4326" s="26">
        <v>1490222</v>
      </c>
      <c r="I4326" s="26">
        <v>0</v>
      </c>
      <c r="J4326" s="26">
        <v>14</v>
      </c>
      <c r="K4326" t="inlineStr">
        <is>
          <t>Non</t>
        </is>
      </c>
      <c r="L4326">
        <f>SUBTOTAL(103,A4326)</f>
        <v>1</v>
      </c>
    </row>
    <row r="4327">
      <c r="A4327" t="inlineStr">
        <is>
          <t>SOCIETE C389</t>
        </is>
      </c>
      <c r="B4327" t="inlineStr">
        <is>
          <t>C389</t>
        </is>
      </c>
      <c r="C4327" t="inlineStr">
        <is>
          <t>CORPORATE BANKING</t>
        </is>
      </c>
      <c r="D4327" t="inlineStr">
        <is>
          <t>V</t>
        </is>
      </c>
      <c r="E4327" t="inlineStr">
        <is>
          <t>Stage 3</t>
        </is>
      </c>
      <c r="F4327" t="inlineStr">
        <is>
          <t>N/A</t>
        </is>
      </c>
      <c r="G4327" s="26">
        <v>581682030</v>
      </c>
      <c r="H4327" s="26">
        <v>319925117</v>
      </c>
      <c r="I4327" s="26">
        <v>96073712</v>
      </c>
      <c r="J4327" s="26">
        <v>123</v>
      </c>
      <c r="K4327" t="inlineStr">
        <is>
          <t>Oui</t>
        </is>
      </c>
      <c r="L4327">
        <f>SUBTOTAL(103,A4327)</f>
        <v>1</v>
      </c>
    </row>
    <row r="4328">
      <c r="A4328" t="inlineStr">
        <is>
          <t>SOCIETE C707</t>
        </is>
      </c>
      <c r="B4328" t="inlineStr">
        <is>
          <t>C707</t>
        </is>
      </c>
      <c r="C4328" t="inlineStr">
        <is>
          <t>COMMERCIAL BANKING</t>
        </is>
      </c>
      <c r="D4328" t="inlineStr">
        <is>
          <t>IA</t>
        </is>
      </c>
      <c r="E4328" t="inlineStr">
        <is>
          <t>Stage 2</t>
        </is>
      </c>
      <c r="F4328" t="inlineStr">
        <is>
          <t>N/A</t>
        </is>
      </c>
      <c r="G4328" s="26">
        <v>1784559664</v>
      </c>
      <c r="H4328" s="26">
        <v>107073580</v>
      </c>
      <c r="I4328" s="26">
        <v>192672817</v>
      </c>
      <c r="J4328" s="26">
        <v>252</v>
      </c>
      <c r="K4328" t="inlineStr">
        <is>
          <t>Non</t>
        </is>
      </c>
      <c r="L4328">
        <f>SUBTOTAL(103,A4328)</f>
        <v>1</v>
      </c>
    </row>
    <row r="4329">
      <c r="A4329" t="inlineStr">
        <is>
          <t>SOCIETE C894</t>
        </is>
      </c>
      <c r="B4329" t="inlineStr">
        <is>
          <t>C894</t>
        </is>
      </c>
      <c r="C4329" t="inlineStr">
        <is>
          <t>PUBLIC SECTOR</t>
        </is>
      </c>
      <c r="D4329" t="inlineStr">
        <is>
          <t>II</t>
        </is>
      </c>
      <c r="E4329" t="inlineStr">
        <is>
          <t>Stage 2</t>
        </is>
      </c>
      <c r="F4329" t="inlineStr">
        <is>
          <t>N/A</t>
        </is>
      </c>
      <c r="G4329" s="26">
        <v>2240048646</v>
      </c>
      <c r="H4329" s="26">
        <v>134402919</v>
      </c>
      <c r="I4329" s="26">
        <v>0</v>
      </c>
      <c r="J4329" s="26">
        <v>36</v>
      </c>
      <c r="K4329" t="inlineStr">
        <is>
          <t>Non</t>
        </is>
      </c>
      <c r="L4329">
        <f>SUBTOTAL(103,A4329)</f>
        <v>1</v>
      </c>
    </row>
    <row r="4330">
      <c r="A4330" t="inlineStr">
        <is>
          <t>SOCIETE C1436</t>
        </is>
      </c>
      <c r="B4330" t="inlineStr">
        <is>
          <t>C1436</t>
        </is>
      </c>
      <c r="C4330" t="inlineStr">
        <is>
          <t>CONSUMER BANKING</t>
        </is>
      </c>
      <c r="D4330" t="inlineStr">
        <is>
          <t>IA</t>
        </is>
      </c>
      <c r="E4330" t="inlineStr">
        <is>
          <t>Stage 2</t>
        </is>
      </c>
      <c r="F4330" t="inlineStr">
        <is>
          <t>N/A</t>
        </is>
      </c>
      <c r="G4330" s="26">
        <v>1294796</v>
      </c>
      <c r="H4330" s="26">
        <v>77688</v>
      </c>
      <c r="I4330" s="26">
        <v>111257</v>
      </c>
      <c r="J4330" s="26">
        <v>164</v>
      </c>
      <c r="K4330" t="inlineStr">
        <is>
          <t>Non</t>
        </is>
      </c>
      <c r="L4330">
        <f>SUBTOTAL(103,A4330)</f>
        <v>1</v>
      </c>
    </row>
    <row r="4331">
      <c r="A4331" t="inlineStr">
        <is>
          <t>SOCIETE C233</t>
        </is>
      </c>
      <c r="B4331" t="inlineStr">
        <is>
          <t>C233</t>
        </is>
      </c>
      <c r="C4331" t="inlineStr">
        <is>
          <t>CORPORATE BANKING</t>
        </is>
      </c>
      <c r="D4331" t="inlineStr">
        <is>
          <t>IA</t>
        </is>
      </c>
      <c r="E4331" t="inlineStr">
        <is>
          <t>Stage 2</t>
        </is>
      </c>
      <c r="F4331" t="inlineStr">
        <is>
          <t>N/A</t>
        </is>
      </c>
      <c r="G4331" s="26">
        <v>1123815241</v>
      </c>
      <c r="H4331" s="26">
        <v>67428914</v>
      </c>
      <c r="I4331" s="26">
        <v>156906342</v>
      </c>
      <c r="J4331" s="26">
        <v>265</v>
      </c>
      <c r="K4331" t="inlineStr">
        <is>
          <t>Non</t>
        </is>
      </c>
      <c r="L4331">
        <f>SUBTOTAL(103,A4331)</f>
        <v>1</v>
      </c>
    </row>
    <row r="4332">
      <c r="A4332" t="inlineStr">
        <is>
          <t>SOCIETE C1822</t>
        </is>
      </c>
      <c r="B4332" t="inlineStr">
        <is>
          <t>C1822</t>
        </is>
      </c>
      <c r="C4332" t="inlineStr">
        <is>
          <t>PUBLIC SECTOR</t>
        </is>
      </c>
      <c r="D4332" t="inlineStr">
        <is>
          <t>III</t>
        </is>
      </c>
      <c r="E4332" t="inlineStr">
        <is>
          <t>Stage 3</t>
        </is>
      </c>
      <c r="F4332" t="inlineStr">
        <is>
          <t>N/A</t>
        </is>
      </c>
      <c r="G4332" s="26">
        <v>1740048881</v>
      </c>
      <c r="H4332" s="26">
        <v>957026884</v>
      </c>
      <c r="I4332" s="26">
        <v>0</v>
      </c>
      <c r="J4332" s="26">
        <v>241</v>
      </c>
      <c r="K4332" t="inlineStr">
        <is>
          <t>Oui</t>
        </is>
      </c>
      <c r="L4332">
        <f>SUBTOTAL(103,A4332)</f>
        <v>1</v>
      </c>
    </row>
    <row r="4333">
      <c r="A4333" t="inlineStr">
        <is>
          <t>SOCIETE C863</t>
        </is>
      </c>
      <c r="B4333" t="inlineStr">
        <is>
          <t>C863</t>
        </is>
      </c>
      <c r="C4333" t="inlineStr">
        <is>
          <t>CONSUMER BANKING</t>
        </is>
      </c>
      <c r="D4333" t="inlineStr">
        <is>
          <t>IA</t>
        </is>
      </c>
      <c r="E4333" t="inlineStr">
        <is>
          <t>Stage 2</t>
        </is>
      </c>
      <c r="F4333" t="inlineStr">
        <is>
          <t>N/A</t>
        </is>
      </c>
      <c r="G4333" s="26">
        <v>118538826</v>
      </c>
      <c r="H4333" s="26">
        <v>7112330</v>
      </c>
      <c r="I4333" s="26">
        <v>0</v>
      </c>
      <c r="J4333" s="26">
        <v>8</v>
      </c>
      <c r="K4333" t="inlineStr">
        <is>
          <t>Non</t>
        </is>
      </c>
      <c r="L4333">
        <f>SUBTOTAL(103,A4333)</f>
        <v>1</v>
      </c>
    </row>
    <row r="4334">
      <c r="A4334" t="inlineStr">
        <is>
          <t>SOCIETE C2402</t>
        </is>
      </c>
      <c r="B4334" t="inlineStr">
        <is>
          <t>C2402</t>
        </is>
      </c>
      <c r="C4334" t="inlineStr">
        <is>
          <t>CORPORATE BANKING</t>
        </is>
      </c>
      <c r="D4334" t="inlineStr">
        <is>
          <t>III</t>
        </is>
      </c>
      <c r="E4334" t="inlineStr">
        <is>
          <t>Stage 3</t>
        </is>
      </c>
      <c r="F4334" t="inlineStr">
        <is>
          <t>N/A</t>
        </is>
      </c>
      <c r="G4334" s="26">
        <v>441827710</v>
      </c>
      <c r="H4334" s="26">
        <v>243005241</v>
      </c>
      <c r="I4334" s="26">
        <v>0</v>
      </c>
      <c r="J4334" s="26">
        <v>89</v>
      </c>
      <c r="K4334" t="inlineStr">
        <is>
          <t>Oui</t>
        </is>
      </c>
      <c r="L4334">
        <f>SUBTOTAL(103,A4334)</f>
        <v>1</v>
      </c>
    </row>
    <row r="4335">
      <c r="A4335" t="inlineStr">
        <is>
          <t>SOCIETE C815</t>
        </is>
      </c>
      <c r="B4335" t="inlineStr">
        <is>
          <t>C815</t>
        </is>
      </c>
      <c r="C4335" t="inlineStr">
        <is>
          <t>CONSUMER BANKING</t>
        </is>
      </c>
      <c r="D4335" t="inlineStr">
        <is>
          <t>I</t>
        </is>
      </c>
      <c r="E4335" t="inlineStr">
        <is>
          <t>Stage 1</t>
        </is>
      </c>
      <c r="F4335" t="inlineStr">
        <is>
          <t>N/A</t>
        </is>
      </c>
      <c r="G4335" s="26">
        <v>1568998312</v>
      </c>
      <c r="H4335" s="26">
        <v>15689983</v>
      </c>
      <c r="I4335" s="26">
        <v>0</v>
      </c>
      <c r="J4335" s="26">
        <v>290</v>
      </c>
      <c r="K4335" t="inlineStr">
        <is>
          <t>Non</t>
        </is>
      </c>
      <c r="L4335">
        <f>SUBTOTAL(103,A4335)</f>
        <v>1</v>
      </c>
    </row>
    <row r="4336">
      <c r="A4336" t="inlineStr">
        <is>
          <t>SOCIETE C127</t>
        </is>
      </c>
      <c r="B4336" t="inlineStr">
        <is>
          <t>C127</t>
        </is>
      </c>
      <c r="C4336" t="inlineStr">
        <is>
          <t>CONSUMER BANKING</t>
        </is>
      </c>
      <c r="D4336" t="inlineStr">
        <is>
          <t>V</t>
        </is>
      </c>
      <c r="E4336" t="inlineStr">
        <is>
          <t>Stage 3</t>
        </is>
      </c>
      <c r="F4336" t="inlineStr">
        <is>
          <t>N/A</t>
        </is>
      </c>
      <c r="G4336" s="26">
        <v>233341431</v>
      </c>
      <c r="H4336" s="26">
        <v>128337787</v>
      </c>
      <c r="I4336" s="26">
        <v>0</v>
      </c>
      <c r="J4336" s="26">
        <v>231</v>
      </c>
      <c r="K4336" t="inlineStr">
        <is>
          <t>Oui</t>
        </is>
      </c>
      <c r="L4336">
        <f>SUBTOTAL(103,A4336)</f>
        <v>1</v>
      </c>
    </row>
    <row r="4337">
      <c r="A4337" t="inlineStr">
        <is>
          <t>SOCIETE C2077</t>
        </is>
      </c>
      <c r="B4337" t="inlineStr">
        <is>
          <t>C2077</t>
        </is>
      </c>
      <c r="C4337" t="inlineStr">
        <is>
          <t>CONSUMER BANKING</t>
        </is>
      </c>
      <c r="D4337" t="inlineStr">
        <is>
          <t>IV</t>
        </is>
      </c>
      <c r="E4337" t="inlineStr">
        <is>
          <t>Stage 3</t>
        </is>
      </c>
      <c r="F4337" t="inlineStr">
        <is>
          <t>N/A</t>
        </is>
      </c>
      <c r="G4337" s="26">
        <v>21839094</v>
      </c>
      <c r="H4337" s="26">
        <v>12011502</v>
      </c>
      <c r="I4337" s="26">
        <v>0</v>
      </c>
      <c r="J4337" s="26">
        <v>250</v>
      </c>
      <c r="K4337" t="inlineStr">
        <is>
          <t>Oui</t>
        </is>
      </c>
      <c r="L4337">
        <f>SUBTOTAL(103,A4337)</f>
        <v>1</v>
      </c>
    </row>
    <row r="4338">
      <c r="A4338" t="inlineStr">
        <is>
          <t>SOCIETE C102</t>
        </is>
      </c>
      <c r="B4338" t="inlineStr">
        <is>
          <t>C102</t>
        </is>
      </c>
      <c r="C4338" t="inlineStr">
        <is>
          <t>CONSUMER BANKING</t>
        </is>
      </c>
      <c r="D4338" t="inlineStr">
        <is>
          <t>III</t>
        </is>
      </c>
      <c r="E4338" t="inlineStr">
        <is>
          <t>Stage 3</t>
        </is>
      </c>
      <c r="F4338" t="inlineStr">
        <is>
          <t>N/A</t>
        </is>
      </c>
      <c r="G4338" s="26">
        <v>1566468335</v>
      </c>
      <c r="H4338" s="26">
        <v>861557584</v>
      </c>
      <c r="I4338" s="26">
        <v>0</v>
      </c>
      <c r="J4338" s="26">
        <v>260</v>
      </c>
      <c r="K4338" t="inlineStr">
        <is>
          <t>Oui</t>
        </is>
      </c>
      <c r="L4338">
        <f>SUBTOTAL(103,A4338)</f>
        <v>1</v>
      </c>
    </row>
    <row r="4339">
      <c r="A4339" t="inlineStr">
        <is>
          <t>SOCIETE C1910</t>
        </is>
      </c>
      <c r="B4339" t="inlineStr">
        <is>
          <t>C1910</t>
        </is>
      </c>
      <c r="C4339" t="inlineStr">
        <is>
          <t>CORPORATE BANKING</t>
        </is>
      </c>
      <c r="D4339" t="inlineStr">
        <is>
          <t>II</t>
        </is>
      </c>
      <c r="E4339" t="inlineStr">
        <is>
          <t>Stage 2</t>
        </is>
      </c>
      <c r="F4339" t="inlineStr">
        <is>
          <t>N/A</t>
        </is>
      </c>
      <c r="G4339" s="26">
        <v>2867946961</v>
      </c>
      <c r="H4339" s="26">
        <v>172076818</v>
      </c>
      <c r="I4339" s="26">
        <v>0</v>
      </c>
      <c r="J4339" s="26">
        <v>196</v>
      </c>
      <c r="K4339" t="inlineStr">
        <is>
          <t>Non</t>
        </is>
      </c>
      <c r="L4339">
        <f>SUBTOTAL(103,A4339)</f>
        <v>1</v>
      </c>
    </row>
    <row r="4340">
      <c r="A4340" t="inlineStr">
        <is>
          <t>SOCIETE C1219</t>
        </is>
      </c>
      <c r="B4340" t="inlineStr">
        <is>
          <t>C1219</t>
        </is>
      </c>
      <c r="C4340" t="inlineStr">
        <is>
          <t>COMMERCIAL BANKING</t>
        </is>
      </c>
      <c r="D4340" t="inlineStr">
        <is>
          <t>I</t>
        </is>
      </c>
      <c r="E4340" t="inlineStr">
        <is>
          <t>Stage 1</t>
        </is>
      </c>
      <c r="F4340" t="inlineStr">
        <is>
          <t>N/A</t>
        </is>
      </c>
      <c r="G4340" s="26">
        <v>140965753</v>
      </c>
      <c r="H4340" s="26">
        <v>1409658</v>
      </c>
      <c r="I4340" s="26">
        <v>0</v>
      </c>
      <c r="J4340" s="26">
        <v>32</v>
      </c>
      <c r="K4340" t="inlineStr">
        <is>
          <t>Non</t>
        </is>
      </c>
      <c r="L4340">
        <f>SUBTOTAL(103,A4340)</f>
        <v>1</v>
      </c>
    </row>
    <row r="4341">
      <c r="A4341" t="inlineStr">
        <is>
          <t>SOCIETE C212</t>
        </is>
      </c>
      <c r="B4341" t="inlineStr">
        <is>
          <t>C212</t>
        </is>
      </c>
      <c r="C4341" t="inlineStr">
        <is>
          <t>CONSUMER BANKING</t>
        </is>
      </c>
      <c r="D4341" t="inlineStr">
        <is>
          <t>I</t>
        </is>
      </c>
      <c r="E4341" t="inlineStr">
        <is>
          <t>Stage 1</t>
        </is>
      </c>
      <c r="F4341" t="inlineStr">
        <is>
          <t>N/A</t>
        </is>
      </c>
      <c r="G4341" s="26">
        <v>907235831</v>
      </c>
      <c r="H4341" s="26">
        <v>9072358</v>
      </c>
      <c r="I4341" s="26">
        <v>0</v>
      </c>
      <c r="J4341" s="26">
        <v>18</v>
      </c>
      <c r="K4341" t="inlineStr">
        <is>
          <t>Non</t>
        </is>
      </c>
      <c r="L4341">
        <f>SUBTOTAL(103,A4341)</f>
        <v>1</v>
      </c>
    </row>
    <row r="4342">
      <c r="A4342" t="inlineStr">
        <is>
          <t>SOCIETE C571</t>
        </is>
      </c>
      <c r="B4342" t="inlineStr">
        <is>
          <t>C571</t>
        </is>
      </c>
      <c r="C4342" t="inlineStr">
        <is>
          <t>CORPORATE BANKING</t>
        </is>
      </c>
      <c r="D4342" t="inlineStr">
        <is>
          <t>I</t>
        </is>
      </c>
      <c r="E4342" t="inlineStr">
        <is>
          <t>Stage 1</t>
        </is>
      </c>
      <c r="F4342" t="inlineStr">
        <is>
          <t>N/A</t>
        </is>
      </c>
      <c r="G4342" s="26">
        <v>1280221602</v>
      </c>
      <c r="H4342" s="26">
        <v>12802216</v>
      </c>
      <c r="I4342" s="26">
        <v>0</v>
      </c>
      <c r="J4342" s="26">
        <v>279</v>
      </c>
      <c r="K4342" t="inlineStr">
        <is>
          <t>Non</t>
        </is>
      </c>
      <c r="L4342">
        <f>SUBTOTAL(103,A4342)</f>
        <v>1</v>
      </c>
    </row>
    <row r="4343">
      <c r="A4343" t="inlineStr">
        <is>
          <t>SOCIETE C188</t>
        </is>
      </c>
      <c r="B4343" t="inlineStr">
        <is>
          <t>C188</t>
        </is>
      </c>
      <c r="C4343" t="inlineStr">
        <is>
          <t>CORPORATE BANKING</t>
        </is>
      </c>
      <c r="D4343" t="inlineStr">
        <is>
          <t>II</t>
        </is>
      </c>
      <c r="E4343" t="inlineStr">
        <is>
          <t>Stage 2</t>
        </is>
      </c>
      <c r="F4343" t="inlineStr">
        <is>
          <t>N/A</t>
        </is>
      </c>
      <c r="G4343" s="26">
        <v>163875806</v>
      </c>
      <c r="H4343" s="26">
        <v>9832548</v>
      </c>
      <c r="I4343" s="26">
        <v>0</v>
      </c>
      <c r="J4343" s="26">
        <v>267</v>
      </c>
      <c r="K4343" t="inlineStr">
        <is>
          <t>Non</t>
        </is>
      </c>
      <c r="L4343">
        <f>SUBTOTAL(103,A4343)</f>
        <v>1</v>
      </c>
    </row>
    <row r="4344">
      <c r="A4344" t="inlineStr">
        <is>
          <t>SOCIETE C1432</t>
        </is>
      </c>
      <c r="B4344" t="inlineStr">
        <is>
          <t>C1432</t>
        </is>
      </c>
      <c r="C4344" t="inlineStr">
        <is>
          <t>CONSUMER BANKING</t>
        </is>
      </c>
      <c r="D4344" t="inlineStr">
        <is>
          <t>V</t>
        </is>
      </c>
      <c r="E4344" t="inlineStr">
        <is>
          <t>Stage 3</t>
        </is>
      </c>
      <c r="F4344" t="inlineStr">
        <is>
          <t>N/A</t>
        </is>
      </c>
      <c r="G4344" s="26">
        <v>27874526</v>
      </c>
      <c r="H4344" s="26">
        <v>15330989</v>
      </c>
      <c r="I4344" s="26">
        <v>1476546</v>
      </c>
      <c r="J4344" s="26">
        <v>102</v>
      </c>
      <c r="K4344" t="inlineStr">
        <is>
          <t>Oui</t>
        </is>
      </c>
      <c r="L4344">
        <f>SUBTOTAL(103,A4344)</f>
        <v>1</v>
      </c>
    </row>
    <row r="4345">
      <c r="A4345" t="inlineStr">
        <is>
          <t>SOCIETE C470</t>
        </is>
      </c>
      <c r="B4345" t="inlineStr">
        <is>
          <t>C470</t>
        </is>
      </c>
      <c r="C4345" t="inlineStr">
        <is>
          <t>CONSUMER BANKING</t>
        </is>
      </c>
      <c r="D4345" t="inlineStr">
        <is>
          <t>I</t>
        </is>
      </c>
      <c r="E4345" t="inlineStr">
        <is>
          <t>Stage 1</t>
        </is>
      </c>
      <c r="F4345" t="inlineStr">
        <is>
          <t>N/A</t>
        </is>
      </c>
      <c r="G4345" s="26">
        <v>9213207</v>
      </c>
      <c r="H4345" s="26">
        <v>92132</v>
      </c>
      <c r="I4345" s="26">
        <v>0</v>
      </c>
      <c r="J4345" s="26">
        <v>11</v>
      </c>
      <c r="K4345" t="inlineStr">
        <is>
          <t>Non</t>
        </is>
      </c>
      <c r="L4345">
        <f>SUBTOTAL(103,A4345)</f>
        <v>1</v>
      </c>
    </row>
    <row r="4346">
      <c r="A4346" t="inlineStr">
        <is>
          <t>SOCIETE C302</t>
        </is>
      </c>
      <c r="B4346" t="inlineStr">
        <is>
          <t>C302</t>
        </is>
      </c>
      <c r="C4346" t="inlineStr">
        <is>
          <t>COMMERCIAL BANKING</t>
        </is>
      </c>
      <c r="D4346" t="inlineStr">
        <is>
          <t>III</t>
        </is>
      </c>
      <c r="E4346" t="inlineStr">
        <is>
          <t>Stage 3</t>
        </is>
      </c>
      <c r="F4346" t="inlineStr">
        <is>
          <t>N/A</t>
        </is>
      </c>
      <c r="G4346" s="26">
        <v>866173488</v>
      </c>
      <c r="H4346" s="26">
        <v>476395419</v>
      </c>
      <c r="I4346" s="26">
        <v>99158538</v>
      </c>
      <c r="J4346" s="26">
        <v>52</v>
      </c>
      <c r="K4346" t="inlineStr">
        <is>
          <t>Oui</t>
        </is>
      </c>
      <c r="L4346">
        <f>SUBTOTAL(103,A4346)</f>
        <v>1</v>
      </c>
    </row>
    <row r="4347">
      <c r="A4347" t="inlineStr">
        <is>
          <t>SOCIETE C1197</t>
        </is>
      </c>
      <c r="B4347" t="inlineStr">
        <is>
          <t>C1197</t>
        </is>
      </c>
      <c r="C4347" t="inlineStr">
        <is>
          <t>COMMERCIAL BANKING</t>
        </is>
      </c>
      <c r="D4347" t="inlineStr">
        <is>
          <t>V</t>
        </is>
      </c>
      <c r="E4347" t="inlineStr">
        <is>
          <t>Stage 3</t>
        </is>
      </c>
      <c r="F4347" t="inlineStr">
        <is>
          <t>N/A</t>
        </is>
      </c>
      <c r="G4347" s="26">
        <v>1064143</v>
      </c>
      <c r="H4347" s="26">
        <v>585278</v>
      </c>
      <c r="I4347" s="26">
        <v>0</v>
      </c>
      <c r="J4347" s="26">
        <v>258</v>
      </c>
      <c r="K4347" t="inlineStr">
        <is>
          <t>Oui</t>
        </is>
      </c>
      <c r="L4347">
        <f>SUBTOTAL(103,A4347)</f>
        <v>1</v>
      </c>
    </row>
    <row r="4348">
      <c r="A4348" t="inlineStr">
        <is>
          <t>SOCIETE C1753</t>
        </is>
      </c>
      <c r="B4348" t="inlineStr">
        <is>
          <t>C1753</t>
        </is>
      </c>
      <c r="C4348" t="inlineStr">
        <is>
          <t>CORPORATE BANKING</t>
        </is>
      </c>
      <c r="D4348" t="inlineStr">
        <is>
          <t>III</t>
        </is>
      </c>
      <c r="E4348" t="inlineStr">
        <is>
          <t>Stage 3</t>
        </is>
      </c>
      <c r="F4348" t="inlineStr">
        <is>
          <t>N/A</t>
        </is>
      </c>
      <c r="G4348" s="26">
        <v>468090619</v>
      </c>
      <c r="H4348" s="26">
        <v>257449841</v>
      </c>
      <c r="I4348" s="26">
        <v>0</v>
      </c>
      <c r="J4348" s="26">
        <v>356</v>
      </c>
      <c r="K4348" t="inlineStr">
        <is>
          <t>Oui</t>
        </is>
      </c>
      <c r="L4348">
        <f>SUBTOTAL(103,A4348)</f>
        <v>1</v>
      </c>
    </row>
    <row r="4349">
      <c r="A4349" t="inlineStr">
        <is>
          <t>SOCIETE C1991</t>
        </is>
      </c>
      <c r="B4349" t="inlineStr">
        <is>
          <t>C1991</t>
        </is>
      </c>
      <c r="C4349" t="inlineStr">
        <is>
          <t>CORPORATE BANKING</t>
        </is>
      </c>
      <c r="D4349" t="inlineStr">
        <is>
          <t>III</t>
        </is>
      </c>
      <c r="E4349" t="inlineStr">
        <is>
          <t>Stage 3</t>
        </is>
      </c>
      <c r="F4349" t="inlineStr">
        <is>
          <t>N/A</t>
        </is>
      </c>
      <c r="G4349" s="26">
        <v>30183279</v>
      </c>
      <c r="H4349" s="26">
        <v>16600804</v>
      </c>
      <c r="I4349" s="26">
        <v>0</v>
      </c>
      <c r="J4349" s="26">
        <v>18</v>
      </c>
      <c r="K4349" t="inlineStr">
        <is>
          <t>Oui</t>
        </is>
      </c>
      <c r="L4349">
        <f>SUBTOTAL(103,A4349)</f>
        <v>1</v>
      </c>
    </row>
    <row r="4350">
      <c r="A4350" t="inlineStr">
        <is>
          <t>SOCIETE C2428</t>
        </is>
      </c>
      <c r="B4350" t="inlineStr">
        <is>
          <t>C2428</t>
        </is>
      </c>
      <c r="C4350" t="inlineStr">
        <is>
          <t>CORPORATE BANKING</t>
        </is>
      </c>
      <c r="D4350" t="inlineStr">
        <is>
          <t>II</t>
        </is>
      </c>
      <c r="E4350" t="inlineStr">
        <is>
          <t>Stage 2</t>
        </is>
      </c>
      <c r="F4350" t="inlineStr">
        <is>
          <t>N/A</t>
        </is>
      </c>
      <c r="G4350" s="26">
        <v>106705771</v>
      </c>
      <c r="H4350" s="26">
        <v>6402346</v>
      </c>
      <c r="I4350" s="26">
        <v>7051078</v>
      </c>
      <c r="J4350" s="26">
        <v>0</v>
      </c>
      <c r="K4350" t="inlineStr">
        <is>
          <t>Non</t>
        </is>
      </c>
      <c r="L4350">
        <f>SUBTOTAL(103,A4350)</f>
        <v>1</v>
      </c>
    </row>
    <row r="4351">
      <c r="A4351" t="inlineStr">
        <is>
          <t>SOCIETE C964</t>
        </is>
      </c>
      <c r="B4351" t="inlineStr">
        <is>
          <t>C964</t>
        </is>
      </c>
      <c r="C4351" t="inlineStr">
        <is>
          <t>CORPORATE BANKING</t>
        </is>
      </c>
      <c r="D4351" t="inlineStr">
        <is>
          <t>I</t>
        </is>
      </c>
      <c r="E4351" t="inlineStr">
        <is>
          <t>Stage 1</t>
        </is>
      </c>
      <c r="F4351" t="inlineStr">
        <is>
          <t>N/A</t>
        </is>
      </c>
      <c r="G4351" s="26">
        <v>462946385</v>
      </c>
      <c r="H4351" s="26">
        <v>4629464</v>
      </c>
      <c r="I4351" s="26">
        <v>0</v>
      </c>
      <c r="J4351" s="26">
        <v>55</v>
      </c>
      <c r="K4351" t="inlineStr">
        <is>
          <t>Non</t>
        </is>
      </c>
      <c r="L4351">
        <f>SUBTOTAL(103,A4351)</f>
        <v>1</v>
      </c>
    </row>
    <row r="4352">
      <c r="A4352" t="inlineStr">
        <is>
          <t>SOCIETE C448</t>
        </is>
      </c>
      <c r="B4352" t="inlineStr">
        <is>
          <t>C448</t>
        </is>
      </c>
      <c r="C4352" t="inlineStr">
        <is>
          <t>COMMERCIAL BANKING</t>
        </is>
      </c>
      <c r="D4352" t="inlineStr">
        <is>
          <t>V</t>
        </is>
      </c>
      <c r="E4352" t="inlineStr">
        <is>
          <t>Stage 3</t>
        </is>
      </c>
      <c r="F4352" t="inlineStr">
        <is>
          <t>N/A</t>
        </is>
      </c>
      <c r="G4352" s="26">
        <v>38316291</v>
      </c>
      <c r="H4352" s="26">
        <v>21073960</v>
      </c>
      <c r="I4352" s="26">
        <v>0</v>
      </c>
      <c r="J4352" s="26">
        <v>198</v>
      </c>
      <c r="K4352" t="inlineStr">
        <is>
          <t>Oui</t>
        </is>
      </c>
      <c r="L4352">
        <f>SUBTOTAL(103,A4352)</f>
        <v>1</v>
      </c>
    </row>
    <row r="4353">
      <c r="A4353" t="inlineStr">
        <is>
          <t>SOCIETE C2073</t>
        </is>
      </c>
      <c r="B4353" t="inlineStr">
        <is>
          <t>C2073</t>
        </is>
      </c>
      <c r="C4353" t="inlineStr">
        <is>
          <t>CORPORATE BANKING</t>
        </is>
      </c>
      <c r="D4353" t="inlineStr">
        <is>
          <t>I</t>
        </is>
      </c>
      <c r="E4353" t="inlineStr">
        <is>
          <t>Stage 1</t>
        </is>
      </c>
      <c r="F4353" t="inlineStr">
        <is>
          <t>N/A</t>
        </is>
      </c>
      <c r="G4353" s="26">
        <v>819069552</v>
      </c>
      <c r="H4353" s="26">
        <v>8190696</v>
      </c>
      <c r="I4353" s="26">
        <v>0</v>
      </c>
      <c r="J4353" s="26">
        <v>54</v>
      </c>
      <c r="K4353" t="inlineStr">
        <is>
          <t>Non</t>
        </is>
      </c>
      <c r="L4353">
        <f>SUBTOTAL(103,A4353)</f>
        <v>1</v>
      </c>
    </row>
    <row r="4354">
      <c r="A4354" t="inlineStr">
        <is>
          <t>SOCIETE C2454</t>
        </is>
      </c>
      <c r="B4354" t="inlineStr">
        <is>
          <t>C2454</t>
        </is>
      </c>
      <c r="C4354" t="inlineStr">
        <is>
          <t>CORPORATE BANKING</t>
        </is>
      </c>
      <c r="D4354" t="inlineStr">
        <is>
          <t>IA</t>
        </is>
      </c>
      <c r="E4354" t="inlineStr">
        <is>
          <t>Stage 2</t>
        </is>
      </c>
      <c r="F4354" t="inlineStr">
        <is>
          <t>N/A</t>
        </is>
      </c>
      <c r="G4354" s="26">
        <v>241006477</v>
      </c>
      <c r="H4354" s="26">
        <v>14460389</v>
      </c>
      <c r="I4354" s="26">
        <v>0</v>
      </c>
      <c r="J4354" s="26">
        <v>99</v>
      </c>
      <c r="K4354" t="inlineStr">
        <is>
          <t>Non</t>
        </is>
      </c>
      <c r="L4354">
        <f>SUBTOTAL(103,A4354)</f>
        <v>1</v>
      </c>
    </row>
    <row r="4355">
      <c r="A4355" t="inlineStr">
        <is>
          <t>SOCIETE C2213</t>
        </is>
      </c>
      <c r="B4355" t="inlineStr">
        <is>
          <t>C2213</t>
        </is>
      </c>
      <c r="C4355" t="inlineStr">
        <is>
          <t>CORPORATE BANKING</t>
        </is>
      </c>
      <c r="D4355" t="inlineStr">
        <is>
          <t>II</t>
        </is>
      </c>
      <c r="E4355" t="inlineStr">
        <is>
          <t>Stage 2</t>
        </is>
      </c>
      <c r="F4355" t="inlineStr">
        <is>
          <t>N/A</t>
        </is>
      </c>
      <c r="G4355" s="26">
        <v>1077411793</v>
      </c>
      <c r="H4355" s="26">
        <v>64644708</v>
      </c>
      <c r="I4355" s="26">
        <v>123104715</v>
      </c>
      <c r="J4355" s="26">
        <v>320</v>
      </c>
      <c r="K4355" t="inlineStr">
        <is>
          <t>Non</t>
        </is>
      </c>
      <c r="L4355">
        <f>SUBTOTAL(103,A4355)</f>
        <v>1</v>
      </c>
    </row>
    <row r="4356">
      <c r="A4356" t="inlineStr">
        <is>
          <t>SOCIETE C419</t>
        </is>
      </c>
      <c r="B4356" t="inlineStr">
        <is>
          <t>C419</t>
        </is>
      </c>
      <c r="C4356" t="inlineStr">
        <is>
          <t>SME</t>
        </is>
      </c>
      <c r="D4356" t="inlineStr">
        <is>
          <t>IA</t>
        </is>
      </c>
      <c r="E4356" t="inlineStr">
        <is>
          <t>Stage 2</t>
        </is>
      </c>
      <c r="F4356" t="inlineStr">
        <is>
          <t>N/A</t>
        </is>
      </c>
      <c r="G4356" s="26">
        <v>67665691</v>
      </c>
      <c r="H4356" s="26">
        <v>4059941</v>
      </c>
      <c r="I4356" s="26">
        <v>0</v>
      </c>
      <c r="J4356" s="26">
        <v>132</v>
      </c>
      <c r="K4356" t="inlineStr">
        <is>
          <t>Non</t>
        </is>
      </c>
      <c r="L4356">
        <f>SUBTOTAL(103,A4356)</f>
        <v>1</v>
      </c>
    </row>
    <row r="4357">
      <c r="A4357" t="inlineStr">
        <is>
          <t>SOCIETE C1433</t>
        </is>
      </c>
      <c r="B4357" t="inlineStr">
        <is>
          <t>C1433</t>
        </is>
      </c>
      <c r="C4357" t="inlineStr">
        <is>
          <t>CORPORATE BANKING</t>
        </is>
      </c>
      <c r="D4357" t="inlineStr">
        <is>
          <t>III</t>
        </is>
      </c>
      <c r="E4357" t="inlineStr">
        <is>
          <t>Stage 3</t>
        </is>
      </c>
      <c r="F4357" t="inlineStr">
        <is>
          <t>N/A</t>
        </is>
      </c>
      <c r="G4357" s="26">
        <v>374539104</v>
      </c>
      <c r="H4357" s="26">
        <v>205996507</v>
      </c>
      <c r="I4357" s="26">
        <v>0</v>
      </c>
      <c r="J4357" s="26">
        <v>151</v>
      </c>
      <c r="K4357" t="inlineStr">
        <is>
          <t>Oui</t>
        </is>
      </c>
      <c r="L4357">
        <f>SUBTOTAL(103,A4357)</f>
        <v>1</v>
      </c>
    </row>
    <row r="4358">
      <c r="A4358" t="inlineStr">
        <is>
          <t>SOCIETE C1722</t>
        </is>
      </c>
      <c r="B4358" t="inlineStr">
        <is>
          <t>C1722</t>
        </is>
      </c>
      <c r="C4358" t="inlineStr">
        <is>
          <t>COMMERCIAL BANKING</t>
        </is>
      </c>
      <c r="D4358" t="inlineStr">
        <is>
          <t>I</t>
        </is>
      </c>
      <c r="E4358" t="inlineStr">
        <is>
          <t>Stage 1</t>
        </is>
      </c>
      <c r="F4358" t="inlineStr">
        <is>
          <t>N/A</t>
        </is>
      </c>
      <c r="G4358" s="26">
        <v>77349122</v>
      </c>
      <c r="H4358" s="26">
        <v>773491</v>
      </c>
      <c r="I4358" s="26">
        <v>12496477</v>
      </c>
      <c r="J4358" s="26">
        <v>253</v>
      </c>
      <c r="K4358" t="inlineStr">
        <is>
          <t>Non</t>
        </is>
      </c>
      <c r="L4358">
        <f>SUBTOTAL(103,A4358)</f>
        <v>1</v>
      </c>
    </row>
    <row r="4359">
      <c r="A4359" t="inlineStr">
        <is>
          <t>SOCIETE C2139</t>
        </is>
      </c>
      <c r="B4359" t="inlineStr">
        <is>
          <t>C2139</t>
        </is>
      </c>
      <c r="C4359" t="inlineStr">
        <is>
          <t>CORPORATE BANKING</t>
        </is>
      </c>
      <c r="D4359" t="inlineStr">
        <is>
          <t>I</t>
        </is>
      </c>
      <c r="E4359" t="inlineStr">
        <is>
          <t>Stage 1</t>
        </is>
      </c>
      <c r="F4359" t="inlineStr">
        <is>
          <t>N/A</t>
        </is>
      </c>
      <c r="G4359" s="26">
        <v>934203851</v>
      </c>
      <c r="H4359" s="26">
        <v>9342039</v>
      </c>
      <c r="I4359" s="26">
        <v>0</v>
      </c>
      <c r="J4359" s="26">
        <v>61</v>
      </c>
      <c r="K4359" t="inlineStr">
        <is>
          <t>Non</t>
        </is>
      </c>
      <c r="L4359">
        <f>SUBTOTAL(103,A4359)</f>
        <v>1</v>
      </c>
    </row>
    <row r="4360">
      <c r="A4360" t="inlineStr">
        <is>
          <t>SOCIETE C952</t>
        </is>
      </c>
      <c r="B4360" t="inlineStr">
        <is>
          <t>C952</t>
        </is>
      </c>
      <c r="C4360" t="inlineStr">
        <is>
          <t>CORPORATE BANKING</t>
        </is>
      </c>
      <c r="D4360" t="inlineStr">
        <is>
          <t>II</t>
        </is>
      </c>
      <c r="E4360" t="inlineStr">
        <is>
          <t>Stage 2</t>
        </is>
      </c>
      <c r="F4360" t="inlineStr">
        <is>
          <t>N/A</t>
        </is>
      </c>
      <c r="G4360" s="26">
        <v>2915284001</v>
      </c>
      <c r="H4360" s="26">
        <v>174917040</v>
      </c>
      <c r="I4360" s="26">
        <v>82060999</v>
      </c>
      <c r="J4360" s="26">
        <v>98</v>
      </c>
      <c r="K4360" t="inlineStr">
        <is>
          <t>Non</t>
        </is>
      </c>
      <c r="L4360">
        <f>SUBTOTAL(103,A4360)</f>
        <v>1</v>
      </c>
    </row>
    <row r="4361">
      <c r="A4361" t="inlineStr">
        <is>
          <t>SOCIETE C952</t>
        </is>
      </c>
      <c r="B4361" t="inlineStr">
        <is>
          <t>C952</t>
        </is>
      </c>
      <c r="C4361" t="inlineStr">
        <is>
          <t>COMMERCIAL BANKING</t>
        </is>
      </c>
      <c r="D4361" t="inlineStr">
        <is>
          <t>IV</t>
        </is>
      </c>
      <c r="E4361" t="inlineStr">
        <is>
          <t>Stage 3</t>
        </is>
      </c>
      <c r="F4361" t="inlineStr">
        <is>
          <t>N/A</t>
        </is>
      </c>
      <c r="G4361" s="26">
        <v>57112369</v>
      </c>
      <c r="H4361" s="26">
        <v>31411803</v>
      </c>
      <c r="I4361" s="26">
        <v>11074090</v>
      </c>
      <c r="J4361" s="26">
        <v>57</v>
      </c>
      <c r="K4361" t="inlineStr">
        <is>
          <t>Oui</t>
        </is>
      </c>
      <c r="L4361">
        <f>SUBTOTAL(103,A4361)</f>
        <v>1</v>
      </c>
    </row>
    <row r="4362">
      <c r="A4362" t="inlineStr">
        <is>
          <t>SOCIETE C1452</t>
        </is>
      </c>
      <c r="B4362" t="inlineStr">
        <is>
          <t>C1452</t>
        </is>
      </c>
      <c r="C4362" t="inlineStr">
        <is>
          <t>COMMERCIAL BANKING</t>
        </is>
      </c>
      <c r="D4362" t="inlineStr">
        <is>
          <t>V</t>
        </is>
      </c>
      <c r="E4362" t="inlineStr">
        <is>
          <t>Stage 3</t>
        </is>
      </c>
      <c r="F4362" t="inlineStr">
        <is>
          <t>N/A</t>
        </is>
      </c>
      <c r="G4362" s="26">
        <v>1006420</v>
      </c>
      <c r="H4362" s="26">
        <v>553531</v>
      </c>
      <c r="I4362" s="26">
        <v>97720</v>
      </c>
      <c r="J4362" s="26">
        <v>98</v>
      </c>
      <c r="K4362" t="inlineStr">
        <is>
          <t>Oui</t>
        </is>
      </c>
      <c r="L4362">
        <f>SUBTOTAL(103,A4362)</f>
        <v>1</v>
      </c>
    </row>
    <row r="4363">
      <c r="A4363" t="inlineStr">
        <is>
          <t>SOCIETE C293</t>
        </is>
      </c>
      <c r="B4363" t="inlineStr">
        <is>
          <t>C293</t>
        </is>
      </c>
      <c r="C4363" t="inlineStr">
        <is>
          <t>CORPORATE BANKING</t>
        </is>
      </c>
      <c r="D4363" t="inlineStr">
        <is>
          <t>III</t>
        </is>
      </c>
      <c r="E4363" t="inlineStr">
        <is>
          <t>Stage 3</t>
        </is>
      </c>
      <c r="F4363" t="inlineStr">
        <is>
          <t>N/A</t>
        </is>
      </c>
      <c r="G4363" s="26">
        <v>2509604674</v>
      </c>
      <c r="H4363" s="26">
        <v>1380282571</v>
      </c>
      <c r="I4363" s="26">
        <v>0</v>
      </c>
      <c r="J4363" s="26">
        <v>67</v>
      </c>
      <c r="K4363" t="inlineStr">
        <is>
          <t>Oui</t>
        </is>
      </c>
      <c r="L4363">
        <f>SUBTOTAL(103,A4363)</f>
        <v>1</v>
      </c>
    </row>
    <row r="4364">
      <c r="A4364" t="inlineStr">
        <is>
          <t>SOCIETE C2098</t>
        </is>
      </c>
      <c r="B4364" t="inlineStr">
        <is>
          <t>C2098</t>
        </is>
      </c>
      <c r="C4364" t="inlineStr">
        <is>
          <t>CORPORATE BANKING</t>
        </is>
      </c>
      <c r="D4364" t="inlineStr">
        <is>
          <t>IA</t>
        </is>
      </c>
      <c r="E4364" t="inlineStr">
        <is>
          <t>Stage 2</t>
        </is>
      </c>
      <c r="F4364" t="inlineStr">
        <is>
          <t>N/A</t>
        </is>
      </c>
      <c r="G4364" s="26">
        <v>145763072</v>
      </c>
      <c r="H4364" s="26">
        <v>8745784</v>
      </c>
      <c r="I4364" s="26">
        <v>18923044</v>
      </c>
      <c r="J4364" s="26">
        <v>123</v>
      </c>
      <c r="K4364" t="inlineStr">
        <is>
          <t>Non</t>
        </is>
      </c>
      <c r="L4364">
        <f>SUBTOTAL(103,A4364)</f>
        <v>1</v>
      </c>
    </row>
    <row r="4365">
      <c r="A4365" t="inlineStr">
        <is>
          <t>SOCIETE C1262</t>
        </is>
      </c>
      <c r="B4365" t="inlineStr">
        <is>
          <t>C1262</t>
        </is>
      </c>
      <c r="C4365" t="inlineStr">
        <is>
          <t>CONSUMER BANKING</t>
        </is>
      </c>
      <c r="D4365" t="inlineStr">
        <is>
          <t>III</t>
        </is>
      </c>
      <c r="E4365" t="inlineStr">
        <is>
          <t>Stage 3</t>
        </is>
      </c>
      <c r="F4365" t="inlineStr">
        <is>
          <t>N/A</t>
        </is>
      </c>
      <c r="G4365" s="26">
        <v>100474675</v>
      </c>
      <c r="H4365" s="26">
        <v>55261071</v>
      </c>
      <c r="I4365" s="26">
        <v>0</v>
      </c>
      <c r="J4365" s="26">
        <v>221</v>
      </c>
      <c r="K4365" t="inlineStr">
        <is>
          <t>Oui</t>
        </is>
      </c>
      <c r="L4365">
        <f>SUBTOTAL(103,A4365)</f>
        <v>1</v>
      </c>
    </row>
    <row r="4366">
      <c r="A4366" t="inlineStr">
        <is>
          <t>SOCIETE C1871</t>
        </is>
      </c>
      <c r="B4366" t="inlineStr">
        <is>
          <t>C1871</t>
        </is>
      </c>
      <c r="C4366" t="inlineStr">
        <is>
          <t>CORPORATE BANKING</t>
        </is>
      </c>
      <c r="D4366" t="inlineStr">
        <is>
          <t>IA</t>
        </is>
      </c>
      <c r="E4366" t="inlineStr">
        <is>
          <t>Stage 2</t>
        </is>
      </c>
      <c r="F4366" t="inlineStr">
        <is>
          <t>N/A</t>
        </is>
      </c>
      <c r="G4366" s="26">
        <v>195059208</v>
      </c>
      <c r="H4366" s="26">
        <v>11703552</v>
      </c>
      <c r="I4366" s="26">
        <v>12494223</v>
      </c>
      <c r="J4366" s="26">
        <v>25</v>
      </c>
      <c r="K4366" t="inlineStr">
        <is>
          <t>Non</t>
        </is>
      </c>
      <c r="L4366">
        <f>SUBTOTAL(103,A4366)</f>
        <v>1</v>
      </c>
    </row>
    <row r="4367">
      <c r="A4367" t="inlineStr">
        <is>
          <t>SOCIETE C1461</t>
        </is>
      </c>
      <c r="B4367" t="inlineStr">
        <is>
          <t>C1461</t>
        </is>
      </c>
      <c r="C4367" t="inlineStr">
        <is>
          <t>INSTITUTIONAL</t>
        </is>
      </c>
      <c r="D4367" t="inlineStr">
        <is>
          <t>I</t>
        </is>
      </c>
      <c r="E4367" t="inlineStr">
        <is>
          <t>Stage 1</t>
        </is>
      </c>
      <c r="F4367" t="inlineStr">
        <is>
          <t>N/A</t>
        </is>
      </c>
      <c r="G4367" s="26">
        <v>1249460</v>
      </c>
      <c r="H4367" s="26">
        <v>12495</v>
      </c>
      <c r="I4367" s="26">
        <v>0</v>
      </c>
      <c r="J4367" s="26">
        <v>191</v>
      </c>
      <c r="K4367" t="inlineStr">
        <is>
          <t>Non</t>
        </is>
      </c>
      <c r="L4367">
        <f>SUBTOTAL(103,A4367)</f>
        <v>1</v>
      </c>
    </row>
    <row r="4368">
      <c r="A4368" t="inlineStr">
        <is>
          <t>SOCIETE C230</t>
        </is>
      </c>
      <c r="B4368" t="inlineStr">
        <is>
          <t>C230</t>
        </is>
      </c>
      <c r="C4368" t="inlineStr">
        <is>
          <t>CORPORATE BANKING</t>
        </is>
      </c>
      <c r="D4368" t="inlineStr">
        <is>
          <t>I</t>
        </is>
      </c>
      <c r="E4368" t="inlineStr">
        <is>
          <t>Stage 1</t>
        </is>
      </c>
      <c r="F4368" t="inlineStr">
        <is>
          <t>N/A</t>
        </is>
      </c>
      <c r="G4368" s="26">
        <v>1765624074</v>
      </c>
      <c r="H4368" s="26">
        <v>17656241</v>
      </c>
      <c r="I4368" s="26">
        <v>0</v>
      </c>
      <c r="J4368" s="26">
        <v>257</v>
      </c>
      <c r="K4368" t="inlineStr">
        <is>
          <t>Non</t>
        </is>
      </c>
      <c r="L4368">
        <f>SUBTOTAL(103,A4368)</f>
        <v>1</v>
      </c>
    </row>
    <row r="4369">
      <c r="A4369" t="inlineStr">
        <is>
          <t>SOCIETE C2444</t>
        </is>
      </c>
      <c r="B4369" t="inlineStr">
        <is>
          <t>C2444</t>
        </is>
      </c>
      <c r="C4369" t="inlineStr">
        <is>
          <t>CORPORATE BANKING</t>
        </is>
      </c>
      <c r="D4369" t="inlineStr">
        <is>
          <t>III</t>
        </is>
      </c>
      <c r="E4369" t="inlineStr">
        <is>
          <t>Stage 3</t>
        </is>
      </c>
      <c r="F4369" t="inlineStr">
        <is>
          <t>N/A</t>
        </is>
      </c>
      <c r="G4369" s="26">
        <v>16796939</v>
      </c>
      <c r="H4369" s="26">
        <v>9238316</v>
      </c>
      <c r="I4369" s="26">
        <v>695072</v>
      </c>
      <c r="J4369" s="26">
        <v>104</v>
      </c>
      <c r="K4369" t="inlineStr">
        <is>
          <t>Oui</t>
        </is>
      </c>
      <c r="L4369">
        <f>SUBTOTAL(103,A4369)</f>
        <v>1</v>
      </c>
    </row>
    <row r="4370">
      <c r="A4370" t="inlineStr">
        <is>
          <t>SOCIETE C1630</t>
        </is>
      </c>
      <c r="B4370" t="inlineStr">
        <is>
          <t>C1630</t>
        </is>
      </c>
      <c r="C4370" t="inlineStr">
        <is>
          <t>COMMERCIAL BANKING</t>
        </is>
      </c>
      <c r="D4370" t="inlineStr">
        <is>
          <t>IV</t>
        </is>
      </c>
      <c r="E4370" t="inlineStr">
        <is>
          <t>Stage 3</t>
        </is>
      </c>
      <c r="F4370" t="inlineStr">
        <is>
          <t>N/A</t>
        </is>
      </c>
      <c r="G4370" s="26">
        <v>271188825</v>
      </c>
      <c r="H4370" s="26">
        <v>149153854</v>
      </c>
      <c r="I4370" s="26">
        <v>0</v>
      </c>
      <c r="J4370" s="26">
        <v>178</v>
      </c>
      <c r="K4370" t="inlineStr">
        <is>
          <t>Oui</t>
        </is>
      </c>
      <c r="L4370">
        <f>SUBTOTAL(103,A4370)</f>
        <v>1</v>
      </c>
    </row>
    <row r="4371">
      <c r="A4371" t="inlineStr">
        <is>
          <t>SOCIETE C46</t>
        </is>
      </c>
      <c r="B4371" t="inlineStr">
        <is>
          <t>C46</t>
        </is>
      </c>
      <c r="C4371" t="inlineStr">
        <is>
          <t>COMMERCIAL BANKING</t>
        </is>
      </c>
      <c r="D4371" t="inlineStr">
        <is>
          <t>I</t>
        </is>
      </c>
      <c r="E4371" t="inlineStr">
        <is>
          <t>Stage 1</t>
        </is>
      </c>
      <c r="F4371" t="inlineStr">
        <is>
          <t>N/A</t>
        </is>
      </c>
      <c r="G4371" s="26">
        <v>1578291081</v>
      </c>
      <c r="H4371" s="26">
        <v>15782911</v>
      </c>
      <c r="I4371" s="26">
        <v>0</v>
      </c>
      <c r="J4371" s="26">
        <v>145</v>
      </c>
      <c r="K4371" t="inlineStr">
        <is>
          <t>Non</t>
        </is>
      </c>
      <c r="L4371">
        <f>SUBTOTAL(103,A4371)</f>
        <v>1</v>
      </c>
    </row>
    <row r="4372">
      <c r="A4372" t="inlineStr">
        <is>
          <t>SOCIETE C2484</t>
        </is>
      </c>
      <c r="B4372" t="inlineStr">
        <is>
          <t>C2484</t>
        </is>
      </c>
      <c r="C4372" t="inlineStr">
        <is>
          <t>CORPORATE BANKING</t>
        </is>
      </c>
      <c r="D4372" t="inlineStr">
        <is>
          <t>V</t>
        </is>
      </c>
      <c r="E4372" t="inlineStr">
        <is>
          <t>Stage 3</t>
        </is>
      </c>
      <c r="F4372" t="inlineStr">
        <is>
          <t>N/A</t>
        </is>
      </c>
      <c r="G4372" s="26">
        <v>1774095</v>
      </c>
      <c r="H4372" s="26">
        <v>975752</v>
      </c>
      <c r="I4372" s="26">
        <v>0</v>
      </c>
      <c r="J4372" s="26">
        <v>27</v>
      </c>
      <c r="K4372" t="inlineStr">
        <is>
          <t>Oui</t>
        </is>
      </c>
      <c r="L4372">
        <f>SUBTOTAL(103,A4372)</f>
        <v>1</v>
      </c>
    </row>
    <row r="4373">
      <c r="A4373" t="inlineStr">
        <is>
          <t>SOCIETE C1964</t>
        </is>
      </c>
      <c r="B4373" t="inlineStr">
        <is>
          <t>C1964</t>
        </is>
      </c>
      <c r="C4373" t="inlineStr">
        <is>
          <t>CORPORATE BANKING</t>
        </is>
      </c>
      <c r="D4373" t="inlineStr">
        <is>
          <t>IA</t>
        </is>
      </c>
      <c r="E4373" t="inlineStr">
        <is>
          <t>Stage 2</t>
        </is>
      </c>
      <c r="F4373" t="inlineStr">
        <is>
          <t>N/A</t>
        </is>
      </c>
      <c r="G4373" s="26">
        <v>1420205672</v>
      </c>
      <c r="H4373" s="26">
        <v>85212340</v>
      </c>
      <c r="I4373" s="26">
        <v>0</v>
      </c>
      <c r="J4373" s="26">
        <v>2</v>
      </c>
      <c r="K4373" t="inlineStr">
        <is>
          <t>Non</t>
        </is>
      </c>
      <c r="L4373">
        <f>SUBTOTAL(103,A4373)</f>
        <v>1</v>
      </c>
    </row>
    <row r="4374">
      <c r="A4374" t="inlineStr">
        <is>
          <t>SOCIETE C1131</t>
        </is>
      </c>
      <c r="B4374" t="inlineStr">
        <is>
          <t>C1131</t>
        </is>
      </c>
      <c r="C4374" t="inlineStr">
        <is>
          <t>CORPORATE BANKING</t>
        </is>
      </c>
      <c r="D4374" t="inlineStr">
        <is>
          <t>IV</t>
        </is>
      </c>
      <c r="E4374" t="inlineStr">
        <is>
          <t>Stage 3</t>
        </is>
      </c>
      <c r="F4374" t="inlineStr">
        <is>
          <t>N/A</t>
        </is>
      </c>
      <c r="G4374" s="26">
        <v>651944835</v>
      </c>
      <c r="H4374" s="26">
        <v>358569659</v>
      </c>
      <c r="I4374" s="26">
        <v>116946471</v>
      </c>
      <c r="J4374" s="26">
        <v>60</v>
      </c>
      <c r="K4374" t="inlineStr">
        <is>
          <t>Oui</t>
        </is>
      </c>
      <c r="L4374">
        <f>SUBTOTAL(103,A4374)</f>
        <v>1</v>
      </c>
    </row>
    <row r="4375">
      <c r="A4375" t="inlineStr">
        <is>
          <t>SOCIETE C821</t>
        </is>
      </c>
      <c r="B4375" t="inlineStr">
        <is>
          <t>C821</t>
        </is>
      </c>
      <c r="C4375" t="inlineStr">
        <is>
          <t>CORPORATE BANKING</t>
        </is>
      </c>
      <c r="D4375" t="inlineStr">
        <is>
          <t>III</t>
        </is>
      </c>
      <c r="E4375" t="inlineStr">
        <is>
          <t>Stage 3</t>
        </is>
      </c>
      <c r="F4375" t="inlineStr">
        <is>
          <t>N/A</t>
        </is>
      </c>
      <c r="G4375" s="26">
        <v>2068428</v>
      </c>
      <c r="H4375" s="26">
        <v>1137635</v>
      </c>
      <c r="I4375" s="26">
        <v>0</v>
      </c>
      <c r="J4375" s="26">
        <v>131</v>
      </c>
      <c r="K4375" t="inlineStr">
        <is>
          <t>Oui</t>
        </is>
      </c>
      <c r="L4375">
        <f>SUBTOTAL(103,A4375)</f>
        <v>1</v>
      </c>
    </row>
    <row r="4376">
      <c r="A4376" t="inlineStr">
        <is>
          <t>SOCIETE C1433</t>
        </is>
      </c>
      <c r="B4376" t="inlineStr">
        <is>
          <t>C1433</t>
        </is>
      </c>
      <c r="C4376" t="inlineStr">
        <is>
          <t>CORPORATE BANKING</t>
        </is>
      </c>
      <c r="D4376" t="inlineStr">
        <is>
          <t>III</t>
        </is>
      </c>
      <c r="E4376" t="inlineStr">
        <is>
          <t>Stage 3</t>
        </is>
      </c>
      <c r="F4376" t="inlineStr">
        <is>
          <t>N/A</t>
        </is>
      </c>
      <c r="G4376" s="26">
        <v>8446002</v>
      </c>
      <c r="H4376" s="26">
        <v>4645301</v>
      </c>
      <c r="I4376" s="26">
        <v>0</v>
      </c>
      <c r="J4376" s="26">
        <v>126</v>
      </c>
      <c r="K4376" t="inlineStr">
        <is>
          <t>Oui</t>
        </is>
      </c>
      <c r="L4376">
        <f>SUBTOTAL(103,A4376)</f>
        <v>1</v>
      </c>
    </row>
    <row r="4377">
      <c r="A4377" t="inlineStr">
        <is>
          <t>SOCIETE C913</t>
        </is>
      </c>
      <c r="B4377" t="inlineStr">
        <is>
          <t>C913</t>
        </is>
      </c>
      <c r="C4377" t="inlineStr">
        <is>
          <t>COMMERCIAL BANKING</t>
        </is>
      </c>
      <c r="D4377" t="inlineStr">
        <is>
          <t>I</t>
        </is>
      </c>
      <c r="E4377" t="inlineStr">
        <is>
          <t>Stage 1</t>
        </is>
      </c>
      <c r="F4377" t="inlineStr">
        <is>
          <t>N/A</t>
        </is>
      </c>
      <c r="G4377" s="26">
        <v>970939693</v>
      </c>
      <c r="H4377" s="26">
        <v>9709397</v>
      </c>
      <c r="I4377" s="26">
        <v>190378953</v>
      </c>
      <c r="J4377" s="26">
        <v>98</v>
      </c>
      <c r="K4377" t="inlineStr">
        <is>
          <t>Non</t>
        </is>
      </c>
      <c r="L4377">
        <f>SUBTOTAL(103,A4377)</f>
        <v>1</v>
      </c>
    </row>
    <row r="4378">
      <c r="A4378" t="inlineStr">
        <is>
          <t>SOCIETE C323</t>
        </is>
      </c>
      <c r="B4378" t="inlineStr">
        <is>
          <t>C323</t>
        </is>
      </c>
      <c r="C4378" t="inlineStr">
        <is>
          <t>CORPORATE BANKING</t>
        </is>
      </c>
      <c r="D4378" t="inlineStr">
        <is>
          <t>I</t>
        </is>
      </c>
      <c r="E4378" t="inlineStr">
        <is>
          <t>Stage 1</t>
        </is>
      </c>
      <c r="F4378" t="inlineStr">
        <is>
          <t>N/A</t>
        </is>
      </c>
      <c r="G4378" s="26">
        <v>1832216</v>
      </c>
      <c r="H4378" s="26">
        <v>18322</v>
      </c>
      <c r="I4378" s="26">
        <v>0</v>
      </c>
      <c r="J4378" s="26">
        <v>38</v>
      </c>
      <c r="K4378" t="inlineStr">
        <is>
          <t>Non</t>
        </is>
      </c>
      <c r="L4378">
        <f>SUBTOTAL(103,A4378)</f>
        <v>1</v>
      </c>
    </row>
    <row r="4379">
      <c r="A4379" t="inlineStr">
        <is>
          <t>SOCIETE C464</t>
        </is>
      </c>
      <c r="B4379" t="inlineStr">
        <is>
          <t>C464</t>
        </is>
      </c>
      <c r="C4379" t="inlineStr">
        <is>
          <t>PUBLIC SECTOR</t>
        </is>
      </c>
      <c r="D4379" t="inlineStr">
        <is>
          <t>IA</t>
        </is>
      </c>
      <c r="E4379" t="inlineStr">
        <is>
          <t>Stage 2</t>
        </is>
      </c>
      <c r="F4379" t="inlineStr">
        <is>
          <t>N/A</t>
        </is>
      </c>
      <c r="G4379" s="26">
        <v>605662305</v>
      </c>
      <c r="H4379" s="26">
        <v>36339738</v>
      </c>
      <c r="I4379" s="26">
        <v>0</v>
      </c>
      <c r="J4379" s="26">
        <v>11</v>
      </c>
      <c r="K4379" t="inlineStr">
        <is>
          <t>Non</t>
        </is>
      </c>
      <c r="L4379">
        <f>SUBTOTAL(103,A4379)</f>
        <v>1</v>
      </c>
    </row>
    <row r="4380">
      <c r="A4380" t="inlineStr">
        <is>
          <t>SOCIETE C1211</t>
        </is>
      </c>
      <c r="B4380" t="inlineStr">
        <is>
          <t>C1211</t>
        </is>
      </c>
      <c r="C4380" t="inlineStr">
        <is>
          <t>CORPORATE BANKING</t>
        </is>
      </c>
      <c r="D4380" t="inlineStr">
        <is>
          <t>V</t>
        </is>
      </c>
      <c r="E4380" t="inlineStr">
        <is>
          <t>Stage 3</t>
        </is>
      </c>
      <c r="F4380" t="inlineStr">
        <is>
          <t>N/A</t>
        </is>
      </c>
      <c r="G4380" s="26">
        <v>899399145</v>
      </c>
      <c r="H4380" s="26">
        <v>494669530</v>
      </c>
      <c r="I4380" s="26">
        <v>0</v>
      </c>
      <c r="J4380" s="26">
        <v>96</v>
      </c>
      <c r="K4380" t="inlineStr">
        <is>
          <t>Oui</t>
        </is>
      </c>
      <c r="L4380">
        <f>SUBTOTAL(103,A4380)</f>
        <v>1</v>
      </c>
    </row>
    <row r="4381">
      <c r="A4381" t="inlineStr">
        <is>
          <t>SOCIETE C2348</t>
        </is>
      </c>
      <c r="B4381" t="inlineStr">
        <is>
          <t>C2348</t>
        </is>
      </c>
      <c r="C4381" t="inlineStr">
        <is>
          <t>CORPORATE BANKING</t>
        </is>
      </c>
      <c r="D4381" t="inlineStr">
        <is>
          <t>IV</t>
        </is>
      </c>
      <c r="E4381" t="inlineStr">
        <is>
          <t>Stage 3</t>
        </is>
      </c>
      <c r="F4381" t="inlineStr">
        <is>
          <t>N/A</t>
        </is>
      </c>
      <c r="G4381" s="26">
        <v>804544326</v>
      </c>
      <c r="H4381" s="26">
        <v>442499379</v>
      </c>
      <c r="I4381" s="26">
        <v>0</v>
      </c>
      <c r="J4381" s="26">
        <v>17</v>
      </c>
      <c r="K4381" t="inlineStr">
        <is>
          <t>Oui</t>
        </is>
      </c>
      <c r="L4381">
        <f>SUBTOTAL(103,A4381)</f>
        <v>1</v>
      </c>
    </row>
    <row r="4382">
      <c r="A4382" t="inlineStr">
        <is>
          <t>SOCIETE C2116</t>
        </is>
      </c>
      <c r="B4382" t="inlineStr">
        <is>
          <t>C2116</t>
        </is>
      </c>
      <c r="C4382" t="inlineStr">
        <is>
          <t>CORPORATE BANKING</t>
        </is>
      </c>
      <c r="D4382" t="inlineStr">
        <is>
          <t>II</t>
        </is>
      </c>
      <c r="E4382" t="inlineStr">
        <is>
          <t>Stage 2</t>
        </is>
      </c>
      <c r="F4382" t="inlineStr">
        <is>
          <t>N/A</t>
        </is>
      </c>
      <c r="G4382" s="26">
        <v>447952443</v>
      </c>
      <c r="H4382" s="26">
        <v>26877147</v>
      </c>
      <c r="I4382" s="26">
        <v>0</v>
      </c>
      <c r="J4382" s="26">
        <v>43</v>
      </c>
      <c r="K4382" t="inlineStr">
        <is>
          <t>Non</t>
        </is>
      </c>
      <c r="L4382">
        <f>SUBTOTAL(103,A4382)</f>
        <v>1</v>
      </c>
    </row>
    <row r="4383">
      <c r="A4383" t="inlineStr">
        <is>
          <t>SOCIETE C1554</t>
        </is>
      </c>
      <c r="B4383" t="inlineStr">
        <is>
          <t>C1554</t>
        </is>
      </c>
      <c r="C4383" t="inlineStr">
        <is>
          <t>CORPORATE BANKING</t>
        </is>
      </c>
      <c r="D4383" t="inlineStr">
        <is>
          <t>III</t>
        </is>
      </c>
      <c r="E4383" t="inlineStr">
        <is>
          <t>Stage 3</t>
        </is>
      </c>
      <c r="F4383" t="inlineStr">
        <is>
          <t>N/A</t>
        </is>
      </c>
      <c r="G4383" s="26">
        <v>2399332250</v>
      </c>
      <c r="H4383" s="26">
        <v>1319632737</v>
      </c>
      <c r="I4383" s="26">
        <v>0</v>
      </c>
      <c r="J4383" s="26">
        <v>85</v>
      </c>
      <c r="K4383" t="inlineStr">
        <is>
          <t>Oui</t>
        </is>
      </c>
      <c r="L4383">
        <f>SUBTOTAL(103,A4383)</f>
        <v>1</v>
      </c>
    </row>
    <row r="4384">
      <c r="A4384" t="inlineStr">
        <is>
          <t>SOCIETE C1856</t>
        </is>
      </c>
      <c r="B4384" t="inlineStr">
        <is>
          <t>C1856</t>
        </is>
      </c>
      <c r="C4384" t="inlineStr">
        <is>
          <t>CORPORATE BANKING</t>
        </is>
      </c>
      <c r="D4384" t="inlineStr">
        <is>
          <t>I</t>
        </is>
      </c>
      <c r="E4384" t="inlineStr">
        <is>
          <t>Stage 1</t>
        </is>
      </c>
      <c r="F4384" t="inlineStr">
        <is>
          <t>N/A</t>
        </is>
      </c>
      <c r="G4384" s="26">
        <v>1455263604</v>
      </c>
      <c r="H4384" s="26">
        <v>14552636</v>
      </c>
      <c r="I4384" s="26">
        <v>58600308</v>
      </c>
      <c r="J4384" s="26">
        <v>157</v>
      </c>
      <c r="K4384" t="inlineStr">
        <is>
          <t>Non</t>
        </is>
      </c>
      <c r="L4384">
        <f>SUBTOTAL(103,A4384)</f>
        <v>1</v>
      </c>
    </row>
    <row r="4385">
      <c r="A4385" t="inlineStr">
        <is>
          <t>SOCIETE C518</t>
        </is>
      </c>
      <c r="B4385" t="inlineStr">
        <is>
          <t>C518</t>
        </is>
      </c>
      <c r="C4385" t="inlineStr">
        <is>
          <t>CONSUMER BANKING</t>
        </is>
      </c>
      <c r="D4385" t="inlineStr">
        <is>
          <t>IA</t>
        </is>
      </c>
      <c r="E4385" t="inlineStr">
        <is>
          <t>Stage 2</t>
        </is>
      </c>
      <c r="F4385" t="inlineStr">
        <is>
          <t>N/A</t>
        </is>
      </c>
      <c r="G4385" s="26">
        <v>421893258</v>
      </c>
      <c r="H4385" s="26">
        <v>25313595</v>
      </c>
      <c r="I4385" s="26">
        <v>26816262</v>
      </c>
      <c r="J4385" s="26">
        <v>155</v>
      </c>
      <c r="K4385" t="inlineStr">
        <is>
          <t>Non</t>
        </is>
      </c>
      <c r="L4385">
        <f>SUBTOTAL(103,A4385)</f>
        <v>1</v>
      </c>
    </row>
    <row r="4386">
      <c r="A4386" t="inlineStr">
        <is>
          <t>SOCIETE C1209</t>
        </is>
      </c>
      <c r="B4386" t="inlineStr">
        <is>
          <t>C1209</t>
        </is>
      </c>
      <c r="C4386" t="inlineStr">
        <is>
          <t>PUBLIC SECTOR</t>
        </is>
      </c>
      <c r="D4386" t="inlineStr">
        <is>
          <t>III</t>
        </is>
      </c>
      <c r="E4386" t="inlineStr">
        <is>
          <t>Stage 3</t>
        </is>
      </c>
      <c r="F4386" t="inlineStr">
        <is>
          <t>N/A</t>
        </is>
      </c>
      <c r="G4386" s="26">
        <v>140065233</v>
      </c>
      <c r="H4386" s="26">
        <v>77035878</v>
      </c>
      <c r="I4386" s="26">
        <v>0</v>
      </c>
      <c r="J4386" s="26">
        <v>3</v>
      </c>
      <c r="K4386" t="inlineStr">
        <is>
          <t>Oui</t>
        </is>
      </c>
      <c r="L4386">
        <f>SUBTOTAL(103,A4386)</f>
        <v>1</v>
      </c>
    </row>
    <row r="4387">
      <c r="A4387" t="inlineStr">
        <is>
          <t>SOCIETE C1958</t>
        </is>
      </c>
      <c r="B4387" t="inlineStr">
        <is>
          <t>C1958</t>
        </is>
      </c>
      <c r="C4387" t="inlineStr">
        <is>
          <t>CORPORATE BANKING</t>
        </is>
      </c>
      <c r="D4387" t="inlineStr">
        <is>
          <t>I</t>
        </is>
      </c>
      <c r="E4387" t="inlineStr">
        <is>
          <t>Stage 1</t>
        </is>
      </c>
      <c r="F4387" t="inlineStr">
        <is>
          <t>N/A</t>
        </is>
      </c>
      <c r="G4387" s="26">
        <v>798295712</v>
      </c>
      <c r="H4387" s="26">
        <v>7982957</v>
      </c>
      <c r="I4387" s="26">
        <v>0</v>
      </c>
      <c r="J4387" s="26">
        <v>103</v>
      </c>
      <c r="K4387" t="inlineStr">
        <is>
          <t>Non</t>
        </is>
      </c>
      <c r="L4387">
        <f>SUBTOTAL(103,A4387)</f>
        <v>1</v>
      </c>
    </row>
    <row r="4388">
      <c r="A4388" t="inlineStr">
        <is>
          <t>SOCIETE C1568</t>
        </is>
      </c>
      <c r="B4388" t="inlineStr">
        <is>
          <t>C1568</t>
        </is>
      </c>
      <c r="C4388" t="inlineStr">
        <is>
          <t>CORPORATE BANKING</t>
        </is>
      </c>
      <c r="D4388" t="inlineStr">
        <is>
          <t>IV</t>
        </is>
      </c>
      <c r="E4388" t="inlineStr">
        <is>
          <t>Stage 3</t>
        </is>
      </c>
      <c r="F4388" t="inlineStr">
        <is>
          <t>N/A</t>
        </is>
      </c>
      <c r="G4388" s="26">
        <v>115858905</v>
      </c>
      <c r="H4388" s="26">
        <v>63722398</v>
      </c>
      <c r="I4388" s="26">
        <v>0</v>
      </c>
      <c r="J4388" s="26">
        <v>18</v>
      </c>
      <c r="K4388" t="inlineStr">
        <is>
          <t>Oui</t>
        </is>
      </c>
      <c r="L4388">
        <f>SUBTOTAL(103,A4388)</f>
        <v>1</v>
      </c>
    </row>
    <row r="4389">
      <c r="A4389" t="inlineStr">
        <is>
          <t>SOCIETE C1965</t>
        </is>
      </c>
      <c r="B4389" t="inlineStr">
        <is>
          <t>C1965</t>
        </is>
      </c>
      <c r="C4389" t="inlineStr">
        <is>
          <t>CONSUMER BANKING</t>
        </is>
      </c>
      <c r="D4389" t="inlineStr">
        <is>
          <t>I</t>
        </is>
      </c>
      <c r="E4389" t="inlineStr">
        <is>
          <t>Stage 1</t>
        </is>
      </c>
      <c r="F4389" t="inlineStr">
        <is>
          <t>N/A</t>
        </is>
      </c>
      <c r="G4389" s="26">
        <v>1317762844</v>
      </c>
      <c r="H4389" s="26">
        <v>13177628</v>
      </c>
      <c r="I4389" s="26">
        <v>0</v>
      </c>
      <c r="J4389" s="26">
        <v>18</v>
      </c>
      <c r="K4389" t="inlineStr">
        <is>
          <t>Non</t>
        </is>
      </c>
      <c r="L4389">
        <f>SUBTOTAL(103,A4389)</f>
        <v>1</v>
      </c>
    </row>
    <row r="4390">
      <c r="A4390" t="inlineStr">
        <is>
          <t>SOCIETE C691</t>
        </is>
      </c>
      <c r="B4390" t="inlineStr">
        <is>
          <t>C691</t>
        </is>
      </c>
      <c r="C4390" t="inlineStr">
        <is>
          <t>CORPORATE BANKING</t>
        </is>
      </c>
      <c r="D4390" t="inlineStr">
        <is>
          <t>IA</t>
        </is>
      </c>
      <c r="E4390" t="inlineStr">
        <is>
          <t>Stage 2</t>
        </is>
      </c>
      <c r="F4390" t="inlineStr">
        <is>
          <t>N/A</t>
        </is>
      </c>
      <c r="G4390" s="26">
        <v>448770106</v>
      </c>
      <c r="H4390" s="26">
        <v>26926206</v>
      </c>
      <c r="I4390" s="26">
        <v>0</v>
      </c>
      <c r="J4390" s="26">
        <v>11</v>
      </c>
      <c r="K4390" t="inlineStr">
        <is>
          <t>Non</t>
        </is>
      </c>
      <c r="L4390">
        <f>SUBTOTAL(103,A4390)</f>
        <v>1</v>
      </c>
    </row>
    <row r="4391">
      <c r="A4391" t="inlineStr">
        <is>
          <t>SOCIETE C463</t>
        </is>
      </c>
      <c r="B4391" t="inlineStr">
        <is>
          <t>C463</t>
        </is>
      </c>
      <c r="C4391" t="inlineStr">
        <is>
          <t>CORPORATE BANKING</t>
        </is>
      </c>
      <c r="D4391" t="inlineStr">
        <is>
          <t>IA</t>
        </is>
      </c>
      <c r="E4391" t="inlineStr">
        <is>
          <t>Stage 2</t>
        </is>
      </c>
      <c r="F4391" t="inlineStr">
        <is>
          <t>N/A</t>
        </is>
      </c>
      <c r="G4391" s="26">
        <v>2860379360</v>
      </c>
      <c r="H4391" s="26">
        <v>171622762</v>
      </c>
      <c r="I4391" s="26">
        <v>0</v>
      </c>
      <c r="J4391" s="26">
        <v>17</v>
      </c>
      <c r="K4391" t="inlineStr">
        <is>
          <t>Non</t>
        </is>
      </c>
      <c r="L4391">
        <f>SUBTOTAL(103,A4391)</f>
        <v>1</v>
      </c>
    </row>
    <row r="4392">
      <c r="A4392" t="inlineStr">
        <is>
          <t>SOCIETE C2174</t>
        </is>
      </c>
      <c r="B4392" t="inlineStr">
        <is>
          <t>C2174</t>
        </is>
      </c>
      <c r="C4392" t="inlineStr">
        <is>
          <t>CONSUMER BANKING</t>
        </is>
      </c>
      <c r="D4392" t="inlineStr">
        <is>
          <t>I</t>
        </is>
      </c>
      <c r="E4392" t="inlineStr">
        <is>
          <t>Stage 1</t>
        </is>
      </c>
      <c r="F4392" t="inlineStr">
        <is>
          <t>N/A</t>
        </is>
      </c>
      <c r="G4392" s="26">
        <v>2176988320</v>
      </c>
      <c r="H4392" s="26">
        <v>21769883</v>
      </c>
      <c r="I4392" s="26">
        <v>0</v>
      </c>
      <c r="J4392" s="26">
        <v>143</v>
      </c>
      <c r="K4392" t="inlineStr">
        <is>
          <t>Non</t>
        </is>
      </c>
      <c r="L4392">
        <f>SUBTOTAL(103,A4392)</f>
        <v>1</v>
      </c>
    </row>
    <row r="4393">
      <c r="A4393" t="inlineStr">
        <is>
          <t>SOCIETE C64</t>
        </is>
      </c>
      <c r="B4393" t="inlineStr">
        <is>
          <t>C64</t>
        </is>
      </c>
      <c r="C4393" t="inlineStr">
        <is>
          <t>CONSUMER BANKING</t>
        </is>
      </c>
      <c r="D4393" t="inlineStr">
        <is>
          <t>III</t>
        </is>
      </c>
      <c r="E4393" t="inlineStr">
        <is>
          <t>Stage 3</t>
        </is>
      </c>
      <c r="F4393" t="inlineStr">
        <is>
          <t>N/A</t>
        </is>
      </c>
      <c r="G4393" s="26">
        <v>25422835</v>
      </c>
      <c r="H4393" s="26">
        <v>13982559</v>
      </c>
      <c r="I4393" s="26">
        <v>0</v>
      </c>
      <c r="J4393" s="26">
        <v>64</v>
      </c>
      <c r="K4393" t="inlineStr">
        <is>
          <t>Oui</t>
        </is>
      </c>
      <c r="L4393">
        <f>SUBTOTAL(103,A4393)</f>
        <v>1</v>
      </c>
    </row>
    <row r="4394">
      <c r="A4394" t="inlineStr">
        <is>
          <t>SOCIETE C229</t>
        </is>
      </c>
      <c r="B4394" t="inlineStr">
        <is>
          <t>C229</t>
        </is>
      </c>
      <c r="C4394" t="inlineStr">
        <is>
          <t>CORPORATE BANKING</t>
        </is>
      </c>
      <c r="D4394" t="inlineStr">
        <is>
          <t>IV</t>
        </is>
      </c>
      <c r="E4394" t="inlineStr">
        <is>
          <t>Stage 3</t>
        </is>
      </c>
      <c r="F4394" t="inlineStr">
        <is>
          <t>N/A</t>
        </is>
      </c>
      <c r="G4394" s="26">
        <v>411552412</v>
      </c>
      <c r="H4394" s="26">
        <v>226353827</v>
      </c>
      <c r="I4394" s="26">
        <v>0</v>
      </c>
      <c r="J4394" s="26">
        <v>32</v>
      </c>
      <c r="K4394" t="inlineStr">
        <is>
          <t>Oui</t>
        </is>
      </c>
      <c r="L4394">
        <f>SUBTOTAL(103,A4394)</f>
        <v>1</v>
      </c>
    </row>
    <row r="4395">
      <c r="A4395" t="inlineStr">
        <is>
          <t>SOCIETE C307</t>
        </is>
      </c>
      <c r="B4395" t="inlineStr">
        <is>
          <t>C307</t>
        </is>
      </c>
      <c r="C4395" t="inlineStr">
        <is>
          <t>SME</t>
        </is>
      </c>
      <c r="D4395" t="inlineStr">
        <is>
          <t>II</t>
        </is>
      </c>
      <c r="E4395" t="inlineStr">
        <is>
          <t>Stage 2</t>
        </is>
      </c>
      <c r="F4395" t="inlineStr">
        <is>
          <t>N/A</t>
        </is>
      </c>
      <c r="G4395" s="26">
        <v>78159715</v>
      </c>
      <c r="H4395" s="26">
        <v>4689583</v>
      </c>
      <c r="I4395" s="26">
        <v>0</v>
      </c>
      <c r="J4395" s="26">
        <v>220</v>
      </c>
      <c r="K4395" t="inlineStr">
        <is>
          <t>Non</t>
        </is>
      </c>
      <c r="L4395">
        <f>SUBTOTAL(103,A4395)</f>
        <v>1</v>
      </c>
    </row>
    <row r="4396">
      <c r="A4396" t="inlineStr">
        <is>
          <t>SOCIETE C972</t>
        </is>
      </c>
      <c r="B4396" t="inlineStr">
        <is>
          <t>C972</t>
        </is>
      </c>
      <c r="C4396" t="inlineStr">
        <is>
          <t>COMMERCIAL BANKING</t>
        </is>
      </c>
      <c r="D4396" t="inlineStr">
        <is>
          <t>III</t>
        </is>
      </c>
      <c r="E4396" t="inlineStr">
        <is>
          <t>Stage 3</t>
        </is>
      </c>
      <c r="F4396" t="inlineStr">
        <is>
          <t>N/A</t>
        </is>
      </c>
      <c r="G4396" s="26">
        <v>265286407</v>
      </c>
      <c r="H4396" s="26">
        <v>145907524</v>
      </c>
      <c r="I4396" s="26">
        <v>0</v>
      </c>
      <c r="J4396" s="26">
        <v>30</v>
      </c>
      <c r="K4396" t="inlineStr">
        <is>
          <t>Oui</t>
        </is>
      </c>
      <c r="L4396">
        <f>SUBTOTAL(103,A4396)</f>
        <v>1</v>
      </c>
    </row>
    <row r="4397">
      <c r="A4397" t="inlineStr">
        <is>
          <t>SOCIETE C929</t>
        </is>
      </c>
      <c r="B4397" t="inlineStr">
        <is>
          <t>C929</t>
        </is>
      </c>
      <c r="C4397" t="inlineStr">
        <is>
          <t>PUBLIC SECTOR</t>
        </is>
      </c>
      <c r="D4397" t="inlineStr">
        <is>
          <t>II</t>
        </is>
      </c>
      <c r="E4397" t="inlineStr">
        <is>
          <t>Stage 2</t>
        </is>
      </c>
      <c r="F4397" t="inlineStr">
        <is>
          <t>N/A</t>
        </is>
      </c>
      <c r="G4397" s="26">
        <v>174006120</v>
      </c>
      <c r="H4397" s="26">
        <v>10440367</v>
      </c>
      <c r="I4397" s="26">
        <v>5004931</v>
      </c>
      <c r="J4397" s="26">
        <v>22</v>
      </c>
      <c r="K4397" t="inlineStr">
        <is>
          <t>Non</t>
        </is>
      </c>
      <c r="L4397">
        <f>SUBTOTAL(103,A4397)</f>
        <v>1</v>
      </c>
    </row>
    <row r="4398">
      <c r="A4398" t="inlineStr">
        <is>
          <t>SOCIETE C977</t>
        </is>
      </c>
      <c r="B4398" t="inlineStr">
        <is>
          <t>C977</t>
        </is>
      </c>
      <c r="C4398" t="inlineStr">
        <is>
          <t>CONSUMER BANKING</t>
        </is>
      </c>
      <c r="D4398" t="inlineStr">
        <is>
          <t>II</t>
        </is>
      </c>
      <c r="E4398" t="inlineStr">
        <is>
          <t>Stage 2</t>
        </is>
      </c>
      <c r="F4398" t="inlineStr">
        <is>
          <t>N/A</t>
        </is>
      </c>
      <c r="G4398" s="26">
        <v>1511368766</v>
      </c>
      <c r="H4398" s="26">
        <v>90682126</v>
      </c>
      <c r="I4398" s="26">
        <v>0</v>
      </c>
      <c r="J4398" s="26">
        <v>62</v>
      </c>
      <c r="K4398" t="inlineStr">
        <is>
          <t>Non</t>
        </is>
      </c>
      <c r="L4398">
        <f>SUBTOTAL(103,A4398)</f>
        <v>1</v>
      </c>
    </row>
    <row r="4399">
      <c r="A4399" t="inlineStr">
        <is>
          <t>SOCIETE C146</t>
        </is>
      </c>
      <c r="B4399" t="inlineStr">
        <is>
          <t>C146</t>
        </is>
      </c>
      <c r="C4399" t="inlineStr">
        <is>
          <t>CORPORATE BANKING</t>
        </is>
      </c>
      <c r="D4399" t="inlineStr">
        <is>
          <t>I</t>
        </is>
      </c>
      <c r="E4399" t="inlineStr">
        <is>
          <t>Stage 1</t>
        </is>
      </c>
      <c r="F4399" t="inlineStr">
        <is>
          <t>N/A</t>
        </is>
      </c>
      <c r="G4399" s="26">
        <v>268337632</v>
      </c>
      <c r="H4399" s="26">
        <v>2683376</v>
      </c>
      <c r="I4399" s="26">
        <v>0</v>
      </c>
      <c r="J4399" s="26">
        <v>0</v>
      </c>
      <c r="K4399" t="inlineStr">
        <is>
          <t>Non</t>
        </is>
      </c>
      <c r="L4399">
        <f>SUBTOTAL(103,A4399)</f>
        <v>1</v>
      </c>
    </row>
    <row r="4400">
      <c r="A4400" t="inlineStr">
        <is>
          <t>SOCIETE C1094</t>
        </is>
      </c>
      <c r="B4400" t="inlineStr">
        <is>
          <t>C1094</t>
        </is>
      </c>
      <c r="C4400" t="inlineStr">
        <is>
          <t>CORPORATE BANKING</t>
        </is>
      </c>
      <c r="D4400" t="inlineStr">
        <is>
          <t>I</t>
        </is>
      </c>
      <c r="E4400" t="inlineStr">
        <is>
          <t>Stage 1</t>
        </is>
      </c>
      <c r="F4400" t="inlineStr">
        <is>
          <t>N/A</t>
        </is>
      </c>
      <c r="G4400" s="26">
        <v>2822495</v>
      </c>
      <c r="H4400" s="26">
        <v>28225</v>
      </c>
      <c r="I4400" s="26">
        <v>0</v>
      </c>
      <c r="J4400" s="26">
        <v>6</v>
      </c>
      <c r="K4400" t="inlineStr">
        <is>
          <t>Non</t>
        </is>
      </c>
      <c r="L4400">
        <f>SUBTOTAL(103,A4400)</f>
        <v>1</v>
      </c>
    </row>
    <row r="4401">
      <c r="A4401" t="inlineStr">
        <is>
          <t>SOCIETE C1504</t>
        </is>
      </c>
      <c r="B4401" t="inlineStr">
        <is>
          <t>C1504</t>
        </is>
      </c>
      <c r="C4401" t="inlineStr">
        <is>
          <t>CORPORATE BANKING</t>
        </is>
      </c>
      <c r="D4401" t="inlineStr">
        <is>
          <t>IV</t>
        </is>
      </c>
      <c r="E4401" t="inlineStr">
        <is>
          <t>Stage 3</t>
        </is>
      </c>
      <c r="F4401" t="inlineStr">
        <is>
          <t>N/A</t>
        </is>
      </c>
      <c r="G4401" s="26">
        <v>38616722</v>
      </c>
      <c r="H4401" s="26">
        <v>21239197</v>
      </c>
      <c r="I4401" s="26">
        <v>0</v>
      </c>
      <c r="J4401" s="26">
        <v>256</v>
      </c>
      <c r="K4401" t="inlineStr">
        <is>
          <t>Oui</t>
        </is>
      </c>
      <c r="L4401">
        <f>SUBTOTAL(103,A4401)</f>
        <v>1</v>
      </c>
    </row>
    <row r="4402">
      <c r="A4402" t="inlineStr">
        <is>
          <t>SOCIETE C769</t>
        </is>
      </c>
      <c r="B4402" t="inlineStr">
        <is>
          <t>C769</t>
        </is>
      </c>
      <c r="C4402" t="inlineStr">
        <is>
          <t>CORPORATE BANKING</t>
        </is>
      </c>
      <c r="D4402" t="inlineStr">
        <is>
          <t>I</t>
        </is>
      </c>
      <c r="E4402" t="inlineStr">
        <is>
          <t>Stage 1</t>
        </is>
      </c>
      <c r="F4402" t="inlineStr">
        <is>
          <t>N/A</t>
        </is>
      </c>
      <c r="G4402" s="26">
        <v>38004633</v>
      </c>
      <c r="H4402" s="26">
        <v>380046</v>
      </c>
      <c r="I4402" s="26">
        <v>1664771</v>
      </c>
      <c r="J4402" s="26">
        <v>14</v>
      </c>
      <c r="K4402" t="inlineStr">
        <is>
          <t>Non</t>
        </is>
      </c>
      <c r="L4402">
        <f>SUBTOTAL(103,A4402)</f>
        <v>1</v>
      </c>
    </row>
    <row r="4403">
      <c r="A4403" t="inlineStr">
        <is>
          <t>SOCIETE C1546</t>
        </is>
      </c>
      <c r="B4403" t="inlineStr">
        <is>
          <t>C1546</t>
        </is>
      </c>
      <c r="C4403" t="inlineStr">
        <is>
          <t>CORPORATE BANKING</t>
        </is>
      </c>
      <c r="D4403" t="inlineStr">
        <is>
          <t>IA</t>
        </is>
      </c>
      <c r="E4403" t="inlineStr">
        <is>
          <t>Stage 2</t>
        </is>
      </c>
      <c r="F4403" t="inlineStr">
        <is>
          <t>N/A</t>
        </is>
      </c>
      <c r="G4403" s="26">
        <v>1511106903</v>
      </c>
      <c r="H4403" s="26">
        <v>90666414</v>
      </c>
      <c r="I4403" s="26">
        <v>0</v>
      </c>
      <c r="J4403" s="26">
        <v>2</v>
      </c>
      <c r="K4403" t="inlineStr">
        <is>
          <t>Non</t>
        </is>
      </c>
      <c r="L4403">
        <f>SUBTOTAL(103,A4403)</f>
        <v>1</v>
      </c>
    </row>
    <row r="4404">
      <c r="A4404" t="inlineStr">
        <is>
          <t>SOCIETE C923</t>
        </is>
      </c>
      <c r="B4404" t="inlineStr">
        <is>
          <t>C923</t>
        </is>
      </c>
      <c r="C4404" t="inlineStr">
        <is>
          <t>CORPORATE BANKING</t>
        </is>
      </c>
      <c r="D4404" t="inlineStr">
        <is>
          <t>V</t>
        </is>
      </c>
      <c r="E4404" t="inlineStr">
        <is>
          <t>Stage 3</t>
        </is>
      </c>
      <c r="F4404" t="inlineStr">
        <is>
          <t>N/A</t>
        </is>
      </c>
      <c r="G4404" s="26">
        <v>167066954</v>
      </c>
      <c r="H4404" s="26">
        <v>91886825</v>
      </c>
      <c r="I4404" s="26">
        <v>32758381</v>
      </c>
      <c r="J4404" s="26">
        <v>76</v>
      </c>
      <c r="K4404" t="inlineStr">
        <is>
          <t>Oui</t>
        </is>
      </c>
      <c r="L4404">
        <f>SUBTOTAL(103,A4404)</f>
        <v>1</v>
      </c>
    </row>
    <row r="4405">
      <c r="A4405" t="inlineStr">
        <is>
          <t>SOCIETE C214</t>
        </is>
      </c>
      <c r="B4405" t="inlineStr">
        <is>
          <t>C214</t>
        </is>
      </c>
      <c r="C4405" t="inlineStr">
        <is>
          <t>CORPORATE BANKING</t>
        </is>
      </c>
      <c r="D4405" t="inlineStr">
        <is>
          <t>I</t>
        </is>
      </c>
      <c r="E4405" t="inlineStr">
        <is>
          <t>Stage 1</t>
        </is>
      </c>
      <c r="F4405" t="inlineStr">
        <is>
          <t>N/A</t>
        </is>
      </c>
      <c r="G4405" s="26">
        <v>13563741</v>
      </c>
      <c r="H4405" s="26">
        <v>135637</v>
      </c>
      <c r="I4405" s="26">
        <v>416114</v>
      </c>
      <c r="J4405" s="26">
        <v>18</v>
      </c>
      <c r="K4405" t="inlineStr">
        <is>
          <t>Non</t>
        </is>
      </c>
      <c r="L4405">
        <f>SUBTOTAL(103,A4405)</f>
        <v>1</v>
      </c>
    </row>
    <row r="4406">
      <c r="A4406" t="inlineStr">
        <is>
          <t>SOCIETE C1848</t>
        </is>
      </c>
      <c r="B4406" t="inlineStr">
        <is>
          <t>C1848</t>
        </is>
      </c>
      <c r="C4406" t="inlineStr">
        <is>
          <t>COMMERCIAL BANKING</t>
        </is>
      </c>
      <c r="D4406" t="inlineStr">
        <is>
          <t>II</t>
        </is>
      </c>
      <c r="E4406" t="inlineStr">
        <is>
          <t>Stage 2</t>
        </is>
      </c>
      <c r="F4406" t="inlineStr">
        <is>
          <t>N/A</t>
        </is>
      </c>
      <c r="G4406" s="26">
        <v>4461108</v>
      </c>
      <c r="H4406" s="26">
        <v>267666</v>
      </c>
      <c r="I4406" s="26">
        <v>0</v>
      </c>
      <c r="J4406" s="26">
        <v>25</v>
      </c>
      <c r="K4406" t="inlineStr">
        <is>
          <t>Non</t>
        </is>
      </c>
      <c r="L4406">
        <f>SUBTOTAL(103,A4406)</f>
        <v>1</v>
      </c>
    </row>
    <row r="4407">
      <c r="A4407" t="inlineStr">
        <is>
          <t>SOCIETE C1274</t>
        </is>
      </c>
      <c r="B4407" t="inlineStr">
        <is>
          <t>C1274</t>
        </is>
      </c>
      <c r="C4407" t="inlineStr">
        <is>
          <t>CORPORATE BANKING</t>
        </is>
      </c>
      <c r="D4407" t="inlineStr">
        <is>
          <t>IA</t>
        </is>
      </c>
      <c r="E4407" t="inlineStr">
        <is>
          <t>Stage 2</t>
        </is>
      </c>
      <c r="F4407" t="inlineStr">
        <is>
          <t>N/A</t>
        </is>
      </c>
      <c r="G4407" s="26">
        <v>1838952353</v>
      </c>
      <c r="H4407" s="26">
        <v>110337141</v>
      </c>
      <c r="I4407" s="26">
        <v>0</v>
      </c>
      <c r="J4407" s="26">
        <v>95</v>
      </c>
      <c r="K4407" t="inlineStr">
        <is>
          <t>Non</t>
        </is>
      </c>
      <c r="L4407">
        <f>SUBTOTAL(103,A4407)</f>
        <v>1</v>
      </c>
    </row>
    <row r="4408">
      <c r="A4408" t="inlineStr">
        <is>
          <t>SOCIETE C295</t>
        </is>
      </c>
      <c r="B4408" t="inlineStr">
        <is>
          <t>C295</t>
        </is>
      </c>
      <c r="C4408" t="inlineStr">
        <is>
          <t>COMMERCIAL BANKING</t>
        </is>
      </c>
      <c r="D4408" t="inlineStr">
        <is>
          <t>IV</t>
        </is>
      </c>
      <c r="E4408" t="inlineStr">
        <is>
          <t>Stage 3</t>
        </is>
      </c>
      <c r="F4408" t="inlineStr">
        <is>
          <t>N/A</t>
        </is>
      </c>
      <c r="G4408" s="26">
        <v>2180988690</v>
      </c>
      <c r="H4408" s="26">
        <v>1199543780</v>
      </c>
      <c r="I4408" s="26">
        <v>0</v>
      </c>
      <c r="J4408" s="26">
        <v>23</v>
      </c>
      <c r="K4408" t="inlineStr">
        <is>
          <t>Oui</t>
        </is>
      </c>
      <c r="L4408">
        <f>SUBTOTAL(103,A4408)</f>
        <v>1</v>
      </c>
    </row>
    <row r="4409">
      <c r="A4409" t="inlineStr">
        <is>
          <t>SOCIETE C1515</t>
        </is>
      </c>
      <c r="B4409" t="inlineStr">
        <is>
          <t>C1515</t>
        </is>
      </c>
      <c r="C4409" t="inlineStr">
        <is>
          <t>CONSUMER BANKING</t>
        </is>
      </c>
      <c r="D4409" t="inlineStr">
        <is>
          <t>I</t>
        </is>
      </c>
      <c r="E4409" t="inlineStr">
        <is>
          <t>Stage 1</t>
        </is>
      </c>
      <c r="F4409" t="inlineStr">
        <is>
          <t>N/A</t>
        </is>
      </c>
      <c r="G4409" s="26">
        <v>885123095</v>
      </c>
      <c r="H4409" s="26">
        <v>8851231</v>
      </c>
      <c r="I4409" s="26">
        <v>46560867</v>
      </c>
      <c r="J4409" s="26">
        <v>25</v>
      </c>
      <c r="K4409" t="inlineStr">
        <is>
          <t>Non</t>
        </is>
      </c>
      <c r="L4409">
        <f>SUBTOTAL(103,A4409)</f>
        <v>1</v>
      </c>
    </row>
    <row r="4410">
      <c r="A4410" t="inlineStr">
        <is>
          <t>SOCIETE C858</t>
        </is>
      </c>
      <c r="B4410" t="inlineStr">
        <is>
          <t>C858</t>
        </is>
      </c>
      <c r="C4410" t="inlineStr">
        <is>
          <t>CONSUMER BANKING</t>
        </is>
      </c>
      <c r="D4410" t="inlineStr">
        <is>
          <t>IA</t>
        </is>
      </c>
      <c r="E4410" t="inlineStr">
        <is>
          <t>Stage 2</t>
        </is>
      </c>
      <c r="F4410" t="inlineStr">
        <is>
          <t>N/A</t>
        </is>
      </c>
      <c r="G4410" s="26">
        <v>2776754234</v>
      </c>
      <c r="H4410" s="26">
        <v>166605254</v>
      </c>
      <c r="I4410" s="26">
        <v>0</v>
      </c>
      <c r="J4410" s="26">
        <v>2</v>
      </c>
      <c r="K4410" t="inlineStr">
        <is>
          <t>Non</t>
        </is>
      </c>
      <c r="L4410">
        <f>SUBTOTAL(103,A4410)</f>
        <v>1</v>
      </c>
    </row>
    <row r="4411">
      <c r="A4411" t="inlineStr">
        <is>
          <t>SOCIETE C1638</t>
        </is>
      </c>
      <c r="B4411" t="inlineStr">
        <is>
          <t>C1638</t>
        </is>
      </c>
      <c r="C4411" t="inlineStr">
        <is>
          <t>COMMERCIAL BANKING</t>
        </is>
      </c>
      <c r="D4411" t="inlineStr">
        <is>
          <t>I</t>
        </is>
      </c>
      <c r="E4411" t="inlineStr">
        <is>
          <t>Stage 1</t>
        </is>
      </c>
      <c r="F4411" t="inlineStr">
        <is>
          <t>N/A</t>
        </is>
      </c>
      <c r="G4411" s="26">
        <v>1401068216</v>
      </c>
      <c r="H4411" s="26">
        <v>14010682</v>
      </c>
      <c r="I4411" s="26">
        <v>0</v>
      </c>
      <c r="J4411" s="26">
        <v>3</v>
      </c>
      <c r="K4411" t="inlineStr">
        <is>
          <t>Non</t>
        </is>
      </c>
      <c r="L4411">
        <f>SUBTOTAL(103,A4411)</f>
        <v>1</v>
      </c>
    </row>
    <row r="4412">
      <c r="A4412" t="inlineStr">
        <is>
          <t>SOCIETE C1246</t>
        </is>
      </c>
      <c r="B4412" t="inlineStr">
        <is>
          <t>C1246</t>
        </is>
      </c>
      <c r="C4412" t="inlineStr">
        <is>
          <t>CORPORATE BANKING</t>
        </is>
      </c>
      <c r="D4412" t="inlineStr">
        <is>
          <t>I</t>
        </is>
      </c>
      <c r="E4412" t="inlineStr">
        <is>
          <t>Stage 1</t>
        </is>
      </c>
      <c r="F4412" t="inlineStr">
        <is>
          <t>N/A</t>
        </is>
      </c>
      <c r="G4412" s="26">
        <v>6196800</v>
      </c>
      <c r="H4412" s="26">
        <v>61968</v>
      </c>
      <c r="I4412" s="26">
        <v>0</v>
      </c>
      <c r="J4412" s="26">
        <v>38</v>
      </c>
      <c r="K4412" t="inlineStr">
        <is>
          <t>Non</t>
        </is>
      </c>
      <c r="L4412">
        <f>SUBTOTAL(103,A4412)</f>
        <v>1</v>
      </c>
    </row>
    <row r="4413">
      <c r="A4413" t="inlineStr">
        <is>
          <t>SOCIETE C2048</t>
        </is>
      </c>
      <c r="B4413" t="inlineStr">
        <is>
          <t>C2048</t>
        </is>
      </c>
      <c r="C4413" t="inlineStr">
        <is>
          <t>COMMERCIAL BANKING</t>
        </is>
      </c>
      <c r="D4413" t="inlineStr">
        <is>
          <t>V</t>
        </is>
      </c>
      <c r="E4413" t="inlineStr">
        <is>
          <t>Stage 3</t>
        </is>
      </c>
      <c r="F4413" t="inlineStr">
        <is>
          <t>N/A</t>
        </is>
      </c>
      <c r="G4413" s="26">
        <v>2463643527</v>
      </c>
      <c r="H4413" s="26">
        <v>1355003940</v>
      </c>
      <c r="I4413" s="26">
        <v>337189188</v>
      </c>
      <c r="J4413" s="26">
        <v>214</v>
      </c>
      <c r="K4413" t="inlineStr">
        <is>
          <t>Oui</t>
        </is>
      </c>
      <c r="L4413">
        <f>SUBTOTAL(103,A4413)</f>
        <v>1</v>
      </c>
    </row>
    <row r="4414">
      <c r="A4414" t="inlineStr">
        <is>
          <t>SOCIETE C2186</t>
        </is>
      </c>
      <c r="B4414" t="inlineStr">
        <is>
          <t>C2186</t>
        </is>
      </c>
      <c r="C4414" t="inlineStr">
        <is>
          <t>PUBLIC SECTOR</t>
        </is>
      </c>
      <c r="D4414" t="inlineStr">
        <is>
          <t>I</t>
        </is>
      </c>
      <c r="E4414" t="inlineStr">
        <is>
          <t>Stage 1</t>
        </is>
      </c>
      <c r="F4414" t="inlineStr">
        <is>
          <t>N/A</t>
        </is>
      </c>
      <c r="G4414" s="26">
        <v>1468565399</v>
      </c>
      <c r="H4414" s="26">
        <v>14685654</v>
      </c>
      <c r="I4414" s="26">
        <v>0</v>
      </c>
      <c r="J4414" s="26">
        <v>180</v>
      </c>
      <c r="K4414" t="inlineStr">
        <is>
          <t>Non</t>
        </is>
      </c>
      <c r="L4414">
        <f>SUBTOTAL(103,A4414)</f>
        <v>1</v>
      </c>
    </row>
    <row r="4415">
      <c r="A4415" t="inlineStr">
        <is>
          <t>SOCIETE C923</t>
        </is>
      </c>
      <c r="B4415" t="inlineStr">
        <is>
          <t>C923</t>
        </is>
      </c>
      <c r="C4415" t="inlineStr">
        <is>
          <t>CORPORATE BANKING</t>
        </is>
      </c>
      <c r="D4415" t="inlineStr">
        <is>
          <t>I</t>
        </is>
      </c>
      <c r="E4415" t="inlineStr">
        <is>
          <t>Stage 1</t>
        </is>
      </c>
      <c r="F4415" t="inlineStr">
        <is>
          <t>N/A</t>
        </is>
      </c>
      <c r="G4415" s="26">
        <v>125146476</v>
      </c>
      <c r="H4415" s="26">
        <v>1251465</v>
      </c>
      <c r="I4415" s="26">
        <v>1552135</v>
      </c>
      <c r="J4415" s="26">
        <v>63</v>
      </c>
      <c r="K4415" t="inlineStr">
        <is>
          <t>Non</t>
        </is>
      </c>
      <c r="L4415">
        <f>SUBTOTAL(103,A4415)</f>
        <v>1</v>
      </c>
    </row>
    <row r="4416">
      <c r="A4416" t="inlineStr">
        <is>
          <t>SOCIETE C504</t>
        </is>
      </c>
      <c r="B4416" t="inlineStr">
        <is>
          <t>C504</t>
        </is>
      </c>
      <c r="C4416" t="inlineStr">
        <is>
          <t>CORPORATE BANKING</t>
        </is>
      </c>
      <c r="D4416" t="inlineStr">
        <is>
          <t>I</t>
        </is>
      </c>
      <c r="E4416" t="inlineStr">
        <is>
          <t>Stage 1</t>
        </is>
      </c>
      <c r="F4416" t="inlineStr">
        <is>
          <t>N/A</t>
        </is>
      </c>
      <c r="G4416" s="26">
        <v>983819874</v>
      </c>
      <c r="H4416" s="26">
        <v>9838199</v>
      </c>
      <c r="I4416" s="26">
        <v>0</v>
      </c>
      <c r="J4416" s="26">
        <v>167</v>
      </c>
      <c r="K4416" t="inlineStr">
        <is>
          <t>Non</t>
        </is>
      </c>
      <c r="L4416">
        <f>SUBTOTAL(103,A4416)</f>
        <v>1</v>
      </c>
    </row>
    <row r="4417">
      <c r="A4417" t="inlineStr">
        <is>
          <t>SOCIETE C2224</t>
        </is>
      </c>
      <c r="B4417" t="inlineStr">
        <is>
          <t>C2224</t>
        </is>
      </c>
      <c r="C4417" t="inlineStr">
        <is>
          <t>CORPORATE BANKING</t>
        </is>
      </c>
      <c r="D4417" t="inlineStr">
        <is>
          <t>I</t>
        </is>
      </c>
      <c r="E4417" t="inlineStr">
        <is>
          <t>Stage 1</t>
        </is>
      </c>
      <c r="F4417" t="inlineStr">
        <is>
          <t>N/A</t>
        </is>
      </c>
      <c r="G4417" s="26">
        <v>1935921</v>
      </c>
      <c r="H4417" s="26">
        <v>19359</v>
      </c>
      <c r="I4417" s="26">
        <v>0</v>
      </c>
      <c r="J4417" s="26">
        <v>192</v>
      </c>
      <c r="K4417" t="inlineStr">
        <is>
          <t>Non</t>
        </is>
      </c>
      <c r="L4417">
        <f>SUBTOTAL(103,A4417)</f>
        <v>1</v>
      </c>
    </row>
    <row r="4418">
      <c r="A4418" t="inlineStr">
        <is>
          <t>SOCIETE C506</t>
        </is>
      </c>
      <c r="B4418" t="inlineStr">
        <is>
          <t>C506</t>
        </is>
      </c>
      <c r="C4418" t="inlineStr">
        <is>
          <t>INSTITUTIONAL</t>
        </is>
      </c>
      <c r="D4418" t="inlineStr">
        <is>
          <t>IV</t>
        </is>
      </c>
      <c r="E4418" t="inlineStr">
        <is>
          <t>Stage 3</t>
        </is>
      </c>
      <c r="F4418" t="inlineStr">
        <is>
          <t>N/A</t>
        </is>
      </c>
      <c r="G4418" s="26">
        <v>1947916530</v>
      </c>
      <c r="H4418" s="26">
        <v>1071354091</v>
      </c>
      <c r="I4418" s="26">
        <v>0</v>
      </c>
      <c r="J4418" s="26">
        <v>131</v>
      </c>
      <c r="K4418" t="inlineStr">
        <is>
          <t>Oui</t>
        </is>
      </c>
      <c r="L4418">
        <f>SUBTOTAL(103,A4418)</f>
        <v>1</v>
      </c>
    </row>
    <row r="4419">
      <c r="A4419" t="inlineStr">
        <is>
          <t>SOCIETE C997</t>
        </is>
      </c>
      <c r="B4419" t="inlineStr">
        <is>
          <t>C997</t>
        </is>
      </c>
      <c r="C4419" t="inlineStr">
        <is>
          <t>CORPORATE BANKING</t>
        </is>
      </c>
      <c r="D4419" t="inlineStr">
        <is>
          <t>I</t>
        </is>
      </c>
      <c r="E4419" t="inlineStr">
        <is>
          <t>Stage 1</t>
        </is>
      </c>
      <c r="F4419" t="inlineStr">
        <is>
          <t>N/A</t>
        </is>
      </c>
      <c r="G4419" s="26">
        <v>57301921</v>
      </c>
      <c r="H4419" s="26">
        <v>573019</v>
      </c>
      <c r="I4419" s="26">
        <v>1633200</v>
      </c>
      <c r="J4419" s="26">
        <v>37</v>
      </c>
      <c r="K4419" t="inlineStr">
        <is>
          <t>Non</t>
        </is>
      </c>
      <c r="L4419">
        <f>SUBTOTAL(103,A4419)</f>
        <v>1</v>
      </c>
    </row>
    <row r="4420">
      <c r="A4420" t="inlineStr">
        <is>
          <t>SOCIETE C42</t>
        </is>
      </c>
      <c r="B4420" t="inlineStr">
        <is>
          <t>C42</t>
        </is>
      </c>
      <c r="C4420" t="inlineStr">
        <is>
          <t>SME</t>
        </is>
      </c>
      <c r="D4420" t="inlineStr">
        <is>
          <t>IA</t>
        </is>
      </c>
      <c r="E4420" t="inlineStr">
        <is>
          <t>Stage 2</t>
        </is>
      </c>
      <c r="F4420" t="inlineStr">
        <is>
          <t>N/A</t>
        </is>
      </c>
      <c r="G4420" s="26">
        <v>213316200</v>
      </c>
      <c r="H4420" s="26">
        <v>12798972</v>
      </c>
      <c r="I4420" s="26">
        <v>37465056</v>
      </c>
      <c r="J4420" s="26">
        <v>13</v>
      </c>
      <c r="K4420" t="inlineStr">
        <is>
          <t>Non</t>
        </is>
      </c>
      <c r="L4420">
        <f>SUBTOTAL(103,A4420)</f>
        <v>1</v>
      </c>
    </row>
    <row r="4421">
      <c r="A4421" t="inlineStr">
        <is>
          <t>SOCIETE C1041</t>
        </is>
      </c>
      <c r="B4421" t="inlineStr">
        <is>
          <t>C1041</t>
        </is>
      </c>
      <c r="C4421" t="inlineStr">
        <is>
          <t>SME</t>
        </is>
      </c>
      <c r="D4421" t="inlineStr">
        <is>
          <t>I</t>
        </is>
      </c>
      <c r="E4421" t="inlineStr">
        <is>
          <t>Stage 1</t>
        </is>
      </c>
      <c r="F4421" t="inlineStr">
        <is>
          <t>N/A</t>
        </is>
      </c>
      <c r="G4421" s="26">
        <v>7118650</v>
      </c>
      <c r="H4421" s="26">
        <v>71187</v>
      </c>
      <c r="I4421" s="26">
        <v>0</v>
      </c>
      <c r="J4421" s="26">
        <v>98</v>
      </c>
      <c r="K4421" t="inlineStr">
        <is>
          <t>Non</t>
        </is>
      </c>
      <c r="L4421">
        <f>SUBTOTAL(103,A4421)</f>
        <v>1</v>
      </c>
    </row>
    <row r="4422">
      <c r="A4422" t="inlineStr">
        <is>
          <t>SOCIETE C1316</t>
        </is>
      </c>
      <c r="B4422" t="inlineStr">
        <is>
          <t>C1316</t>
        </is>
      </c>
      <c r="C4422" t="inlineStr">
        <is>
          <t>COMMERCIAL BANKING</t>
        </is>
      </c>
      <c r="D4422" t="inlineStr">
        <is>
          <t>I</t>
        </is>
      </c>
      <c r="E4422" t="inlineStr">
        <is>
          <t>Stage 1</t>
        </is>
      </c>
      <c r="F4422" t="inlineStr">
        <is>
          <t>N/A</t>
        </is>
      </c>
      <c r="G4422" s="26">
        <v>71475930</v>
      </c>
      <c r="H4422" s="26">
        <v>714759</v>
      </c>
      <c r="I4422" s="26">
        <v>0</v>
      </c>
      <c r="J4422" s="26">
        <v>271</v>
      </c>
      <c r="K4422" t="inlineStr">
        <is>
          <t>Non</t>
        </is>
      </c>
      <c r="L4422">
        <f>SUBTOTAL(103,A4422)</f>
        <v>1</v>
      </c>
    </row>
    <row r="4423">
      <c r="A4423" t="inlineStr">
        <is>
          <t>SOCIETE C586</t>
        </is>
      </c>
      <c r="B4423" t="inlineStr">
        <is>
          <t>C586</t>
        </is>
      </c>
      <c r="C4423" t="inlineStr">
        <is>
          <t>CORPORATE BANKING</t>
        </is>
      </c>
      <c r="D4423" t="inlineStr">
        <is>
          <t>I</t>
        </is>
      </c>
      <c r="E4423" t="inlineStr">
        <is>
          <t>Stage 1</t>
        </is>
      </c>
      <c r="F4423" t="inlineStr">
        <is>
          <t>N/A</t>
        </is>
      </c>
      <c r="G4423" s="26">
        <v>258438734</v>
      </c>
      <c r="H4423" s="26">
        <v>2584387</v>
      </c>
      <c r="I4423" s="26">
        <v>0</v>
      </c>
      <c r="J4423" s="26">
        <v>185</v>
      </c>
      <c r="K4423" t="inlineStr">
        <is>
          <t>Non</t>
        </is>
      </c>
      <c r="L4423">
        <f>SUBTOTAL(103,A4423)</f>
        <v>1</v>
      </c>
    </row>
    <row r="4424">
      <c r="A4424" t="inlineStr">
        <is>
          <t>SOCIETE C1370</t>
        </is>
      </c>
      <c r="B4424" t="inlineStr">
        <is>
          <t>C1370</t>
        </is>
      </c>
      <c r="C4424" t="inlineStr">
        <is>
          <t>CORPORATE BANKING</t>
        </is>
      </c>
      <c r="D4424" t="inlineStr">
        <is>
          <t>IA</t>
        </is>
      </c>
      <c r="E4424" t="inlineStr">
        <is>
          <t>Stage 2</t>
        </is>
      </c>
      <c r="F4424" t="inlineStr">
        <is>
          <t>N/A</t>
        </is>
      </c>
      <c r="G4424" s="26">
        <v>153543159</v>
      </c>
      <c r="H4424" s="26">
        <v>9212590</v>
      </c>
      <c r="I4424" s="26">
        <v>0</v>
      </c>
      <c r="J4424" s="26">
        <v>93</v>
      </c>
      <c r="K4424" t="inlineStr">
        <is>
          <t>Non</t>
        </is>
      </c>
      <c r="L4424">
        <f>SUBTOTAL(103,A4424)</f>
        <v>1</v>
      </c>
    </row>
    <row r="4425">
      <c r="A4425" t="inlineStr">
        <is>
          <t>SOCIETE C2177</t>
        </is>
      </c>
      <c r="B4425" t="inlineStr">
        <is>
          <t>C2177</t>
        </is>
      </c>
      <c r="C4425" t="inlineStr">
        <is>
          <t>CORPORATE BANKING</t>
        </is>
      </c>
      <c r="D4425" t="inlineStr">
        <is>
          <t>IV</t>
        </is>
      </c>
      <c r="E4425" t="inlineStr">
        <is>
          <t>Stage 3</t>
        </is>
      </c>
      <c r="F4425" t="inlineStr">
        <is>
          <t>N/A</t>
        </is>
      </c>
      <c r="G4425" s="26">
        <v>51201181</v>
      </c>
      <c r="H4425" s="26">
        <v>28160649</v>
      </c>
      <c r="I4425" s="26">
        <v>0</v>
      </c>
      <c r="J4425" s="26">
        <v>125</v>
      </c>
      <c r="K4425" t="inlineStr">
        <is>
          <t>Oui</t>
        </is>
      </c>
      <c r="L4425">
        <f>SUBTOTAL(103,A4425)</f>
        <v>1</v>
      </c>
    </row>
    <row r="4426">
      <c r="A4426" t="inlineStr">
        <is>
          <t>SOCIETE C15</t>
        </is>
      </c>
      <c r="B4426" t="inlineStr">
        <is>
          <t>C15</t>
        </is>
      </c>
      <c r="C4426" t="inlineStr">
        <is>
          <t>CORPORATE BANKING</t>
        </is>
      </c>
      <c r="D4426" t="inlineStr">
        <is>
          <t>V</t>
        </is>
      </c>
      <c r="E4426" t="inlineStr">
        <is>
          <t>Stage 3</t>
        </is>
      </c>
      <c r="F4426" t="inlineStr">
        <is>
          <t>N/A</t>
        </is>
      </c>
      <c r="G4426" s="26">
        <v>1135791893</v>
      </c>
      <c r="H4426" s="26">
        <v>624685541</v>
      </c>
      <c r="I4426" s="26">
        <v>0</v>
      </c>
      <c r="J4426" s="26">
        <v>5</v>
      </c>
      <c r="K4426" t="inlineStr">
        <is>
          <t>Oui</t>
        </is>
      </c>
      <c r="L4426">
        <f>SUBTOTAL(103,A4426)</f>
        <v>1</v>
      </c>
    </row>
    <row r="4427">
      <c r="A4427" t="inlineStr">
        <is>
          <t>SOCIETE C1874</t>
        </is>
      </c>
      <c r="B4427" t="inlineStr">
        <is>
          <t>C1874</t>
        </is>
      </c>
      <c r="C4427" t="inlineStr">
        <is>
          <t>CONSUMER BANKING</t>
        </is>
      </c>
      <c r="D4427" t="inlineStr">
        <is>
          <t>IA</t>
        </is>
      </c>
      <c r="E4427" t="inlineStr">
        <is>
          <t>Stage 2</t>
        </is>
      </c>
      <c r="F4427" t="inlineStr">
        <is>
          <t>N/A</t>
        </is>
      </c>
      <c r="G4427" s="26">
        <v>861187681</v>
      </c>
      <c r="H4427" s="26">
        <v>51671261</v>
      </c>
      <c r="I4427" s="26">
        <v>34407946</v>
      </c>
      <c r="J4427" s="26">
        <v>158</v>
      </c>
      <c r="K4427" t="inlineStr">
        <is>
          <t>Non</t>
        </is>
      </c>
      <c r="L4427">
        <f>SUBTOTAL(103,A4427)</f>
        <v>1</v>
      </c>
    </row>
    <row r="4428">
      <c r="A4428" t="inlineStr">
        <is>
          <t>SOCIETE C867</t>
        </is>
      </c>
      <c r="B4428" t="inlineStr">
        <is>
          <t>C867</t>
        </is>
      </c>
      <c r="C4428" t="inlineStr">
        <is>
          <t>CORPORATE BANKING</t>
        </is>
      </c>
      <c r="D4428" t="inlineStr">
        <is>
          <t>V</t>
        </is>
      </c>
      <c r="E4428" t="inlineStr">
        <is>
          <t>Stage 3</t>
        </is>
      </c>
      <c r="F4428" t="inlineStr">
        <is>
          <t>N/A</t>
        </is>
      </c>
      <c r="G4428" s="26">
        <v>41939671</v>
      </c>
      <c r="H4428" s="26">
        <v>23066819</v>
      </c>
      <c r="I4428" s="26">
        <v>0</v>
      </c>
      <c r="J4428" s="26">
        <v>23</v>
      </c>
      <c r="K4428" t="inlineStr">
        <is>
          <t>Oui</t>
        </is>
      </c>
      <c r="L4428">
        <f>SUBTOTAL(103,A4428)</f>
        <v>1</v>
      </c>
    </row>
    <row r="4429">
      <c r="A4429" t="inlineStr">
        <is>
          <t>SOCIETE C1026</t>
        </is>
      </c>
      <c r="B4429" t="inlineStr">
        <is>
          <t>C1026</t>
        </is>
      </c>
      <c r="C4429" t="inlineStr">
        <is>
          <t>COMMERCIAL BANKING</t>
        </is>
      </c>
      <c r="D4429" t="inlineStr">
        <is>
          <t>IA</t>
        </is>
      </c>
      <c r="E4429" t="inlineStr">
        <is>
          <t>Stage 2</t>
        </is>
      </c>
      <c r="F4429" t="inlineStr">
        <is>
          <t>N/A</t>
        </is>
      </c>
      <c r="G4429" s="26">
        <v>890065964</v>
      </c>
      <c r="H4429" s="26">
        <v>53403958</v>
      </c>
      <c r="I4429" s="26">
        <v>0</v>
      </c>
      <c r="J4429" s="26">
        <v>186</v>
      </c>
      <c r="K4429" t="inlineStr">
        <is>
          <t>Non</t>
        </is>
      </c>
      <c r="L4429">
        <f>SUBTOTAL(103,A4429)</f>
        <v>1</v>
      </c>
    </row>
    <row r="4430">
      <c r="A4430" t="inlineStr">
        <is>
          <t>SOCIETE C1147</t>
        </is>
      </c>
      <c r="B4430" t="inlineStr">
        <is>
          <t>C1147</t>
        </is>
      </c>
      <c r="C4430" t="inlineStr">
        <is>
          <t>COMMERCIAL BANKING</t>
        </is>
      </c>
      <c r="D4430" t="inlineStr">
        <is>
          <t>IV</t>
        </is>
      </c>
      <c r="E4430" t="inlineStr">
        <is>
          <t>Stage 3</t>
        </is>
      </c>
      <c r="F4430" t="inlineStr">
        <is>
          <t>N/A</t>
        </is>
      </c>
      <c r="G4430" s="26">
        <v>130546136</v>
      </c>
      <c r="H4430" s="26">
        <v>71800375</v>
      </c>
      <c r="I4430" s="26">
        <v>0</v>
      </c>
      <c r="J4430" s="26">
        <v>64</v>
      </c>
      <c r="K4430" t="inlineStr">
        <is>
          <t>Oui</t>
        </is>
      </c>
      <c r="L4430">
        <f>SUBTOTAL(103,A4430)</f>
        <v>1</v>
      </c>
    </row>
    <row r="4431">
      <c r="A4431" t="inlineStr">
        <is>
          <t>SOCIETE C63</t>
        </is>
      </c>
      <c r="B4431" t="inlineStr">
        <is>
          <t>C63</t>
        </is>
      </c>
      <c r="C4431" t="inlineStr">
        <is>
          <t>CORPORATE BANKING</t>
        </is>
      </c>
      <c r="D4431" t="inlineStr">
        <is>
          <t>V</t>
        </is>
      </c>
      <c r="E4431" t="inlineStr">
        <is>
          <t>Stage 3</t>
        </is>
      </c>
      <c r="F4431" t="inlineStr">
        <is>
          <t>N/A</t>
        </is>
      </c>
      <c r="G4431" s="26">
        <v>566385207</v>
      </c>
      <c r="H4431" s="26">
        <v>311511864</v>
      </c>
      <c r="I4431" s="26">
        <v>0</v>
      </c>
      <c r="J4431" s="26">
        <v>2</v>
      </c>
      <c r="K4431" t="inlineStr">
        <is>
          <t>Oui</t>
        </is>
      </c>
      <c r="L4431">
        <f>SUBTOTAL(103,A4431)</f>
        <v>1</v>
      </c>
    </row>
    <row r="4432">
      <c r="A4432" t="inlineStr">
        <is>
          <t>SOCIETE C1647</t>
        </is>
      </c>
      <c r="B4432" t="inlineStr">
        <is>
          <t>C1647</t>
        </is>
      </c>
      <c r="C4432" t="inlineStr">
        <is>
          <t>CORPORATE BANKING</t>
        </is>
      </c>
      <c r="D4432" t="inlineStr">
        <is>
          <t>I</t>
        </is>
      </c>
      <c r="E4432" t="inlineStr">
        <is>
          <t>Stage 1</t>
        </is>
      </c>
      <c r="F4432" t="inlineStr">
        <is>
          <t>N/A</t>
        </is>
      </c>
      <c r="G4432" s="26">
        <v>25872706</v>
      </c>
      <c r="H4432" s="26">
        <v>258727</v>
      </c>
      <c r="I4432" s="26">
        <v>0</v>
      </c>
      <c r="J4432" s="26">
        <v>41</v>
      </c>
      <c r="K4432" t="inlineStr">
        <is>
          <t>Non</t>
        </is>
      </c>
      <c r="L4432">
        <f>SUBTOTAL(103,A4432)</f>
        <v>1</v>
      </c>
    </row>
    <row r="4433">
      <c r="A4433" t="inlineStr">
        <is>
          <t>SOCIETE C2227</t>
        </is>
      </c>
      <c r="B4433" t="inlineStr">
        <is>
          <t>C2227</t>
        </is>
      </c>
      <c r="C4433" t="inlineStr">
        <is>
          <t>CORPORATE BANKING</t>
        </is>
      </c>
      <c r="D4433" t="inlineStr">
        <is>
          <t>I</t>
        </is>
      </c>
      <c r="E4433" t="inlineStr">
        <is>
          <t>Stage 1</t>
        </is>
      </c>
      <c r="F4433" t="inlineStr">
        <is>
          <t>N/A</t>
        </is>
      </c>
      <c r="G4433" s="26">
        <v>57131615</v>
      </c>
      <c r="H4433" s="26">
        <v>571316</v>
      </c>
      <c r="I4433" s="26">
        <v>0</v>
      </c>
      <c r="J4433" s="26">
        <v>259</v>
      </c>
      <c r="K4433" t="inlineStr">
        <is>
          <t>Non</t>
        </is>
      </c>
      <c r="L4433">
        <f>SUBTOTAL(103,A4433)</f>
        <v>1</v>
      </c>
    </row>
    <row r="4434">
      <c r="A4434" t="inlineStr">
        <is>
          <t>SOCIETE C200</t>
        </is>
      </c>
      <c r="B4434" t="inlineStr">
        <is>
          <t>C200</t>
        </is>
      </c>
      <c r="C4434" t="inlineStr">
        <is>
          <t>CONSUMER BANKING</t>
        </is>
      </c>
      <c r="D4434" t="inlineStr">
        <is>
          <t>I</t>
        </is>
      </c>
      <c r="E4434" t="inlineStr">
        <is>
          <t>Stage 1</t>
        </is>
      </c>
      <c r="F4434" t="inlineStr">
        <is>
          <t>N/A</t>
        </is>
      </c>
      <c r="G4434" s="26">
        <v>2190508176</v>
      </c>
      <c r="H4434" s="26">
        <v>21905082</v>
      </c>
      <c r="I4434" s="26">
        <v>0</v>
      </c>
      <c r="J4434" s="26">
        <v>82</v>
      </c>
      <c r="K4434" t="inlineStr">
        <is>
          <t>Non</t>
        </is>
      </c>
      <c r="L4434">
        <f>SUBTOTAL(103,A4434)</f>
        <v>1</v>
      </c>
    </row>
    <row r="4435">
      <c r="A4435" t="inlineStr">
        <is>
          <t>SOCIETE C2097</t>
        </is>
      </c>
      <c r="B4435" t="inlineStr">
        <is>
          <t>C2097</t>
        </is>
      </c>
      <c r="C4435" t="inlineStr">
        <is>
          <t>PUBLIC SECTOR</t>
        </is>
      </c>
      <c r="D4435" t="inlineStr">
        <is>
          <t>IA</t>
        </is>
      </c>
      <c r="E4435" t="inlineStr">
        <is>
          <t>Stage 2</t>
        </is>
      </c>
      <c r="F4435" t="inlineStr">
        <is>
          <t>N/A</t>
        </is>
      </c>
      <c r="G4435" s="26">
        <v>386449187</v>
      </c>
      <c r="H4435" s="26">
        <v>23186951</v>
      </c>
      <c r="I4435" s="26">
        <v>60380006</v>
      </c>
      <c r="J4435" s="26">
        <v>252</v>
      </c>
      <c r="K4435" t="inlineStr">
        <is>
          <t>Non</t>
        </is>
      </c>
      <c r="L4435">
        <f>SUBTOTAL(103,A4435)</f>
        <v>1</v>
      </c>
    </row>
    <row r="4436">
      <c r="A4436" t="inlineStr">
        <is>
          <t>SOCIETE C1963</t>
        </is>
      </c>
      <c r="B4436" t="inlineStr">
        <is>
          <t>C1963</t>
        </is>
      </c>
      <c r="C4436" t="inlineStr">
        <is>
          <t>CORPORATE BANKING</t>
        </is>
      </c>
      <c r="D4436" t="inlineStr">
        <is>
          <t>IV</t>
        </is>
      </c>
      <c r="E4436" t="inlineStr">
        <is>
          <t>Stage 3</t>
        </is>
      </c>
      <c r="F4436" t="inlineStr">
        <is>
          <t>N/A</t>
        </is>
      </c>
      <c r="G4436" s="26">
        <v>50744145</v>
      </c>
      <c r="H4436" s="26">
        <v>27909280</v>
      </c>
      <c r="I4436" s="26">
        <v>507440</v>
      </c>
      <c r="J4436" s="26">
        <v>21</v>
      </c>
      <c r="K4436" t="inlineStr">
        <is>
          <t>Oui</t>
        </is>
      </c>
      <c r="L4436">
        <f>SUBTOTAL(103,A4436)</f>
        <v>1</v>
      </c>
    </row>
    <row r="4437">
      <c r="A4437" t="inlineStr">
        <is>
          <t>SOCIETE C104</t>
        </is>
      </c>
      <c r="B4437" t="inlineStr">
        <is>
          <t>C104</t>
        </is>
      </c>
      <c r="C4437" t="inlineStr">
        <is>
          <t>CORPORATE BANKING</t>
        </is>
      </c>
      <c r="D4437" t="inlineStr">
        <is>
          <t>IA</t>
        </is>
      </c>
      <c r="E4437" t="inlineStr">
        <is>
          <t>Stage 2</t>
        </is>
      </c>
      <c r="F4437" t="inlineStr">
        <is>
          <t>N/A</t>
        </is>
      </c>
      <c r="G4437" s="26">
        <v>2687077981</v>
      </c>
      <c r="H4437" s="26">
        <v>161224679</v>
      </c>
      <c r="I4437" s="26">
        <v>125907150</v>
      </c>
      <c r="J4437" s="26">
        <v>221</v>
      </c>
      <c r="K4437" t="inlineStr">
        <is>
          <t>Non</t>
        </is>
      </c>
      <c r="L4437">
        <f>SUBTOTAL(103,A4437)</f>
        <v>1</v>
      </c>
    </row>
    <row r="4438">
      <c r="A4438" t="inlineStr">
        <is>
          <t>SOCIETE C487</t>
        </is>
      </c>
      <c r="B4438" t="inlineStr">
        <is>
          <t>C487</t>
        </is>
      </c>
      <c r="C4438" t="inlineStr">
        <is>
          <t>SME</t>
        </is>
      </c>
      <c r="D4438" t="inlineStr">
        <is>
          <t>I</t>
        </is>
      </c>
      <c r="E4438" t="inlineStr">
        <is>
          <t>Stage 1</t>
        </is>
      </c>
      <c r="F4438" t="inlineStr">
        <is>
          <t>N/A</t>
        </is>
      </c>
      <c r="G4438" s="26">
        <v>287488142</v>
      </c>
      <c r="H4438" s="26">
        <v>2874881</v>
      </c>
      <c r="I4438" s="26">
        <v>45948056</v>
      </c>
      <c r="J4438" s="26">
        <v>226</v>
      </c>
      <c r="K4438" t="inlineStr">
        <is>
          <t>Non</t>
        </is>
      </c>
      <c r="L4438">
        <f>SUBTOTAL(103,A4438)</f>
        <v>1</v>
      </c>
    </row>
    <row r="4439">
      <c r="A4439" t="inlineStr">
        <is>
          <t>SOCIETE C2092</t>
        </is>
      </c>
      <c r="B4439" t="inlineStr">
        <is>
          <t>C2092</t>
        </is>
      </c>
      <c r="C4439" t="inlineStr">
        <is>
          <t>CORPORATE BANKING</t>
        </is>
      </c>
      <c r="D4439" t="inlineStr">
        <is>
          <t>I</t>
        </is>
      </c>
      <c r="E4439" t="inlineStr">
        <is>
          <t>Stage 1</t>
        </is>
      </c>
      <c r="F4439" t="inlineStr">
        <is>
          <t>N/A</t>
        </is>
      </c>
      <c r="G4439" s="26">
        <v>166947794</v>
      </c>
      <c r="H4439" s="26">
        <v>1669478</v>
      </c>
      <c r="I4439" s="26">
        <v>20786477</v>
      </c>
      <c r="J4439" s="26">
        <v>39</v>
      </c>
      <c r="K4439" t="inlineStr">
        <is>
          <t>Non</t>
        </is>
      </c>
      <c r="L4439">
        <f>SUBTOTAL(103,A4439)</f>
        <v>1</v>
      </c>
    </row>
    <row r="4440">
      <c r="A4440" t="inlineStr">
        <is>
          <t>SOCIETE C705</t>
        </is>
      </c>
      <c r="B4440" t="inlineStr">
        <is>
          <t>C705</t>
        </is>
      </c>
      <c r="C4440" t="inlineStr">
        <is>
          <t>COMMERCIAL BANKING</t>
        </is>
      </c>
      <c r="D4440" t="inlineStr">
        <is>
          <t>II</t>
        </is>
      </c>
      <c r="E4440" t="inlineStr">
        <is>
          <t>Stage 2</t>
        </is>
      </c>
      <c r="F4440" t="inlineStr">
        <is>
          <t>N/A</t>
        </is>
      </c>
      <c r="G4440" s="26">
        <v>45458906</v>
      </c>
      <c r="H4440" s="26">
        <v>2727534</v>
      </c>
      <c r="I4440" s="26">
        <v>0</v>
      </c>
      <c r="J4440" s="26">
        <v>79</v>
      </c>
      <c r="K4440" t="inlineStr">
        <is>
          <t>Non</t>
        </is>
      </c>
      <c r="L4440">
        <f>SUBTOTAL(103,A4440)</f>
        <v>1</v>
      </c>
    </row>
    <row r="4441">
      <c r="A4441" t="inlineStr">
        <is>
          <t>SOCIETE C1980</t>
        </is>
      </c>
      <c r="B4441" t="inlineStr">
        <is>
          <t>C1980</t>
        </is>
      </c>
      <c r="C4441" t="inlineStr">
        <is>
          <t>CORPORATE BANKING</t>
        </is>
      </c>
      <c r="D4441" t="inlineStr">
        <is>
          <t>IV</t>
        </is>
      </c>
      <c r="E4441" t="inlineStr">
        <is>
          <t>Stage 3</t>
        </is>
      </c>
      <c r="F4441" t="inlineStr">
        <is>
          <t>N/A</t>
        </is>
      </c>
      <c r="G4441" s="26">
        <v>2196030815</v>
      </c>
      <c r="H4441" s="26">
        <v>1207816948</v>
      </c>
      <c r="I4441" s="26">
        <v>229429776</v>
      </c>
      <c r="J4441" s="26">
        <v>147</v>
      </c>
      <c r="K4441" t="inlineStr">
        <is>
          <t>Oui</t>
        </is>
      </c>
      <c r="L4441">
        <f>SUBTOTAL(103,A4441)</f>
        <v>1</v>
      </c>
    </row>
    <row r="4442">
      <c r="A4442" t="inlineStr">
        <is>
          <t>SOCIETE C1730</t>
        </is>
      </c>
      <c r="B4442" t="inlineStr">
        <is>
          <t>C1730</t>
        </is>
      </c>
      <c r="C4442" t="inlineStr">
        <is>
          <t>CORPORATE BANKING</t>
        </is>
      </c>
      <c r="D4442" t="inlineStr">
        <is>
          <t>I</t>
        </is>
      </c>
      <c r="E4442" t="inlineStr">
        <is>
          <t>Stage 1</t>
        </is>
      </c>
      <c r="F4442" t="inlineStr">
        <is>
          <t>N/A</t>
        </is>
      </c>
      <c r="G4442" s="26">
        <v>894185766</v>
      </c>
      <c r="H4442" s="26">
        <v>8941858</v>
      </c>
      <c r="I4442" s="26">
        <v>0</v>
      </c>
      <c r="J4442" s="26">
        <v>150</v>
      </c>
      <c r="K4442" t="inlineStr">
        <is>
          <t>Non</t>
        </is>
      </c>
      <c r="L4442">
        <f>SUBTOTAL(103,A4442)</f>
        <v>1</v>
      </c>
    </row>
    <row r="4443">
      <c r="A4443" t="inlineStr">
        <is>
          <t>SOCIETE C1372</t>
        </is>
      </c>
      <c r="B4443" t="inlineStr">
        <is>
          <t>C1372</t>
        </is>
      </c>
      <c r="C4443" t="inlineStr">
        <is>
          <t>CORPORATE BANKING</t>
        </is>
      </c>
      <c r="D4443" t="inlineStr">
        <is>
          <t>I</t>
        </is>
      </c>
      <c r="E4443" t="inlineStr">
        <is>
          <t>Stage 1</t>
        </is>
      </c>
      <c r="F4443" t="inlineStr">
        <is>
          <t>N/A</t>
        </is>
      </c>
      <c r="G4443" s="26">
        <v>81828989</v>
      </c>
      <c r="H4443" s="26">
        <v>818290</v>
      </c>
      <c r="I4443" s="26">
        <v>4165193</v>
      </c>
      <c r="J4443" s="26">
        <v>148</v>
      </c>
      <c r="K4443" t="inlineStr">
        <is>
          <t>Non</t>
        </is>
      </c>
      <c r="L4443">
        <f>SUBTOTAL(103,A4443)</f>
        <v>1</v>
      </c>
    </row>
    <row r="4444">
      <c r="A4444" t="inlineStr">
        <is>
          <t>SOCIETE C2078</t>
        </is>
      </c>
      <c r="B4444" t="inlineStr">
        <is>
          <t>C2078</t>
        </is>
      </c>
      <c r="C4444" t="inlineStr">
        <is>
          <t>CORPORATE BANKING</t>
        </is>
      </c>
      <c r="D4444" t="inlineStr">
        <is>
          <t>I</t>
        </is>
      </c>
      <c r="E4444" t="inlineStr">
        <is>
          <t>Stage 1</t>
        </is>
      </c>
      <c r="F4444" t="inlineStr">
        <is>
          <t>N/A</t>
        </is>
      </c>
      <c r="G4444" s="26">
        <v>2798413984</v>
      </c>
      <c r="H4444" s="26">
        <v>27984140</v>
      </c>
      <c r="I4444" s="26">
        <v>0</v>
      </c>
      <c r="J4444" s="26">
        <v>2</v>
      </c>
      <c r="K4444" t="inlineStr">
        <is>
          <t>Non</t>
        </is>
      </c>
      <c r="L4444">
        <f>SUBTOTAL(103,A4444)</f>
        <v>1</v>
      </c>
    </row>
    <row r="4445">
      <c r="A4445" t="inlineStr">
        <is>
          <t>SOCIETE C2464</t>
        </is>
      </c>
      <c r="B4445" t="inlineStr">
        <is>
          <t>C2464</t>
        </is>
      </c>
      <c r="C4445" t="inlineStr">
        <is>
          <t>INSTITUTIONAL</t>
        </is>
      </c>
      <c r="D4445" t="inlineStr">
        <is>
          <t>II</t>
        </is>
      </c>
      <c r="E4445" t="inlineStr">
        <is>
          <t>Stage 2</t>
        </is>
      </c>
      <c r="F4445" t="inlineStr">
        <is>
          <t>N/A</t>
        </is>
      </c>
      <c r="G4445" s="26">
        <v>448726340</v>
      </c>
      <c r="H4445" s="26">
        <v>26923580</v>
      </c>
      <c r="I4445" s="26">
        <v>0</v>
      </c>
      <c r="J4445" s="26">
        <v>118</v>
      </c>
      <c r="K4445" t="inlineStr">
        <is>
          <t>Non</t>
        </is>
      </c>
      <c r="L4445">
        <f>SUBTOTAL(103,A4445)</f>
        <v>1</v>
      </c>
    </row>
    <row r="4446">
      <c r="A4446" t="inlineStr">
        <is>
          <t>SOCIETE C248</t>
        </is>
      </c>
      <c r="B4446" t="inlineStr">
        <is>
          <t>C248</t>
        </is>
      </c>
      <c r="C4446" t="inlineStr">
        <is>
          <t>COMMERCIAL BANKING</t>
        </is>
      </c>
      <c r="D4446" t="inlineStr">
        <is>
          <t>I</t>
        </is>
      </c>
      <c r="E4446" t="inlineStr">
        <is>
          <t>Stage 1</t>
        </is>
      </c>
      <c r="F4446" t="inlineStr">
        <is>
          <t>N/A</t>
        </is>
      </c>
      <c r="G4446" s="26">
        <v>2338269527</v>
      </c>
      <c r="H4446" s="26">
        <v>23382695</v>
      </c>
      <c r="I4446" s="26">
        <v>0</v>
      </c>
      <c r="J4446" s="26">
        <v>19</v>
      </c>
      <c r="K4446" t="inlineStr">
        <is>
          <t>Non</t>
        </is>
      </c>
      <c r="L4446">
        <f>SUBTOTAL(103,A4446)</f>
        <v>1</v>
      </c>
    </row>
    <row r="4447">
      <c r="A4447" t="inlineStr">
        <is>
          <t>SOCIETE C401</t>
        </is>
      </c>
      <c r="B4447" t="inlineStr">
        <is>
          <t>C401</t>
        </is>
      </c>
      <c r="C4447" t="inlineStr">
        <is>
          <t>CORPORATE BANKING</t>
        </is>
      </c>
      <c r="D4447" t="inlineStr">
        <is>
          <t>IV</t>
        </is>
      </c>
      <c r="E4447" t="inlineStr">
        <is>
          <t>Stage 3</t>
        </is>
      </c>
      <c r="F4447" t="inlineStr">
        <is>
          <t>N/A</t>
        </is>
      </c>
      <c r="G4447" s="26">
        <v>2307143</v>
      </c>
      <c r="H4447" s="26">
        <v>1268929</v>
      </c>
      <c r="I4447" s="26">
        <v>0</v>
      </c>
      <c r="J4447" s="26">
        <v>257</v>
      </c>
      <c r="K4447" t="inlineStr">
        <is>
          <t>Oui</t>
        </is>
      </c>
      <c r="L4447">
        <f>SUBTOTAL(103,A4447)</f>
        <v>1</v>
      </c>
    </row>
    <row r="4448">
      <c r="A4448" t="inlineStr">
        <is>
          <t>SOCIETE C1457</t>
        </is>
      </c>
      <c r="B4448" t="inlineStr">
        <is>
          <t>C1457</t>
        </is>
      </c>
      <c r="C4448" t="inlineStr">
        <is>
          <t>CORPORATE BANKING</t>
        </is>
      </c>
      <c r="D4448" t="inlineStr">
        <is>
          <t>I</t>
        </is>
      </c>
      <c r="E4448" t="inlineStr">
        <is>
          <t>Stage 1</t>
        </is>
      </c>
      <c r="F4448" t="inlineStr">
        <is>
          <t>N/A</t>
        </is>
      </c>
      <c r="G4448" s="26">
        <v>1044380</v>
      </c>
      <c r="H4448" s="26">
        <v>10444</v>
      </c>
      <c r="I4448" s="26">
        <v>0</v>
      </c>
      <c r="J4448" s="26">
        <v>79</v>
      </c>
      <c r="K4448" t="inlineStr">
        <is>
          <t>Non</t>
        </is>
      </c>
      <c r="L4448">
        <f>SUBTOTAL(103,A4448)</f>
        <v>1</v>
      </c>
    </row>
    <row r="4449">
      <c r="A4449" t="inlineStr">
        <is>
          <t>SOCIETE C1667</t>
        </is>
      </c>
      <c r="B4449" t="inlineStr">
        <is>
          <t>C1667</t>
        </is>
      </c>
      <c r="C4449" t="inlineStr">
        <is>
          <t>CONSUMER BANKING</t>
        </is>
      </c>
      <c r="D4449" t="inlineStr">
        <is>
          <t>II</t>
        </is>
      </c>
      <c r="E4449" t="inlineStr">
        <is>
          <t>Stage 2</t>
        </is>
      </c>
      <c r="F4449" t="inlineStr">
        <is>
          <t>N/A</t>
        </is>
      </c>
      <c r="G4449" s="26">
        <v>78465460</v>
      </c>
      <c r="H4449" s="26">
        <v>4707928</v>
      </c>
      <c r="I4449" s="26">
        <v>0</v>
      </c>
      <c r="J4449" s="26">
        <v>242</v>
      </c>
      <c r="K4449" t="inlineStr">
        <is>
          <t>Non</t>
        </is>
      </c>
      <c r="L4449">
        <f>SUBTOTAL(103,A4449)</f>
        <v>1</v>
      </c>
    </row>
    <row r="4450">
      <c r="A4450" t="inlineStr">
        <is>
          <t>SOCIETE C1661</t>
        </is>
      </c>
      <c r="B4450" t="inlineStr">
        <is>
          <t>C1661</t>
        </is>
      </c>
      <c r="C4450" t="inlineStr">
        <is>
          <t>COMMERCIAL BANKING</t>
        </is>
      </c>
      <c r="D4450" t="inlineStr">
        <is>
          <t>I</t>
        </is>
      </c>
      <c r="E4450" t="inlineStr">
        <is>
          <t>Stage 1</t>
        </is>
      </c>
      <c r="F4450" t="inlineStr">
        <is>
          <t>N/A</t>
        </is>
      </c>
      <c r="G4450" s="26">
        <v>1293443981</v>
      </c>
      <c r="H4450" s="26">
        <v>12934440</v>
      </c>
      <c r="I4450" s="26">
        <v>0</v>
      </c>
      <c r="J4450" s="26">
        <v>106</v>
      </c>
      <c r="K4450" t="inlineStr">
        <is>
          <t>Non</t>
        </is>
      </c>
      <c r="L4450">
        <f>SUBTOTAL(103,A4450)</f>
        <v>1</v>
      </c>
    </row>
    <row r="4451">
      <c r="A4451" t="inlineStr">
        <is>
          <t>SOCIETE C880</t>
        </is>
      </c>
      <c r="B4451" t="inlineStr">
        <is>
          <t>C880</t>
        </is>
      </c>
      <c r="C4451" t="inlineStr">
        <is>
          <t>COMMERCIAL BANKING</t>
        </is>
      </c>
      <c r="D4451" t="inlineStr">
        <is>
          <t>II</t>
        </is>
      </c>
      <c r="E4451" t="inlineStr">
        <is>
          <t>Stage 2</t>
        </is>
      </c>
      <c r="F4451" t="inlineStr">
        <is>
          <t>N/A</t>
        </is>
      </c>
      <c r="G4451" s="26">
        <v>1519843663</v>
      </c>
      <c r="H4451" s="26">
        <v>91190620</v>
      </c>
      <c r="I4451" s="26">
        <v>0</v>
      </c>
      <c r="J4451" s="26">
        <v>130</v>
      </c>
      <c r="K4451" t="inlineStr">
        <is>
          <t>Non</t>
        </is>
      </c>
      <c r="L4451">
        <f>SUBTOTAL(103,A4451)</f>
        <v>1</v>
      </c>
    </row>
    <row r="4452">
      <c r="A4452" t="inlineStr">
        <is>
          <t>SOCIETE C410</t>
        </is>
      </c>
      <c r="B4452" t="inlineStr">
        <is>
          <t>C410</t>
        </is>
      </c>
      <c r="C4452" t="inlineStr">
        <is>
          <t>CONSUMER BANKING</t>
        </is>
      </c>
      <c r="D4452" t="inlineStr">
        <is>
          <t>I</t>
        </is>
      </c>
      <c r="E4452" t="inlineStr">
        <is>
          <t>Stage 1</t>
        </is>
      </c>
      <c r="F4452" t="inlineStr">
        <is>
          <t>N/A</t>
        </is>
      </c>
      <c r="G4452" s="26">
        <v>1222541535</v>
      </c>
      <c r="H4452" s="26">
        <v>12225415</v>
      </c>
      <c r="I4452" s="26">
        <v>198317621</v>
      </c>
      <c r="J4452" s="26">
        <v>133</v>
      </c>
      <c r="K4452" t="inlineStr">
        <is>
          <t>Non</t>
        </is>
      </c>
      <c r="L4452">
        <f>SUBTOTAL(103,A4452)</f>
        <v>1</v>
      </c>
    </row>
    <row r="4453">
      <c r="A4453" t="inlineStr">
        <is>
          <t>SOCIETE C1152</t>
        </is>
      </c>
      <c r="B4453" t="inlineStr">
        <is>
          <t>C1152</t>
        </is>
      </c>
      <c r="C4453" t="inlineStr">
        <is>
          <t>PUBLIC SECTOR</t>
        </is>
      </c>
      <c r="D4453" t="inlineStr">
        <is>
          <t>I</t>
        </is>
      </c>
      <c r="E4453" t="inlineStr">
        <is>
          <t>Stage 1</t>
        </is>
      </c>
      <c r="F4453" t="inlineStr">
        <is>
          <t>N/A</t>
        </is>
      </c>
      <c r="G4453" s="26">
        <v>1351345471</v>
      </c>
      <c r="H4453" s="26">
        <v>13513455</v>
      </c>
      <c r="I4453" s="26">
        <v>205894744</v>
      </c>
      <c r="J4453" s="26">
        <v>77</v>
      </c>
      <c r="K4453" t="inlineStr">
        <is>
          <t>Non</t>
        </is>
      </c>
      <c r="L4453">
        <f>SUBTOTAL(103,A4453)</f>
        <v>1</v>
      </c>
    </row>
    <row r="4454">
      <c r="A4454" t="inlineStr">
        <is>
          <t>SOCIETE C322</t>
        </is>
      </c>
      <c r="B4454" t="inlineStr">
        <is>
          <t>C322</t>
        </is>
      </c>
      <c r="C4454" t="inlineStr">
        <is>
          <t>CORPORATE BANKING</t>
        </is>
      </c>
      <c r="D4454" t="inlineStr">
        <is>
          <t>IA</t>
        </is>
      </c>
      <c r="E4454" t="inlineStr">
        <is>
          <t>Stage 2</t>
        </is>
      </c>
      <c r="F4454" t="inlineStr">
        <is>
          <t>N/A</t>
        </is>
      </c>
      <c r="G4454" s="26">
        <v>400704798</v>
      </c>
      <c r="H4454" s="26">
        <v>24042288</v>
      </c>
      <c r="I4454" s="26">
        <v>2638823</v>
      </c>
      <c r="J4454" s="26">
        <v>20</v>
      </c>
      <c r="K4454" t="inlineStr">
        <is>
          <t>Non</t>
        </is>
      </c>
      <c r="L4454">
        <f>SUBTOTAL(103,A4454)</f>
        <v>1</v>
      </c>
    </row>
    <row r="4455">
      <c r="A4455" t="inlineStr">
        <is>
          <t>SOCIETE C117</t>
        </is>
      </c>
      <c r="B4455" t="inlineStr">
        <is>
          <t>C117</t>
        </is>
      </c>
      <c r="C4455" t="inlineStr">
        <is>
          <t>PUBLIC SECTOR</t>
        </is>
      </c>
      <c r="D4455" t="inlineStr">
        <is>
          <t>III</t>
        </is>
      </c>
      <c r="E4455" t="inlineStr">
        <is>
          <t>Stage 3</t>
        </is>
      </c>
      <c r="F4455" t="inlineStr">
        <is>
          <t>N/A</t>
        </is>
      </c>
      <c r="G4455" s="26">
        <v>207778927</v>
      </c>
      <c r="H4455" s="26">
        <v>114278410</v>
      </c>
      <c r="I4455" s="26">
        <v>0</v>
      </c>
      <c r="J4455" s="26">
        <v>80</v>
      </c>
      <c r="K4455" t="inlineStr">
        <is>
          <t>Oui</t>
        </is>
      </c>
      <c r="L4455">
        <f>SUBTOTAL(103,A4455)</f>
        <v>1</v>
      </c>
    </row>
    <row r="4456">
      <c r="A4456" t="inlineStr">
        <is>
          <t>SOCIETE C251</t>
        </is>
      </c>
      <c r="B4456" t="inlineStr">
        <is>
          <t>C251</t>
        </is>
      </c>
      <c r="C4456" t="inlineStr">
        <is>
          <t>CORPORATE BANKING</t>
        </is>
      </c>
      <c r="D4456" t="inlineStr">
        <is>
          <t>IA</t>
        </is>
      </c>
      <c r="E4456" t="inlineStr">
        <is>
          <t>Stage 2</t>
        </is>
      </c>
      <c r="F4456" t="inlineStr">
        <is>
          <t>N/A</t>
        </is>
      </c>
      <c r="G4456" s="26">
        <v>2125622622</v>
      </c>
      <c r="H4456" s="26">
        <v>127537357</v>
      </c>
      <c r="I4456" s="26">
        <v>0</v>
      </c>
      <c r="J4456" s="26">
        <v>40</v>
      </c>
      <c r="K4456" t="inlineStr">
        <is>
          <t>Non</t>
        </is>
      </c>
      <c r="L4456">
        <f>SUBTOTAL(103,A4456)</f>
        <v>1</v>
      </c>
    </row>
    <row r="4457">
      <c r="A4457" t="inlineStr">
        <is>
          <t>SOCIETE C1666</t>
        </is>
      </c>
      <c r="B4457" t="inlineStr">
        <is>
          <t>C1666</t>
        </is>
      </c>
      <c r="C4457" t="inlineStr">
        <is>
          <t>PUBLIC SECTOR</t>
        </is>
      </c>
      <c r="D4457" t="inlineStr">
        <is>
          <t>IA</t>
        </is>
      </c>
      <c r="E4457" t="inlineStr">
        <is>
          <t>Stage 2</t>
        </is>
      </c>
      <c r="F4457" t="inlineStr">
        <is>
          <t>N/A</t>
        </is>
      </c>
      <c r="G4457" s="26">
        <v>888937230</v>
      </c>
      <c r="H4457" s="26">
        <v>53336234</v>
      </c>
      <c r="I4457" s="26">
        <v>0</v>
      </c>
      <c r="J4457" s="26">
        <v>57</v>
      </c>
      <c r="K4457" t="inlineStr">
        <is>
          <t>Non</t>
        </is>
      </c>
      <c r="L4457">
        <f>SUBTOTAL(103,A4457)</f>
        <v>1</v>
      </c>
    </row>
    <row r="4458">
      <c r="A4458" t="inlineStr">
        <is>
          <t>SOCIETE C1218</t>
        </is>
      </c>
      <c r="B4458" t="inlineStr">
        <is>
          <t>C1218</t>
        </is>
      </c>
      <c r="C4458" t="inlineStr">
        <is>
          <t>CONSUMER BANKING</t>
        </is>
      </c>
      <c r="D4458" t="inlineStr">
        <is>
          <t>IA</t>
        </is>
      </c>
      <c r="E4458" t="inlineStr">
        <is>
          <t>Stage 2</t>
        </is>
      </c>
      <c r="F4458" t="inlineStr">
        <is>
          <t>N/A</t>
        </is>
      </c>
      <c r="G4458" s="26">
        <v>6715093</v>
      </c>
      <c r="H4458" s="26">
        <v>402906</v>
      </c>
      <c r="I4458" s="26">
        <v>77392</v>
      </c>
      <c r="J4458" s="26">
        <v>145</v>
      </c>
      <c r="K4458" t="inlineStr">
        <is>
          <t>Non</t>
        </is>
      </c>
      <c r="L4458">
        <f>SUBTOTAL(103,A4458)</f>
        <v>1</v>
      </c>
    </row>
    <row r="4459">
      <c r="A4459" t="inlineStr">
        <is>
          <t>SOCIETE C296</t>
        </is>
      </c>
      <c r="B4459" t="inlineStr">
        <is>
          <t>C296</t>
        </is>
      </c>
      <c r="C4459" t="inlineStr">
        <is>
          <t>CONSUMER BANKING</t>
        </is>
      </c>
      <c r="D4459" t="inlineStr">
        <is>
          <t>I</t>
        </is>
      </c>
      <c r="E4459" t="inlineStr">
        <is>
          <t>Stage 1</t>
        </is>
      </c>
      <c r="F4459" t="inlineStr">
        <is>
          <t>N/A</t>
        </is>
      </c>
      <c r="G4459" s="26">
        <v>1365439430</v>
      </c>
      <c r="H4459" s="26">
        <v>13654394</v>
      </c>
      <c r="I4459" s="26">
        <v>0</v>
      </c>
      <c r="J4459" s="26">
        <v>174</v>
      </c>
      <c r="K4459" t="inlineStr">
        <is>
          <t>Non</t>
        </is>
      </c>
      <c r="L4459">
        <f>SUBTOTAL(103,A4459)</f>
        <v>1</v>
      </c>
    </row>
    <row r="4460">
      <c r="A4460" t="inlineStr">
        <is>
          <t>SOCIETE C876</t>
        </is>
      </c>
      <c r="B4460" t="inlineStr">
        <is>
          <t>C876</t>
        </is>
      </c>
      <c r="C4460" t="inlineStr">
        <is>
          <t>CONSUMER BANKING</t>
        </is>
      </c>
      <c r="D4460" t="inlineStr">
        <is>
          <t>II</t>
        </is>
      </c>
      <c r="E4460" t="inlineStr">
        <is>
          <t>Stage 2</t>
        </is>
      </c>
      <c r="F4460" t="inlineStr">
        <is>
          <t>N/A</t>
        </is>
      </c>
      <c r="G4460" s="26">
        <v>26776023</v>
      </c>
      <c r="H4460" s="26">
        <v>1606561</v>
      </c>
      <c r="I4460" s="26">
        <v>0</v>
      </c>
      <c r="J4460" s="26">
        <v>22</v>
      </c>
      <c r="K4460" t="inlineStr">
        <is>
          <t>Non</t>
        </is>
      </c>
      <c r="L4460">
        <f>SUBTOTAL(103,A4460)</f>
        <v>1</v>
      </c>
    </row>
    <row r="4461">
      <c r="A4461" t="inlineStr">
        <is>
          <t>SOCIETE C1305</t>
        </is>
      </c>
      <c r="B4461" t="inlineStr">
        <is>
          <t>C1305</t>
        </is>
      </c>
      <c r="C4461" t="inlineStr">
        <is>
          <t>CORPORATE BANKING</t>
        </is>
      </c>
      <c r="D4461" t="inlineStr">
        <is>
          <t>IA</t>
        </is>
      </c>
      <c r="E4461" t="inlineStr">
        <is>
          <t>Stage 2</t>
        </is>
      </c>
      <c r="F4461" t="inlineStr">
        <is>
          <t>N/A</t>
        </is>
      </c>
      <c r="G4461" s="26">
        <v>245059705</v>
      </c>
      <c r="H4461" s="26">
        <v>14703582</v>
      </c>
      <c r="I4461" s="26">
        <v>0</v>
      </c>
      <c r="J4461" s="26">
        <v>40</v>
      </c>
      <c r="K4461" t="inlineStr">
        <is>
          <t>Non</t>
        </is>
      </c>
      <c r="L4461">
        <f>SUBTOTAL(103,A4461)</f>
        <v>1</v>
      </c>
    </row>
    <row r="4462">
      <c r="A4462" t="inlineStr">
        <is>
          <t>SOCIETE C567</t>
        </is>
      </c>
      <c r="B4462" t="inlineStr">
        <is>
          <t>C567</t>
        </is>
      </c>
      <c r="C4462" t="inlineStr">
        <is>
          <t>CORPORATE BANKING</t>
        </is>
      </c>
      <c r="D4462" t="inlineStr">
        <is>
          <t>I</t>
        </is>
      </c>
      <c r="E4462" t="inlineStr">
        <is>
          <t>Stage 1</t>
        </is>
      </c>
      <c r="F4462" t="inlineStr">
        <is>
          <t>N/A</t>
        </is>
      </c>
      <c r="G4462" s="26">
        <v>2395001393</v>
      </c>
      <c r="H4462" s="26">
        <v>23950014</v>
      </c>
      <c r="I4462" s="26">
        <v>0</v>
      </c>
      <c r="J4462" s="26">
        <v>86</v>
      </c>
      <c r="K4462" t="inlineStr">
        <is>
          <t>Non</t>
        </is>
      </c>
      <c r="L4462">
        <f>SUBTOTAL(103,A4462)</f>
        <v>1</v>
      </c>
    </row>
    <row r="4463">
      <c r="A4463" t="inlineStr">
        <is>
          <t>SOCIETE C1265</t>
        </is>
      </c>
      <c r="B4463" t="inlineStr">
        <is>
          <t>C1265</t>
        </is>
      </c>
      <c r="C4463" t="inlineStr">
        <is>
          <t>CORPORATE BANKING</t>
        </is>
      </c>
      <c r="D4463" t="inlineStr">
        <is>
          <t>I</t>
        </is>
      </c>
      <c r="E4463" t="inlineStr">
        <is>
          <t>Stage 1</t>
        </is>
      </c>
      <c r="F4463" t="inlineStr">
        <is>
          <t>N/A</t>
        </is>
      </c>
      <c r="G4463" s="26">
        <v>1287905333</v>
      </c>
      <c r="H4463" s="26">
        <v>12879053</v>
      </c>
      <c r="I4463" s="26">
        <v>0</v>
      </c>
      <c r="J4463" s="26">
        <v>22</v>
      </c>
      <c r="K4463" t="inlineStr">
        <is>
          <t>Non</t>
        </is>
      </c>
      <c r="L4463">
        <f>SUBTOTAL(103,A4463)</f>
        <v>1</v>
      </c>
    </row>
    <row r="4464">
      <c r="A4464" t="inlineStr">
        <is>
          <t>SOCIETE C1517</t>
        </is>
      </c>
      <c r="B4464" t="inlineStr">
        <is>
          <t>C1517</t>
        </is>
      </c>
      <c r="C4464" t="inlineStr">
        <is>
          <t>CORPORATE BANKING</t>
        </is>
      </c>
      <c r="D4464" t="inlineStr">
        <is>
          <t>I</t>
        </is>
      </c>
      <c r="E4464" t="inlineStr">
        <is>
          <t>Stage 1</t>
        </is>
      </c>
      <c r="F4464" t="inlineStr">
        <is>
          <t>N/A</t>
        </is>
      </c>
      <c r="G4464" s="26">
        <v>791854829</v>
      </c>
      <c r="H4464" s="26">
        <v>7918548</v>
      </c>
      <c r="I4464" s="26">
        <v>0</v>
      </c>
      <c r="J4464" s="26">
        <v>226</v>
      </c>
      <c r="K4464" t="inlineStr">
        <is>
          <t>Non</t>
        </is>
      </c>
      <c r="L4464">
        <f>SUBTOTAL(103,A4464)</f>
        <v>1</v>
      </c>
    </row>
    <row r="4465">
      <c r="A4465" t="inlineStr">
        <is>
          <t>SOCIETE C2134</t>
        </is>
      </c>
      <c r="B4465" t="inlineStr">
        <is>
          <t>C2134</t>
        </is>
      </c>
      <c r="C4465" t="inlineStr">
        <is>
          <t>CORPORATE BANKING</t>
        </is>
      </c>
      <c r="D4465" t="inlineStr">
        <is>
          <t>I</t>
        </is>
      </c>
      <c r="E4465" t="inlineStr">
        <is>
          <t>Stage 1</t>
        </is>
      </c>
      <c r="F4465" t="inlineStr">
        <is>
          <t>N/A</t>
        </is>
      </c>
      <c r="G4465" s="26">
        <v>2131053234</v>
      </c>
      <c r="H4465" s="26">
        <v>21310532</v>
      </c>
      <c r="I4465" s="26">
        <v>198255957</v>
      </c>
      <c r="J4465" s="26">
        <v>134</v>
      </c>
      <c r="K4465" t="inlineStr">
        <is>
          <t>Non</t>
        </is>
      </c>
      <c r="L4465">
        <f>SUBTOTAL(103,A4465)</f>
        <v>1</v>
      </c>
    </row>
    <row r="4466">
      <c r="A4466" t="inlineStr">
        <is>
          <t>SOCIETE C1758</t>
        </is>
      </c>
      <c r="B4466" t="inlineStr">
        <is>
          <t>C1758</t>
        </is>
      </c>
      <c r="C4466" t="inlineStr">
        <is>
          <t>COMMERCIAL BANKING</t>
        </is>
      </c>
      <c r="D4466" t="inlineStr">
        <is>
          <t>I</t>
        </is>
      </c>
      <c r="E4466" t="inlineStr">
        <is>
          <t>Stage 1</t>
        </is>
      </c>
      <c r="F4466" t="inlineStr">
        <is>
          <t>N/A</t>
        </is>
      </c>
      <c r="G4466" s="26">
        <v>1001167</v>
      </c>
      <c r="H4466" s="26">
        <v>10012</v>
      </c>
      <c r="I4466" s="26">
        <v>155645</v>
      </c>
      <c r="J4466" s="26">
        <v>24</v>
      </c>
      <c r="K4466" t="inlineStr">
        <is>
          <t>Non</t>
        </is>
      </c>
      <c r="L4466">
        <f>SUBTOTAL(103,A4466)</f>
        <v>1</v>
      </c>
    </row>
    <row r="4467">
      <c r="A4467" t="inlineStr">
        <is>
          <t>SOCIETE C515</t>
        </is>
      </c>
      <c r="B4467" t="inlineStr">
        <is>
          <t>C515</t>
        </is>
      </c>
      <c r="C4467" t="inlineStr">
        <is>
          <t>CORPORATE BANKING</t>
        </is>
      </c>
      <c r="D4467" t="inlineStr">
        <is>
          <t>V</t>
        </is>
      </c>
      <c r="E4467" t="inlineStr">
        <is>
          <t>Stage 3</t>
        </is>
      </c>
      <c r="F4467" t="inlineStr">
        <is>
          <t>N/A</t>
        </is>
      </c>
      <c r="G4467" s="26">
        <v>1210493</v>
      </c>
      <c r="H4467" s="26">
        <v>665771</v>
      </c>
      <c r="I4467" s="26">
        <v>0</v>
      </c>
      <c r="J4467" s="26">
        <v>127</v>
      </c>
      <c r="K4467" t="inlineStr">
        <is>
          <t>Oui</t>
        </is>
      </c>
      <c r="L4467">
        <f>SUBTOTAL(103,A4467)</f>
        <v>1</v>
      </c>
    </row>
    <row r="4468">
      <c r="A4468" t="inlineStr">
        <is>
          <t>SOCIETE C1449</t>
        </is>
      </c>
      <c r="B4468" t="inlineStr">
        <is>
          <t>C1449</t>
        </is>
      </c>
      <c r="C4468" t="inlineStr">
        <is>
          <t>CORPORATE BANKING</t>
        </is>
      </c>
      <c r="D4468" t="inlineStr">
        <is>
          <t>I</t>
        </is>
      </c>
      <c r="E4468" t="inlineStr">
        <is>
          <t>Stage 1</t>
        </is>
      </c>
      <c r="F4468" t="inlineStr">
        <is>
          <t>N/A</t>
        </is>
      </c>
      <c r="G4468" s="26">
        <v>460519100</v>
      </c>
      <c r="H4468" s="26">
        <v>4605191</v>
      </c>
      <c r="I4468" s="26">
        <v>0</v>
      </c>
      <c r="J4468" s="26">
        <v>67</v>
      </c>
      <c r="K4468" t="inlineStr">
        <is>
          <t>Non</t>
        </is>
      </c>
      <c r="L4468">
        <f>SUBTOTAL(103,A4468)</f>
        <v>1</v>
      </c>
    </row>
    <row r="4469">
      <c r="A4469" t="inlineStr">
        <is>
          <t>SOCIETE C824</t>
        </is>
      </c>
      <c r="B4469" t="inlineStr">
        <is>
          <t>C824</t>
        </is>
      </c>
      <c r="C4469" t="inlineStr">
        <is>
          <t>CONSUMER BANKING</t>
        </is>
      </c>
      <c r="D4469" t="inlineStr">
        <is>
          <t>IA</t>
        </is>
      </c>
      <c r="E4469" t="inlineStr">
        <is>
          <t>Stage 2</t>
        </is>
      </c>
      <c r="F4469" t="inlineStr">
        <is>
          <t>N/A</t>
        </is>
      </c>
      <c r="G4469" s="26">
        <v>26506937</v>
      </c>
      <c r="H4469" s="26">
        <v>1590416</v>
      </c>
      <c r="I4469" s="26">
        <v>0</v>
      </c>
      <c r="J4469" s="26">
        <v>30</v>
      </c>
      <c r="K4469" t="inlineStr">
        <is>
          <t>Non</t>
        </is>
      </c>
      <c r="L4469">
        <f>SUBTOTAL(103,A4469)</f>
        <v>1</v>
      </c>
    </row>
    <row r="4470">
      <c r="A4470" t="inlineStr">
        <is>
          <t>SOCIETE C948</t>
        </is>
      </c>
      <c r="B4470" t="inlineStr">
        <is>
          <t>C948</t>
        </is>
      </c>
      <c r="C4470" t="inlineStr">
        <is>
          <t>CORPORATE BANKING</t>
        </is>
      </c>
      <c r="D4470" t="inlineStr">
        <is>
          <t>I</t>
        </is>
      </c>
      <c r="E4470" t="inlineStr">
        <is>
          <t>Stage 1</t>
        </is>
      </c>
      <c r="F4470" t="inlineStr">
        <is>
          <t>N/A</t>
        </is>
      </c>
      <c r="G4470" s="26">
        <v>104954853</v>
      </c>
      <c r="H4470" s="26">
        <v>1049549</v>
      </c>
      <c r="I4470" s="26">
        <v>0</v>
      </c>
      <c r="J4470" s="26">
        <v>149</v>
      </c>
      <c r="K4470" t="inlineStr">
        <is>
          <t>Non</t>
        </is>
      </c>
      <c r="L4470">
        <f>SUBTOTAL(103,A4470)</f>
        <v>1</v>
      </c>
    </row>
    <row r="4471">
      <c r="A4471" t="inlineStr">
        <is>
          <t>SOCIETE C441</t>
        </is>
      </c>
      <c r="B4471" t="inlineStr">
        <is>
          <t>C441</t>
        </is>
      </c>
      <c r="C4471" t="inlineStr">
        <is>
          <t>COMMERCIAL BANKING</t>
        </is>
      </c>
      <c r="D4471" t="inlineStr">
        <is>
          <t>V</t>
        </is>
      </c>
      <c r="E4471" t="inlineStr">
        <is>
          <t>Stage 3</t>
        </is>
      </c>
      <c r="F4471" t="inlineStr">
        <is>
          <t>N/A</t>
        </is>
      </c>
      <c r="G4471" s="26">
        <v>4335639</v>
      </c>
      <c r="H4471" s="26">
        <v>2384602</v>
      </c>
      <c r="I4471" s="26">
        <v>561094</v>
      </c>
      <c r="J4471" s="26">
        <v>19</v>
      </c>
      <c r="K4471" t="inlineStr">
        <is>
          <t>Oui</t>
        </is>
      </c>
      <c r="L4471">
        <f>SUBTOTAL(103,A4471)</f>
        <v>1</v>
      </c>
    </row>
    <row r="4472">
      <c r="A4472" t="inlineStr">
        <is>
          <t>SOCIETE C406</t>
        </is>
      </c>
      <c r="B4472" t="inlineStr">
        <is>
          <t>C406</t>
        </is>
      </c>
      <c r="C4472" t="inlineStr">
        <is>
          <t>CORPORATE BANKING</t>
        </is>
      </c>
      <c r="D4472" t="inlineStr">
        <is>
          <t>I</t>
        </is>
      </c>
      <c r="E4472" t="inlineStr">
        <is>
          <t>Stage 1</t>
        </is>
      </c>
      <c r="F4472" t="inlineStr">
        <is>
          <t>N/A</t>
        </is>
      </c>
      <c r="G4472" s="26">
        <v>97014719</v>
      </c>
      <c r="H4472" s="26">
        <v>970147</v>
      </c>
      <c r="I4472" s="26">
        <v>8737530</v>
      </c>
      <c r="J4472" s="26">
        <v>10</v>
      </c>
      <c r="K4472" t="inlineStr">
        <is>
          <t>Non</t>
        </is>
      </c>
      <c r="L4472">
        <f>SUBTOTAL(103,A4472)</f>
        <v>1</v>
      </c>
    </row>
    <row r="4473">
      <c r="A4473" t="inlineStr">
        <is>
          <t>SOCIETE C1677</t>
        </is>
      </c>
      <c r="B4473" t="inlineStr">
        <is>
          <t>C1677</t>
        </is>
      </c>
      <c r="C4473" t="inlineStr">
        <is>
          <t>CONSUMER BANKING</t>
        </is>
      </c>
      <c r="D4473" t="inlineStr">
        <is>
          <t>IA</t>
        </is>
      </c>
      <c r="E4473" t="inlineStr">
        <is>
          <t>Stage 2</t>
        </is>
      </c>
      <c r="F4473" t="inlineStr">
        <is>
          <t>N/A</t>
        </is>
      </c>
      <c r="G4473" s="26">
        <v>2275621605</v>
      </c>
      <c r="H4473" s="26">
        <v>136537296</v>
      </c>
      <c r="I4473" s="26">
        <v>0</v>
      </c>
      <c r="J4473" s="26">
        <v>35</v>
      </c>
      <c r="K4473" t="inlineStr">
        <is>
          <t>Non</t>
        </is>
      </c>
      <c r="L4473">
        <f>SUBTOTAL(103,A4473)</f>
        <v>1</v>
      </c>
    </row>
    <row r="4474">
      <c r="A4474" t="inlineStr">
        <is>
          <t>SOCIETE C51</t>
        </is>
      </c>
      <c r="B4474" t="inlineStr">
        <is>
          <t>C51</t>
        </is>
      </c>
      <c r="C4474" t="inlineStr">
        <is>
          <t>COMMERCIAL BANKING</t>
        </is>
      </c>
      <c r="D4474" t="inlineStr">
        <is>
          <t>I</t>
        </is>
      </c>
      <c r="E4474" t="inlineStr">
        <is>
          <t>Stage 1</t>
        </is>
      </c>
      <c r="F4474" t="inlineStr">
        <is>
          <t>N/A</t>
        </is>
      </c>
      <c r="G4474" s="26">
        <v>513389333</v>
      </c>
      <c r="H4474" s="26">
        <v>5133893</v>
      </c>
      <c r="I4474" s="26">
        <v>0</v>
      </c>
      <c r="J4474" s="26">
        <v>49</v>
      </c>
      <c r="K4474" t="inlineStr">
        <is>
          <t>Non</t>
        </is>
      </c>
      <c r="L4474">
        <f>SUBTOTAL(103,A4474)</f>
        <v>1</v>
      </c>
    </row>
    <row r="4475">
      <c r="A4475" t="inlineStr">
        <is>
          <t>SOCIETE C2219</t>
        </is>
      </c>
      <c r="B4475" t="inlineStr">
        <is>
          <t>C2219</t>
        </is>
      </c>
      <c r="C4475" t="inlineStr">
        <is>
          <t>CORPORATE BANKING</t>
        </is>
      </c>
      <c r="D4475" t="inlineStr">
        <is>
          <t>IA</t>
        </is>
      </c>
      <c r="E4475" t="inlineStr">
        <is>
          <t>Stage 2</t>
        </is>
      </c>
      <c r="F4475" t="inlineStr">
        <is>
          <t>N/A</t>
        </is>
      </c>
      <c r="G4475" s="26">
        <v>1217759599</v>
      </c>
      <c r="H4475" s="26">
        <v>73065576</v>
      </c>
      <c r="I4475" s="26">
        <v>0</v>
      </c>
      <c r="J4475" s="26">
        <v>166</v>
      </c>
      <c r="K4475" t="inlineStr">
        <is>
          <t>Non</t>
        </is>
      </c>
      <c r="L4475">
        <f>SUBTOTAL(103,A4475)</f>
        <v>1</v>
      </c>
    </row>
    <row r="4476">
      <c r="A4476" t="inlineStr">
        <is>
          <t>SOCIETE C77</t>
        </is>
      </c>
      <c r="B4476" t="inlineStr">
        <is>
          <t>C77</t>
        </is>
      </c>
      <c r="C4476" t="inlineStr">
        <is>
          <t>CONSUMER BANKING</t>
        </is>
      </c>
      <c r="D4476" t="inlineStr">
        <is>
          <t>II</t>
        </is>
      </c>
      <c r="E4476" t="inlineStr">
        <is>
          <t>Stage 2</t>
        </is>
      </c>
      <c r="F4476" t="inlineStr">
        <is>
          <t>N/A</t>
        </is>
      </c>
      <c r="G4476" s="26">
        <v>29559053</v>
      </c>
      <c r="H4476" s="26">
        <v>1773543</v>
      </c>
      <c r="I4476" s="26">
        <v>0</v>
      </c>
      <c r="J4476" s="26">
        <v>32</v>
      </c>
      <c r="K4476" t="inlineStr">
        <is>
          <t>Non</t>
        </is>
      </c>
      <c r="L4476">
        <f>SUBTOTAL(103,A4476)</f>
        <v>1</v>
      </c>
    </row>
    <row r="4477">
      <c r="A4477" t="inlineStr">
        <is>
          <t>SOCIETE C539</t>
        </is>
      </c>
      <c r="B4477" t="inlineStr">
        <is>
          <t>C539</t>
        </is>
      </c>
      <c r="C4477" t="inlineStr">
        <is>
          <t>CONSUMER BANKING</t>
        </is>
      </c>
      <c r="D4477" t="inlineStr">
        <is>
          <t>II</t>
        </is>
      </c>
      <c r="E4477" t="inlineStr">
        <is>
          <t>Stage 2</t>
        </is>
      </c>
      <c r="F4477" t="inlineStr">
        <is>
          <t>N/A</t>
        </is>
      </c>
      <c r="G4477" s="26">
        <v>1259699392</v>
      </c>
      <c r="H4477" s="26">
        <v>75581964</v>
      </c>
      <c r="I4477" s="26">
        <v>0</v>
      </c>
      <c r="J4477" s="26">
        <v>18</v>
      </c>
      <c r="K4477" t="inlineStr">
        <is>
          <t>Non</t>
        </is>
      </c>
      <c r="L4477">
        <f>SUBTOTAL(103,A4477)</f>
        <v>1</v>
      </c>
    </row>
    <row r="4478">
      <c r="A4478" t="inlineStr">
        <is>
          <t>SOCIETE C2107</t>
        </is>
      </c>
      <c r="B4478" t="inlineStr">
        <is>
          <t>C2107</t>
        </is>
      </c>
      <c r="C4478" t="inlineStr">
        <is>
          <t>CORPORATE BANKING</t>
        </is>
      </c>
      <c r="D4478" t="inlineStr">
        <is>
          <t>I</t>
        </is>
      </c>
      <c r="E4478" t="inlineStr">
        <is>
          <t>Stage 1</t>
        </is>
      </c>
      <c r="F4478" t="inlineStr">
        <is>
          <t>N/A</t>
        </is>
      </c>
      <c r="G4478" s="26">
        <v>753360586</v>
      </c>
      <c r="H4478" s="26">
        <v>7533606</v>
      </c>
      <c r="I4478" s="26">
        <v>0</v>
      </c>
      <c r="J4478" s="26">
        <v>213</v>
      </c>
      <c r="K4478" t="inlineStr">
        <is>
          <t>Non</t>
        </is>
      </c>
      <c r="L4478">
        <f>SUBTOTAL(103,A4478)</f>
        <v>1</v>
      </c>
    </row>
    <row r="4479">
      <c r="A4479" t="inlineStr">
        <is>
          <t>SOCIETE C2450</t>
        </is>
      </c>
      <c r="B4479" t="inlineStr">
        <is>
          <t>C2450</t>
        </is>
      </c>
      <c r="C4479" t="inlineStr">
        <is>
          <t>COMMERCIAL BANKING</t>
        </is>
      </c>
      <c r="D4479" t="inlineStr">
        <is>
          <t>I</t>
        </is>
      </c>
      <c r="E4479" t="inlineStr">
        <is>
          <t>Stage 1</t>
        </is>
      </c>
      <c r="F4479" t="inlineStr">
        <is>
          <t>N/A</t>
        </is>
      </c>
      <c r="G4479" s="26">
        <v>13743995</v>
      </c>
      <c r="H4479" s="26">
        <v>137440</v>
      </c>
      <c r="I4479" s="26">
        <v>0</v>
      </c>
      <c r="J4479" s="26">
        <v>58</v>
      </c>
      <c r="K4479" t="inlineStr">
        <is>
          <t>Non</t>
        </is>
      </c>
      <c r="L4479">
        <f>SUBTOTAL(103,A4479)</f>
        <v>1</v>
      </c>
    </row>
    <row r="4480">
      <c r="A4480" t="inlineStr">
        <is>
          <t>SOCIETE C29</t>
        </is>
      </c>
      <c r="B4480" t="inlineStr">
        <is>
          <t>C29</t>
        </is>
      </c>
      <c r="C4480" t="inlineStr">
        <is>
          <t>CORPORATE BANKING</t>
        </is>
      </c>
      <c r="D4480" t="inlineStr">
        <is>
          <t>IA</t>
        </is>
      </c>
      <c r="E4480" t="inlineStr">
        <is>
          <t>Stage 2</t>
        </is>
      </c>
      <c r="F4480" t="inlineStr">
        <is>
          <t>N/A</t>
        </is>
      </c>
      <c r="G4480" s="26">
        <v>78575210</v>
      </c>
      <c r="H4480" s="26">
        <v>4714513</v>
      </c>
      <c r="I4480" s="26">
        <v>0</v>
      </c>
      <c r="J4480" s="26">
        <v>101</v>
      </c>
      <c r="K4480" t="inlineStr">
        <is>
          <t>Non</t>
        </is>
      </c>
      <c r="L4480">
        <f>SUBTOTAL(103,A4480)</f>
        <v>1</v>
      </c>
    </row>
    <row r="4481">
      <c r="A4481" t="inlineStr">
        <is>
          <t>SOCIETE C143</t>
        </is>
      </c>
      <c r="B4481" t="inlineStr">
        <is>
          <t>C143</t>
        </is>
      </c>
      <c r="C4481" t="inlineStr">
        <is>
          <t>COMMERCIAL BANKING</t>
        </is>
      </c>
      <c r="D4481" t="inlineStr">
        <is>
          <t>I</t>
        </is>
      </c>
      <c r="E4481" t="inlineStr">
        <is>
          <t>Stage 1</t>
        </is>
      </c>
      <c r="F4481" t="inlineStr">
        <is>
          <t>N/A</t>
        </is>
      </c>
      <c r="G4481" s="26">
        <v>1580049370</v>
      </c>
      <c r="H4481" s="26">
        <v>15800494</v>
      </c>
      <c r="I4481" s="26">
        <v>0</v>
      </c>
      <c r="J4481" s="26">
        <v>60</v>
      </c>
      <c r="K4481" t="inlineStr">
        <is>
          <t>Non</t>
        </is>
      </c>
      <c r="L4481">
        <f>SUBTOTAL(103,A4481)</f>
        <v>1</v>
      </c>
    </row>
    <row r="4482">
      <c r="A4482" t="inlineStr">
        <is>
          <t>SOCIETE C1937</t>
        </is>
      </c>
      <c r="B4482" t="inlineStr">
        <is>
          <t>C1937</t>
        </is>
      </c>
      <c r="C4482" t="inlineStr">
        <is>
          <t>CORPORATE BANKING</t>
        </is>
      </c>
      <c r="D4482" t="inlineStr">
        <is>
          <t>IA</t>
        </is>
      </c>
      <c r="E4482" t="inlineStr">
        <is>
          <t>Stage 2</t>
        </is>
      </c>
      <c r="F4482" t="inlineStr">
        <is>
          <t>N/A</t>
        </is>
      </c>
      <c r="G4482" s="26">
        <v>2340390089</v>
      </c>
      <c r="H4482" s="26">
        <v>140423405</v>
      </c>
      <c r="I4482" s="26">
        <v>0</v>
      </c>
      <c r="J4482" s="26">
        <v>43</v>
      </c>
      <c r="K4482" t="inlineStr">
        <is>
          <t>Non</t>
        </is>
      </c>
      <c r="L4482">
        <f>SUBTOTAL(103,A4482)</f>
        <v>1</v>
      </c>
    </row>
    <row r="4483">
      <c r="A4483" t="inlineStr">
        <is>
          <t>SOCIETE C1143</t>
        </is>
      </c>
      <c r="B4483" t="inlineStr">
        <is>
          <t>C1143</t>
        </is>
      </c>
      <c r="C4483" t="inlineStr">
        <is>
          <t>COMMERCIAL BANKING</t>
        </is>
      </c>
      <c r="D4483" t="inlineStr">
        <is>
          <t>IA</t>
        </is>
      </c>
      <c r="E4483" t="inlineStr">
        <is>
          <t>Stage 2</t>
        </is>
      </c>
      <c r="F4483" t="inlineStr">
        <is>
          <t>N/A</t>
        </is>
      </c>
      <c r="G4483" s="26">
        <v>315574590</v>
      </c>
      <c r="H4483" s="26">
        <v>18934475</v>
      </c>
      <c r="I4483" s="26">
        <v>28931270</v>
      </c>
      <c r="J4483" s="26">
        <v>8</v>
      </c>
      <c r="K4483" t="inlineStr">
        <is>
          <t>Non</t>
        </is>
      </c>
      <c r="L4483">
        <f>SUBTOTAL(103,A4483)</f>
        <v>1</v>
      </c>
    </row>
    <row r="4484">
      <c r="A4484" t="inlineStr">
        <is>
          <t>SOCIETE C62</t>
        </is>
      </c>
      <c r="B4484" t="inlineStr">
        <is>
          <t>C62</t>
        </is>
      </c>
      <c r="C4484" t="inlineStr">
        <is>
          <t>SME</t>
        </is>
      </c>
      <c r="D4484" t="inlineStr">
        <is>
          <t>I</t>
        </is>
      </c>
      <c r="E4484" t="inlineStr">
        <is>
          <t>Stage 1</t>
        </is>
      </c>
      <c r="F4484" t="inlineStr">
        <is>
          <t>N/A</t>
        </is>
      </c>
      <c r="G4484" s="26">
        <v>94545699</v>
      </c>
      <c r="H4484" s="26">
        <v>945457</v>
      </c>
      <c r="I4484" s="26">
        <v>5086392</v>
      </c>
      <c r="J4484" s="26">
        <v>45</v>
      </c>
      <c r="K4484" t="inlineStr">
        <is>
          <t>Non</t>
        </is>
      </c>
      <c r="L4484">
        <f>SUBTOTAL(103,A4484)</f>
        <v>1</v>
      </c>
    </row>
    <row r="4485">
      <c r="A4485" t="inlineStr">
        <is>
          <t>SOCIETE C1624</t>
        </is>
      </c>
      <c r="B4485" t="inlineStr">
        <is>
          <t>C1624</t>
        </is>
      </c>
      <c r="C4485" t="inlineStr">
        <is>
          <t>CONSUMER BANKING</t>
        </is>
      </c>
      <c r="D4485" t="inlineStr">
        <is>
          <t>I</t>
        </is>
      </c>
      <c r="E4485" t="inlineStr">
        <is>
          <t>Stage 1</t>
        </is>
      </c>
      <c r="F4485" t="inlineStr">
        <is>
          <t>N/A</t>
        </is>
      </c>
      <c r="G4485" s="26">
        <v>1230940473</v>
      </c>
      <c r="H4485" s="26">
        <v>12309405</v>
      </c>
      <c r="I4485" s="26">
        <v>0</v>
      </c>
      <c r="J4485" s="26">
        <v>72</v>
      </c>
      <c r="K4485" t="inlineStr">
        <is>
          <t>Non</t>
        </is>
      </c>
      <c r="L4485">
        <f>SUBTOTAL(103,A4485)</f>
        <v>1</v>
      </c>
    </row>
    <row r="4486">
      <c r="A4486" t="inlineStr">
        <is>
          <t>SOCIETE C203</t>
        </is>
      </c>
      <c r="B4486" t="inlineStr">
        <is>
          <t>C203</t>
        </is>
      </c>
      <c r="C4486" t="inlineStr">
        <is>
          <t>PUBLIC SECTOR</t>
        </is>
      </c>
      <c r="D4486" t="inlineStr">
        <is>
          <t>IV</t>
        </is>
      </c>
      <c r="E4486" t="inlineStr">
        <is>
          <t>Stage 3</t>
        </is>
      </c>
      <c r="F4486" t="inlineStr">
        <is>
          <t>N/A</t>
        </is>
      </c>
      <c r="G4486" s="26">
        <v>64578823</v>
      </c>
      <c r="H4486" s="26">
        <v>35518353</v>
      </c>
      <c r="I4486" s="26">
        <v>0</v>
      </c>
      <c r="J4486" s="26">
        <v>41</v>
      </c>
      <c r="K4486" t="inlineStr">
        <is>
          <t>Oui</t>
        </is>
      </c>
      <c r="L4486">
        <f>SUBTOTAL(103,A4486)</f>
        <v>1</v>
      </c>
    </row>
    <row r="4487">
      <c r="A4487" t="inlineStr">
        <is>
          <t>SOCIETE C1248</t>
        </is>
      </c>
      <c r="B4487" t="inlineStr">
        <is>
          <t>C1248</t>
        </is>
      </c>
      <c r="C4487" t="inlineStr">
        <is>
          <t>CORPORATE BANKING</t>
        </is>
      </c>
      <c r="D4487" t="inlineStr">
        <is>
          <t>I</t>
        </is>
      </c>
      <c r="E4487" t="inlineStr">
        <is>
          <t>Stage 1</t>
        </is>
      </c>
      <c r="F4487" t="inlineStr">
        <is>
          <t>N/A</t>
        </is>
      </c>
      <c r="G4487" s="26">
        <v>2230431443</v>
      </c>
      <c r="H4487" s="26">
        <v>22304314</v>
      </c>
      <c r="I4487" s="26">
        <v>0</v>
      </c>
      <c r="J4487" s="26">
        <v>326</v>
      </c>
      <c r="K4487" t="inlineStr">
        <is>
          <t>Non</t>
        </is>
      </c>
      <c r="L4487">
        <f>SUBTOTAL(103,A4487)</f>
        <v>1</v>
      </c>
    </row>
    <row r="4488">
      <c r="A4488" t="inlineStr">
        <is>
          <t>SOCIETE C1505</t>
        </is>
      </c>
      <c r="B4488" t="inlineStr">
        <is>
          <t>C1505</t>
        </is>
      </c>
      <c r="C4488" t="inlineStr">
        <is>
          <t>COMMERCIAL BANKING</t>
        </is>
      </c>
      <c r="D4488" t="inlineStr">
        <is>
          <t>V</t>
        </is>
      </c>
      <c r="E4488" t="inlineStr">
        <is>
          <t>Stage 3</t>
        </is>
      </c>
      <c r="F4488" t="inlineStr">
        <is>
          <t>N/A</t>
        </is>
      </c>
      <c r="G4488" s="26">
        <v>1328249042</v>
      </c>
      <c r="H4488" s="26">
        <v>730536973</v>
      </c>
      <c r="I4488" s="26">
        <v>207317442</v>
      </c>
      <c r="J4488" s="26">
        <v>90</v>
      </c>
      <c r="K4488" t="inlineStr">
        <is>
          <t>Oui</t>
        </is>
      </c>
      <c r="L4488">
        <f>SUBTOTAL(103,A4488)</f>
        <v>1</v>
      </c>
    </row>
    <row r="4489">
      <c r="A4489" t="inlineStr">
        <is>
          <t>SOCIETE C879</t>
        </is>
      </c>
      <c r="B4489" t="inlineStr">
        <is>
          <t>C879</t>
        </is>
      </c>
      <c r="C4489" t="inlineStr">
        <is>
          <t>CORPORATE BANKING</t>
        </is>
      </c>
      <c r="D4489" t="inlineStr">
        <is>
          <t>II</t>
        </is>
      </c>
      <c r="E4489" t="inlineStr">
        <is>
          <t>Stage 2</t>
        </is>
      </c>
      <c r="F4489" t="inlineStr">
        <is>
          <t>N/A</t>
        </is>
      </c>
      <c r="G4489" s="26">
        <v>859698849</v>
      </c>
      <c r="H4489" s="26">
        <v>51581931</v>
      </c>
      <c r="I4489" s="26">
        <v>0</v>
      </c>
      <c r="J4489" s="26">
        <v>17</v>
      </c>
      <c r="K4489" t="inlineStr">
        <is>
          <t>Non</t>
        </is>
      </c>
      <c r="L4489">
        <f>SUBTOTAL(103,A4489)</f>
        <v>1</v>
      </c>
    </row>
    <row r="4490">
      <c r="A4490" t="inlineStr">
        <is>
          <t>SOCIETE C506</t>
        </is>
      </c>
      <c r="B4490" t="inlineStr">
        <is>
          <t>C506</t>
        </is>
      </c>
      <c r="C4490" t="inlineStr">
        <is>
          <t>CORPORATE BANKING</t>
        </is>
      </c>
      <c r="D4490" t="inlineStr">
        <is>
          <t>IA</t>
        </is>
      </c>
      <c r="E4490" t="inlineStr">
        <is>
          <t>Stage 2</t>
        </is>
      </c>
      <c r="F4490" t="inlineStr">
        <is>
          <t>N/A</t>
        </is>
      </c>
      <c r="G4490" s="26">
        <v>1696661126</v>
      </c>
      <c r="H4490" s="26">
        <v>101799668</v>
      </c>
      <c r="I4490" s="26">
        <v>0</v>
      </c>
      <c r="J4490" s="26">
        <v>78</v>
      </c>
      <c r="K4490" t="inlineStr">
        <is>
          <t>Non</t>
        </is>
      </c>
      <c r="L4490">
        <f>SUBTOTAL(103,A4490)</f>
        <v>1</v>
      </c>
    </row>
    <row r="4491">
      <c r="A4491" t="inlineStr">
        <is>
          <t>SOCIETE C1338</t>
        </is>
      </c>
      <c r="B4491" t="inlineStr">
        <is>
          <t>C1338</t>
        </is>
      </c>
      <c r="C4491" t="inlineStr">
        <is>
          <t>CONSUMER BANKING</t>
        </is>
      </c>
      <c r="D4491" t="inlineStr">
        <is>
          <t>I</t>
        </is>
      </c>
      <c r="E4491" t="inlineStr">
        <is>
          <t>Stage 1</t>
        </is>
      </c>
      <c r="F4491" t="inlineStr">
        <is>
          <t>N/A</t>
        </is>
      </c>
      <c r="G4491" s="26">
        <v>2441944</v>
      </c>
      <c r="H4491" s="26">
        <v>24419</v>
      </c>
      <c r="I4491" s="26">
        <v>290907</v>
      </c>
      <c r="J4491" s="26">
        <v>14</v>
      </c>
      <c r="K4491" t="inlineStr">
        <is>
          <t>Non</t>
        </is>
      </c>
      <c r="L4491">
        <f>SUBTOTAL(103,A4491)</f>
        <v>1</v>
      </c>
    </row>
    <row r="4492">
      <c r="A4492" t="inlineStr">
        <is>
          <t>SOCIETE C1607</t>
        </is>
      </c>
      <c r="B4492" t="inlineStr">
        <is>
          <t>C1607</t>
        </is>
      </c>
      <c r="C4492" t="inlineStr">
        <is>
          <t>SME</t>
        </is>
      </c>
      <c r="D4492" t="inlineStr">
        <is>
          <t>IV</t>
        </is>
      </c>
      <c r="E4492" t="inlineStr">
        <is>
          <t>Stage 3</t>
        </is>
      </c>
      <c r="F4492" t="inlineStr">
        <is>
          <t>N/A</t>
        </is>
      </c>
      <c r="G4492" s="26">
        <v>724519655</v>
      </c>
      <c r="H4492" s="26">
        <v>398485810</v>
      </c>
      <c r="I4492" s="26">
        <v>0</v>
      </c>
      <c r="J4492" s="26">
        <v>10</v>
      </c>
      <c r="K4492" t="inlineStr">
        <is>
          <t>Oui</t>
        </is>
      </c>
      <c r="L4492">
        <f>SUBTOTAL(103,A4492)</f>
        <v>1</v>
      </c>
    </row>
    <row r="4493">
      <c r="A4493" t="inlineStr">
        <is>
          <t>SOCIETE C259</t>
        </is>
      </c>
      <c r="B4493" t="inlineStr">
        <is>
          <t>C259</t>
        </is>
      </c>
      <c r="C4493" t="inlineStr">
        <is>
          <t>CORPORATE BANKING</t>
        </is>
      </c>
      <c r="D4493" t="inlineStr">
        <is>
          <t>III</t>
        </is>
      </c>
      <c r="E4493" t="inlineStr">
        <is>
          <t>Stage 3</t>
        </is>
      </c>
      <c r="F4493" t="inlineStr">
        <is>
          <t>N/A</t>
        </is>
      </c>
      <c r="G4493" s="26">
        <v>77275699</v>
      </c>
      <c r="H4493" s="26">
        <v>42501634</v>
      </c>
      <c r="I4493" s="26">
        <v>3176919</v>
      </c>
      <c r="J4493" s="26">
        <v>307</v>
      </c>
      <c r="K4493" t="inlineStr">
        <is>
          <t>Oui</t>
        </is>
      </c>
      <c r="L4493">
        <f>SUBTOTAL(103,A4493)</f>
        <v>1</v>
      </c>
    </row>
    <row r="4494">
      <c r="A4494" t="inlineStr">
        <is>
          <t>SOCIETE C13</t>
        </is>
      </c>
      <c r="B4494" t="inlineStr">
        <is>
          <t>C13</t>
        </is>
      </c>
      <c r="C4494" t="inlineStr">
        <is>
          <t>CONSUMER BANKING</t>
        </is>
      </c>
      <c r="D4494" t="inlineStr">
        <is>
          <t>I</t>
        </is>
      </c>
      <c r="E4494" t="inlineStr">
        <is>
          <t>Stage 1</t>
        </is>
      </c>
      <c r="F4494" t="inlineStr">
        <is>
          <t>N/A</t>
        </is>
      </c>
      <c r="G4494" s="26">
        <v>11676366</v>
      </c>
      <c r="H4494" s="26">
        <v>116764</v>
      </c>
      <c r="I4494" s="26">
        <v>0</v>
      </c>
      <c r="J4494" s="26">
        <v>161</v>
      </c>
      <c r="K4494" t="inlineStr">
        <is>
          <t>Non</t>
        </is>
      </c>
      <c r="L4494">
        <f>SUBTOTAL(103,A4494)</f>
        <v>1</v>
      </c>
    </row>
    <row r="4495">
      <c r="A4495" t="inlineStr">
        <is>
          <t>SOCIETE C225</t>
        </is>
      </c>
      <c r="B4495" t="inlineStr">
        <is>
          <t>C225</t>
        </is>
      </c>
      <c r="C4495" t="inlineStr">
        <is>
          <t>CORPORATE BANKING</t>
        </is>
      </c>
      <c r="D4495" t="inlineStr">
        <is>
          <t>I</t>
        </is>
      </c>
      <c r="E4495" t="inlineStr">
        <is>
          <t>Stage 1</t>
        </is>
      </c>
      <c r="F4495" t="inlineStr">
        <is>
          <t>N/A</t>
        </is>
      </c>
      <c r="G4495" s="26">
        <v>900023811</v>
      </c>
      <c r="H4495" s="26">
        <v>9000238</v>
      </c>
      <c r="I4495" s="26">
        <v>48157747</v>
      </c>
      <c r="J4495" s="26">
        <v>157</v>
      </c>
      <c r="K4495" t="inlineStr">
        <is>
          <t>Non</t>
        </is>
      </c>
      <c r="L4495">
        <f>SUBTOTAL(103,A4495)</f>
        <v>1</v>
      </c>
    </row>
    <row r="4496">
      <c r="A4496" t="inlineStr">
        <is>
          <t>SOCIETE C1541</t>
        </is>
      </c>
      <c r="B4496" t="inlineStr">
        <is>
          <t>C1541</t>
        </is>
      </c>
      <c r="C4496" t="inlineStr">
        <is>
          <t>COMMERCIAL BANKING</t>
        </is>
      </c>
      <c r="D4496" t="inlineStr">
        <is>
          <t>I</t>
        </is>
      </c>
      <c r="E4496" t="inlineStr">
        <is>
          <t>Stage 1</t>
        </is>
      </c>
      <c r="F4496" t="inlineStr">
        <is>
          <t>N/A</t>
        </is>
      </c>
      <c r="G4496" s="26">
        <v>54192581</v>
      </c>
      <c r="H4496" s="26">
        <v>541926</v>
      </c>
      <c r="I4496" s="26">
        <v>0</v>
      </c>
      <c r="J4496" s="26">
        <v>268</v>
      </c>
      <c r="K4496" t="inlineStr">
        <is>
          <t>Non</t>
        </is>
      </c>
      <c r="L4496">
        <f>SUBTOTAL(103,A4496)</f>
        <v>1</v>
      </c>
    </row>
    <row r="4497">
      <c r="A4497" t="inlineStr">
        <is>
          <t>SOCIETE C1047</t>
        </is>
      </c>
      <c r="B4497" t="inlineStr">
        <is>
          <t>C1047</t>
        </is>
      </c>
      <c r="C4497" t="inlineStr">
        <is>
          <t>COMMERCIAL BANKING</t>
        </is>
      </c>
      <c r="D4497" t="inlineStr">
        <is>
          <t>III</t>
        </is>
      </c>
      <c r="E4497" t="inlineStr">
        <is>
          <t>Stage 3</t>
        </is>
      </c>
      <c r="F4497" t="inlineStr">
        <is>
          <t>N/A</t>
        </is>
      </c>
      <c r="G4497" s="26">
        <v>2087274274</v>
      </c>
      <c r="H4497" s="26">
        <v>1148000851</v>
      </c>
      <c r="I4497" s="26">
        <v>0</v>
      </c>
      <c r="J4497" s="26">
        <v>10</v>
      </c>
      <c r="K4497" t="inlineStr">
        <is>
          <t>Oui</t>
        </is>
      </c>
      <c r="L4497">
        <f>SUBTOTAL(103,A4497)</f>
        <v>1</v>
      </c>
    </row>
    <row r="4498">
      <c r="A4498" t="inlineStr">
        <is>
          <t>SOCIETE C1681</t>
        </is>
      </c>
      <c r="B4498" t="inlineStr">
        <is>
          <t>C1681</t>
        </is>
      </c>
      <c r="C4498" t="inlineStr">
        <is>
          <t>CORPORATE BANKING</t>
        </is>
      </c>
      <c r="D4498" t="inlineStr">
        <is>
          <t>I</t>
        </is>
      </c>
      <c r="E4498" t="inlineStr">
        <is>
          <t>Stage 1</t>
        </is>
      </c>
      <c r="F4498" t="inlineStr">
        <is>
          <t>N/A</t>
        </is>
      </c>
      <c r="G4498" s="26">
        <v>2693366279</v>
      </c>
      <c r="H4498" s="26">
        <v>26933663</v>
      </c>
      <c r="I4498" s="26">
        <v>0</v>
      </c>
      <c r="J4498" s="26">
        <v>26</v>
      </c>
      <c r="K4498" t="inlineStr">
        <is>
          <t>Non</t>
        </is>
      </c>
      <c r="L4498">
        <f>SUBTOTAL(103,A4498)</f>
        <v>1</v>
      </c>
    </row>
    <row r="4499">
      <c r="A4499" t="inlineStr">
        <is>
          <t>SOCIETE C1470</t>
        </is>
      </c>
      <c r="B4499" t="inlineStr">
        <is>
          <t>C1470</t>
        </is>
      </c>
      <c r="C4499" t="inlineStr">
        <is>
          <t>COMMERCIAL BANKING</t>
        </is>
      </c>
      <c r="D4499" t="inlineStr">
        <is>
          <t>IA</t>
        </is>
      </c>
      <c r="E4499" t="inlineStr">
        <is>
          <t>Stage 2</t>
        </is>
      </c>
      <c r="F4499" t="inlineStr">
        <is>
          <t>N/A</t>
        </is>
      </c>
      <c r="G4499" s="26">
        <v>1571870697</v>
      </c>
      <c r="H4499" s="26">
        <v>94312242</v>
      </c>
      <c r="I4499" s="26">
        <v>0</v>
      </c>
      <c r="J4499" s="26">
        <v>204</v>
      </c>
      <c r="K4499" t="inlineStr">
        <is>
          <t>Non</t>
        </is>
      </c>
      <c r="L4499">
        <f>SUBTOTAL(103,A4499)</f>
        <v>1</v>
      </c>
    </row>
    <row r="4500">
      <c r="A4500" t="inlineStr">
        <is>
          <t>SOCIETE C2073</t>
        </is>
      </c>
      <c r="B4500" t="inlineStr">
        <is>
          <t>C2073</t>
        </is>
      </c>
      <c r="C4500" t="inlineStr">
        <is>
          <t>CORPORATE BANKING</t>
        </is>
      </c>
      <c r="D4500" t="inlineStr">
        <is>
          <t>I</t>
        </is>
      </c>
      <c r="E4500" t="inlineStr">
        <is>
          <t>Stage 1</t>
        </is>
      </c>
      <c r="F4500" t="inlineStr">
        <is>
          <t>N/A</t>
        </is>
      </c>
      <c r="G4500" s="26">
        <v>369522015</v>
      </c>
      <c r="H4500" s="26">
        <v>3695220</v>
      </c>
      <c r="I4500" s="26">
        <v>0</v>
      </c>
      <c r="J4500" s="26">
        <v>19</v>
      </c>
      <c r="K4500" t="inlineStr">
        <is>
          <t>Non</t>
        </is>
      </c>
      <c r="L4500">
        <f>SUBTOTAL(103,A4500)</f>
        <v>1</v>
      </c>
    </row>
    <row r="4501">
      <c r="A4501" t="inlineStr">
        <is>
          <t>SOCIETE C738</t>
        </is>
      </c>
      <c r="B4501" t="inlineStr">
        <is>
          <t>C738</t>
        </is>
      </c>
      <c r="C4501" t="inlineStr">
        <is>
          <t>COMMERCIAL BANKING</t>
        </is>
      </c>
      <c r="D4501" t="inlineStr">
        <is>
          <t>V</t>
        </is>
      </c>
      <c r="E4501" t="inlineStr">
        <is>
          <t>Stage 3</t>
        </is>
      </c>
      <c r="F4501" t="inlineStr">
        <is>
          <t>N/A</t>
        </is>
      </c>
      <c r="G4501" s="26">
        <v>156930186</v>
      </c>
      <c r="H4501" s="26">
        <v>86311602</v>
      </c>
      <c r="I4501" s="26">
        <v>0</v>
      </c>
      <c r="J4501" s="26">
        <v>118</v>
      </c>
      <c r="K4501" t="inlineStr">
        <is>
          <t>Oui</t>
        </is>
      </c>
      <c r="L4501">
        <f>SUBTOTAL(103,A4501)</f>
        <v>1</v>
      </c>
    </row>
    <row r="4502">
      <c r="A4502" t="inlineStr">
        <is>
          <t>SOCIETE C950</t>
        </is>
      </c>
      <c r="B4502" t="inlineStr">
        <is>
          <t>C950</t>
        </is>
      </c>
      <c r="C4502" t="inlineStr">
        <is>
          <t>COMMERCIAL BANKING</t>
        </is>
      </c>
      <c r="D4502" t="inlineStr">
        <is>
          <t>IV</t>
        </is>
      </c>
      <c r="E4502" t="inlineStr">
        <is>
          <t>Stage 3</t>
        </is>
      </c>
      <c r="F4502" t="inlineStr">
        <is>
          <t>N/A</t>
        </is>
      </c>
      <c r="G4502" s="26">
        <v>2666901575</v>
      </c>
      <c r="H4502" s="26">
        <v>1466795866</v>
      </c>
      <c r="I4502" s="26">
        <v>0</v>
      </c>
      <c r="J4502" s="26">
        <v>46</v>
      </c>
      <c r="K4502" t="inlineStr">
        <is>
          <t>Oui</t>
        </is>
      </c>
      <c r="L4502">
        <f>SUBTOTAL(103,A4502)</f>
        <v>1</v>
      </c>
    </row>
    <row r="4503">
      <c r="A4503" t="inlineStr">
        <is>
          <t>SOCIETE C570</t>
        </is>
      </c>
      <c r="B4503" t="inlineStr">
        <is>
          <t>C570</t>
        </is>
      </c>
      <c r="C4503" t="inlineStr">
        <is>
          <t>CORPORATE BANKING</t>
        </is>
      </c>
      <c r="D4503" t="inlineStr">
        <is>
          <t>IV</t>
        </is>
      </c>
      <c r="E4503" t="inlineStr">
        <is>
          <t>Stage 3</t>
        </is>
      </c>
      <c r="F4503" t="inlineStr">
        <is>
          <t>N/A</t>
        </is>
      </c>
      <c r="G4503" s="26">
        <v>2826823095</v>
      </c>
      <c r="H4503" s="26">
        <v>1554752702</v>
      </c>
      <c r="I4503" s="26">
        <v>0</v>
      </c>
      <c r="J4503" s="26">
        <v>3</v>
      </c>
      <c r="K4503" t="inlineStr">
        <is>
          <t>Oui</t>
        </is>
      </c>
      <c r="L4503">
        <f>SUBTOTAL(103,A4503)</f>
        <v>1</v>
      </c>
    </row>
    <row r="4504">
      <c r="A4504" t="inlineStr">
        <is>
          <t>SOCIETE C1591</t>
        </is>
      </c>
      <c r="B4504" t="inlineStr">
        <is>
          <t>C1591</t>
        </is>
      </c>
      <c r="C4504" t="inlineStr">
        <is>
          <t>CORPORATE BANKING</t>
        </is>
      </c>
      <c r="D4504" t="inlineStr">
        <is>
          <t>IA</t>
        </is>
      </c>
      <c r="E4504" t="inlineStr">
        <is>
          <t>Stage 2</t>
        </is>
      </c>
      <c r="F4504" t="inlineStr">
        <is>
          <t>N/A</t>
        </is>
      </c>
      <c r="G4504" s="26">
        <v>631697797</v>
      </c>
      <c r="H4504" s="26">
        <v>37901868</v>
      </c>
      <c r="I4504" s="26">
        <v>0</v>
      </c>
      <c r="J4504" s="26">
        <v>29</v>
      </c>
      <c r="K4504" t="inlineStr">
        <is>
          <t>Non</t>
        </is>
      </c>
      <c r="L4504">
        <f>SUBTOTAL(103,A4504)</f>
        <v>1</v>
      </c>
    </row>
    <row r="4505">
      <c r="A4505" t="inlineStr">
        <is>
          <t>SOCIETE C986</t>
        </is>
      </c>
      <c r="B4505" t="inlineStr">
        <is>
          <t>C986</t>
        </is>
      </c>
      <c r="C4505" t="inlineStr">
        <is>
          <t>CORPORATE BANKING</t>
        </is>
      </c>
      <c r="D4505" t="inlineStr">
        <is>
          <t>I</t>
        </is>
      </c>
      <c r="E4505" t="inlineStr">
        <is>
          <t>Stage 1</t>
        </is>
      </c>
      <c r="F4505" t="inlineStr">
        <is>
          <t>N/A</t>
        </is>
      </c>
      <c r="G4505" s="26">
        <v>1096315999</v>
      </c>
      <c r="H4505" s="26">
        <v>10963160</v>
      </c>
      <c r="I4505" s="26">
        <v>0</v>
      </c>
      <c r="J4505" s="26">
        <v>147</v>
      </c>
      <c r="K4505" t="inlineStr">
        <is>
          <t>Non</t>
        </is>
      </c>
      <c r="L4505">
        <f>SUBTOTAL(103,A4505)</f>
        <v>1</v>
      </c>
    </row>
    <row r="4506">
      <c r="A4506" t="inlineStr">
        <is>
          <t>SOCIETE C1612</t>
        </is>
      </c>
      <c r="B4506" t="inlineStr">
        <is>
          <t>C1612</t>
        </is>
      </c>
      <c r="C4506" t="inlineStr">
        <is>
          <t>CORPORATE BANKING</t>
        </is>
      </c>
      <c r="D4506" t="inlineStr">
        <is>
          <t>I</t>
        </is>
      </c>
      <c r="E4506" t="inlineStr">
        <is>
          <t>Stage 1</t>
        </is>
      </c>
      <c r="F4506" t="inlineStr">
        <is>
          <t>N/A</t>
        </is>
      </c>
      <c r="G4506" s="26">
        <v>1362441452</v>
      </c>
      <c r="H4506" s="26">
        <v>13624415</v>
      </c>
      <c r="I4506" s="26">
        <v>0</v>
      </c>
      <c r="J4506" s="26">
        <v>105</v>
      </c>
      <c r="K4506" t="inlineStr">
        <is>
          <t>Non</t>
        </is>
      </c>
      <c r="L4506">
        <f>SUBTOTAL(103,A4506)</f>
        <v>1</v>
      </c>
    </row>
    <row r="4507">
      <c r="A4507" t="inlineStr">
        <is>
          <t>SOCIETE C1833</t>
        </is>
      </c>
      <c r="B4507" t="inlineStr">
        <is>
          <t>C1833</t>
        </is>
      </c>
      <c r="C4507" t="inlineStr">
        <is>
          <t>CORPORATE BANKING</t>
        </is>
      </c>
      <c r="D4507" t="inlineStr">
        <is>
          <t>II</t>
        </is>
      </c>
      <c r="E4507" t="inlineStr">
        <is>
          <t>Stage 2</t>
        </is>
      </c>
      <c r="F4507" t="inlineStr">
        <is>
          <t>N/A</t>
        </is>
      </c>
      <c r="G4507" s="26">
        <v>6684255</v>
      </c>
      <c r="H4507" s="26">
        <v>401055</v>
      </c>
      <c r="I4507" s="26">
        <v>0</v>
      </c>
      <c r="J4507" s="26">
        <v>1</v>
      </c>
      <c r="K4507" t="inlineStr">
        <is>
          <t>Non</t>
        </is>
      </c>
      <c r="L4507">
        <f>SUBTOTAL(103,A4507)</f>
        <v>1</v>
      </c>
    </row>
    <row r="4508">
      <c r="A4508" t="inlineStr">
        <is>
          <t>SOCIETE C1086</t>
        </is>
      </c>
      <c r="B4508" t="inlineStr">
        <is>
          <t>C1086</t>
        </is>
      </c>
      <c r="C4508" t="inlineStr">
        <is>
          <t>CORPORATE BANKING</t>
        </is>
      </c>
      <c r="D4508" t="inlineStr">
        <is>
          <t>V</t>
        </is>
      </c>
      <c r="E4508" t="inlineStr">
        <is>
          <t>Stage 3</t>
        </is>
      </c>
      <c r="F4508" t="inlineStr">
        <is>
          <t>N/A</t>
        </is>
      </c>
      <c r="G4508" s="26">
        <v>2598232811</v>
      </c>
      <c r="H4508" s="26">
        <v>1429028046</v>
      </c>
      <c r="I4508" s="26">
        <v>0</v>
      </c>
      <c r="J4508" s="26">
        <v>181</v>
      </c>
      <c r="K4508" t="inlineStr">
        <is>
          <t>Oui</t>
        </is>
      </c>
      <c r="L4508">
        <f>SUBTOTAL(103,A4508)</f>
        <v>1</v>
      </c>
    </row>
    <row r="4509">
      <c r="A4509" t="inlineStr">
        <is>
          <t>SOCIETE C2247</t>
        </is>
      </c>
      <c r="B4509" t="inlineStr">
        <is>
          <t>C2247</t>
        </is>
      </c>
      <c r="C4509" t="inlineStr">
        <is>
          <t>CONSUMER BANKING</t>
        </is>
      </c>
      <c r="D4509" t="inlineStr">
        <is>
          <t>III</t>
        </is>
      </c>
      <c r="E4509" t="inlineStr">
        <is>
          <t>Stage 3</t>
        </is>
      </c>
      <c r="F4509" t="inlineStr">
        <is>
          <t>N/A</t>
        </is>
      </c>
      <c r="G4509" s="26">
        <v>1504096981</v>
      </c>
      <c r="H4509" s="26">
        <v>827253339</v>
      </c>
      <c r="I4509" s="26">
        <v>232412517</v>
      </c>
      <c r="J4509" s="26">
        <v>1</v>
      </c>
      <c r="K4509" t="inlineStr">
        <is>
          <t>Oui</t>
        </is>
      </c>
      <c r="L4509">
        <f>SUBTOTAL(103,A4509)</f>
        <v>1</v>
      </c>
    </row>
    <row r="4510">
      <c r="A4510" t="inlineStr">
        <is>
          <t>SOCIETE C276</t>
        </is>
      </c>
      <c r="B4510" t="inlineStr">
        <is>
          <t>C276</t>
        </is>
      </c>
      <c r="C4510" t="inlineStr">
        <is>
          <t>COMMERCIAL BANKING</t>
        </is>
      </c>
      <c r="D4510" t="inlineStr">
        <is>
          <t>I</t>
        </is>
      </c>
      <c r="E4510" t="inlineStr">
        <is>
          <t>Stage 1</t>
        </is>
      </c>
      <c r="F4510" t="inlineStr">
        <is>
          <t>N/A</t>
        </is>
      </c>
      <c r="G4510" s="26">
        <v>108741072</v>
      </c>
      <c r="H4510" s="26">
        <v>1087411</v>
      </c>
      <c r="I4510" s="26">
        <v>0</v>
      </c>
      <c r="J4510" s="26">
        <v>3</v>
      </c>
      <c r="K4510" t="inlineStr">
        <is>
          <t>Non</t>
        </is>
      </c>
      <c r="L4510">
        <f>SUBTOTAL(103,A4510)</f>
        <v>1</v>
      </c>
    </row>
    <row r="4511">
      <c r="A4511" t="inlineStr">
        <is>
          <t>SOCIETE C2311</t>
        </is>
      </c>
      <c r="B4511" t="inlineStr">
        <is>
          <t>C2311</t>
        </is>
      </c>
      <c r="C4511" t="inlineStr">
        <is>
          <t>CONSUMER BANKING</t>
        </is>
      </c>
      <c r="D4511" t="inlineStr">
        <is>
          <t>II</t>
        </is>
      </c>
      <c r="E4511" t="inlineStr">
        <is>
          <t>Stage 2</t>
        </is>
      </c>
      <c r="F4511" t="inlineStr">
        <is>
          <t>N/A</t>
        </is>
      </c>
      <c r="G4511" s="26">
        <v>14531406</v>
      </c>
      <c r="H4511" s="26">
        <v>871884</v>
      </c>
      <c r="I4511" s="26">
        <v>0</v>
      </c>
      <c r="J4511" s="26">
        <v>10</v>
      </c>
      <c r="K4511" t="inlineStr">
        <is>
          <t>Non</t>
        </is>
      </c>
      <c r="L4511">
        <f>SUBTOTAL(103,A4511)</f>
        <v>1</v>
      </c>
    </row>
    <row r="4512">
      <c r="A4512" t="inlineStr">
        <is>
          <t>SOCIETE C731</t>
        </is>
      </c>
      <c r="B4512" t="inlineStr">
        <is>
          <t>C731</t>
        </is>
      </c>
      <c r="C4512" t="inlineStr">
        <is>
          <t>CORPORATE BANKING</t>
        </is>
      </c>
      <c r="D4512" t="inlineStr">
        <is>
          <t>V</t>
        </is>
      </c>
      <c r="E4512" t="inlineStr">
        <is>
          <t>Stage 3</t>
        </is>
      </c>
      <c r="F4512" t="inlineStr">
        <is>
          <t>N/A</t>
        </is>
      </c>
      <c r="G4512" s="26">
        <v>2513968091</v>
      </c>
      <c r="H4512" s="26">
        <v>1382682450</v>
      </c>
      <c r="I4512" s="26">
        <v>0</v>
      </c>
      <c r="J4512" s="26">
        <v>48</v>
      </c>
      <c r="K4512" t="inlineStr">
        <is>
          <t>Oui</t>
        </is>
      </c>
      <c r="L4512">
        <f>SUBTOTAL(103,A4512)</f>
        <v>1</v>
      </c>
    </row>
    <row r="4513">
      <c r="A4513" t="inlineStr">
        <is>
          <t>SOCIETE C2262</t>
        </is>
      </c>
      <c r="B4513" t="inlineStr">
        <is>
          <t>C2262</t>
        </is>
      </c>
      <c r="C4513" t="inlineStr">
        <is>
          <t>CORPORATE BANKING</t>
        </is>
      </c>
      <c r="D4513" t="inlineStr">
        <is>
          <t>IV</t>
        </is>
      </c>
      <c r="E4513" t="inlineStr">
        <is>
          <t>Stage 3</t>
        </is>
      </c>
      <c r="F4513" t="inlineStr">
        <is>
          <t>N/A</t>
        </is>
      </c>
      <c r="G4513" s="26">
        <v>120686598</v>
      </c>
      <c r="H4513" s="26">
        <v>66377629</v>
      </c>
      <c r="I4513" s="26">
        <v>0</v>
      </c>
      <c r="J4513" s="26">
        <v>311</v>
      </c>
      <c r="K4513" t="inlineStr">
        <is>
          <t>Oui</t>
        </is>
      </c>
      <c r="L4513">
        <f>SUBTOTAL(103,A4513)</f>
        <v>1</v>
      </c>
    </row>
    <row r="4514">
      <c r="A4514" t="inlineStr">
        <is>
          <t>SOCIETE C686</t>
        </is>
      </c>
      <c r="B4514" t="inlineStr">
        <is>
          <t>C686</t>
        </is>
      </c>
      <c r="C4514" t="inlineStr">
        <is>
          <t>COMMERCIAL BANKING</t>
        </is>
      </c>
      <c r="D4514" t="inlineStr">
        <is>
          <t>I</t>
        </is>
      </c>
      <c r="E4514" t="inlineStr">
        <is>
          <t>Stage 1</t>
        </is>
      </c>
      <c r="F4514" t="inlineStr">
        <is>
          <t>N/A</t>
        </is>
      </c>
      <c r="G4514" s="26">
        <v>624650505</v>
      </c>
      <c r="H4514" s="26">
        <v>6246505</v>
      </c>
      <c r="I4514" s="26">
        <v>0</v>
      </c>
      <c r="J4514" s="26">
        <v>139</v>
      </c>
      <c r="K4514" t="inlineStr">
        <is>
          <t>Non</t>
        </is>
      </c>
      <c r="L4514">
        <f>SUBTOTAL(103,A4514)</f>
        <v>1</v>
      </c>
    </row>
    <row r="4515">
      <c r="A4515" t="inlineStr">
        <is>
          <t>SOCIETE C196</t>
        </is>
      </c>
      <c r="B4515" t="inlineStr">
        <is>
          <t>C196</t>
        </is>
      </c>
      <c r="C4515" t="inlineStr">
        <is>
          <t>COMMERCIAL BANKING</t>
        </is>
      </c>
      <c r="D4515" t="inlineStr">
        <is>
          <t>IV</t>
        </is>
      </c>
      <c r="E4515" t="inlineStr">
        <is>
          <t>Stage 3</t>
        </is>
      </c>
      <c r="F4515" t="inlineStr">
        <is>
          <t>N/A</t>
        </is>
      </c>
      <c r="G4515" s="26">
        <v>29320331</v>
      </c>
      <c r="H4515" s="26">
        <v>16126182</v>
      </c>
      <c r="I4515" s="26">
        <v>0</v>
      </c>
      <c r="J4515" s="26">
        <v>212</v>
      </c>
      <c r="K4515" t="inlineStr">
        <is>
          <t>Oui</t>
        </is>
      </c>
      <c r="L4515">
        <f>SUBTOTAL(103,A4515)</f>
        <v>1</v>
      </c>
    </row>
    <row r="4516">
      <c r="A4516" t="inlineStr">
        <is>
          <t>SOCIETE C2207</t>
        </is>
      </c>
      <c r="B4516" t="inlineStr">
        <is>
          <t>C2207</t>
        </is>
      </c>
      <c r="C4516" t="inlineStr">
        <is>
          <t>CORPORATE BANKING</t>
        </is>
      </c>
      <c r="D4516" t="inlineStr">
        <is>
          <t>IV</t>
        </is>
      </c>
      <c r="E4516" t="inlineStr">
        <is>
          <t>Stage 3</t>
        </is>
      </c>
      <c r="F4516" t="inlineStr">
        <is>
          <t>N/A</t>
        </is>
      </c>
      <c r="G4516" s="26">
        <v>174366947</v>
      </c>
      <c r="H4516" s="26">
        <v>95901821</v>
      </c>
      <c r="I4516" s="26">
        <v>0</v>
      </c>
      <c r="J4516" s="26">
        <v>110</v>
      </c>
      <c r="K4516" t="inlineStr">
        <is>
          <t>Oui</t>
        </is>
      </c>
      <c r="L4516">
        <f>SUBTOTAL(103,A4516)</f>
        <v>1</v>
      </c>
    </row>
    <row r="4517">
      <c r="A4517" t="inlineStr">
        <is>
          <t>SOCIETE C2307</t>
        </is>
      </c>
      <c r="B4517" t="inlineStr">
        <is>
          <t>C2307</t>
        </is>
      </c>
      <c r="C4517" t="inlineStr">
        <is>
          <t>COMMERCIAL BANKING</t>
        </is>
      </c>
      <c r="D4517" t="inlineStr">
        <is>
          <t>I</t>
        </is>
      </c>
      <c r="E4517" t="inlineStr">
        <is>
          <t>Stage 1</t>
        </is>
      </c>
      <c r="F4517" t="inlineStr">
        <is>
          <t>N/A</t>
        </is>
      </c>
      <c r="G4517" s="26">
        <v>2647419746</v>
      </c>
      <c r="H4517" s="26">
        <v>26474197</v>
      </c>
      <c r="I4517" s="26">
        <v>0</v>
      </c>
      <c r="J4517" s="26">
        <v>285</v>
      </c>
      <c r="K4517" t="inlineStr">
        <is>
          <t>Non</t>
        </is>
      </c>
      <c r="L4517">
        <f>SUBTOTAL(103,A4517)</f>
        <v>1</v>
      </c>
    </row>
    <row r="4518">
      <c r="A4518" t="inlineStr">
        <is>
          <t>SOCIETE C1556</t>
        </is>
      </c>
      <c r="B4518" t="inlineStr">
        <is>
          <t>C1556</t>
        </is>
      </c>
      <c r="C4518" t="inlineStr">
        <is>
          <t>CORPORATE BANKING</t>
        </is>
      </c>
      <c r="D4518" t="inlineStr">
        <is>
          <t>III</t>
        </is>
      </c>
      <c r="E4518" t="inlineStr">
        <is>
          <t>Stage 3</t>
        </is>
      </c>
      <c r="F4518" t="inlineStr">
        <is>
          <t>N/A</t>
        </is>
      </c>
      <c r="G4518" s="26">
        <v>1266134926</v>
      </c>
      <c r="H4518" s="26">
        <v>696374210</v>
      </c>
      <c r="I4518" s="26">
        <v>33470559</v>
      </c>
      <c r="J4518" s="26">
        <v>155</v>
      </c>
      <c r="K4518" t="inlineStr">
        <is>
          <t>Oui</t>
        </is>
      </c>
      <c r="L4518">
        <f>SUBTOTAL(103,A4518)</f>
        <v>1</v>
      </c>
    </row>
    <row r="4519">
      <c r="A4519" t="inlineStr">
        <is>
          <t>SOCIETE C1780</t>
        </is>
      </c>
      <c r="B4519" t="inlineStr">
        <is>
          <t>C1780</t>
        </is>
      </c>
      <c r="C4519" t="inlineStr">
        <is>
          <t>COMMERCIAL BANKING</t>
        </is>
      </c>
      <c r="D4519" t="inlineStr">
        <is>
          <t>IA</t>
        </is>
      </c>
      <c r="E4519" t="inlineStr">
        <is>
          <t>Stage 2</t>
        </is>
      </c>
      <c r="F4519" t="inlineStr">
        <is>
          <t>N/A</t>
        </is>
      </c>
      <c r="G4519" s="26">
        <v>438963688</v>
      </c>
      <c r="H4519" s="26">
        <v>26337821</v>
      </c>
      <c r="I4519" s="26">
        <v>43908737</v>
      </c>
      <c r="J4519" s="26">
        <v>194</v>
      </c>
      <c r="K4519" t="inlineStr">
        <is>
          <t>Non</t>
        </is>
      </c>
      <c r="L4519">
        <f>SUBTOTAL(103,A4519)</f>
        <v>1</v>
      </c>
    </row>
    <row r="4520">
      <c r="A4520" t="inlineStr">
        <is>
          <t>SOCIETE C1326</t>
        </is>
      </c>
      <c r="B4520" t="inlineStr">
        <is>
          <t>C1326</t>
        </is>
      </c>
      <c r="C4520" t="inlineStr">
        <is>
          <t>CORPORATE BANKING</t>
        </is>
      </c>
      <c r="D4520" t="inlineStr">
        <is>
          <t>II</t>
        </is>
      </c>
      <c r="E4520" t="inlineStr">
        <is>
          <t>Stage 2</t>
        </is>
      </c>
      <c r="F4520" t="inlineStr">
        <is>
          <t>N/A</t>
        </is>
      </c>
      <c r="G4520" s="26">
        <v>63617911</v>
      </c>
      <c r="H4520" s="26">
        <v>3817075</v>
      </c>
      <c r="I4520" s="26">
        <v>0</v>
      </c>
      <c r="J4520" s="26">
        <v>169</v>
      </c>
      <c r="K4520" t="inlineStr">
        <is>
          <t>Non</t>
        </is>
      </c>
      <c r="L4520">
        <f>SUBTOTAL(103,A4520)</f>
        <v>1</v>
      </c>
    </row>
    <row r="4521">
      <c r="A4521" t="inlineStr">
        <is>
          <t>SOCIETE C807</t>
        </is>
      </c>
      <c r="B4521" t="inlineStr">
        <is>
          <t>C807</t>
        </is>
      </c>
      <c r="C4521" t="inlineStr">
        <is>
          <t>CORPORATE BANKING</t>
        </is>
      </c>
      <c r="D4521" t="inlineStr">
        <is>
          <t>IA</t>
        </is>
      </c>
      <c r="E4521" t="inlineStr">
        <is>
          <t>Stage 2</t>
        </is>
      </c>
      <c r="F4521" t="inlineStr">
        <is>
          <t>N/A</t>
        </is>
      </c>
      <c r="G4521" s="26">
        <v>1260031801</v>
      </c>
      <c r="H4521" s="26">
        <v>75601908</v>
      </c>
      <c r="I4521" s="26">
        <v>0</v>
      </c>
      <c r="J4521" s="26">
        <v>178</v>
      </c>
      <c r="K4521" t="inlineStr">
        <is>
          <t>Non</t>
        </is>
      </c>
      <c r="L4521">
        <f>SUBTOTAL(103,A4521)</f>
        <v>1</v>
      </c>
    </row>
    <row r="4522">
      <c r="A4522" t="inlineStr">
        <is>
          <t>SOCIETE C193</t>
        </is>
      </c>
      <c r="B4522" t="inlineStr">
        <is>
          <t>C193</t>
        </is>
      </c>
      <c r="C4522" t="inlineStr">
        <is>
          <t>CORPORATE BANKING</t>
        </is>
      </c>
      <c r="D4522" t="inlineStr">
        <is>
          <t>IA</t>
        </is>
      </c>
      <c r="E4522" t="inlineStr">
        <is>
          <t>Stage 2</t>
        </is>
      </c>
      <c r="F4522" t="inlineStr">
        <is>
          <t>N/A</t>
        </is>
      </c>
      <c r="G4522" s="26">
        <v>1406688874</v>
      </c>
      <c r="H4522" s="26">
        <v>84401332</v>
      </c>
      <c r="I4522" s="26">
        <v>0</v>
      </c>
      <c r="J4522" s="26">
        <v>283</v>
      </c>
      <c r="K4522" t="inlineStr">
        <is>
          <t>Non</t>
        </is>
      </c>
      <c r="L4522">
        <f>SUBTOTAL(103,A4522)</f>
        <v>1</v>
      </c>
    </row>
    <row r="4523">
      <c r="A4523" t="inlineStr">
        <is>
          <t>SOCIETE C824</t>
        </is>
      </c>
      <c r="B4523" t="inlineStr">
        <is>
          <t>C824</t>
        </is>
      </c>
      <c r="C4523" t="inlineStr">
        <is>
          <t>PUBLIC SECTOR</t>
        </is>
      </c>
      <c r="D4523" t="inlineStr">
        <is>
          <t>IA</t>
        </is>
      </c>
      <c r="E4523" t="inlineStr">
        <is>
          <t>Stage 2</t>
        </is>
      </c>
      <c r="F4523" t="inlineStr">
        <is>
          <t>N/A</t>
        </is>
      </c>
      <c r="G4523" s="26">
        <v>1143663</v>
      </c>
      <c r="H4523" s="26">
        <v>68620</v>
      </c>
      <c r="I4523" s="26">
        <v>11560</v>
      </c>
      <c r="J4523" s="26">
        <v>105</v>
      </c>
      <c r="K4523" t="inlineStr">
        <is>
          <t>Non</t>
        </is>
      </c>
      <c r="L4523">
        <f>SUBTOTAL(103,A4523)</f>
        <v>1</v>
      </c>
    </row>
    <row r="4524">
      <c r="A4524" t="inlineStr">
        <is>
          <t>SOCIETE C309</t>
        </is>
      </c>
      <c r="B4524" t="inlineStr">
        <is>
          <t>C309</t>
        </is>
      </c>
      <c r="C4524" t="inlineStr">
        <is>
          <t>CORPORATE BANKING</t>
        </is>
      </c>
      <c r="D4524" t="inlineStr">
        <is>
          <t>I</t>
        </is>
      </c>
      <c r="E4524" t="inlineStr">
        <is>
          <t>Stage 1</t>
        </is>
      </c>
      <c r="F4524" t="inlineStr">
        <is>
          <t>N/A</t>
        </is>
      </c>
      <c r="G4524" s="26">
        <v>3090825</v>
      </c>
      <c r="H4524" s="26">
        <v>30908</v>
      </c>
      <c r="I4524" s="26">
        <v>0</v>
      </c>
      <c r="J4524" s="26">
        <v>257</v>
      </c>
      <c r="K4524" t="inlineStr">
        <is>
          <t>Non</t>
        </is>
      </c>
      <c r="L4524">
        <f>SUBTOTAL(103,A4524)</f>
        <v>1</v>
      </c>
    </row>
    <row r="4525">
      <c r="A4525" t="inlineStr">
        <is>
          <t>SOCIETE C1072</t>
        </is>
      </c>
      <c r="B4525" t="inlineStr">
        <is>
          <t>C1072</t>
        </is>
      </c>
      <c r="C4525" t="inlineStr">
        <is>
          <t>CORPORATE BANKING</t>
        </is>
      </c>
      <c r="D4525" t="inlineStr">
        <is>
          <t>IA</t>
        </is>
      </c>
      <c r="E4525" t="inlineStr">
        <is>
          <t>Stage 2</t>
        </is>
      </c>
      <c r="F4525" t="inlineStr">
        <is>
          <t>N/A</t>
        </is>
      </c>
      <c r="G4525" s="26">
        <v>1427580017</v>
      </c>
      <c r="H4525" s="26">
        <v>85654801</v>
      </c>
      <c r="I4525" s="26">
        <v>0</v>
      </c>
      <c r="J4525" s="26">
        <v>55</v>
      </c>
      <c r="K4525" t="inlineStr">
        <is>
          <t>Non</t>
        </is>
      </c>
      <c r="L4525">
        <f>SUBTOTAL(103,A4525)</f>
        <v>1</v>
      </c>
    </row>
    <row r="4526">
      <c r="A4526" t="inlineStr">
        <is>
          <t>SOCIETE C147</t>
        </is>
      </c>
      <c r="B4526" t="inlineStr">
        <is>
          <t>C147</t>
        </is>
      </c>
      <c r="C4526" t="inlineStr">
        <is>
          <t>CORPORATE BANKING</t>
        </is>
      </c>
      <c r="D4526" t="inlineStr">
        <is>
          <t>V</t>
        </is>
      </c>
      <c r="E4526" t="inlineStr">
        <is>
          <t>Stage 3</t>
        </is>
      </c>
      <c r="F4526" t="inlineStr">
        <is>
          <t>N/A</t>
        </is>
      </c>
      <c r="G4526" s="26">
        <v>46591972</v>
      </c>
      <c r="H4526" s="26">
        <v>25625585</v>
      </c>
      <c r="I4526" s="26">
        <v>0</v>
      </c>
      <c r="J4526" s="26">
        <v>0</v>
      </c>
      <c r="K4526" t="inlineStr">
        <is>
          <t>Oui</t>
        </is>
      </c>
      <c r="L4526">
        <f>SUBTOTAL(103,A4526)</f>
        <v>1</v>
      </c>
    </row>
    <row r="4527">
      <c r="A4527" t="inlineStr">
        <is>
          <t>SOCIETE C1927</t>
        </is>
      </c>
      <c r="B4527" t="inlineStr">
        <is>
          <t>C1927</t>
        </is>
      </c>
      <c r="C4527" t="inlineStr">
        <is>
          <t>PUBLIC SECTOR</t>
        </is>
      </c>
      <c r="D4527" t="inlineStr">
        <is>
          <t>I</t>
        </is>
      </c>
      <c r="E4527" t="inlineStr">
        <is>
          <t>Stage 1</t>
        </is>
      </c>
      <c r="F4527" t="inlineStr">
        <is>
          <t>N/A</t>
        </is>
      </c>
      <c r="G4527" s="26">
        <v>804729384</v>
      </c>
      <c r="H4527" s="26">
        <v>8047294</v>
      </c>
      <c r="I4527" s="26">
        <v>0</v>
      </c>
      <c r="J4527" s="26">
        <v>66</v>
      </c>
      <c r="K4527" t="inlineStr">
        <is>
          <t>Non</t>
        </is>
      </c>
      <c r="L4527">
        <f>SUBTOTAL(103,A4527)</f>
        <v>1</v>
      </c>
    </row>
    <row r="4528">
      <c r="A4528" t="inlineStr">
        <is>
          <t>SOCIETE C2206</t>
        </is>
      </c>
      <c r="B4528" t="inlineStr">
        <is>
          <t>C2206</t>
        </is>
      </c>
      <c r="C4528" t="inlineStr">
        <is>
          <t>CORPORATE BANKING</t>
        </is>
      </c>
      <c r="D4528" t="inlineStr">
        <is>
          <t>IA</t>
        </is>
      </c>
      <c r="E4528" t="inlineStr">
        <is>
          <t>Stage 2</t>
        </is>
      </c>
      <c r="F4528" t="inlineStr">
        <is>
          <t>N/A</t>
        </is>
      </c>
      <c r="G4528" s="26">
        <v>1007853030</v>
      </c>
      <c r="H4528" s="26">
        <v>60471182</v>
      </c>
      <c r="I4528" s="26">
        <v>0</v>
      </c>
      <c r="J4528" s="26">
        <v>274</v>
      </c>
      <c r="K4528" t="inlineStr">
        <is>
          <t>Non</t>
        </is>
      </c>
      <c r="L4528">
        <f>SUBTOTAL(103,A4528)</f>
        <v>1</v>
      </c>
    </row>
    <row r="4529">
      <c r="A4529" t="inlineStr">
        <is>
          <t>SOCIETE C1091</t>
        </is>
      </c>
      <c r="B4529" t="inlineStr">
        <is>
          <t>C1091</t>
        </is>
      </c>
      <c r="C4529" t="inlineStr">
        <is>
          <t>CORPORATE BANKING</t>
        </is>
      </c>
      <c r="D4529" t="inlineStr">
        <is>
          <t>IV</t>
        </is>
      </c>
      <c r="E4529" t="inlineStr">
        <is>
          <t>Stage 3</t>
        </is>
      </c>
      <c r="F4529" t="inlineStr">
        <is>
          <t>N/A</t>
        </is>
      </c>
      <c r="G4529" s="26">
        <v>2717734850</v>
      </c>
      <c r="H4529" s="26">
        <v>1494754168</v>
      </c>
      <c r="I4529" s="26">
        <v>0</v>
      </c>
      <c r="J4529" s="26">
        <v>49</v>
      </c>
      <c r="K4529" t="inlineStr">
        <is>
          <t>Oui</t>
        </is>
      </c>
      <c r="L4529">
        <f>SUBTOTAL(103,A4529)</f>
        <v>1</v>
      </c>
    </row>
    <row r="4530">
      <c r="A4530" t="inlineStr">
        <is>
          <t>SOCIETE C768</t>
        </is>
      </c>
      <c r="B4530" t="inlineStr">
        <is>
          <t>C768</t>
        </is>
      </c>
      <c r="C4530" t="inlineStr">
        <is>
          <t>COMMERCIAL BANKING</t>
        </is>
      </c>
      <c r="D4530" t="inlineStr">
        <is>
          <t>I</t>
        </is>
      </c>
      <c r="E4530" t="inlineStr">
        <is>
          <t>Stage 1</t>
        </is>
      </c>
      <c r="F4530" t="inlineStr">
        <is>
          <t>N/A</t>
        </is>
      </c>
      <c r="G4530" s="26">
        <v>1554789150</v>
      </c>
      <c r="H4530" s="26">
        <v>15547891</v>
      </c>
      <c r="I4530" s="26">
        <v>0</v>
      </c>
      <c r="J4530" s="26">
        <v>160</v>
      </c>
      <c r="K4530" t="inlineStr">
        <is>
          <t>Non</t>
        </is>
      </c>
      <c r="L4530">
        <f>SUBTOTAL(103,A4530)</f>
        <v>1</v>
      </c>
    </row>
    <row r="4531">
      <c r="A4531" t="inlineStr">
        <is>
          <t>SOCIETE C2352</t>
        </is>
      </c>
      <c r="B4531" t="inlineStr">
        <is>
          <t>C2352</t>
        </is>
      </c>
      <c r="C4531" t="inlineStr">
        <is>
          <t>CORPORATE BANKING</t>
        </is>
      </c>
      <c r="D4531" t="inlineStr">
        <is>
          <t>I</t>
        </is>
      </c>
      <c r="E4531" t="inlineStr">
        <is>
          <t>Stage 1</t>
        </is>
      </c>
      <c r="F4531" t="inlineStr">
        <is>
          <t>N/A</t>
        </is>
      </c>
      <c r="G4531" s="26">
        <v>1799616932</v>
      </c>
      <c r="H4531" s="26">
        <v>17996169</v>
      </c>
      <c r="I4531" s="26">
        <v>0</v>
      </c>
      <c r="J4531" s="26">
        <v>291</v>
      </c>
      <c r="K4531" t="inlineStr">
        <is>
          <t>Non</t>
        </is>
      </c>
      <c r="L4531">
        <f>SUBTOTAL(103,A4531)</f>
        <v>1</v>
      </c>
    </row>
    <row r="4532">
      <c r="A4532" t="inlineStr">
        <is>
          <t>SOCIETE C273</t>
        </is>
      </c>
      <c r="B4532" t="inlineStr">
        <is>
          <t>C273</t>
        </is>
      </c>
      <c r="C4532" t="inlineStr">
        <is>
          <t>CORPORATE BANKING</t>
        </is>
      </c>
      <c r="D4532" t="inlineStr">
        <is>
          <t>IV</t>
        </is>
      </c>
      <c r="E4532" t="inlineStr">
        <is>
          <t>Stage 3</t>
        </is>
      </c>
      <c r="F4532" t="inlineStr">
        <is>
          <t>N/A</t>
        </is>
      </c>
      <c r="G4532" s="26">
        <v>177201844</v>
      </c>
      <c r="H4532" s="26">
        <v>97461014</v>
      </c>
      <c r="I4532" s="26">
        <v>18253609</v>
      </c>
      <c r="J4532" s="26">
        <v>174</v>
      </c>
      <c r="K4532" t="inlineStr">
        <is>
          <t>Oui</t>
        </is>
      </c>
      <c r="L4532">
        <f>SUBTOTAL(103,A4532)</f>
        <v>1</v>
      </c>
    </row>
    <row r="4533">
      <c r="A4533" t="inlineStr">
        <is>
          <t>SOCIETE C252</t>
        </is>
      </c>
      <c r="B4533" t="inlineStr">
        <is>
          <t>C252</t>
        </is>
      </c>
      <c r="C4533" t="inlineStr">
        <is>
          <t>CORPORATE BANKING</t>
        </is>
      </c>
      <c r="D4533" t="inlineStr">
        <is>
          <t>I</t>
        </is>
      </c>
      <c r="E4533" t="inlineStr">
        <is>
          <t>Stage 1</t>
        </is>
      </c>
      <c r="F4533" t="inlineStr">
        <is>
          <t>N/A</t>
        </is>
      </c>
      <c r="G4533" s="26">
        <v>148711450</v>
      </c>
      <c r="H4533" s="26">
        <v>1487114</v>
      </c>
      <c r="I4533" s="26">
        <v>25028841</v>
      </c>
      <c r="J4533" s="26">
        <v>154</v>
      </c>
      <c r="K4533" t="inlineStr">
        <is>
          <t>Non</t>
        </is>
      </c>
      <c r="L4533">
        <f>SUBTOTAL(103,A4533)</f>
        <v>1</v>
      </c>
    </row>
    <row r="4534">
      <c r="A4534" t="inlineStr">
        <is>
          <t>SOCIETE C2130</t>
        </is>
      </c>
      <c r="B4534" t="inlineStr">
        <is>
          <t>C2130</t>
        </is>
      </c>
      <c r="C4534" t="inlineStr">
        <is>
          <t>CORPORATE BANKING</t>
        </is>
      </c>
      <c r="D4534" t="inlineStr">
        <is>
          <t>I</t>
        </is>
      </c>
      <c r="E4534" t="inlineStr">
        <is>
          <t>Stage 1</t>
        </is>
      </c>
      <c r="F4534" t="inlineStr">
        <is>
          <t>N/A</t>
        </is>
      </c>
      <c r="G4534" s="26">
        <v>1712690256</v>
      </c>
      <c r="H4534" s="26">
        <v>17126903</v>
      </c>
      <c r="I4534" s="26">
        <v>0</v>
      </c>
      <c r="J4534" s="26">
        <v>8</v>
      </c>
      <c r="K4534" t="inlineStr">
        <is>
          <t>Non</t>
        </is>
      </c>
      <c r="L4534">
        <f>SUBTOTAL(103,A4534)</f>
        <v>1</v>
      </c>
    </row>
    <row r="4535">
      <c r="A4535" t="inlineStr">
        <is>
          <t>SOCIETE C1795</t>
        </is>
      </c>
      <c r="B4535" t="inlineStr">
        <is>
          <t>C1795</t>
        </is>
      </c>
      <c r="C4535" t="inlineStr">
        <is>
          <t>SME</t>
        </is>
      </c>
      <c r="D4535" t="inlineStr">
        <is>
          <t>IV</t>
        </is>
      </c>
      <c r="E4535" t="inlineStr">
        <is>
          <t>Stage 3</t>
        </is>
      </c>
      <c r="F4535" t="inlineStr">
        <is>
          <t>N/A</t>
        </is>
      </c>
      <c r="G4535" s="26">
        <v>692849829</v>
      </c>
      <c r="H4535" s="26">
        <v>381067406</v>
      </c>
      <c r="I4535" s="26">
        <v>0</v>
      </c>
      <c r="J4535" s="26">
        <v>1</v>
      </c>
      <c r="K4535" t="inlineStr">
        <is>
          <t>Oui</t>
        </is>
      </c>
      <c r="L4535">
        <f>SUBTOTAL(103,A4535)</f>
        <v>1</v>
      </c>
    </row>
    <row r="4536">
      <c r="A4536" t="inlineStr">
        <is>
          <t>SOCIETE C1580</t>
        </is>
      </c>
      <c r="B4536" t="inlineStr">
        <is>
          <t>C1580</t>
        </is>
      </c>
      <c r="C4536" t="inlineStr">
        <is>
          <t>PUBLIC SECTOR</t>
        </is>
      </c>
      <c r="D4536" t="inlineStr">
        <is>
          <t>I</t>
        </is>
      </c>
      <c r="E4536" t="inlineStr">
        <is>
          <t>Stage 1</t>
        </is>
      </c>
      <c r="F4536" t="inlineStr">
        <is>
          <t>N/A</t>
        </is>
      </c>
      <c r="G4536" s="26">
        <v>2366279493</v>
      </c>
      <c r="H4536" s="26">
        <v>23662795</v>
      </c>
      <c r="I4536" s="26">
        <v>0</v>
      </c>
      <c r="J4536" s="26">
        <v>261</v>
      </c>
      <c r="K4536" t="inlineStr">
        <is>
          <t>Non</t>
        </is>
      </c>
      <c r="L4536">
        <f>SUBTOTAL(103,A4536)</f>
        <v>1</v>
      </c>
    </row>
    <row r="4537">
      <c r="A4537" t="inlineStr">
        <is>
          <t>SOCIETE C679</t>
        </is>
      </c>
      <c r="B4537" t="inlineStr">
        <is>
          <t>C679</t>
        </is>
      </c>
      <c r="C4537" t="inlineStr">
        <is>
          <t>PUBLIC SECTOR</t>
        </is>
      </c>
      <c r="D4537" t="inlineStr">
        <is>
          <t>IA</t>
        </is>
      </c>
      <c r="E4537" t="inlineStr">
        <is>
          <t>Stage 2</t>
        </is>
      </c>
      <c r="F4537" t="inlineStr">
        <is>
          <t>N/A</t>
        </is>
      </c>
      <c r="G4537" s="26">
        <v>7749374</v>
      </c>
      <c r="H4537" s="26">
        <v>464962</v>
      </c>
      <c r="I4537" s="26">
        <v>0</v>
      </c>
      <c r="J4537" s="26">
        <v>29</v>
      </c>
      <c r="K4537" t="inlineStr">
        <is>
          <t>Non</t>
        </is>
      </c>
      <c r="L4537">
        <f>SUBTOTAL(103,A4537)</f>
        <v>1</v>
      </c>
    </row>
    <row r="4538">
      <c r="A4538" t="inlineStr">
        <is>
          <t>SOCIETE C2084</t>
        </is>
      </c>
      <c r="B4538" t="inlineStr">
        <is>
          <t>C2084</t>
        </is>
      </c>
      <c r="C4538" t="inlineStr">
        <is>
          <t>CORPORATE BANKING</t>
        </is>
      </c>
      <c r="D4538" t="inlineStr">
        <is>
          <t>IV</t>
        </is>
      </c>
      <c r="E4538" t="inlineStr">
        <is>
          <t>Stage 3</t>
        </is>
      </c>
      <c r="F4538" t="inlineStr">
        <is>
          <t>N/A</t>
        </is>
      </c>
      <c r="G4538" s="26">
        <v>1684475098</v>
      </c>
      <c r="H4538" s="26">
        <v>926461304</v>
      </c>
      <c r="I4538" s="26">
        <v>0</v>
      </c>
      <c r="J4538" s="26">
        <v>133</v>
      </c>
      <c r="K4538" t="inlineStr">
        <is>
          <t>Oui</t>
        </is>
      </c>
      <c r="L4538">
        <f>SUBTOTAL(103,A4538)</f>
        <v>1</v>
      </c>
    </row>
    <row r="4539">
      <c r="A4539" t="inlineStr">
        <is>
          <t>SOCIETE C1226</t>
        </is>
      </c>
      <c r="B4539" t="inlineStr">
        <is>
          <t>C1226</t>
        </is>
      </c>
      <c r="C4539" t="inlineStr">
        <is>
          <t>COMMERCIAL BANKING</t>
        </is>
      </c>
      <c r="D4539" t="inlineStr">
        <is>
          <t>II</t>
        </is>
      </c>
      <c r="E4539" t="inlineStr">
        <is>
          <t>Stage 2</t>
        </is>
      </c>
      <c r="F4539" t="inlineStr">
        <is>
          <t>N/A</t>
        </is>
      </c>
      <c r="G4539" s="26">
        <v>653693932</v>
      </c>
      <c r="H4539" s="26">
        <v>39221636</v>
      </c>
      <c r="I4539" s="26">
        <v>0</v>
      </c>
      <c r="J4539" s="26">
        <v>63</v>
      </c>
      <c r="K4539" t="inlineStr">
        <is>
          <t>Non</t>
        </is>
      </c>
      <c r="L4539">
        <f>SUBTOTAL(103,A4539)</f>
        <v>1</v>
      </c>
    </row>
    <row r="4540">
      <c r="A4540" t="inlineStr">
        <is>
          <t>SOCIETE C1444</t>
        </is>
      </c>
      <c r="B4540" t="inlineStr">
        <is>
          <t>C1444</t>
        </is>
      </c>
      <c r="C4540" t="inlineStr">
        <is>
          <t>COMMERCIAL BANKING</t>
        </is>
      </c>
      <c r="D4540" t="inlineStr">
        <is>
          <t>IA</t>
        </is>
      </c>
      <c r="E4540" t="inlineStr">
        <is>
          <t>Stage 2</t>
        </is>
      </c>
      <c r="F4540" t="inlineStr">
        <is>
          <t>N/A</t>
        </is>
      </c>
      <c r="G4540" s="26">
        <v>1300455543</v>
      </c>
      <c r="H4540" s="26">
        <v>78027333</v>
      </c>
      <c r="I4540" s="26">
        <v>0</v>
      </c>
      <c r="J4540" s="26">
        <v>213</v>
      </c>
      <c r="K4540" t="inlineStr">
        <is>
          <t>Non</t>
        </is>
      </c>
      <c r="L4540">
        <f>SUBTOTAL(103,A4540)</f>
        <v>1</v>
      </c>
    </row>
    <row r="4541">
      <c r="A4541" t="inlineStr">
        <is>
          <t>SOCIETE C720</t>
        </is>
      </c>
      <c r="B4541" t="inlineStr">
        <is>
          <t>C720</t>
        </is>
      </c>
      <c r="C4541" t="inlineStr">
        <is>
          <t>CORPORATE BANKING</t>
        </is>
      </c>
      <c r="D4541" t="inlineStr">
        <is>
          <t>II</t>
        </is>
      </c>
      <c r="E4541" t="inlineStr">
        <is>
          <t>Stage 2</t>
        </is>
      </c>
      <c r="F4541" t="inlineStr">
        <is>
          <t>N/A</t>
        </is>
      </c>
      <c r="G4541" s="26">
        <v>2060851124</v>
      </c>
      <c r="H4541" s="26">
        <v>123651067</v>
      </c>
      <c r="I4541" s="26">
        <v>0</v>
      </c>
      <c r="J4541" s="26">
        <v>49</v>
      </c>
      <c r="K4541" t="inlineStr">
        <is>
          <t>Non</t>
        </is>
      </c>
      <c r="L4541">
        <f>SUBTOTAL(103,A4541)</f>
        <v>1</v>
      </c>
    </row>
    <row r="4542">
      <c r="A4542" t="inlineStr">
        <is>
          <t>SOCIETE C405</t>
        </is>
      </c>
      <c r="B4542" t="inlineStr">
        <is>
          <t>C405</t>
        </is>
      </c>
      <c r="C4542" t="inlineStr">
        <is>
          <t>CORPORATE BANKING</t>
        </is>
      </c>
      <c r="D4542" t="inlineStr">
        <is>
          <t>I</t>
        </is>
      </c>
      <c r="E4542" t="inlineStr">
        <is>
          <t>Stage 1</t>
        </is>
      </c>
      <c r="F4542" t="inlineStr">
        <is>
          <t>N/A</t>
        </is>
      </c>
      <c r="G4542" s="26">
        <v>790436863</v>
      </c>
      <c r="H4542" s="26">
        <v>7904369</v>
      </c>
      <c r="I4542" s="26">
        <v>77253487</v>
      </c>
      <c r="J4542" s="26">
        <v>14</v>
      </c>
      <c r="K4542" t="inlineStr">
        <is>
          <t>Non</t>
        </is>
      </c>
      <c r="L4542">
        <f>SUBTOTAL(103,A4542)</f>
        <v>1</v>
      </c>
    </row>
    <row r="4543">
      <c r="A4543" t="inlineStr">
        <is>
          <t>SOCIETE C1300</t>
        </is>
      </c>
      <c r="B4543" t="inlineStr">
        <is>
          <t>C1300</t>
        </is>
      </c>
      <c r="C4543" t="inlineStr">
        <is>
          <t>CORPORATE BANKING</t>
        </is>
      </c>
      <c r="D4543" t="inlineStr">
        <is>
          <t>V</t>
        </is>
      </c>
      <c r="E4543" t="inlineStr">
        <is>
          <t>Stage 3</t>
        </is>
      </c>
      <c r="F4543" t="inlineStr">
        <is>
          <t>N/A</t>
        </is>
      </c>
      <c r="G4543" s="26">
        <v>219654554</v>
      </c>
      <c r="H4543" s="26">
        <v>120810005</v>
      </c>
      <c r="I4543" s="26">
        <v>0</v>
      </c>
      <c r="J4543" s="26">
        <v>3</v>
      </c>
      <c r="K4543" t="inlineStr">
        <is>
          <t>Oui</t>
        </is>
      </c>
      <c r="L4543">
        <f>SUBTOTAL(103,A4543)</f>
        <v>1</v>
      </c>
    </row>
    <row r="4544">
      <c r="A4544" t="inlineStr">
        <is>
          <t>SOCIETE C1994</t>
        </is>
      </c>
      <c r="B4544" t="inlineStr">
        <is>
          <t>C1994</t>
        </is>
      </c>
      <c r="C4544" t="inlineStr">
        <is>
          <t>CORPORATE BANKING</t>
        </is>
      </c>
      <c r="D4544" t="inlineStr">
        <is>
          <t>I</t>
        </is>
      </c>
      <c r="E4544" t="inlineStr">
        <is>
          <t>Stage 1</t>
        </is>
      </c>
      <c r="F4544" t="inlineStr">
        <is>
          <t>N/A</t>
        </is>
      </c>
      <c r="G4544" s="26">
        <v>2019343</v>
      </c>
      <c r="H4544" s="26">
        <v>20193</v>
      </c>
      <c r="I4544" s="26">
        <v>0</v>
      </c>
      <c r="J4544" s="26">
        <v>23</v>
      </c>
      <c r="K4544" t="inlineStr">
        <is>
          <t>Non</t>
        </is>
      </c>
      <c r="L4544">
        <f>SUBTOTAL(103,A4544)</f>
        <v>1</v>
      </c>
    </row>
    <row r="4545">
      <c r="A4545" t="inlineStr">
        <is>
          <t>SOCIETE C1023</t>
        </is>
      </c>
      <c r="B4545" t="inlineStr">
        <is>
          <t>C1023</t>
        </is>
      </c>
      <c r="C4545" t="inlineStr">
        <is>
          <t>PUBLIC SECTOR</t>
        </is>
      </c>
      <c r="D4545" t="inlineStr">
        <is>
          <t>I</t>
        </is>
      </c>
      <c r="E4545" t="inlineStr">
        <is>
          <t>Stage 1</t>
        </is>
      </c>
      <c r="F4545" t="inlineStr">
        <is>
          <t>N/A</t>
        </is>
      </c>
      <c r="G4545" s="26">
        <v>2233029002</v>
      </c>
      <c r="H4545" s="26">
        <v>22330290</v>
      </c>
      <c r="I4545" s="26">
        <v>0</v>
      </c>
      <c r="J4545" s="26">
        <v>84</v>
      </c>
      <c r="K4545" t="inlineStr">
        <is>
          <t>Non</t>
        </is>
      </c>
      <c r="L4545">
        <f>SUBTOTAL(103,A4545)</f>
        <v>1</v>
      </c>
    </row>
    <row r="4546">
      <c r="A4546" t="inlineStr">
        <is>
          <t>SOCIETE C0</t>
        </is>
      </c>
      <c r="B4546" t="inlineStr">
        <is>
          <t>C0</t>
        </is>
      </c>
      <c r="C4546" t="inlineStr">
        <is>
          <t>COMMERCIAL BANKING</t>
        </is>
      </c>
      <c r="D4546" t="inlineStr">
        <is>
          <t>IV</t>
        </is>
      </c>
      <c r="E4546" t="inlineStr">
        <is>
          <t>Stage 3</t>
        </is>
      </c>
      <c r="F4546" t="inlineStr">
        <is>
          <t>N/A</t>
        </is>
      </c>
      <c r="G4546" s="26">
        <v>15322212</v>
      </c>
      <c r="H4546" s="26">
        <v>8427217</v>
      </c>
      <c r="I4546" s="26">
        <v>0</v>
      </c>
      <c r="J4546" s="26">
        <v>169</v>
      </c>
      <c r="K4546" t="inlineStr">
        <is>
          <t>Oui</t>
        </is>
      </c>
      <c r="L4546">
        <f>SUBTOTAL(103,A4546)</f>
        <v>1</v>
      </c>
    </row>
    <row r="4547">
      <c r="A4547" t="inlineStr">
        <is>
          <t>SOCIETE C347</t>
        </is>
      </c>
      <c r="B4547" t="inlineStr">
        <is>
          <t>C347</t>
        </is>
      </c>
      <c r="C4547" t="inlineStr">
        <is>
          <t>CORPORATE BANKING</t>
        </is>
      </c>
      <c r="D4547" t="inlineStr">
        <is>
          <t>I</t>
        </is>
      </c>
      <c r="E4547" t="inlineStr">
        <is>
          <t>Stage 1</t>
        </is>
      </c>
      <c r="F4547" t="inlineStr">
        <is>
          <t>N/A</t>
        </is>
      </c>
      <c r="G4547" s="26">
        <v>46168798</v>
      </c>
      <c r="H4547" s="26">
        <v>461688</v>
      </c>
      <c r="I4547" s="26">
        <v>0</v>
      </c>
      <c r="J4547" s="26">
        <v>36</v>
      </c>
      <c r="K4547" t="inlineStr">
        <is>
          <t>Non</t>
        </is>
      </c>
      <c r="L4547">
        <f>SUBTOTAL(103,A4547)</f>
        <v>1</v>
      </c>
    </row>
    <row r="4548">
      <c r="A4548" t="inlineStr">
        <is>
          <t>SOCIETE C1265</t>
        </is>
      </c>
      <c r="B4548" t="inlineStr">
        <is>
          <t>C1265</t>
        </is>
      </c>
      <c r="C4548" t="inlineStr">
        <is>
          <t>COMMERCIAL BANKING</t>
        </is>
      </c>
      <c r="D4548" t="inlineStr">
        <is>
          <t>I</t>
        </is>
      </c>
      <c r="E4548" t="inlineStr">
        <is>
          <t>Stage 1</t>
        </is>
      </c>
      <c r="F4548" t="inlineStr">
        <is>
          <t>N/A</t>
        </is>
      </c>
      <c r="G4548" s="26">
        <v>1166822</v>
      </c>
      <c r="H4548" s="26">
        <v>11668</v>
      </c>
      <c r="I4548" s="26">
        <v>182615</v>
      </c>
      <c r="J4548" s="26">
        <v>355</v>
      </c>
      <c r="K4548" t="inlineStr">
        <is>
          <t>Non</t>
        </is>
      </c>
      <c r="L4548">
        <f>SUBTOTAL(103,A4548)</f>
        <v>1</v>
      </c>
    </row>
    <row r="4549">
      <c r="A4549" t="inlineStr">
        <is>
          <t>SOCIETE C1003</t>
        </is>
      </c>
      <c r="B4549" t="inlineStr">
        <is>
          <t>C1003</t>
        </is>
      </c>
      <c r="C4549" t="inlineStr">
        <is>
          <t>COMMERCIAL BANKING</t>
        </is>
      </c>
      <c r="D4549" t="inlineStr">
        <is>
          <t>IV</t>
        </is>
      </c>
      <c r="E4549" t="inlineStr">
        <is>
          <t>Stage 3</t>
        </is>
      </c>
      <c r="F4549" t="inlineStr">
        <is>
          <t>N/A</t>
        </is>
      </c>
      <c r="G4549" s="26">
        <v>28923304</v>
      </c>
      <c r="H4549" s="26">
        <v>15907817</v>
      </c>
      <c r="I4549" s="26">
        <v>0</v>
      </c>
      <c r="J4549" s="26">
        <v>77</v>
      </c>
      <c r="K4549" t="inlineStr">
        <is>
          <t>Oui</t>
        </is>
      </c>
      <c r="L4549">
        <f>SUBTOTAL(103,A4549)</f>
        <v>1</v>
      </c>
    </row>
    <row r="4550">
      <c r="A4550" t="inlineStr">
        <is>
          <t>SOCIETE C1231</t>
        </is>
      </c>
      <c r="B4550" t="inlineStr">
        <is>
          <t>C1231</t>
        </is>
      </c>
      <c r="C4550" t="inlineStr">
        <is>
          <t>CORPORATE BANKING</t>
        </is>
      </c>
      <c r="D4550" t="inlineStr">
        <is>
          <t>IA</t>
        </is>
      </c>
      <c r="E4550" t="inlineStr">
        <is>
          <t>Stage 2</t>
        </is>
      </c>
      <c r="F4550" t="inlineStr">
        <is>
          <t>N/A</t>
        </is>
      </c>
      <c r="G4550" s="26">
        <v>2063437981</v>
      </c>
      <c r="H4550" s="26">
        <v>123806279</v>
      </c>
      <c r="I4550" s="26">
        <v>0</v>
      </c>
      <c r="J4550" s="26">
        <v>212</v>
      </c>
      <c r="K4550" t="inlineStr">
        <is>
          <t>Non</t>
        </is>
      </c>
      <c r="L4550">
        <f>SUBTOTAL(103,A4550)</f>
        <v>1</v>
      </c>
    </row>
    <row r="4551">
      <c r="A4551" t="inlineStr">
        <is>
          <t>SOCIETE C73</t>
        </is>
      </c>
      <c r="B4551" t="inlineStr">
        <is>
          <t>C73</t>
        </is>
      </c>
      <c r="C4551" t="inlineStr">
        <is>
          <t>COMMERCIAL BANKING</t>
        </is>
      </c>
      <c r="D4551" t="inlineStr">
        <is>
          <t>III</t>
        </is>
      </c>
      <c r="E4551" t="inlineStr">
        <is>
          <t>Stage 3</t>
        </is>
      </c>
      <c r="F4551" t="inlineStr">
        <is>
          <t>N/A</t>
        </is>
      </c>
      <c r="G4551" s="26">
        <v>72203279</v>
      </c>
      <c r="H4551" s="26">
        <v>39711804</v>
      </c>
      <c r="I4551" s="26">
        <v>0</v>
      </c>
      <c r="J4551" s="26">
        <v>35</v>
      </c>
      <c r="K4551" t="inlineStr">
        <is>
          <t>Oui</t>
        </is>
      </c>
      <c r="L4551">
        <f>SUBTOTAL(103,A4551)</f>
        <v>1</v>
      </c>
    </row>
    <row r="4552">
      <c r="A4552" t="inlineStr">
        <is>
          <t>SOCIETE C1874</t>
        </is>
      </c>
      <c r="B4552" t="inlineStr">
        <is>
          <t>C1874</t>
        </is>
      </c>
      <c r="C4552" t="inlineStr">
        <is>
          <t>CORPORATE BANKING</t>
        </is>
      </c>
      <c r="D4552" t="inlineStr">
        <is>
          <t>IV</t>
        </is>
      </c>
      <c r="E4552" t="inlineStr">
        <is>
          <t>Stage 3</t>
        </is>
      </c>
      <c r="F4552" t="inlineStr">
        <is>
          <t>N/A</t>
        </is>
      </c>
      <c r="G4552" s="26">
        <v>998794537</v>
      </c>
      <c r="H4552" s="26">
        <v>549336996</v>
      </c>
      <c r="I4552" s="26">
        <v>0</v>
      </c>
      <c r="J4552" s="26">
        <v>204</v>
      </c>
      <c r="K4552" t="inlineStr">
        <is>
          <t>Oui</t>
        </is>
      </c>
      <c r="L4552">
        <f>SUBTOTAL(103,A4552)</f>
        <v>1</v>
      </c>
    </row>
    <row r="4553">
      <c r="A4553" t="inlineStr">
        <is>
          <t>SOCIETE C449</t>
        </is>
      </c>
      <c r="B4553" t="inlineStr">
        <is>
          <t>C449</t>
        </is>
      </c>
      <c r="C4553" t="inlineStr">
        <is>
          <t>CORPORATE BANKING</t>
        </is>
      </c>
      <c r="D4553" t="inlineStr">
        <is>
          <t>I</t>
        </is>
      </c>
      <c r="E4553" t="inlineStr">
        <is>
          <t>Stage 1</t>
        </is>
      </c>
      <c r="F4553" t="inlineStr">
        <is>
          <t>N/A</t>
        </is>
      </c>
      <c r="G4553" s="26">
        <v>2700600590</v>
      </c>
      <c r="H4553" s="26">
        <v>27006006</v>
      </c>
      <c r="I4553" s="26">
        <v>0</v>
      </c>
      <c r="J4553" s="26">
        <v>35</v>
      </c>
      <c r="K4553" t="inlineStr">
        <is>
          <t>Non</t>
        </is>
      </c>
      <c r="L4553">
        <f>SUBTOTAL(103,A4553)</f>
        <v>1</v>
      </c>
    </row>
    <row r="4554">
      <c r="A4554" t="inlineStr">
        <is>
          <t>SOCIETE C2479</t>
        </is>
      </c>
      <c r="B4554" t="inlineStr">
        <is>
          <t>C2479</t>
        </is>
      </c>
      <c r="C4554" t="inlineStr">
        <is>
          <t>CORPORATE BANKING</t>
        </is>
      </c>
      <c r="D4554" t="inlineStr">
        <is>
          <t>I</t>
        </is>
      </c>
      <c r="E4554" t="inlineStr">
        <is>
          <t>Stage 1</t>
        </is>
      </c>
      <c r="F4554" t="inlineStr">
        <is>
          <t>N/A</t>
        </is>
      </c>
      <c r="G4554" s="26">
        <v>1034127</v>
      </c>
      <c r="H4554" s="26">
        <v>10341</v>
      </c>
      <c r="I4554" s="26">
        <v>0</v>
      </c>
      <c r="J4554" s="26">
        <v>58</v>
      </c>
      <c r="K4554" t="inlineStr">
        <is>
          <t>Non</t>
        </is>
      </c>
      <c r="L4554">
        <f>SUBTOTAL(103,A4554)</f>
        <v>1</v>
      </c>
    </row>
    <row r="4555">
      <c r="A4555" t="inlineStr">
        <is>
          <t>SOCIETE C1877</t>
        </is>
      </c>
      <c r="B4555" t="inlineStr">
        <is>
          <t>C1877</t>
        </is>
      </c>
      <c r="C4555" t="inlineStr">
        <is>
          <t>CORPORATE BANKING</t>
        </is>
      </c>
      <c r="D4555" t="inlineStr">
        <is>
          <t>II</t>
        </is>
      </c>
      <c r="E4555" t="inlineStr">
        <is>
          <t>Stage 2</t>
        </is>
      </c>
      <c r="F4555" t="inlineStr">
        <is>
          <t>N/A</t>
        </is>
      </c>
      <c r="G4555" s="26">
        <v>152311935</v>
      </c>
      <c r="H4555" s="26">
        <v>9138716</v>
      </c>
      <c r="I4555" s="26">
        <v>0</v>
      </c>
      <c r="J4555" s="26">
        <v>30</v>
      </c>
      <c r="K4555" t="inlineStr">
        <is>
          <t>Non</t>
        </is>
      </c>
      <c r="L4555">
        <f>SUBTOTAL(103,A4555)</f>
        <v>1</v>
      </c>
    </row>
    <row r="4556">
      <c r="A4556" t="inlineStr">
        <is>
          <t>SOCIETE C2323</t>
        </is>
      </c>
      <c r="B4556" t="inlineStr">
        <is>
          <t>C2323</t>
        </is>
      </c>
      <c r="C4556" t="inlineStr">
        <is>
          <t>COMMERCIAL BANKING</t>
        </is>
      </c>
      <c r="D4556" t="inlineStr">
        <is>
          <t>I</t>
        </is>
      </c>
      <c r="E4556" t="inlineStr">
        <is>
          <t>Stage 1</t>
        </is>
      </c>
      <c r="F4556" t="inlineStr">
        <is>
          <t>N/A</t>
        </is>
      </c>
      <c r="G4556" s="26">
        <v>173890844</v>
      </c>
      <c r="H4556" s="26">
        <v>1738908</v>
      </c>
      <c r="I4556" s="26">
        <v>0</v>
      </c>
      <c r="J4556" s="26">
        <v>102</v>
      </c>
      <c r="K4556" t="inlineStr">
        <is>
          <t>Non</t>
        </is>
      </c>
      <c r="L4556">
        <f>SUBTOTAL(103,A4556)</f>
        <v>1</v>
      </c>
    </row>
    <row r="4557">
      <c r="A4557" t="inlineStr">
        <is>
          <t>SOCIETE C1497</t>
        </is>
      </c>
      <c r="B4557" t="inlineStr">
        <is>
          <t>C1497</t>
        </is>
      </c>
      <c r="C4557" t="inlineStr">
        <is>
          <t>CORPORATE BANKING</t>
        </is>
      </c>
      <c r="D4557" t="inlineStr">
        <is>
          <t>IA</t>
        </is>
      </c>
      <c r="E4557" t="inlineStr">
        <is>
          <t>Stage 2</t>
        </is>
      </c>
      <c r="F4557" t="inlineStr">
        <is>
          <t>N/A</t>
        </is>
      </c>
      <c r="G4557" s="26">
        <v>1067551</v>
      </c>
      <c r="H4557" s="26">
        <v>64053</v>
      </c>
      <c r="I4557" s="26">
        <v>0</v>
      </c>
      <c r="J4557" s="26">
        <v>36</v>
      </c>
      <c r="K4557" t="inlineStr">
        <is>
          <t>Non</t>
        </is>
      </c>
      <c r="L4557">
        <f>SUBTOTAL(103,A4557)</f>
        <v>1</v>
      </c>
    </row>
    <row r="4558">
      <c r="A4558" t="inlineStr">
        <is>
          <t>SOCIETE C2191</t>
        </is>
      </c>
      <c r="B4558" t="inlineStr">
        <is>
          <t>C2191</t>
        </is>
      </c>
      <c r="C4558" t="inlineStr">
        <is>
          <t>CORPORATE BANKING</t>
        </is>
      </c>
      <c r="D4558" t="inlineStr">
        <is>
          <t>IA</t>
        </is>
      </c>
      <c r="E4558" t="inlineStr">
        <is>
          <t>Stage 2</t>
        </is>
      </c>
      <c r="F4558" t="inlineStr">
        <is>
          <t>N/A</t>
        </is>
      </c>
      <c r="G4558" s="26">
        <v>1583130116</v>
      </c>
      <c r="H4558" s="26">
        <v>94987807</v>
      </c>
      <c r="I4558" s="26">
        <v>143793965</v>
      </c>
      <c r="J4558" s="26">
        <v>82</v>
      </c>
      <c r="K4558" t="inlineStr">
        <is>
          <t>Non</t>
        </is>
      </c>
      <c r="L4558">
        <f>SUBTOTAL(103,A4558)</f>
        <v>1</v>
      </c>
    </row>
    <row r="4559">
      <c r="A4559" t="inlineStr">
        <is>
          <t>SOCIETE C83</t>
        </is>
      </c>
      <c r="B4559" t="inlineStr">
        <is>
          <t>C83</t>
        </is>
      </c>
      <c r="C4559" t="inlineStr">
        <is>
          <t>PUBLIC SECTOR</t>
        </is>
      </c>
      <c r="D4559" t="inlineStr">
        <is>
          <t>II</t>
        </is>
      </c>
      <c r="E4559" t="inlineStr">
        <is>
          <t>Stage 2</t>
        </is>
      </c>
      <c r="F4559" t="inlineStr">
        <is>
          <t>N/A</t>
        </is>
      </c>
      <c r="G4559" s="26">
        <v>2895188598</v>
      </c>
      <c r="H4559" s="26">
        <v>173711316</v>
      </c>
      <c r="I4559" s="26">
        <v>0</v>
      </c>
      <c r="J4559" s="26">
        <v>120</v>
      </c>
      <c r="K4559" t="inlineStr">
        <is>
          <t>Non</t>
        </is>
      </c>
      <c r="L4559">
        <f>SUBTOTAL(103,A4559)</f>
        <v>1</v>
      </c>
    </row>
    <row r="4560">
      <c r="A4560" t="inlineStr">
        <is>
          <t>SOCIETE C331</t>
        </is>
      </c>
      <c r="B4560" t="inlineStr">
        <is>
          <t>C331</t>
        </is>
      </c>
      <c r="C4560" t="inlineStr">
        <is>
          <t>COMMERCIAL BANKING</t>
        </is>
      </c>
      <c r="D4560" t="inlineStr">
        <is>
          <t>IA</t>
        </is>
      </c>
      <c r="E4560" t="inlineStr">
        <is>
          <t>Stage 2</t>
        </is>
      </c>
      <c r="F4560" t="inlineStr">
        <is>
          <t>N/A</t>
        </is>
      </c>
      <c r="G4560" s="26">
        <v>2543509228</v>
      </c>
      <c r="H4560" s="26">
        <v>152610554</v>
      </c>
      <c r="I4560" s="26">
        <v>0</v>
      </c>
      <c r="J4560" s="26">
        <v>82</v>
      </c>
      <c r="K4560" t="inlineStr">
        <is>
          <t>Non</t>
        </is>
      </c>
      <c r="L4560">
        <f>SUBTOTAL(103,A4560)</f>
        <v>1</v>
      </c>
    </row>
    <row r="4561">
      <c r="A4561" t="inlineStr">
        <is>
          <t>SOCIETE C1423</t>
        </is>
      </c>
      <c r="B4561" t="inlineStr">
        <is>
          <t>C1423</t>
        </is>
      </c>
      <c r="C4561" t="inlineStr">
        <is>
          <t>COMMERCIAL BANKING</t>
        </is>
      </c>
      <c r="D4561" t="inlineStr">
        <is>
          <t>I</t>
        </is>
      </c>
      <c r="E4561" t="inlineStr">
        <is>
          <t>Stage 1</t>
        </is>
      </c>
      <c r="F4561" t="inlineStr">
        <is>
          <t>N/A</t>
        </is>
      </c>
      <c r="G4561" s="26">
        <v>1004948</v>
      </c>
      <c r="H4561" s="26">
        <v>10049</v>
      </c>
      <c r="I4561" s="26">
        <v>0</v>
      </c>
      <c r="J4561" s="26">
        <v>13</v>
      </c>
      <c r="K4561" t="inlineStr">
        <is>
          <t>Non</t>
        </is>
      </c>
      <c r="L4561">
        <f>SUBTOTAL(103,A4561)</f>
        <v>1</v>
      </c>
    </row>
    <row r="4562">
      <c r="A4562" t="inlineStr">
        <is>
          <t>SOCIETE C433</t>
        </is>
      </c>
      <c r="B4562" t="inlineStr">
        <is>
          <t>C433</t>
        </is>
      </c>
      <c r="C4562" t="inlineStr">
        <is>
          <t>PUBLIC SECTOR</t>
        </is>
      </c>
      <c r="D4562" t="inlineStr">
        <is>
          <t>II</t>
        </is>
      </c>
      <c r="E4562" t="inlineStr">
        <is>
          <t>Stage 2</t>
        </is>
      </c>
      <c r="F4562" t="inlineStr">
        <is>
          <t>N/A</t>
        </is>
      </c>
      <c r="G4562" s="26">
        <v>251924700</v>
      </c>
      <c r="H4562" s="26">
        <v>15115482</v>
      </c>
      <c r="I4562" s="26">
        <v>34296861</v>
      </c>
      <c r="J4562" s="26">
        <v>26</v>
      </c>
      <c r="K4562" t="inlineStr">
        <is>
          <t>Non</t>
        </is>
      </c>
      <c r="L4562">
        <f>SUBTOTAL(103,A4562)</f>
        <v>1</v>
      </c>
    </row>
    <row r="4563">
      <c r="A4563" t="inlineStr">
        <is>
          <t>SOCIETE C44</t>
        </is>
      </c>
      <c r="B4563" t="inlineStr">
        <is>
          <t>C44</t>
        </is>
      </c>
      <c r="C4563" t="inlineStr">
        <is>
          <t>CORPORATE BANKING</t>
        </is>
      </c>
      <c r="D4563" t="inlineStr">
        <is>
          <t>IA</t>
        </is>
      </c>
      <c r="E4563" t="inlineStr">
        <is>
          <t>Stage 2</t>
        </is>
      </c>
      <c r="F4563" t="inlineStr">
        <is>
          <t>N/A</t>
        </is>
      </c>
      <c r="G4563" s="26">
        <v>164794476</v>
      </c>
      <c r="H4563" s="26">
        <v>9887669</v>
      </c>
      <c r="I4563" s="26">
        <v>23046192</v>
      </c>
      <c r="J4563" s="26">
        <v>3</v>
      </c>
      <c r="K4563" t="inlineStr">
        <is>
          <t>Non</t>
        </is>
      </c>
      <c r="L4563">
        <f>SUBTOTAL(103,A4563)</f>
        <v>1</v>
      </c>
    </row>
    <row r="4564">
      <c r="A4564" t="inlineStr">
        <is>
          <t>SOCIETE C2326</t>
        </is>
      </c>
      <c r="B4564" t="inlineStr">
        <is>
          <t>C2326</t>
        </is>
      </c>
      <c r="C4564" t="inlineStr">
        <is>
          <t>CORPORATE BANKING</t>
        </is>
      </c>
      <c r="D4564" t="inlineStr">
        <is>
          <t>IA</t>
        </is>
      </c>
      <c r="E4564" t="inlineStr">
        <is>
          <t>Stage 2</t>
        </is>
      </c>
      <c r="F4564" t="inlineStr">
        <is>
          <t>N/A</t>
        </is>
      </c>
      <c r="G4564" s="26">
        <v>938161291</v>
      </c>
      <c r="H4564" s="26">
        <v>56289677</v>
      </c>
      <c r="I4564" s="26">
        <v>0</v>
      </c>
      <c r="J4564" s="26">
        <v>296</v>
      </c>
      <c r="K4564" t="inlineStr">
        <is>
          <t>Non</t>
        </is>
      </c>
      <c r="L4564">
        <f>SUBTOTAL(103,A4564)</f>
        <v>1</v>
      </c>
    </row>
    <row r="4565">
      <c r="A4565" t="inlineStr">
        <is>
          <t>SOCIETE C1943</t>
        </is>
      </c>
      <c r="B4565" t="inlineStr">
        <is>
          <t>C1943</t>
        </is>
      </c>
      <c r="C4565" t="inlineStr">
        <is>
          <t>INSTITUTIONAL</t>
        </is>
      </c>
      <c r="D4565" t="inlineStr">
        <is>
          <t>IV</t>
        </is>
      </c>
      <c r="E4565" t="inlineStr">
        <is>
          <t>Stage 3</t>
        </is>
      </c>
      <c r="F4565" t="inlineStr">
        <is>
          <t>N/A</t>
        </is>
      </c>
      <c r="G4565" s="26">
        <v>2576571164</v>
      </c>
      <c r="H4565" s="26">
        <v>1417114140</v>
      </c>
      <c r="I4565" s="26">
        <v>0</v>
      </c>
      <c r="J4565" s="26">
        <v>72</v>
      </c>
      <c r="K4565" t="inlineStr">
        <is>
          <t>Oui</t>
        </is>
      </c>
      <c r="L4565">
        <f>SUBTOTAL(103,A4565)</f>
        <v>1</v>
      </c>
    </row>
    <row r="4566">
      <c r="A4566" t="inlineStr">
        <is>
          <t>SOCIETE C2086</t>
        </is>
      </c>
      <c r="B4566" t="inlineStr">
        <is>
          <t>C2086</t>
        </is>
      </c>
      <c r="C4566" t="inlineStr">
        <is>
          <t>PUBLIC SECTOR</t>
        </is>
      </c>
      <c r="D4566" t="inlineStr">
        <is>
          <t>I</t>
        </is>
      </c>
      <c r="E4566" t="inlineStr">
        <is>
          <t>Stage 1</t>
        </is>
      </c>
      <c r="F4566" t="inlineStr">
        <is>
          <t>N/A</t>
        </is>
      </c>
      <c r="G4566" s="26">
        <v>2487671211</v>
      </c>
      <c r="H4566" s="26">
        <v>24876712</v>
      </c>
      <c r="I4566" s="26">
        <v>0</v>
      </c>
      <c r="J4566" s="26">
        <v>40</v>
      </c>
      <c r="K4566" t="inlineStr">
        <is>
          <t>Non</t>
        </is>
      </c>
      <c r="L4566">
        <f>SUBTOTAL(103,A4566)</f>
        <v>1</v>
      </c>
    </row>
    <row r="4567">
      <c r="A4567" t="inlineStr">
        <is>
          <t>SOCIETE C62</t>
        </is>
      </c>
      <c r="B4567" t="inlineStr">
        <is>
          <t>C62</t>
        </is>
      </c>
      <c r="C4567" t="inlineStr">
        <is>
          <t>CORPORATE BANKING</t>
        </is>
      </c>
      <c r="D4567" t="inlineStr">
        <is>
          <t>V</t>
        </is>
      </c>
      <c r="E4567" t="inlineStr">
        <is>
          <t>Stage 3</t>
        </is>
      </c>
      <c r="F4567" t="inlineStr">
        <is>
          <t>N/A</t>
        </is>
      </c>
      <c r="G4567" s="26">
        <v>218954996</v>
      </c>
      <c r="H4567" s="26">
        <v>120425248</v>
      </c>
      <c r="I4567" s="26">
        <v>0</v>
      </c>
      <c r="J4567" s="26">
        <v>39</v>
      </c>
      <c r="K4567" t="inlineStr">
        <is>
          <t>Oui</t>
        </is>
      </c>
      <c r="L4567">
        <f>SUBTOTAL(103,A4567)</f>
        <v>1</v>
      </c>
    </row>
    <row r="4568">
      <c r="A4568" t="inlineStr">
        <is>
          <t>SOCIETE C824</t>
        </is>
      </c>
      <c r="B4568" t="inlineStr">
        <is>
          <t>C824</t>
        </is>
      </c>
      <c r="C4568" t="inlineStr">
        <is>
          <t>SME</t>
        </is>
      </c>
      <c r="D4568" t="inlineStr">
        <is>
          <t>I</t>
        </is>
      </c>
      <c r="E4568" t="inlineStr">
        <is>
          <t>Stage 1</t>
        </is>
      </c>
      <c r="F4568" t="inlineStr">
        <is>
          <t>N/A</t>
        </is>
      </c>
      <c r="G4568" s="26">
        <v>1016112</v>
      </c>
      <c r="H4568" s="26">
        <v>10161</v>
      </c>
      <c r="I4568" s="26">
        <v>0</v>
      </c>
      <c r="J4568" s="26">
        <v>183</v>
      </c>
      <c r="K4568" t="inlineStr">
        <is>
          <t>Non</t>
        </is>
      </c>
      <c r="L4568">
        <f>SUBTOTAL(103,A4568)</f>
        <v>1</v>
      </c>
    </row>
    <row r="4569">
      <c r="A4569" t="inlineStr">
        <is>
          <t>SOCIETE C268</t>
        </is>
      </c>
      <c r="B4569" t="inlineStr">
        <is>
          <t>C268</t>
        </is>
      </c>
      <c r="C4569" t="inlineStr">
        <is>
          <t>COMMERCIAL BANKING</t>
        </is>
      </c>
      <c r="D4569" t="inlineStr">
        <is>
          <t>I</t>
        </is>
      </c>
      <c r="E4569" t="inlineStr">
        <is>
          <t>Stage 1</t>
        </is>
      </c>
      <c r="F4569" t="inlineStr">
        <is>
          <t>N/A</t>
        </is>
      </c>
      <c r="G4569" s="26">
        <v>182101118</v>
      </c>
      <c r="H4569" s="26">
        <v>1821011</v>
      </c>
      <c r="I4569" s="26">
        <v>0</v>
      </c>
      <c r="J4569" s="26">
        <v>12</v>
      </c>
      <c r="K4569" t="inlineStr">
        <is>
          <t>Non</t>
        </is>
      </c>
      <c r="L4569">
        <f>SUBTOTAL(103,A4569)</f>
        <v>1</v>
      </c>
    </row>
    <row r="4570">
      <c r="A4570" t="inlineStr">
        <is>
          <t>SOCIETE C1270</t>
        </is>
      </c>
      <c r="B4570" t="inlineStr">
        <is>
          <t>C1270</t>
        </is>
      </c>
      <c r="C4570" t="inlineStr">
        <is>
          <t>CORPORATE BANKING</t>
        </is>
      </c>
      <c r="D4570" t="inlineStr">
        <is>
          <t>I</t>
        </is>
      </c>
      <c r="E4570" t="inlineStr">
        <is>
          <t>Stage 1</t>
        </is>
      </c>
      <c r="F4570" t="inlineStr">
        <is>
          <t>N/A</t>
        </is>
      </c>
      <c r="G4570" s="26">
        <v>6189154</v>
      </c>
      <c r="H4570" s="26">
        <v>61892</v>
      </c>
      <c r="I4570" s="26">
        <v>80855</v>
      </c>
      <c r="J4570" s="26">
        <v>132</v>
      </c>
      <c r="K4570" t="inlineStr">
        <is>
          <t>Non</t>
        </is>
      </c>
      <c r="L4570">
        <f>SUBTOTAL(103,A4570)</f>
        <v>1</v>
      </c>
    </row>
    <row r="4571">
      <c r="A4571" t="inlineStr">
        <is>
          <t>SOCIETE C699</t>
        </is>
      </c>
      <c r="B4571" t="inlineStr">
        <is>
          <t>C699</t>
        </is>
      </c>
      <c r="C4571" t="inlineStr">
        <is>
          <t>CONSUMER BANKING</t>
        </is>
      </c>
      <c r="D4571" t="inlineStr">
        <is>
          <t>V</t>
        </is>
      </c>
      <c r="E4571" t="inlineStr">
        <is>
          <t>Stage 3</t>
        </is>
      </c>
      <c r="F4571" t="inlineStr">
        <is>
          <t>N/A</t>
        </is>
      </c>
      <c r="G4571" s="26">
        <v>18531064</v>
      </c>
      <c r="H4571" s="26">
        <v>10192085</v>
      </c>
      <c r="I4571" s="26">
        <v>1498709</v>
      </c>
      <c r="J4571" s="26">
        <v>148</v>
      </c>
      <c r="K4571" t="inlineStr">
        <is>
          <t>Oui</t>
        </is>
      </c>
      <c r="L4571">
        <f>SUBTOTAL(103,A4571)</f>
        <v>1</v>
      </c>
    </row>
    <row r="4572">
      <c r="A4572" t="inlineStr">
        <is>
          <t>SOCIETE C913</t>
        </is>
      </c>
      <c r="B4572" t="inlineStr">
        <is>
          <t>C913</t>
        </is>
      </c>
      <c r="C4572" t="inlineStr">
        <is>
          <t>COMMERCIAL BANKING</t>
        </is>
      </c>
      <c r="D4572" t="inlineStr">
        <is>
          <t>I</t>
        </is>
      </c>
      <c r="E4572" t="inlineStr">
        <is>
          <t>Stage 1</t>
        </is>
      </c>
      <c r="F4572" t="inlineStr">
        <is>
          <t>N/A</t>
        </is>
      </c>
      <c r="G4572" s="26">
        <v>869507297</v>
      </c>
      <c r="H4572" s="26">
        <v>8695073</v>
      </c>
      <c r="I4572" s="26">
        <v>0</v>
      </c>
      <c r="J4572" s="26">
        <v>13</v>
      </c>
      <c r="K4572" t="inlineStr">
        <is>
          <t>Non</t>
        </is>
      </c>
      <c r="L4572">
        <f>SUBTOTAL(103,A4572)</f>
        <v>1</v>
      </c>
    </row>
    <row r="4573">
      <c r="A4573" t="inlineStr">
        <is>
          <t>SOCIETE C1929</t>
        </is>
      </c>
      <c r="B4573" t="inlineStr">
        <is>
          <t>C1929</t>
        </is>
      </c>
      <c r="C4573" t="inlineStr">
        <is>
          <t>CORPORATE BANKING</t>
        </is>
      </c>
      <c r="D4573" t="inlineStr">
        <is>
          <t>I</t>
        </is>
      </c>
      <c r="E4573" t="inlineStr">
        <is>
          <t>Stage 1</t>
        </is>
      </c>
      <c r="F4573" t="inlineStr">
        <is>
          <t>N/A</t>
        </is>
      </c>
      <c r="G4573" s="26">
        <v>1000521</v>
      </c>
      <c r="H4573" s="26">
        <v>10005</v>
      </c>
      <c r="I4573" s="26">
        <v>0</v>
      </c>
      <c r="J4573" s="26">
        <v>67</v>
      </c>
      <c r="K4573" t="inlineStr">
        <is>
          <t>Non</t>
        </is>
      </c>
      <c r="L4573">
        <f>SUBTOTAL(103,A4573)</f>
        <v>1</v>
      </c>
    </row>
    <row r="4574">
      <c r="A4574" t="inlineStr">
        <is>
          <t>SOCIETE C1233</t>
        </is>
      </c>
      <c r="B4574" t="inlineStr">
        <is>
          <t>C1233</t>
        </is>
      </c>
      <c r="C4574" t="inlineStr">
        <is>
          <t>CORPORATE BANKING</t>
        </is>
      </c>
      <c r="D4574" t="inlineStr">
        <is>
          <t>I</t>
        </is>
      </c>
      <c r="E4574" t="inlineStr">
        <is>
          <t>Stage 1</t>
        </is>
      </c>
      <c r="F4574" t="inlineStr">
        <is>
          <t>N/A</t>
        </is>
      </c>
      <c r="G4574" s="26">
        <v>125860507</v>
      </c>
      <c r="H4574" s="26">
        <v>1258605</v>
      </c>
      <c r="I4574" s="26">
        <v>0</v>
      </c>
      <c r="J4574" s="26">
        <v>359</v>
      </c>
      <c r="K4574" t="inlineStr">
        <is>
          <t>Non</t>
        </is>
      </c>
      <c r="L4574">
        <f>SUBTOTAL(103,A4574)</f>
        <v>1</v>
      </c>
    </row>
    <row r="4575">
      <c r="A4575" t="inlineStr">
        <is>
          <t>SOCIETE C1305</t>
        </is>
      </c>
      <c r="B4575" t="inlineStr">
        <is>
          <t>C1305</t>
        </is>
      </c>
      <c r="C4575" t="inlineStr">
        <is>
          <t>COMMERCIAL BANKING</t>
        </is>
      </c>
      <c r="D4575" t="inlineStr">
        <is>
          <t>I</t>
        </is>
      </c>
      <c r="E4575" t="inlineStr">
        <is>
          <t>Stage 1</t>
        </is>
      </c>
      <c r="F4575" t="inlineStr">
        <is>
          <t>N/A</t>
        </is>
      </c>
      <c r="G4575" s="26">
        <v>544923341</v>
      </c>
      <c r="H4575" s="26">
        <v>5449233</v>
      </c>
      <c r="I4575" s="26">
        <v>0</v>
      </c>
      <c r="J4575" s="26">
        <v>2</v>
      </c>
      <c r="K4575" t="inlineStr">
        <is>
          <t>Non</t>
        </is>
      </c>
      <c r="L4575">
        <f>SUBTOTAL(103,A4575)</f>
        <v>1</v>
      </c>
    </row>
    <row r="4576">
      <c r="A4576" t="inlineStr">
        <is>
          <t>SOCIETE C511</t>
        </is>
      </c>
      <c r="B4576" t="inlineStr">
        <is>
          <t>C511</t>
        </is>
      </c>
      <c r="C4576" t="inlineStr">
        <is>
          <t>COMMERCIAL BANKING</t>
        </is>
      </c>
      <c r="D4576" t="inlineStr">
        <is>
          <t>I</t>
        </is>
      </c>
      <c r="E4576" t="inlineStr">
        <is>
          <t>Stage 1</t>
        </is>
      </c>
      <c r="F4576" t="inlineStr">
        <is>
          <t>N/A</t>
        </is>
      </c>
      <c r="G4576" s="26">
        <v>2697120548</v>
      </c>
      <c r="H4576" s="26">
        <v>26971205</v>
      </c>
      <c r="I4576" s="26">
        <v>473731611</v>
      </c>
      <c r="J4576" s="26">
        <v>11</v>
      </c>
      <c r="K4576" t="inlineStr">
        <is>
          <t>Non</t>
        </is>
      </c>
      <c r="L4576">
        <f>SUBTOTAL(103,A4576)</f>
        <v>1</v>
      </c>
    </row>
    <row r="4577">
      <c r="A4577" t="inlineStr">
        <is>
          <t>SOCIETE C1696</t>
        </is>
      </c>
      <c r="B4577" t="inlineStr">
        <is>
          <t>C1696</t>
        </is>
      </c>
      <c r="C4577" t="inlineStr">
        <is>
          <t>CONSUMER BANKING</t>
        </is>
      </c>
      <c r="D4577" t="inlineStr">
        <is>
          <t>I</t>
        </is>
      </c>
      <c r="E4577" t="inlineStr">
        <is>
          <t>Stage 1</t>
        </is>
      </c>
      <c r="F4577" t="inlineStr">
        <is>
          <t>N/A</t>
        </is>
      </c>
      <c r="G4577" s="26">
        <v>528143349</v>
      </c>
      <c r="H4577" s="26">
        <v>5281433</v>
      </c>
      <c r="I4577" s="26">
        <v>0</v>
      </c>
      <c r="J4577" s="26">
        <v>26</v>
      </c>
      <c r="K4577" t="inlineStr">
        <is>
          <t>Non</t>
        </is>
      </c>
      <c r="L4577">
        <f>SUBTOTAL(103,A4577)</f>
        <v>1</v>
      </c>
    </row>
    <row r="4578">
      <c r="A4578" t="inlineStr">
        <is>
          <t>SOCIETE C1645</t>
        </is>
      </c>
      <c r="B4578" t="inlineStr">
        <is>
          <t>C1645</t>
        </is>
      </c>
      <c r="C4578" t="inlineStr">
        <is>
          <t>CONSUMER BANKING</t>
        </is>
      </c>
      <c r="D4578" t="inlineStr">
        <is>
          <t>II</t>
        </is>
      </c>
      <c r="E4578" t="inlineStr">
        <is>
          <t>Stage 2</t>
        </is>
      </c>
      <c r="F4578" t="inlineStr">
        <is>
          <t>N/A</t>
        </is>
      </c>
      <c r="G4578" s="26">
        <v>305002486</v>
      </c>
      <c r="H4578" s="26">
        <v>18300149</v>
      </c>
      <c r="I4578" s="26">
        <v>23120467</v>
      </c>
      <c r="J4578" s="26">
        <v>42</v>
      </c>
      <c r="K4578" t="inlineStr">
        <is>
          <t>Non</t>
        </is>
      </c>
      <c r="L4578">
        <f>SUBTOTAL(103,A4578)</f>
        <v>1</v>
      </c>
    </row>
    <row r="4579">
      <c r="A4579" t="inlineStr">
        <is>
          <t>SOCIETE C2184</t>
        </is>
      </c>
      <c r="B4579" t="inlineStr">
        <is>
          <t>C2184</t>
        </is>
      </c>
      <c r="C4579" t="inlineStr">
        <is>
          <t>CONSUMER BANKING</t>
        </is>
      </c>
      <c r="D4579" t="inlineStr">
        <is>
          <t>I</t>
        </is>
      </c>
      <c r="E4579" t="inlineStr">
        <is>
          <t>Stage 1</t>
        </is>
      </c>
      <c r="F4579" t="inlineStr">
        <is>
          <t>N/A</t>
        </is>
      </c>
      <c r="G4579" s="26">
        <v>223257739</v>
      </c>
      <c r="H4579" s="26">
        <v>2232577</v>
      </c>
      <c r="I4579" s="26">
        <v>0</v>
      </c>
      <c r="J4579" s="26">
        <v>57</v>
      </c>
      <c r="K4579" t="inlineStr">
        <is>
          <t>Non</t>
        </is>
      </c>
      <c r="L4579">
        <f>SUBTOTAL(103,A4579)</f>
        <v>1</v>
      </c>
    </row>
    <row r="4580">
      <c r="A4580" t="inlineStr">
        <is>
          <t>SOCIETE C490</t>
        </is>
      </c>
      <c r="B4580" t="inlineStr">
        <is>
          <t>C490</t>
        </is>
      </c>
      <c r="C4580" t="inlineStr">
        <is>
          <t>CORPORATE BANKING</t>
        </is>
      </c>
      <c r="D4580" t="inlineStr">
        <is>
          <t>I</t>
        </is>
      </c>
      <c r="E4580" t="inlineStr">
        <is>
          <t>Stage 1</t>
        </is>
      </c>
      <c r="F4580" t="inlineStr">
        <is>
          <t>N/A</t>
        </is>
      </c>
      <c r="G4580" s="26">
        <v>2592284226</v>
      </c>
      <c r="H4580" s="26">
        <v>25922842</v>
      </c>
      <c r="I4580" s="26">
        <v>0</v>
      </c>
      <c r="J4580" s="26">
        <v>190</v>
      </c>
      <c r="K4580" t="inlineStr">
        <is>
          <t>Non</t>
        </is>
      </c>
      <c r="L4580">
        <f>SUBTOTAL(103,A4580)</f>
        <v>1</v>
      </c>
    </row>
    <row r="4581">
      <c r="A4581" t="inlineStr">
        <is>
          <t>SOCIETE C2198</t>
        </is>
      </c>
      <c r="B4581" t="inlineStr">
        <is>
          <t>C2198</t>
        </is>
      </c>
      <c r="C4581" t="inlineStr">
        <is>
          <t>CONSUMER BANKING</t>
        </is>
      </c>
      <c r="D4581" t="inlineStr">
        <is>
          <t>III</t>
        </is>
      </c>
      <c r="E4581" t="inlineStr">
        <is>
          <t>Stage 3</t>
        </is>
      </c>
      <c r="F4581" t="inlineStr">
        <is>
          <t>N/A</t>
        </is>
      </c>
      <c r="G4581" s="26">
        <v>1760661605</v>
      </c>
      <c r="H4581" s="26">
        <v>968363883</v>
      </c>
      <c r="I4581" s="26">
        <v>0</v>
      </c>
      <c r="J4581" s="26">
        <v>20</v>
      </c>
      <c r="K4581" t="inlineStr">
        <is>
          <t>Oui</t>
        </is>
      </c>
      <c r="L4581">
        <f>SUBTOTAL(103,A4581)</f>
        <v>1</v>
      </c>
    </row>
    <row r="4582">
      <c r="A4582" t="inlineStr">
        <is>
          <t>SOCIETE C966</t>
        </is>
      </c>
      <c r="B4582" t="inlineStr">
        <is>
          <t>C966</t>
        </is>
      </c>
      <c r="C4582" t="inlineStr">
        <is>
          <t>PUBLIC SECTOR</t>
        </is>
      </c>
      <c r="D4582" t="inlineStr">
        <is>
          <t>I</t>
        </is>
      </c>
      <c r="E4582" t="inlineStr">
        <is>
          <t>Stage 1</t>
        </is>
      </c>
      <c r="F4582" t="inlineStr">
        <is>
          <t>N/A</t>
        </is>
      </c>
      <c r="G4582" s="26">
        <v>171937398</v>
      </c>
      <c r="H4582" s="26">
        <v>1719374</v>
      </c>
      <c r="I4582" s="26">
        <v>10784165</v>
      </c>
      <c r="J4582" s="26">
        <v>178</v>
      </c>
      <c r="K4582" t="inlineStr">
        <is>
          <t>Non</t>
        </is>
      </c>
      <c r="L4582">
        <f>SUBTOTAL(103,A4582)</f>
        <v>1</v>
      </c>
    </row>
    <row r="4583">
      <c r="A4583" t="inlineStr">
        <is>
          <t>SOCIETE C736</t>
        </is>
      </c>
      <c r="B4583" t="inlineStr">
        <is>
          <t>C736</t>
        </is>
      </c>
      <c r="C4583" t="inlineStr">
        <is>
          <t>CORPORATE BANKING</t>
        </is>
      </c>
      <c r="D4583" t="inlineStr">
        <is>
          <t>IA</t>
        </is>
      </c>
      <c r="E4583" t="inlineStr">
        <is>
          <t>Stage 2</t>
        </is>
      </c>
      <c r="F4583" t="inlineStr">
        <is>
          <t>N/A</t>
        </is>
      </c>
      <c r="G4583" s="26">
        <v>1451483881</v>
      </c>
      <c r="H4583" s="26">
        <v>87089033</v>
      </c>
      <c r="I4583" s="26">
        <v>0</v>
      </c>
      <c r="J4583" s="26">
        <v>105</v>
      </c>
      <c r="K4583" t="inlineStr">
        <is>
          <t>Non</t>
        </is>
      </c>
      <c r="L4583">
        <f>SUBTOTAL(103,A4583)</f>
        <v>1</v>
      </c>
    </row>
    <row r="4584">
      <c r="A4584" t="inlineStr">
        <is>
          <t>SOCIETE C1622</t>
        </is>
      </c>
      <c r="B4584" t="inlineStr">
        <is>
          <t>C1622</t>
        </is>
      </c>
      <c r="C4584" t="inlineStr">
        <is>
          <t>CONSUMER BANKING</t>
        </is>
      </c>
      <c r="D4584" t="inlineStr">
        <is>
          <t>V</t>
        </is>
      </c>
      <c r="E4584" t="inlineStr">
        <is>
          <t>Stage 3</t>
        </is>
      </c>
      <c r="F4584" t="inlineStr">
        <is>
          <t>N/A</t>
        </is>
      </c>
      <c r="G4584" s="26">
        <v>1018953462</v>
      </c>
      <c r="H4584" s="26">
        <v>560424404</v>
      </c>
      <c r="I4584" s="26">
        <v>0</v>
      </c>
      <c r="J4584" s="26">
        <v>24</v>
      </c>
      <c r="K4584" t="inlineStr">
        <is>
          <t>Oui</t>
        </is>
      </c>
      <c r="L4584">
        <f>SUBTOTAL(103,A4584)</f>
        <v>1</v>
      </c>
    </row>
    <row r="4585">
      <c r="A4585" t="inlineStr">
        <is>
          <t>SOCIETE C1011</t>
        </is>
      </c>
      <c r="B4585" t="inlineStr">
        <is>
          <t>C1011</t>
        </is>
      </c>
      <c r="C4585" t="inlineStr">
        <is>
          <t>COMMERCIAL BANKING</t>
        </is>
      </c>
      <c r="D4585" t="inlineStr">
        <is>
          <t>IA</t>
        </is>
      </c>
      <c r="E4585" t="inlineStr">
        <is>
          <t>Stage 2</t>
        </is>
      </c>
      <c r="F4585" t="inlineStr">
        <is>
          <t>N/A</t>
        </is>
      </c>
      <c r="G4585" s="26">
        <v>199200560</v>
      </c>
      <c r="H4585" s="26">
        <v>11952034</v>
      </c>
      <c r="I4585" s="26">
        <v>21603598</v>
      </c>
      <c r="J4585" s="26">
        <v>275</v>
      </c>
      <c r="K4585" t="inlineStr">
        <is>
          <t>Non</t>
        </is>
      </c>
      <c r="L4585">
        <f>SUBTOTAL(103,A4585)</f>
        <v>1</v>
      </c>
    </row>
    <row r="4586">
      <c r="A4586" t="inlineStr">
        <is>
          <t>SOCIETE C413</t>
        </is>
      </c>
      <c r="B4586" t="inlineStr">
        <is>
          <t>C413</t>
        </is>
      </c>
      <c r="C4586" t="inlineStr">
        <is>
          <t>CONSUMER BANKING</t>
        </is>
      </c>
      <c r="D4586" t="inlineStr">
        <is>
          <t>IV</t>
        </is>
      </c>
      <c r="E4586" t="inlineStr">
        <is>
          <t>Stage 3</t>
        </is>
      </c>
      <c r="F4586" t="inlineStr">
        <is>
          <t>N/A</t>
        </is>
      </c>
      <c r="G4586" s="26">
        <v>201639924</v>
      </c>
      <c r="H4586" s="26">
        <v>110901958</v>
      </c>
      <c r="I4586" s="26">
        <v>12142392</v>
      </c>
      <c r="J4586" s="26">
        <v>155</v>
      </c>
      <c r="K4586" t="inlineStr">
        <is>
          <t>Oui</t>
        </is>
      </c>
      <c r="L4586">
        <f>SUBTOTAL(103,A4586)</f>
        <v>1</v>
      </c>
    </row>
    <row r="4587">
      <c r="A4587" t="inlineStr">
        <is>
          <t>SOCIETE C361</t>
        </is>
      </c>
      <c r="B4587" t="inlineStr">
        <is>
          <t>C361</t>
        </is>
      </c>
      <c r="C4587" t="inlineStr">
        <is>
          <t>PUBLIC SECTOR</t>
        </is>
      </c>
      <c r="D4587" t="inlineStr">
        <is>
          <t>II</t>
        </is>
      </c>
      <c r="E4587" t="inlineStr">
        <is>
          <t>Stage 2</t>
        </is>
      </c>
      <c r="F4587" t="inlineStr">
        <is>
          <t>N/A</t>
        </is>
      </c>
      <c r="G4587" s="26">
        <v>327228662</v>
      </c>
      <c r="H4587" s="26">
        <v>19633720</v>
      </c>
      <c r="I4587" s="26">
        <v>0</v>
      </c>
      <c r="J4587" s="26">
        <v>197</v>
      </c>
      <c r="K4587" t="inlineStr">
        <is>
          <t>Non</t>
        </is>
      </c>
      <c r="L4587">
        <f>SUBTOTAL(103,A4587)</f>
        <v>1</v>
      </c>
    </row>
    <row r="4588">
      <c r="A4588" t="inlineStr">
        <is>
          <t>SOCIETE C956</t>
        </is>
      </c>
      <c r="B4588" t="inlineStr">
        <is>
          <t>C956</t>
        </is>
      </c>
      <c r="C4588" t="inlineStr">
        <is>
          <t>COMMERCIAL BANKING</t>
        </is>
      </c>
      <c r="D4588" t="inlineStr">
        <is>
          <t>II</t>
        </is>
      </c>
      <c r="E4588" t="inlineStr">
        <is>
          <t>Stage 2</t>
        </is>
      </c>
      <c r="F4588" t="inlineStr">
        <is>
          <t>N/A</t>
        </is>
      </c>
      <c r="G4588" s="26">
        <v>1450523522</v>
      </c>
      <c r="H4588" s="26">
        <v>87031411</v>
      </c>
      <c r="I4588" s="26">
        <v>0</v>
      </c>
      <c r="J4588" s="26">
        <v>68</v>
      </c>
      <c r="K4588" t="inlineStr">
        <is>
          <t>Non</t>
        </is>
      </c>
      <c r="L4588">
        <f>SUBTOTAL(103,A4588)</f>
        <v>1</v>
      </c>
    </row>
    <row r="4589">
      <c r="A4589" t="inlineStr">
        <is>
          <t>SOCIETE C484</t>
        </is>
      </c>
      <c r="B4589" t="inlineStr">
        <is>
          <t>C484</t>
        </is>
      </c>
      <c r="C4589" t="inlineStr">
        <is>
          <t>CORPORATE BANKING</t>
        </is>
      </c>
      <c r="D4589" t="inlineStr">
        <is>
          <t>I</t>
        </is>
      </c>
      <c r="E4589" t="inlineStr">
        <is>
          <t>Stage 1</t>
        </is>
      </c>
      <c r="F4589" t="inlineStr">
        <is>
          <t>N/A</t>
        </is>
      </c>
      <c r="G4589" s="26">
        <v>1909236808</v>
      </c>
      <c r="H4589" s="26">
        <v>19092368</v>
      </c>
      <c r="I4589" s="26">
        <v>181813213</v>
      </c>
      <c r="J4589" s="26">
        <v>32</v>
      </c>
      <c r="K4589" t="inlineStr">
        <is>
          <t>Non</t>
        </is>
      </c>
      <c r="L4589">
        <f>SUBTOTAL(103,A4589)</f>
        <v>1</v>
      </c>
    </row>
    <row r="4590">
      <c r="A4590" t="inlineStr">
        <is>
          <t>SOCIETE C1487</t>
        </is>
      </c>
      <c r="B4590" t="inlineStr">
        <is>
          <t>C1487</t>
        </is>
      </c>
      <c r="C4590" t="inlineStr">
        <is>
          <t>CORPORATE BANKING</t>
        </is>
      </c>
      <c r="D4590" t="inlineStr">
        <is>
          <t>V</t>
        </is>
      </c>
      <c r="E4590" t="inlineStr">
        <is>
          <t>Stage 3</t>
        </is>
      </c>
      <c r="F4590" t="inlineStr">
        <is>
          <t>N/A</t>
        </is>
      </c>
      <c r="G4590" s="26">
        <v>23453580</v>
      </c>
      <c r="H4590" s="26">
        <v>12899469</v>
      </c>
      <c r="I4590" s="26">
        <v>0</v>
      </c>
      <c r="J4590" s="26">
        <v>135</v>
      </c>
      <c r="K4590" t="inlineStr">
        <is>
          <t>Oui</t>
        </is>
      </c>
      <c r="L4590">
        <f>SUBTOTAL(103,A4590)</f>
        <v>1</v>
      </c>
    </row>
    <row r="4591">
      <c r="A4591" t="inlineStr">
        <is>
          <t>SOCIETE C2072</t>
        </is>
      </c>
      <c r="B4591" t="inlineStr">
        <is>
          <t>C2072</t>
        </is>
      </c>
      <c r="C4591" t="inlineStr">
        <is>
          <t>CORPORATE BANKING</t>
        </is>
      </c>
      <c r="D4591" t="inlineStr">
        <is>
          <t>I</t>
        </is>
      </c>
      <c r="E4591" t="inlineStr">
        <is>
          <t>Stage 1</t>
        </is>
      </c>
      <c r="F4591" t="inlineStr">
        <is>
          <t>N/A</t>
        </is>
      </c>
      <c r="G4591" s="26">
        <v>1442771054</v>
      </c>
      <c r="H4591" s="26">
        <v>14427711</v>
      </c>
      <c r="I4591" s="26">
        <v>207469656</v>
      </c>
      <c r="J4591" s="26">
        <v>28</v>
      </c>
      <c r="K4591" t="inlineStr">
        <is>
          <t>Non</t>
        </is>
      </c>
      <c r="L4591">
        <f>SUBTOTAL(103,A4591)</f>
        <v>1</v>
      </c>
    </row>
    <row r="4592">
      <c r="A4592" t="inlineStr">
        <is>
          <t>SOCIETE C1431</t>
        </is>
      </c>
      <c r="B4592" t="inlineStr">
        <is>
          <t>C1431</t>
        </is>
      </c>
      <c r="C4592" t="inlineStr">
        <is>
          <t>CONSUMER BANKING</t>
        </is>
      </c>
      <c r="D4592" t="inlineStr">
        <is>
          <t>IA</t>
        </is>
      </c>
      <c r="E4592" t="inlineStr">
        <is>
          <t>Stage 2</t>
        </is>
      </c>
      <c r="F4592" t="inlineStr">
        <is>
          <t>N/A</t>
        </is>
      </c>
      <c r="G4592" s="26">
        <v>56705532</v>
      </c>
      <c r="H4592" s="26">
        <v>3402332</v>
      </c>
      <c r="I4592" s="26">
        <v>0</v>
      </c>
      <c r="J4592" s="26">
        <v>13</v>
      </c>
      <c r="K4592" t="inlineStr">
        <is>
          <t>Non</t>
        </is>
      </c>
      <c r="L4592">
        <f>SUBTOTAL(103,A4592)</f>
        <v>1</v>
      </c>
    </row>
    <row r="4593">
      <c r="A4593" t="inlineStr">
        <is>
          <t>SOCIETE C36</t>
        </is>
      </c>
      <c r="B4593" t="inlineStr">
        <is>
          <t>C36</t>
        </is>
      </c>
      <c r="C4593" t="inlineStr">
        <is>
          <t>CONSUMER BANKING</t>
        </is>
      </c>
      <c r="D4593" t="inlineStr">
        <is>
          <t>IA</t>
        </is>
      </c>
      <c r="E4593" t="inlineStr">
        <is>
          <t>Stage 2</t>
        </is>
      </c>
      <c r="F4593" t="inlineStr">
        <is>
          <t>N/A</t>
        </is>
      </c>
      <c r="G4593" s="26">
        <v>9433402</v>
      </c>
      <c r="H4593" s="26">
        <v>566004</v>
      </c>
      <c r="I4593" s="26">
        <v>893948</v>
      </c>
      <c r="J4593" s="26">
        <v>123</v>
      </c>
      <c r="K4593" t="inlineStr">
        <is>
          <t>Non</t>
        </is>
      </c>
      <c r="L4593">
        <f>SUBTOTAL(103,A4593)</f>
        <v>1</v>
      </c>
    </row>
    <row r="4594">
      <c r="A4594" t="inlineStr">
        <is>
          <t>SOCIETE C1367</t>
        </is>
      </c>
      <c r="B4594" t="inlineStr">
        <is>
          <t>C1367</t>
        </is>
      </c>
      <c r="C4594" t="inlineStr">
        <is>
          <t>CORPORATE BANKING</t>
        </is>
      </c>
      <c r="D4594" t="inlineStr">
        <is>
          <t>III</t>
        </is>
      </c>
      <c r="E4594" t="inlineStr">
        <is>
          <t>Stage 3</t>
        </is>
      </c>
      <c r="F4594" t="inlineStr">
        <is>
          <t>N/A</t>
        </is>
      </c>
      <c r="G4594" s="26">
        <v>2619259918</v>
      </c>
      <c r="H4594" s="26">
        <v>1440592955</v>
      </c>
      <c r="I4594" s="26">
        <v>0</v>
      </c>
      <c r="J4594" s="26">
        <v>158</v>
      </c>
      <c r="K4594" t="inlineStr">
        <is>
          <t>Oui</t>
        </is>
      </c>
      <c r="L4594">
        <f>SUBTOTAL(103,A4594)</f>
        <v>1</v>
      </c>
    </row>
    <row r="4595">
      <c r="A4595" t="inlineStr">
        <is>
          <t>SOCIETE C55</t>
        </is>
      </c>
      <c r="B4595" t="inlineStr">
        <is>
          <t>C55</t>
        </is>
      </c>
      <c r="C4595" t="inlineStr">
        <is>
          <t>CONSUMER BANKING</t>
        </is>
      </c>
      <c r="D4595" t="inlineStr">
        <is>
          <t>I</t>
        </is>
      </c>
      <c r="E4595" t="inlineStr">
        <is>
          <t>Stage 1</t>
        </is>
      </c>
      <c r="F4595" t="inlineStr">
        <is>
          <t>N/A</t>
        </is>
      </c>
      <c r="G4595" s="26">
        <v>2404594523</v>
      </c>
      <c r="H4595" s="26">
        <v>24045945</v>
      </c>
      <c r="I4595" s="26">
        <v>345428190</v>
      </c>
      <c r="J4595" s="26">
        <v>58</v>
      </c>
      <c r="K4595" t="inlineStr">
        <is>
          <t>Non</t>
        </is>
      </c>
      <c r="L4595">
        <f>SUBTOTAL(103,A4595)</f>
        <v>1</v>
      </c>
    </row>
    <row r="4596">
      <c r="A4596" t="inlineStr">
        <is>
          <t>SOCIETE C251</t>
        </is>
      </c>
      <c r="B4596" t="inlineStr">
        <is>
          <t>C251</t>
        </is>
      </c>
      <c r="C4596" t="inlineStr">
        <is>
          <t>CORPORATE BANKING</t>
        </is>
      </c>
      <c r="D4596" t="inlineStr">
        <is>
          <t>I</t>
        </is>
      </c>
      <c r="E4596" t="inlineStr">
        <is>
          <t>Stage 1</t>
        </is>
      </c>
      <c r="F4596" t="inlineStr">
        <is>
          <t>N/A</t>
        </is>
      </c>
      <c r="G4596" s="26">
        <v>1029507</v>
      </c>
      <c r="H4596" s="26">
        <v>10295</v>
      </c>
      <c r="I4596" s="26">
        <v>189946</v>
      </c>
      <c r="J4596" s="26">
        <v>135</v>
      </c>
      <c r="K4596" t="inlineStr">
        <is>
          <t>Non</t>
        </is>
      </c>
      <c r="L4596">
        <f>SUBTOTAL(103,A4596)</f>
        <v>1</v>
      </c>
    </row>
    <row r="4597">
      <c r="A4597" t="inlineStr">
        <is>
          <t>SOCIETE C1883</t>
        </is>
      </c>
      <c r="B4597" t="inlineStr">
        <is>
          <t>C1883</t>
        </is>
      </c>
      <c r="C4597" t="inlineStr">
        <is>
          <t>CORPORATE BANKING</t>
        </is>
      </c>
      <c r="D4597" t="inlineStr">
        <is>
          <t>I</t>
        </is>
      </c>
      <c r="E4597" t="inlineStr">
        <is>
          <t>Stage 1</t>
        </is>
      </c>
      <c r="F4597" t="inlineStr">
        <is>
          <t>N/A</t>
        </is>
      </c>
      <c r="G4597" s="26">
        <v>645066341</v>
      </c>
      <c r="H4597" s="26">
        <v>6450663</v>
      </c>
      <c r="I4597" s="26">
        <v>99768473</v>
      </c>
      <c r="J4597" s="26">
        <v>42</v>
      </c>
      <c r="K4597" t="inlineStr">
        <is>
          <t>Non</t>
        </is>
      </c>
      <c r="L4597">
        <f>SUBTOTAL(103,A4597)</f>
        <v>1</v>
      </c>
    </row>
    <row r="4598">
      <c r="A4598" t="inlineStr">
        <is>
          <t>SOCIETE C1096</t>
        </is>
      </c>
      <c r="B4598" t="inlineStr">
        <is>
          <t>C1096</t>
        </is>
      </c>
      <c r="C4598" t="inlineStr">
        <is>
          <t>COMMERCIAL BANKING</t>
        </is>
      </c>
      <c r="D4598" t="inlineStr">
        <is>
          <t>IA</t>
        </is>
      </c>
      <c r="E4598" t="inlineStr">
        <is>
          <t>Stage 2</t>
        </is>
      </c>
      <c r="F4598" t="inlineStr">
        <is>
          <t>N/A</t>
        </is>
      </c>
      <c r="G4598" s="26">
        <v>902988262</v>
      </c>
      <c r="H4598" s="26">
        <v>54179296</v>
      </c>
      <c r="I4598" s="26">
        <v>0</v>
      </c>
      <c r="J4598" s="26">
        <v>75</v>
      </c>
      <c r="K4598" t="inlineStr">
        <is>
          <t>Non</t>
        </is>
      </c>
      <c r="L4598">
        <f>SUBTOTAL(103,A4598)</f>
        <v>1</v>
      </c>
    </row>
    <row r="4599">
      <c r="A4599" t="inlineStr">
        <is>
          <t>SOCIETE C1505</t>
        </is>
      </c>
      <c r="B4599" t="inlineStr">
        <is>
          <t>C1505</t>
        </is>
      </c>
      <c r="C4599" t="inlineStr">
        <is>
          <t>CORPORATE BANKING</t>
        </is>
      </c>
      <c r="D4599" t="inlineStr">
        <is>
          <t>I</t>
        </is>
      </c>
      <c r="E4599" t="inlineStr">
        <is>
          <t>Stage 1</t>
        </is>
      </c>
      <c r="F4599" t="inlineStr">
        <is>
          <t>N/A</t>
        </is>
      </c>
      <c r="G4599" s="26">
        <v>307212723</v>
      </c>
      <c r="H4599" s="26">
        <v>3072127</v>
      </c>
      <c r="I4599" s="26">
        <v>8664216</v>
      </c>
      <c r="J4599" s="26">
        <v>1</v>
      </c>
      <c r="K4599" t="inlineStr">
        <is>
          <t>Non</t>
        </is>
      </c>
      <c r="L4599">
        <f>SUBTOTAL(103,A4599)</f>
        <v>1</v>
      </c>
    </row>
    <row r="4600">
      <c r="A4600" t="inlineStr">
        <is>
          <t>SOCIETE C1754</t>
        </is>
      </c>
      <c r="B4600" t="inlineStr">
        <is>
          <t>C1754</t>
        </is>
      </c>
      <c r="C4600" t="inlineStr">
        <is>
          <t>CORPORATE BANKING</t>
        </is>
      </c>
      <c r="D4600" t="inlineStr">
        <is>
          <t>IA</t>
        </is>
      </c>
      <c r="E4600" t="inlineStr">
        <is>
          <t>Stage 2</t>
        </is>
      </c>
      <c r="F4600" t="inlineStr">
        <is>
          <t>N/A</t>
        </is>
      </c>
      <c r="G4600" s="26">
        <v>1353624005</v>
      </c>
      <c r="H4600" s="26">
        <v>81217440</v>
      </c>
      <c r="I4600" s="26">
        <v>0</v>
      </c>
      <c r="J4600" s="26">
        <v>57</v>
      </c>
      <c r="K4600" t="inlineStr">
        <is>
          <t>Non</t>
        </is>
      </c>
      <c r="L4600">
        <f>SUBTOTAL(103,A4600)</f>
        <v>1</v>
      </c>
    </row>
    <row r="4601">
      <c r="A4601" t="inlineStr">
        <is>
          <t>SOCIETE C1550</t>
        </is>
      </c>
      <c r="B4601" t="inlineStr">
        <is>
          <t>C1550</t>
        </is>
      </c>
      <c r="C4601" t="inlineStr">
        <is>
          <t>COMMERCIAL BANKING</t>
        </is>
      </c>
      <c r="D4601" t="inlineStr">
        <is>
          <t>V</t>
        </is>
      </c>
      <c r="E4601" t="inlineStr">
        <is>
          <t>Stage 3</t>
        </is>
      </c>
      <c r="F4601" t="inlineStr">
        <is>
          <t>N/A</t>
        </is>
      </c>
      <c r="G4601" s="26">
        <v>1055168</v>
      </c>
      <c r="H4601" s="26">
        <v>580342</v>
      </c>
      <c r="I4601" s="26">
        <v>0</v>
      </c>
      <c r="J4601" s="26">
        <v>75</v>
      </c>
      <c r="K4601" t="inlineStr">
        <is>
          <t>Oui</t>
        </is>
      </c>
      <c r="L4601">
        <f>SUBTOTAL(103,A4601)</f>
        <v>1</v>
      </c>
    </row>
    <row r="4602">
      <c r="A4602" t="inlineStr">
        <is>
          <t>SOCIETE C1197</t>
        </is>
      </c>
      <c r="B4602" t="inlineStr">
        <is>
          <t>C1197</t>
        </is>
      </c>
      <c r="C4602" t="inlineStr">
        <is>
          <t>COMMERCIAL BANKING</t>
        </is>
      </c>
      <c r="D4602" t="inlineStr">
        <is>
          <t>IA</t>
        </is>
      </c>
      <c r="E4602" t="inlineStr">
        <is>
          <t>Stage 2</t>
        </is>
      </c>
      <c r="F4602" t="inlineStr">
        <is>
          <t>N/A</t>
        </is>
      </c>
      <c r="G4602" s="26">
        <v>15283969</v>
      </c>
      <c r="H4602" s="26">
        <v>917038</v>
      </c>
      <c r="I4602" s="26">
        <v>2069160</v>
      </c>
      <c r="J4602" s="26">
        <v>190</v>
      </c>
      <c r="K4602" t="inlineStr">
        <is>
          <t>Non</t>
        </is>
      </c>
      <c r="L4602">
        <f>SUBTOTAL(103,A4602)</f>
        <v>1</v>
      </c>
    </row>
    <row r="4603">
      <c r="A4603" t="inlineStr">
        <is>
          <t>SOCIETE C603</t>
        </is>
      </c>
      <c r="B4603" t="inlineStr">
        <is>
          <t>C603</t>
        </is>
      </c>
      <c r="C4603" t="inlineStr">
        <is>
          <t>COMMERCIAL BANKING</t>
        </is>
      </c>
      <c r="D4603" t="inlineStr">
        <is>
          <t>I</t>
        </is>
      </c>
      <c r="E4603" t="inlineStr">
        <is>
          <t>Stage 1</t>
        </is>
      </c>
      <c r="F4603" t="inlineStr">
        <is>
          <t>N/A</t>
        </is>
      </c>
      <c r="G4603" s="26">
        <v>1005074</v>
      </c>
      <c r="H4603" s="26">
        <v>10051</v>
      </c>
      <c r="I4603" s="26">
        <v>0</v>
      </c>
      <c r="J4603" s="26">
        <v>147</v>
      </c>
      <c r="K4603" t="inlineStr">
        <is>
          <t>Non</t>
        </is>
      </c>
      <c r="L4603">
        <f>SUBTOTAL(103,A4603)</f>
        <v>1</v>
      </c>
    </row>
    <row r="4604">
      <c r="A4604" t="inlineStr">
        <is>
          <t>SOCIETE C1842</t>
        </is>
      </c>
      <c r="B4604" t="inlineStr">
        <is>
          <t>C1842</t>
        </is>
      </c>
      <c r="C4604" t="inlineStr">
        <is>
          <t>COMMERCIAL BANKING</t>
        </is>
      </c>
      <c r="D4604" t="inlineStr">
        <is>
          <t>I</t>
        </is>
      </c>
      <c r="E4604" t="inlineStr">
        <is>
          <t>Stage 1</t>
        </is>
      </c>
      <c r="F4604" t="inlineStr">
        <is>
          <t>N/A</t>
        </is>
      </c>
      <c r="G4604" s="26">
        <v>1393697249</v>
      </c>
      <c r="H4604" s="26">
        <v>13936972</v>
      </c>
      <c r="I4604" s="26">
        <v>0</v>
      </c>
      <c r="J4604" s="26">
        <v>185</v>
      </c>
      <c r="K4604" t="inlineStr">
        <is>
          <t>Non</t>
        </is>
      </c>
      <c r="L4604">
        <f>SUBTOTAL(103,A4604)</f>
        <v>1</v>
      </c>
    </row>
    <row r="4605">
      <c r="A4605" t="inlineStr">
        <is>
          <t>SOCIETE C1012</t>
        </is>
      </c>
      <c r="B4605" t="inlineStr">
        <is>
          <t>C1012</t>
        </is>
      </c>
      <c r="C4605" t="inlineStr">
        <is>
          <t>COMMERCIAL BANKING</t>
        </is>
      </c>
      <c r="D4605" t="inlineStr">
        <is>
          <t>III</t>
        </is>
      </c>
      <c r="E4605" t="inlineStr">
        <is>
          <t>Stage 3</t>
        </is>
      </c>
      <c r="F4605" t="inlineStr">
        <is>
          <t>N/A</t>
        </is>
      </c>
      <c r="G4605" s="26">
        <v>36263047</v>
      </c>
      <c r="H4605" s="26">
        <v>19944676</v>
      </c>
      <c r="I4605" s="26">
        <v>0</v>
      </c>
      <c r="J4605" s="26">
        <v>75</v>
      </c>
      <c r="K4605" t="inlineStr">
        <is>
          <t>Oui</t>
        </is>
      </c>
      <c r="L4605">
        <f>SUBTOTAL(103,A4605)</f>
        <v>1</v>
      </c>
    </row>
    <row r="4606">
      <c r="A4606" t="inlineStr">
        <is>
          <t>SOCIETE C1287</t>
        </is>
      </c>
      <c r="B4606" t="inlineStr">
        <is>
          <t>C1287</t>
        </is>
      </c>
      <c r="C4606" t="inlineStr">
        <is>
          <t>CORPORATE BANKING</t>
        </is>
      </c>
      <c r="D4606" t="inlineStr">
        <is>
          <t>II</t>
        </is>
      </c>
      <c r="E4606" t="inlineStr">
        <is>
          <t>Stage 2</t>
        </is>
      </c>
      <c r="F4606" t="inlineStr">
        <is>
          <t>N/A</t>
        </is>
      </c>
      <c r="G4606" s="26">
        <v>256804533</v>
      </c>
      <c r="H4606" s="26">
        <v>15408272</v>
      </c>
      <c r="I4606" s="26">
        <v>29210691</v>
      </c>
      <c r="J4606" s="26">
        <v>238</v>
      </c>
      <c r="K4606" t="inlineStr">
        <is>
          <t>Non</t>
        </is>
      </c>
      <c r="L4606">
        <f>SUBTOTAL(103,A4606)</f>
        <v>1</v>
      </c>
    </row>
    <row r="4607">
      <c r="A4607" t="inlineStr">
        <is>
          <t>SOCIETE C1516</t>
        </is>
      </c>
      <c r="B4607" t="inlineStr">
        <is>
          <t>C1516</t>
        </is>
      </c>
      <c r="C4607" t="inlineStr">
        <is>
          <t>PUBLIC SECTOR</t>
        </is>
      </c>
      <c r="D4607" t="inlineStr">
        <is>
          <t>IA</t>
        </is>
      </c>
      <c r="E4607" t="inlineStr">
        <is>
          <t>Stage 2</t>
        </is>
      </c>
      <c r="F4607" t="inlineStr">
        <is>
          <t>N/A</t>
        </is>
      </c>
      <c r="G4607" s="26">
        <v>719750673</v>
      </c>
      <c r="H4607" s="26">
        <v>43185040</v>
      </c>
      <c r="I4607" s="26">
        <v>0</v>
      </c>
      <c r="J4607" s="26">
        <v>36</v>
      </c>
      <c r="K4607" t="inlineStr">
        <is>
          <t>Non</t>
        </is>
      </c>
      <c r="L4607">
        <f>SUBTOTAL(103,A4607)</f>
        <v>1</v>
      </c>
    </row>
    <row r="4608">
      <c r="A4608" t="inlineStr">
        <is>
          <t>SOCIETE C2440</t>
        </is>
      </c>
      <c r="B4608" t="inlineStr">
        <is>
          <t>C2440</t>
        </is>
      </c>
      <c r="C4608" t="inlineStr">
        <is>
          <t>CONSUMER BANKING</t>
        </is>
      </c>
      <c r="D4608" t="inlineStr">
        <is>
          <t>IA</t>
        </is>
      </c>
      <c r="E4608" t="inlineStr">
        <is>
          <t>Stage 2</t>
        </is>
      </c>
      <c r="F4608" t="inlineStr">
        <is>
          <t>N/A</t>
        </is>
      </c>
      <c r="G4608" s="26">
        <v>408698459</v>
      </c>
      <c r="H4608" s="26">
        <v>24521908</v>
      </c>
      <c r="I4608" s="26">
        <v>3391471</v>
      </c>
      <c r="J4608" s="26">
        <v>53</v>
      </c>
      <c r="K4608" t="inlineStr">
        <is>
          <t>Non</t>
        </is>
      </c>
      <c r="L4608">
        <f>SUBTOTAL(103,A4608)</f>
        <v>1</v>
      </c>
    </row>
    <row r="4609">
      <c r="A4609" t="inlineStr">
        <is>
          <t>SOCIETE C1363</t>
        </is>
      </c>
      <c r="B4609" t="inlineStr">
        <is>
          <t>C1363</t>
        </is>
      </c>
      <c r="C4609" t="inlineStr">
        <is>
          <t>COMMERCIAL BANKING</t>
        </is>
      </c>
      <c r="D4609" t="inlineStr">
        <is>
          <t>I</t>
        </is>
      </c>
      <c r="E4609" t="inlineStr">
        <is>
          <t>Stage 1</t>
        </is>
      </c>
      <c r="F4609" t="inlineStr">
        <is>
          <t>N/A</t>
        </is>
      </c>
      <c r="G4609" s="26">
        <v>89060822</v>
      </c>
      <c r="H4609" s="26">
        <v>890608</v>
      </c>
      <c r="I4609" s="26">
        <v>3464488</v>
      </c>
      <c r="J4609" s="26">
        <v>388</v>
      </c>
      <c r="K4609" t="inlineStr">
        <is>
          <t>Non</t>
        </is>
      </c>
      <c r="L4609">
        <f>SUBTOTAL(103,A4609)</f>
        <v>1</v>
      </c>
    </row>
    <row r="4610">
      <c r="A4610" t="inlineStr">
        <is>
          <t>SOCIETE C538</t>
        </is>
      </c>
      <c r="B4610" t="inlineStr">
        <is>
          <t>C538</t>
        </is>
      </c>
      <c r="C4610" t="inlineStr">
        <is>
          <t>CORPORATE BANKING</t>
        </is>
      </c>
      <c r="D4610" t="inlineStr">
        <is>
          <t>II</t>
        </is>
      </c>
      <c r="E4610" t="inlineStr">
        <is>
          <t>Stage 2</t>
        </is>
      </c>
      <c r="F4610" t="inlineStr">
        <is>
          <t>N/A</t>
        </is>
      </c>
      <c r="G4610" s="26">
        <v>1067258351</v>
      </c>
      <c r="H4610" s="26">
        <v>64035501</v>
      </c>
      <c r="I4610" s="26">
        <v>0</v>
      </c>
      <c r="J4610" s="26">
        <v>16</v>
      </c>
      <c r="K4610" t="inlineStr">
        <is>
          <t>Non</t>
        </is>
      </c>
      <c r="L4610">
        <f>SUBTOTAL(103,A4610)</f>
        <v>1</v>
      </c>
    </row>
    <row r="4611">
      <c r="A4611" t="inlineStr">
        <is>
          <t>SOCIETE C2335</t>
        </is>
      </c>
      <c r="B4611" t="inlineStr">
        <is>
          <t>C2335</t>
        </is>
      </c>
      <c r="C4611" t="inlineStr">
        <is>
          <t>SME</t>
        </is>
      </c>
      <c r="D4611" t="inlineStr">
        <is>
          <t>I</t>
        </is>
      </c>
      <c r="E4611" t="inlineStr">
        <is>
          <t>Stage 1</t>
        </is>
      </c>
      <c r="F4611" t="inlineStr">
        <is>
          <t>N/A</t>
        </is>
      </c>
      <c r="G4611" s="26">
        <v>1979690080</v>
      </c>
      <c r="H4611" s="26">
        <v>19796901</v>
      </c>
      <c r="I4611" s="26">
        <v>0</v>
      </c>
      <c r="J4611" s="26">
        <v>206</v>
      </c>
      <c r="K4611" t="inlineStr">
        <is>
          <t>Non</t>
        </is>
      </c>
      <c r="L4611">
        <f>SUBTOTAL(103,A4611)</f>
        <v>1</v>
      </c>
    </row>
    <row r="4612">
      <c r="A4612" t="inlineStr">
        <is>
          <t>SOCIETE C810</t>
        </is>
      </c>
      <c r="B4612" t="inlineStr">
        <is>
          <t>C810</t>
        </is>
      </c>
      <c r="C4612" t="inlineStr">
        <is>
          <t>COMMERCIAL BANKING</t>
        </is>
      </c>
      <c r="D4612" t="inlineStr">
        <is>
          <t>I</t>
        </is>
      </c>
      <c r="E4612" t="inlineStr">
        <is>
          <t>Stage 1</t>
        </is>
      </c>
      <c r="F4612" t="inlineStr">
        <is>
          <t>N/A</t>
        </is>
      </c>
      <c r="G4612" s="26">
        <v>375307535</v>
      </c>
      <c r="H4612" s="26">
        <v>3753075</v>
      </c>
      <c r="I4612" s="26">
        <v>0</v>
      </c>
      <c r="J4612" s="26">
        <v>133</v>
      </c>
      <c r="K4612" t="inlineStr">
        <is>
          <t>Non</t>
        </is>
      </c>
      <c r="L4612">
        <f>SUBTOTAL(103,A4612)</f>
        <v>1</v>
      </c>
    </row>
    <row r="4613">
      <c r="A4613" t="inlineStr">
        <is>
          <t>SOCIETE C454</t>
        </is>
      </c>
      <c r="B4613" t="inlineStr">
        <is>
          <t>C454</t>
        </is>
      </c>
      <c r="C4613" t="inlineStr">
        <is>
          <t>SME</t>
        </is>
      </c>
      <c r="D4613" t="inlineStr">
        <is>
          <t>I</t>
        </is>
      </c>
      <c r="E4613" t="inlineStr">
        <is>
          <t>Stage 1</t>
        </is>
      </c>
      <c r="F4613" t="inlineStr">
        <is>
          <t>N/A</t>
        </is>
      </c>
      <c r="G4613" s="26">
        <v>15008456</v>
      </c>
      <c r="H4613" s="26">
        <v>150085</v>
      </c>
      <c r="I4613" s="26">
        <v>2253853</v>
      </c>
      <c r="J4613" s="26">
        <v>49</v>
      </c>
      <c r="K4613" t="inlineStr">
        <is>
          <t>Non</t>
        </is>
      </c>
      <c r="L4613">
        <f>SUBTOTAL(103,A4613)</f>
        <v>1</v>
      </c>
    </row>
    <row r="4614">
      <c r="A4614" t="inlineStr">
        <is>
          <t>SOCIETE C1309</t>
        </is>
      </c>
      <c r="B4614" t="inlineStr">
        <is>
          <t>C1309</t>
        </is>
      </c>
      <c r="C4614" t="inlineStr">
        <is>
          <t>SME</t>
        </is>
      </c>
      <c r="D4614" t="inlineStr">
        <is>
          <t>I</t>
        </is>
      </c>
      <c r="E4614" t="inlineStr">
        <is>
          <t>Stage 1</t>
        </is>
      </c>
      <c r="F4614" t="inlineStr">
        <is>
          <t>N/A</t>
        </is>
      </c>
      <c r="G4614" s="26">
        <v>2847091327</v>
      </c>
      <c r="H4614" s="26">
        <v>28470913</v>
      </c>
      <c r="I4614" s="26">
        <v>535083875</v>
      </c>
      <c r="J4614" s="26">
        <v>196</v>
      </c>
      <c r="K4614" t="inlineStr">
        <is>
          <t>Non</t>
        </is>
      </c>
      <c r="L4614">
        <f>SUBTOTAL(103,A4614)</f>
        <v>1</v>
      </c>
    </row>
    <row r="4615">
      <c r="A4615" t="inlineStr">
        <is>
          <t>SOCIETE C351</t>
        </is>
      </c>
      <c r="B4615" t="inlineStr">
        <is>
          <t>C351</t>
        </is>
      </c>
      <c r="C4615" t="inlineStr">
        <is>
          <t>COMMERCIAL BANKING</t>
        </is>
      </c>
      <c r="D4615" t="inlineStr">
        <is>
          <t>II</t>
        </is>
      </c>
      <c r="E4615" t="inlineStr">
        <is>
          <t>Stage 2</t>
        </is>
      </c>
      <c r="F4615" t="inlineStr">
        <is>
          <t>N/A</t>
        </is>
      </c>
      <c r="G4615" s="26">
        <v>15846826</v>
      </c>
      <c r="H4615" s="26">
        <v>950810</v>
      </c>
      <c r="I4615" s="26">
        <v>2417907</v>
      </c>
      <c r="J4615" s="26">
        <v>3</v>
      </c>
      <c r="K4615" t="inlineStr">
        <is>
          <t>Non</t>
        </is>
      </c>
      <c r="L4615">
        <f>SUBTOTAL(103,A4615)</f>
        <v>1</v>
      </c>
    </row>
    <row r="4616">
      <c r="A4616" t="inlineStr">
        <is>
          <t>SOCIETE C373</t>
        </is>
      </c>
      <c r="B4616" t="inlineStr">
        <is>
          <t>C373</t>
        </is>
      </c>
      <c r="C4616" t="inlineStr">
        <is>
          <t>CORPORATE BANKING</t>
        </is>
      </c>
      <c r="D4616" t="inlineStr">
        <is>
          <t>I</t>
        </is>
      </c>
      <c r="E4616" t="inlineStr">
        <is>
          <t>Stage 1</t>
        </is>
      </c>
      <c r="F4616" t="inlineStr">
        <is>
          <t>N/A</t>
        </is>
      </c>
      <c r="G4616" s="26">
        <v>34701649</v>
      </c>
      <c r="H4616" s="26">
        <v>347016</v>
      </c>
      <c r="I4616" s="26">
        <v>1264998</v>
      </c>
      <c r="J4616" s="26">
        <v>55</v>
      </c>
      <c r="K4616" t="inlineStr">
        <is>
          <t>Non</t>
        </is>
      </c>
      <c r="L4616">
        <f>SUBTOTAL(103,A4616)</f>
        <v>1</v>
      </c>
    </row>
    <row r="4617">
      <c r="A4617" t="inlineStr">
        <is>
          <t>SOCIETE C647</t>
        </is>
      </c>
      <c r="B4617" t="inlineStr">
        <is>
          <t>C647</t>
        </is>
      </c>
      <c r="C4617" t="inlineStr">
        <is>
          <t>COMMERCIAL BANKING</t>
        </is>
      </c>
      <c r="D4617" t="inlineStr">
        <is>
          <t>II</t>
        </is>
      </c>
      <c r="E4617" t="inlineStr">
        <is>
          <t>Stage 2</t>
        </is>
      </c>
      <c r="F4617" t="inlineStr">
        <is>
          <t>N/A</t>
        </is>
      </c>
      <c r="G4617" s="26">
        <v>614554974</v>
      </c>
      <c r="H4617" s="26">
        <v>36873298</v>
      </c>
      <c r="I4617" s="26">
        <v>0</v>
      </c>
      <c r="J4617" s="26">
        <v>3</v>
      </c>
      <c r="K4617" t="inlineStr">
        <is>
          <t>Non</t>
        </is>
      </c>
      <c r="L4617">
        <f>SUBTOTAL(103,A4617)</f>
        <v>1</v>
      </c>
    </row>
    <row r="4618">
      <c r="A4618" t="inlineStr">
        <is>
          <t>SOCIETE C1637</t>
        </is>
      </c>
      <c r="B4618" t="inlineStr">
        <is>
          <t>C1637</t>
        </is>
      </c>
      <c r="C4618" t="inlineStr">
        <is>
          <t>CORPORATE BANKING</t>
        </is>
      </c>
      <c r="D4618" t="inlineStr">
        <is>
          <t>I</t>
        </is>
      </c>
      <c r="E4618" t="inlineStr">
        <is>
          <t>Stage 1</t>
        </is>
      </c>
      <c r="F4618" t="inlineStr">
        <is>
          <t>N/A</t>
        </is>
      </c>
      <c r="G4618" s="26">
        <v>29815346</v>
      </c>
      <c r="H4618" s="26">
        <v>298153</v>
      </c>
      <c r="I4618" s="26">
        <v>3544987</v>
      </c>
      <c r="J4618" s="26">
        <v>32</v>
      </c>
      <c r="K4618" t="inlineStr">
        <is>
          <t>Non</t>
        </is>
      </c>
      <c r="L4618">
        <f>SUBTOTAL(103,A4618)</f>
        <v>1</v>
      </c>
    </row>
    <row r="4619">
      <c r="A4619" t="inlineStr">
        <is>
          <t>SOCIETE C1627</t>
        </is>
      </c>
      <c r="B4619" t="inlineStr">
        <is>
          <t>C1627</t>
        </is>
      </c>
      <c r="C4619" t="inlineStr">
        <is>
          <t>CORPORATE BANKING</t>
        </is>
      </c>
      <c r="D4619" t="inlineStr">
        <is>
          <t>I</t>
        </is>
      </c>
      <c r="E4619" t="inlineStr">
        <is>
          <t>Stage 1</t>
        </is>
      </c>
      <c r="F4619" t="inlineStr">
        <is>
          <t>N/A</t>
        </is>
      </c>
      <c r="G4619" s="26">
        <v>6799139</v>
      </c>
      <c r="H4619" s="26">
        <v>67991</v>
      </c>
      <c r="I4619" s="26">
        <v>0</v>
      </c>
      <c r="J4619" s="26">
        <v>24</v>
      </c>
      <c r="K4619" t="inlineStr">
        <is>
          <t>Non</t>
        </is>
      </c>
      <c r="L4619">
        <f>SUBTOTAL(103,A4619)</f>
        <v>1</v>
      </c>
    </row>
    <row r="4620">
      <c r="A4620" t="inlineStr">
        <is>
          <t>SOCIETE C961</t>
        </is>
      </c>
      <c r="B4620" t="inlineStr">
        <is>
          <t>C961</t>
        </is>
      </c>
      <c r="C4620" t="inlineStr">
        <is>
          <t>PUBLIC SECTOR</t>
        </is>
      </c>
      <c r="D4620" t="inlineStr">
        <is>
          <t>V</t>
        </is>
      </c>
      <c r="E4620" t="inlineStr">
        <is>
          <t>Stage 3</t>
        </is>
      </c>
      <c r="F4620" t="inlineStr">
        <is>
          <t>N/A</t>
        </is>
      </c>
      <c r="G4620" s="26">
        <v>35384029</v>
      </c>
      <c r="H4620" s="26">
        <v>19461216</v>
      </c>
      <c r="I4620" s="26">
        <v>1286283</v>
      </c>
      <c r="J4620" s="26">
        <v>70</v>
      </c>
      <c r="K4620" t="inlineStr">
        <is>
          <t>Oui</t>
        </is>
      </c>
      <c r="L4620">
        <f>SUBTOTAL(103,A4620)</f>
        <v>1</v>
      </c>
    </row>
    <row r="4621">
      <c r="A4621" t="inlineStr">
        <is>
          <t>SOCIETE C999</t>
        </is>
      </c>
      <c r="B4621" t="inlineStr">
        <is>
          <t>C999</t>
        </is>
      </c>
      <c r="C4621" t="inlineStr">
        <is>
          <t>COMMERCIAL BANKING</t>
        </is>
      </c>
      <c r="D4621" t="inlineStr">
        <is>
          <t>I</t>
        </is>
      </c>
      <c r="E4621" t="inlineStr">
        <is>
          <t>Stage 1</t>
        </is>
      </c>
      <c r="F4621" t="inlineStr">
        <is>
          <t>N/A</t>
        </is>
      </c>
      <c r="G4621" s="26">
        <v>2206747789</v>
      </c>
      <c r="H4621" s="26">
        <v>22067478</v>
      </c>
      <c r="I4621" s="26">
        <v>94096639</v>
      </c>
      <c r="J4621" s="26">
        <v>65</v>
      </c>
      <c r="K4621" t="inlineStr">
        <is>
          <t>Non</t>
        </is>
      </c>
      <c r="L4621">
        <f>SUBTOTAL(103,A4621)</f>
        <v>1</v>
      </c>
    </row>
    <row r="4622">
      <c r="A4622" t="inlineStr">
        <is>
          <t>SOCIETE C514</t>
        </is>
      </c>
      <c r="B4622" t="inlineStr">
        <is>
          <t>C514</t>
        </is>
      </c>
      <c r="C4622" t="inlineStr">
        <is>
          <t>CORPORATE BANKING</t>
        </is>
      </c>
      <c r="D4622" t="inlineStr">
        <is>
          <t>I</t>
        </is>
      </c>
      <c r="E4622" t="inlineStr">
        <is>
          <t>Stage 1</t>
        </is>
      </c>
      <c r="F4622" t="inlineStr">
        <is>
          <t>N/A</t>
        </is>
      </c>
      <c r="G4622" s="26">
        <v>2037979665</v>
      </c>
      <c r="H4622" s="26">
        <v>20379797</v>
      </c>
      <c r="I4622" s="26">
        <v>0</v>
      </c>
      <c r="J4622" s="26">
        <v>202</v>
      </c>
      <c r="K4622" t="inlineStr">
        <is>
          <t>Non</t>
        </is>
      </c>
      <c r="L4622">
        <f>SUBTOTAL(103,A4622)</f>
        <v>1</v>
      </c>
    </row>
    <row r="4623">
      <c r="A4623" t="inlineStr">
        <is>
          <t>SOCIETE C138</t>
        </is>
      </c>
      <c r="B4623" t="inlineStr">
        <is>
          <t>C138</t>
        </is>
      </c>
      <c r="C4623" t="inlineStr">
        <is>
          <t>CORPORATE BANKING</t>
        </is>
      </c>
      <c r="D4623" t="inlineStr">
        <is>
          <t>II</t>
        </is>
      </c>
      <c r="E4623" t="inlineStr">
        <is>
          <t>Stage 2</t>
        </is>
      </c>
      <c r="F4623" t="inlineStr">
        <is>
          <t>N/A</t>
        </is>
      </c>
      <c r="G4623" s="26">
        <v>1444817756</v>
      </c>
      <c r="H4623" s="26">
        <v>86689065</v>
      </c>
      <c r="I4623" s="26">
        <v>0</v>
      </c>
      <c r="J4623" s="26">
        <v>113</v>
      </c>
      <c r="K4623" t="inlineStr">
        <is>
          <t>Non</t>
        </is>
      </c>
      <c r="L4623">
        <f>SUBTOTAL(103,A4623)</f>
        <v>1</v>
      </c>
    </row>
    <row r="4624">
      <c r="A4624" t="inlineStr">
        <is>
          <t>SOCIETE C1204</t>
        </is>
      </c>
      <c r="B4624" t="inlineStr">
        <is>
          <t>C1204</t>
        </is>
      </c>
      <c r="C4624" t="inlineStr">
        <is>
          <t>COMMERCIAL BANKING</t>
        </is>
      </c>
      <c r="D4624" t="inlineStr">
        <is>
          <t>I</t>
        </is>
      </c>
      <c r="E4624" t="inlineStr">
        <is>
          <t>Stage 1</t>
        </is>
      </c>
      <c r="F4624" t="inlineStr">
        <is>
          <t>N/A</t>
        </is>
      </c>
      <c r="G4624" s="26">
        <v>2110080828</v>
      </c>
      <c r="H4624" s="26">
        <v>21100808</v>
      </c>
      <c r="I4624" s="26">
        <v>42367398</v>
      </c>
      <c r="J4624" s="26">
        <v>42</v>
      </c>
      <c r="K4624" t="inlineStr">
        <is>
          <t>Non</t>
        </is>
      </c>
      <c r="L4624">
        <f>SUBTOTAL(103,A4624)</f>
        <v>1</v>
      </c>
    </row>
    <row r="4625">
      <c r="A4625" t="inlineStr">
        <is>
          <t>SOCIETE C335</t>
        </is>
      </c>
      <c r="B4625" t="inlineStr">
        <is>
          <t>C335</t>
        </is>
      </c>
      <c r="C4625" t="inlineStr">
        <is>
          <t>CORPORATE BANKING</t>
        </is>
      </c>
      <c r="D4625" t="inlineStr">
        <is>
          <t>V</t>
        </is>
      </c>
      <c r="E4625" t="inlineStr">
        <is>
          <t>Stage 3</t>
        </is>
      </c>
      <c r="F4625" t="inlineStr">
        <is>
          <t>N/A</t>
        </is>
      </c>
      <c r="G4625" s="26">
        <v>815540332</v>
      </c>
      <c r="H4625" s="26">
        <v>448547183</v>
      </c>
      <c r="I4625" s="26">
        <v>0</v>
      </c>
      <c r="J4625" s="26">
        <v>10</v>
      </c>
      <c r="K4625" t="inlineStr">
        <is>
          <t>Oui</t>
        </is>
      </c>
      <c r="L4625">
        <f>SUBTOTAL(103,A4625)</f>
        <v>1</v>
      </c>
    </row>
    <row r="4626">
      <c r="A4626" t="inlineStr">
        <is>
          <t>SOCIETE C1615</t>
        </is>
      </c>
      <c r="B4626" t="inlineStr">
        <is>
          <t>C1615</t>
        </is>
      </c>
      <c r="C4626" t="inlineStr">
        <is>
          <t>CORPORATE BANKING</t>
        </is>
      </c>
      <c r="D4626" t="inlineStr">
        <is>
          <t>IV</t>
        </is>
      </c>
      <c r="E4626" t="inlineStr">
        <is>
          <t>Stage 3</t>
        </is>
      </c>
      <c r="F4626" t="inlineStr">
        <is>
          <t>N/A</t>
        </is>
      </c>
      <c r="G4626" s="26">
        <v>1696091461</v>
      </c>
      <c r="H4626" s="26">
        <v>932850304</v>
      </c>
      <c r="I4626" s="26">
        <v>65435806</v>
      </c>
      <c r="J4626" s="26">
        <v>37</v>
      </c>
      <c r="K4626" t="inlineStr">
        <is>
          <t>Oui</t>
        </is>
      </c>
      <c r="L4626">
        <f>SUBTOTAL(103,A4626)</f>
        <v>1</v>
      </c>
    </row>
    <row r="4627">
      <c r="A4627" t="inlineStr">
        <is>
          <t>SOCIETE C632</t>
        </is>
      </c>
      <c r="B4627" t="inlineStr">
        <is>
          <t>C632</t>
        </is>
      </c>
      <c r="C4627" t="inlineStr">
        <is>
          <t>CORPORATE BANKING</t>
        </is>
      </c>
      <c r="D4627" t="inlineStr">
        <is>
          <t>I</t>
        </is>
      </c>
      <c r="E4627" t="inlineStr">
        <is>
          <t>Stage 1</t>
        </is>
      </c>
      <c r="F4627" t="inlineStr">
        <is>
          <t>N/A</t>
        </is>
      </c>
      <c r="G4627" s="26">
        <v>1003763</v>
      </c>
      <c r="H4627" s="26">
        <v>10038</v>
      </c>
      <c r="I4627" s="26">
        <v>0</v>
      </c>
      <c r="J4627" s="26">
        <v>24</v>
      </c>
      <c r="K4627" t="inlineStr">
        <is>
          <t>Non</t>
        </is>
      </c>
      <c r="L4627">
        <f>SUBTOTAL(103,A4627)</f>
        <v>1</v>
      </c>
    </row>
    <row r="4628">
      <c r="A4628" t="inlineStr">
        <is>
          <t>SOCIETE C1923</t>
        </is>
      </c>
      <c r="B4628" t="inlineStr">
        <is>
          <t>C1923</t>
        </is>
      </c>
      <c r="C4628" t="inlineStr">
        <is>
          <t>CORPORATE BANKING</t>
        </is>
      </c>
      <c r="D4628" t="inlineStr">
        <is>
          <t>I</t>
        </is>
      </c>
      <c r="E4628" t="inlineStr">
        <is>
          <t>Stage 1</t>
        </is>
      </c>
      <c r="F4628" t="inlineStr">
        <is>
          <t>N/A</t>
        </is>
      </c>
      <c r="G4628" s="26">
        <v>710119033</v>
      </c>
      <c r="H4628" s="26">
        <v>7101190</v>
      </c>
      <c r="I4628" s="26">
        <v>127646113</v>
      </c>
      <c r="J4628" s="26">
        <v>124</v>
      </c>
      <c r="K4628" t="inlineStr">
        <is>
          <t>Non</t>
        </is>
      </c>
      <c r="L4628">
        <f>SUBTOTAL(103,A4628)</f>
        <v>1</v>
      </c>
    </row>
    <row r="4629">
      <c r="A4629" t="inlineStr">
        <is>
          <t>SOCIETE C1673</t>
        </is>
      </c>
      <c r="B4629" t="inlineStr">
        <is>
          <t>C1673</t>
        </is>
      </c>
      <c r="C4629" t="inlineStr">
        <is>
          <t>CORPORATE BANKING</t>
        </is>
      </c>
      <c r="D4629" t="inlineStr">
        <is>
          <t>IA</t>
        </is>
      </c>
      <c r="E4629" t="inlineStr">
        <is>
          <t>Stage 2</t>
        </is>
      </c>
      <c r="F4629" t="inlineStr">
        <is>
          <t>N/A</t>
        </is>
      </c>
      <c r="G4629" s="26">
        <v>200803265</v>
      </c>
      <c r="H4629" s="26">
        <v>12048196</v>
      </c>
      <c r="I4629" s="26">
        <v>0</v>
      </c>
      <c r="J4629" s="26">
        <v>15</v>
      </c>
      <c r="K4629" t="inlineStr">
        <is>
          <t>Non</t>
        </is>
      </c>
      <c r="L4629">
        <f>SUBTOTAL(103,A4629)</f>
        <v>1</v>
      </c>
    </row>
    <row r="4630">
      <c r="A4630" t="inlineStr">
        <is>
          <t>SOCIETE C508</t>
        </is>
      </c>
      <c r="B4630" t="inlineStr">
        <is>
          <t>C508</t>
        </is>
      </c>
      <c r="C4630" t="inlineStr">
        <is>
          <t>CORPORATE BANKING</t>
        </is>
      </c>
      <c r="D4630" t="inlineStr">
        <is>
          <t>II</t>
        </is>
      </c>
      <c r="E4630" t="inlineStr">
        <is>
          <t>Stage 2</t>
        </is>
      </c>
      <c r="F4630" t="inlineStr">
        <is>
          <t>N/A</t>
        </is>
      </c>
      <c r="G4630" s="26">
        <v>15189070</v>
      </c>
      <c r="H4630" s="26">
        <v>911344</v>
      </c>
      <c r="I4630" s="26">
        <v>0</v>
      </c>
      <c r="J4630" s="26">
        <v>24</v>
      </c>
      <c r="K4630" t="inlineStr">
        <is>
          <t>Non</t>
        </is>
      </c>
      <c r="L4630">
        <f>SUBTOTAL(103,A4630)</f>
        <v>1</v>
      </c>
    </row>
    <row r="4631">
      <c r="A4631" t="inlineStr">
        <is>
          <t>SOCIETE C1179</t>
        </is>
      </c>
      <c r="B4631" t="inlineStr">
        <is>
          <t>C1179</t>
        </is>
      </c>
      <c r="C4631" t="inlineStr">
        <is>
          <t>CORPORATE BANKING</t>
        </is>
      </c>
      <c r="D4631" t="inlineStr">
        <is>
          <t>III</t>
        </is>
      </c>
      <c r="E4631" t="inlineStr">
        <is>
          <t>Stage 3</t>
        </is>
      </c>
      <c r="F4631" t="inlineStr">
        <is>
          <t>N/A</t>
        </is>
      </c>
      <c r="G4631" s="26">
        <v>1369990047</v>
      </c>
      <c r="H4631" s="26">
        <v>753494526</v>
      </c>
      <c r="I4631" s="26">
        <v>0</v>
      </c>
      <c r="J4631" s="26">
        <v>41</v>
      </c>
      <c r="K4631" t="inlineStr">
        <is>
          <t>Oui</t>
        </is>
      </c>
      <c r="L4631">
        <f>SUBTOTAL(103,A4631)</f>
        <v>1</v>
      </c>
    </row>
    <row r="4632">
      <c r="A4632" t="inlineStr">
        <is>
          <t>SOCIETE C2390</t>
        </is>
      </c>
      <c r="B4632" t="inlineStr">
        <is>
          <t>C2390</t>
        </is>
      </c>
      <c r="C4632" t="inlineStr">
        <is>
          <t>CORPORATE BANKING</t>
        </is>
      </c>
      <c r="D4632" t="inlineStr">
        <is>
          <t>V</t>
        </is>
      </c>
      <c r="E4632" t="inlineStr">
        <is>
          <t>Stage 3</t>
        </is>
      </c>
      <c r="F4632" t="inlineStr">
        <is>
          <t>N/A</t>
        </is>
      </c>
      <c r="G4632" s="26">
        <v>5649220</v>
      </c>
      <c r="H4632" s="26">
        <v>3107071</v>
      </c>
      <c r="I4632" s="26">
        <v>0</v>
      </c>
      <c r="J4632" s="26">
        <v>18</v>
      </c>
      <c r="K4632" t="inlineStr">
        <is>
          <t>Oui</t>
        </is>
      </c>
      <c r="L4632">
        <f>SUBTOTAL(103,A4632)</f>
        <v>1</v>
      </c>
    </row>
    <row r="4633">
      <c r="A4633" t="inlineStr">
        <is>
          <t>SOCIETE C2303</t>
        </is>
      </c>
      <c r="B4633" t="inlineStr">
        <is>
          <t>C2303</t>
        </is>
      </c>
      <c r="C4633" t="inlineStr">
        <is>
          <t>CORPORATE BANKING</t>
        </is>
      </c>
      <c r="D4633" t="inlineStr">
        <is>
          <t>I</t>
        </is>
      </c>
      <c r="E4633" t="inlineStr">
        <is>
          <t>Stage 1</t>
        </is>
      </c>
      <c r="F4633" t="inlineStr">
        <is>
          <t>N/A</t>
        </is>
      </c>
      <c r="G4633" s="26">
        <v>407842058</v>
      </c>
      <c r="H4633" s="26">
        <v>4078421</v>
      </c>
      <c r="I4633" s="26">
        <v>0</v>
      </c>
      <c r="J4633" s="26">
        <v>324</v>
      </c>
      <c r="K4633" t="inlineStr">
        <is>
          <t>Non</t>
        </is>
      </c>
      <c r="L4633">
        <f>SUBTOTAL(103,A4633)</f>
        <v>1</v>
      </c>
    </row>
    <row r="4634">
      <c r="A4634" t="inlineStr">
        <is>
          <t>SOCIETE C1143</t>
        </is>
      </c>
      <c r="B4634" t="inlineStr">
        <is>
          <t>C1143</t>
        </is>
      </c>
      <c r="C4634" t="inlineStr">
        <is>
          <t>CORPORATE BANKING</t>
        </is>
      </c>
      <c r="D4634" t="inlineStr">
        <is>
          <t>I</t>
        </is>
      </c>
      <c r="E4634" t="inlineStr">
        <is>
          <t>Stage 1</t>
        </is>
      </c>
      <c r="F4634" t="inlineStr">
        <is>
          <t>N/A</t>
        </is>
      </c>
      <c r="G4634" s="26">
        <v>10286676</v>
      </c>
      <c r="H4634" s="26">
        <v>102867</v>
      </c>
      <c r="I4634" s="26">
        <v>0</v>
      </c>
      <c r="J4634" s="26">
        <v>96</v>
      </c>
      <c r="K4634" t="inlineStr">
        <is>
          <t>Non</t>
        </is>
      </c>
      <c r="L4634">
        <f>SUBTOTAL(103,A4634)</f>
        <v>1</v>
      </c>
    </row>
    <row r="4635">
      <c r="A4635" t="inlineStr">
        <is>
          <t>SOCIETE C966</t>
        </is>
      </c>
      <c r="B4635" t="inlineStr">
        <is>
          <t>C966</t>
        </is>
      </c>
      <c r="C4635" t="inlineStr">
        <is>
          <t>CONSUMER BANKING</t>
        </is>
      </c>
      <c r="D4635" t="inlineStr">
        <is>
          <t>IA</t>
        </is>
      </c>
      <c r="E4635" t="inlineStr">
        <is>
          <t>Stage 2</t>
        </is>
      </c>
      <c r="F4635" t="inlineStr">
        <is>
          <t>N/A</t>
        </is>
      </c>
      <c r="G4635" s="26">
        <v>534842223</v>
      </c>
      <c r="H4635" s="26">
        <v>32090533</v>
      </c>
      <c r="I4635" s="26">
        <v>21498307</v>
      </c>
      <c r="J4635" s="26">
        <v>144</v>
      </c>
      <c r="K4635" t="inlineStr">
        <is>
          <t>Non</t>
        </is>
      </c>
      <c r="L4635">
        <f>SUBTOTAL(103,A4635)</f>
        <v>1</v>
      </c>
    </row>
    <row r="4636">
      <c r="A4636" t="inlineStr">
        <is>
          <t>SOCIETE C707</t>
        </is>
      </c>
      <c r="B4636" t="inlineStr">
        <is>
          <t>C707</t>
        </is>
      </c>
      <c r="C4636" t="inlineStr">
        <is>
          <t>CORPORATE BANKING</t>
        </is>
      </c>
      <c r="D4636" t="inlineStr">
        <is>
          <t>IA</t>
        </is>
      </c>
      <c r="E4636" t="inlineStr">
        <is>
          <t>Stage 2</t>
        </is>
      </c>
      <c r="F4636" t="inlineStr">
        <is>
          <t>N/A</t>
        </is>
      </c>
      <c r="G4636" s="26">
        <v>1716166546</v>
      </c>
      <c r="H4636" s="26">
        <v>102969993</v>
      </c>
      <c r="I4636" s="26">
        <v>305533822</v>
      </c>
      <c r="J4636" s="26">
        <v>343</v>
      </c>
      <c r="K4636" t="inlineStr">
        <is>
          <t>Non</t>
        </is>
      </c>
      <c r="L4636">
        <f>SUBTOTAL(103,A4636)</f>
        <v>1</v>
      </c>
    </row>
    <row r="4637">
      <c r="A4637" t="inlineStr">
        <is>
          <t>SOCIETE C1415</t>
        </is>
      </c>
      <c r="B4637" t="inlineStr">
        <is>
          <t>C1415</t>
        </is>
      </c>
      <c r="C4637" t="inlineStr">
        <is>
          <t>PUBLIC SECTOR</t>
        </is>
      </c>
      <c r="D4637" t="inlineStr">
        <is>
          <t>I</t>
        </is>
      </c>
      <c r="E4637" t="inlineStr">
        <is>
          <t>Stage 1</t>
        </is>
      </c>
      <c r="F4637" t="inlineStr">
        <is>
          <t>N/A</t>
        </is>
      </c>
      <c r="G4637" s="26">
        <v>1581623893</v>
      </c>
      <c r="H4637" s="26">
        <v>15816239</v>
      </c>
      <c r="I4637" s="26">
        <v>118262429</v>
      </c>
      <c r="J4637" s="26">
        <v>144</v>
      </c>
      <c r="K4637" t="inlineStr">
        <is>
          <t>Non</t>
        </is>
      </c>
      <c r="L4637">
        <f>SUBTOTAL(103,A4637)</f>
        <v>1</v>
      </c>
    </row>
    <row r="4638">
      <c r="A4638" t="inlineStr">
        <is>
          <t>SOCIETE C2414</t>
        </is>
      </c>
      <c r="B4638" t="inlineStr">
        <is>
          <t>C2414</t>
        </is>
      </c>
      <c r="C4638" t="inlineStr">
        <is>
          <t>CORPORATE BANKING</t>
        </is>
      </c>
      <c r="D4638" t="inlineStr">
        <is>
          <t>I</t>
        </is>
      </c>
      <c r="E4638" t="inlineStr">
        <is>
          <t>Stage 1</t>
        </is>
      </c>
      <c r="F4638" t="inlineStr">
        <is>
          <t>N/A</t>
        </is>
      </c>
      <c r="G4638" s="26">
        <v>729369435</v>
      </c>
      <c r="H4638" s="26">
        <v>7293694</v>
      </c>
      <c r="I4638" s="26">
        <v>109650482</v>
      </c>
      <c r="J4638" s="26">
        <v>135</v>
      </c>
      <c r="K4638" t="inlineStr">
        <is>
          <t>Non</t>
        </is>
      </c>
      <c r="L4638">
        <f>SUBTOTAL(103,A4638)</f>
        <v>1</v>
      </c>
    </row>
    <row r="4639">
      <c r="A4639" t="inlineStr">
        <is>
          <t>SOCIETE C1246</t>
        </is>
      </c>
      <c r="B4639" t="inlineStr">
        <is>
          <t>C1246</t>
        </is>
      </c>
      <c r="C4639" t="inlineStr">
        <is>
          <t>COMMERCIAL BANKING</t>
        </is>
      </c>
      <c r="D4639" t="inlineStr">
        <is>
          <t>II</t>
        </is>
      </c>
      <c r="E4639" t="inlineStr">
        <is>
          <t>Stage 2</t>
        </is>
      </c>
      <c r="F4639" t="inlineStr">
        <is>
          <t>N/A</t>
        </is>
      </c>
      <c r="G4639" s="26">
        <v>39136345</v>
      </c>
      <c r="H4639" s="26">
        <v>2348181</v>
      </c>
      <c r="I4639" s="26">
        <v>3174103</v>
      </c>
      <c r="J4639" s="26">
        <v>12</v>
      </c>
      <c r="K4639" t="inlineStr">
        <is>
          <t>Non</t>
        </is>
      </c>
      <c r="L4639">
        <f>SUBTOTAL(103,A4639)</f>
        <v>1</v>
      </c>
    </row>
    <row r="4640">
      <c r="A4640" t="inlineStr">
        <is>
          <t>SOCIETE C403</t>
        </is>
      </c>
      <c r="B4640" t="inlineStr">
        <is>
          <t>C403</t>
        </is>
      </c>
      <c r="C4640" t="inlineStr">
        <is>
          <t>CORPORATE BANKING</t>
        </is>
      </c>
      <c r="D4640" t="inlineStr">
        <is>
          <t>I</t>
        </is>
      </c>
      <c r="E4640" t="inlineStr">
        <is>
          <t>Stage 1</t>
        </is>
      </c>
      <c r="F4640" t="inlineStr">
        <is>
          <t>N/A</t>
        </is>
      </c>
      <c r="G4640" s="26">
        <v>122651484</v>
      </c>
      <c r="H4640" s="26">
        <v>1226515</v>
      </c>
      <c r="I4640" s="26">
        <v>0</v>
      </c>
      <c r="J4640" s="26">
        <v>91</v>
      </c>
      <c r="K4640" t="inlineStr">
        <is>
          <t>Non</t>
        </is>
      </c>
      <c r="L4640">
        <f>SUBTOTAL(103,A4640)</f>
        <v>1</v>
      </c>
    </row>
    <row r="4641">
      <c r="A4641" t="inlineStr">
        <is>
          <t>SOCIETE C1446</t>
        </is>
      </c>
      <c r="B4641" t="inlineStr">
        <is>
          <t>C1446</t>
        </is>
      </c>
      <c r="C4641" t="inlineStr">
        <is>
          <t>COMMERCIAL BANKING</t>
        </is>
      </c>
      <c r="D4641" t="inlineStr">
        <is>
          <t>I</t>
        </is>
      </c>
      <c r="E4641" t="inlineStr">
        <is>
          <t>Stage 1</t>
        </is>
      </c>
      <c r="F4641" t="inlineStr">
        <is>
          <t>N/A</t>
        </is>
      </c>
      <c r="G4641" s="26">
        <v>1778620252</v>
      </c>
      <c r="H4641" s="26">
        <v>17786203</v>
      </c>
      <c r="I4641" s="26">
        <v>0</v>
      </c>
      <c r="J4641" s="26">
        <v>8</v>
      </c>
      <c r="K4641" t="inlineStr">
        <is>
          <t>Non</t>
        </is>
      </c>
      <c r="L4641">
        <f>SUBTOTAL(103,A4641)</f>
        <v>1</v>
      </c>
    </row>
    <row r="4642">
      <c r="A4642" t="inlineStr">
        <is>
          <t>SOCIETE C616</t>
        </is>
      </c>
      <c r="B4642" t="inlineStr">
        <is>
          <t>C616</t>
        </is>
      </c>
      <c r="C4642" t="inlineStr">
        <is>
          <t>CORPORATE BANKING</t>
        </is>
      </c>
      <c r="D4642" t="inlineStr">
        <is>
          <t>I</t>
        </is>
      </c>
      <c r="E4642" t="inlineStr">
        <is>
          <t>Stage 1</t>
        </is>
      </c>
      <c r="F4642" t="inlineStr">
        <is>
          <t>N/A</t>
        </is>
      </c>
      <c r="G4642" s="26">
        <v>42304635</v>
      </c>
      <c r="H4642" s="26">
        <v>423046</v>
      </c>
      <c r="I4642" s="26">
        <v>0</v>
      </c>
      <c r="J4642" s="26">
        <v>143</v>
      </c>
      <c r="K4642" t="inlineStr">
        <is>
          <t>Non</t>
        </is>
      </c>
      <c r="L4642">
        <f>SUBTOTAL(103,A4642)</f>
        <v>1</v>
      </c>
    </row>
    <row r="4643">
      <c r="A4643" t="inlineStr">
        <is>
          <t>SOCIETE C1293</t>
        </is>
      </c>
      <c r="B4643" t="inlineStr">
        <is>
          <t>C1293</t>
        </is>
      </c>
      <c r="C4643" t="inlineStr">
        <is>
          <t>CORPORATE BANKING</t>
        </is>
      </c>
      <c r="D4643" t="inlineStr">
        <is>
          <t>I</t>
        </is>
      </c>
      <c r="E4643" t="inlineStr">
        <is>
          <t>Stage 1</t>
        </is>
      </c>
      <c r="F4643" t="inlineStr">
        <is>
          <t>N/A</t>
        </is>
      </c>
      <c r="G4643" s="26">
        <v>216492847</v>
      </c>
      <c r="H4643" s="26">
        <v>2164928</v>
      </c>
      <c r="I4643" s="26">
        <v>0</v>
      </c>
      <c r="J4643" s="26">
        <v>99</v>
      </c>
      <c r="K4643" t="inlineStr">
        <is>
          <t>Non</t>
        </is>
      </c>
      <c r="L4643">
        <f>SUBTOTAL(103,A4643)</f>
        <v>1</v>
      </c>
    </row>
    <row r="4644">
      <c r="A4644" t="inlineStr">
        <is>
          <t>SOCIETE C1291</t>
        </is>
      </c>
      <c r="B4644" t="inlineStr">
        <is>
          <t>C1291</t>
        </is>
      </c>
      <c r="C4644" t="inlineStr">
        <is>
          <t>CONSUMER BANKING</t>
        </is>
      </c>
      <c r="D4644" t="inlineStr">
        <is>
          <t>I</t>
        </is>
      </c>
      <c r="E4644" t="inlineStr">
        <is>
          <t>Stage 1</t>
        </is>
      </c>
      <c r="F4644" t="inlineStr">
        <is>
          <t>N/A</t>
        </is>
      </c>
      <c r="G4644" s="26">
        <v>110052408</v>
      </c>
      <c r="H4644" s="26">
        <v>1100524</v>
      </c>
      <c r="I4644" s="26">
        <v>0</v>
      </c>
      <c r="J4644" s="26">
        <v>40</v>
      </c>
      <c r="K4644" t="inlineStr">
        <is>
          <t>Non</t>
        </is>
      </c>
      <c r="L4644">
        <f>SUBTOTAL(103,A4644)</f>
        <v>1</v>
      </c>
    </row>
    <row r="4645">
      <c r="A4645" t="inlineStr">
        <is>
          <t>SOCIETE C460</t>
        </is>
      </c>
      <c r="B4645" t="inlineStr">
        <is>
          <t>C460</t>
        </is>
      </c>
      <c r="C4645" t="inlineStr">
        <is>
          <t>COMMERCIAL BANKING</t>
        </is>
      </c>
      <c r="D4645" t="inlineStr">
        <is>
          <t>I</t>
        </is>
      </c>
      <c r="E4645" t="inlineStr">
        <is>
          <t>Stage 1</t>
        </is>
      </c>
      <c r="F4645" t="inlineStr">
        <is>
          <t>N/A</t>
        </is>
      </c>
      <c r="G4645" s="26">
        <v>664541684</v>
      </c>
      <c r="H4645" s="26">
        <v>6645417</v>
      </c>
      <c r="I4645" s="26">
        <v>0</v>
      </c>
      <c r="J4645" s="26">
        <v>146</v>
      </c>
      <c r="K4645" t="inlineStr">
        <is>
          <t>Non</t>
        </is>
      </c>
      <c r="L4645">
        <f>SUBTOTAL(103,A4645)</f>
        <v>1</v>
      </c>
    </row>
    <row r="4646">
      <c r="A4646" t="inlineStr">
        <is>
          <t>SOCIETE C631</t>
        </is>
      </c>
      <c r="B4646" t="inlineStr">
        <is>
          <t>C631</t>
        </is>
      </c>
      <c r="C4646" t="inlineStr">
        <is>
          <t>CORPORATE BANKING</t>
        </is>
      </c>
      <c r="D4646" t="inlineStr">
        <is>
          <t>V</t>
        </is>
      </c>
      <c r="E4646" t="inlineStr">
        <is>
          <t>Stage 3</t>
        </is>
      </c>
      <c r="F4646" t="inlineStr">
        <is>
          <t>N/A</t>
        </is>
      </c>
      <c r="G4646" s="26">
        <v>1058451</v>
      </c>
      <c r="H4646" s="26">
        <v>582148</v>
      </c>
      <c r="I4646" s="26">
        <v>11246</v>
      </c>
      <c r="J4646" s="26">
        <v>238</v>
      </c>
      <c r="K4646" t="inlineStr">
        <is>
          <t>Oui</t>
        </is>
      </c>
      <c r="L4646">
        <f>SUBTOTAL(103,A4646)</f>
        <v>1</v>
      </c>
    </row>
    <row r="4647">
      <c r="A4647" t="inlineStr">
        <is>
          <t>SOCIETE C1712</t>
        </is>
      </c>
      <c r="B4647" t="inlineStr">
        <is>
          <t>C1712</t>
        </is>
      </c>
      <c r="C4647" t="inlineStr">
        <is>
          <t>CORPORATE BANKING</t>
        </is>
      </c>
      <c r="D4647" t="inlineStr">
        <is>
          <t>I</t>
        </is>
      </c>
      <c r="E4647" t="inlineStr">
        <is>
          <t>Stage 1</t>
        </is>
      </c>
      <c r="F4647" t="inlineStr">
        <is>
          <t>N/A</t>
        </is>
      </c>
      <c r="G4647" s="26">
        <v>944525078</v>
      </c>
      <c r="H4647" s="26">
        <v>9445251</v>
      </c>
      <c r="I4647" s="26">
        <v>0</v>
      </c>
      <c r="J4647" s="26">
        <v>192</v>
      </c>
      <c r="K4647" t="inlineStr">
        <is>
          <t>Non</t>
        </is>
      </c>
      <c r="L4647">
        <f>SUBTOTAL(103,A4647)</f>
        <v>1</v>
      </c>
    </row>
    <row r="4648">
      <c r="A4648" t="inlineStr">
        <is>
          <t>SOCIETE C1255</t>
        </is>
      </c>
      <c r="B4648" t="inlineStr">
        <is>
          <t>C1255</t>
        </is>
      </c>
      <c r="C4648" t="inlineStr">
        <is>
          <t>CORPORATE BANKING</t>
        </is>
      </c>
      <c r="D4648" t="inlineStr">
        <is>
          <t>IA</t>
        </is>
      </c>
      <c r="E4648" t="inlineStr">
        <is>
          <t>Stage 2</t>
        </is>
      </c>
      <c r="F4648" t="inlineStr">
        <is>
          <t>N/A</t>
        </is>
      </c>
      <c r="G4648" s="26">
        <v>2022422386</v>
      </c>
      <c r="H4648" s="26">
        <v>121345343</v>
      </c>
      <c r="I4648" s="26">
        <v>281985987</v>
      </c>
      <c r="J4648" s="26">
        <v>128</v>
      </c>
      <c r="K4648" t="inlineStr">
        <is>
          <t>Non</t>
        </is>
      </c>
      <c r="L4648">
        <f>SUBTOTAL(103,A4648)</f>
        <v>1</v>
      </c>
    </row>
    <row r="4649">
      <c r="A4649" t="inlineStr">
        <is>
          <t>SOCIETE C1614</t>
        </is>
      </c>
      <c r="B4649" t="inlineStr">
        <is>
          <t>C1614</t>
        </is>
      </c>
      <c r="C4649" t="inlineStr">
        <is>
          <t>INSTITUTIONAL</t>
        </is>
      </c>
      <c r="D4649" t="inlineStr">
        <is>
          <t>II</t>
        </is>
      </c>
      <c r="E4649" t="inlineStr">
        <is>
          <t>Stage 2</t>
        </is>
      </c>
      <c r="F4649" t="inlineStr">
        <is>
          <t>N/A</t>
        </is>
      </c>
      <c r="G4649" s="26">
        <v>44603882</v>
      </c>
      <c r="H4649" s="26">
        <v>2676233</v>
      </c>
      <c r="I4649" s="26">
        <v>0</v>
      </c>
      <c r="J4649" s="26">
        <v>35</v>
      </c>
      <c r="K4649" t="inlineStr">
        <is>
          <t>Non</t>
        </is>
      </c>
      <c r="L4649">
        <f>SUBTOTAL(103,A4649)</f>
        <v>1</v>
      </c>
    </row>
    <row r="4650">
      <c r="A4650" t="inlineStr">
        <is>
          <t>SOCIETE C1106</t>
        </is>
      </c>
      <c r="B4650" t="inlineStr">
        <is>
          <t>C1106</t>
        </is>
      </c>
      <c r="C4650" t="inlineStr">
        <is>
          <t>CORPORATE BANKING</t>
        </is>
      </c>
      <c r="D4650" t="inlineStr">
        <is>
          <t>I</t>
        </is>
      </c>
      <c r="E4650" t="inlineStr">
        <is>
          <t>Stage 1</t>
        </is>
      </c>
      <c r="F4650" t="inlineStr">
        <is>
          <t>N/A</t>
        </is>
      </c>
      <c r="G4650" s="26">
        <v>1319513050</v>
      </c>
      <c r="H4650" s="26">
        <v>13195131</v>
      </c>
      <c r="I4650" s="26">
        <v>146811919</v>
      </c>
      <c r="J4650" s="26">
        <v>190</v>
      </c>
      <c r="K4650" t="inlineStr">
        <is>
          <t>Non</t>
        </is>
      </c>
      <c r="L4650">
        <f>SUBTOTAL(103,A4650)</f>
        <v>1</v>
      </c>
    </row>
    <row r="4651">
      <c r="A4651" t="inlineStr">
        <is>
          <t>SOCIETE C1770</t>
        </is>
      </c>
      <c r="B4651" t="inlineStr">
        <is>
          <t>C1770</t>
        </is>
      </c>
      <c r="C4651" t="inlineStr">
        <is>
          <t>CONSUMER BANKING</t>
        </is>
      </c>
      <c r="D4651" t="inlineStr">
        <is>
          <t>I</t>
        </is>
      </c>
      <c r="E4651" t="inlineStr">
        <is>
          <t>Stage 1</t>
        </is>
      </c>
      <c r="F4651" t="inlineStr">
        <is>
          <t>N/A</t>
        </is>
      </c>
      <c r="G4651" s="26">
        <v>1958977897</v>
      </c>
      <c r="H4651" s="26">
        <v>19589779</v>
      </c>
      <c r="I4651" s="26">
        <v>148338359</v>
      </c>
      <c r="J4651" s="26">
        <v>73</v>
      </c>
      <c r="K4651" t="inlineStr">
        <is>
          <t>Non</t>
        </is>
      </c>
      <c r="L4651">
        <f>SUBTOTAL(103,A4651)</f>
        <v>1</v>
      </c>
    </row>
    <row r="4652">
      <c r="A4652" t="inlineStr">
        <is>
          <t>SOCIETE C424</t>
        </is>
      </c>
      <c r="B4652" t="inlineStr">
        <is>
          <t>C424</t>
        </is>
      </c>
      <c r="C4652" t="inlineStr">
        <is>
          <t>CORPORATE BANKING</t>
        </is>
      </c>
      <c r="D4652" t="inlineStr">
        <is>
          <t>IA</t>
        </is>
      </c>
      <c r="E4652" t="inlineStr">
        <is>
          <t>Stage 2</t>
        </is>
      </c>
      <c r="F4652" t="inlineStr">
        <is>
          <t>N/A</t>
        </is>
      </c>
      <c r="G4652" s="26">
        <v>1159812004</v>
      </c>
      <c r="H4652" s="26">
        <v>69588720</v>
      </c>
      <c r="I4652" s="26">
        <v>69121524</v>
      </c>
      <c r="J4652" s="26">
        <v>60</v>
      </c>
      <c r="K4652" t="inlineStr">
        <is>
          <t>Non</t>
        </is>
      </c>
      <c r="L4652">
        <f>SUBTOTAL(103,A4652)</f>
        <v>1</v>
      </c>
    </row>
    <row r="4653">
      <c r="A4653" t="inlineStr">
        <is>
          <t>SOCIETE C968</t>
        </is>
      </c>
      <c r="B4653" t="inlineStr">
        <is>
          <t>C968</t>
        </is>
      </c>
      <c r="C4653" t="inlineStr">
        <is>
          <t>CONSUMER BANKING</t>
        </is>
      </c>
      <c r="D4653" t="inlineStr">
        <is>
          <t>I</t>
        </is>
      </c>
      <c r="E4653" t="inlineStr">
        <is>
          <t>Stage 1</t>
        </is>
      </c>
      <c r="F4653" t="inlineStr">
        <is>
          <t>N/A</t>
        </is>
      </c>
      <c r="G4653" s="26">
        <v>2603564154</v>
      </c>
      <c r="H4653" s="26">
        <v>26035642</v>
      </c>
      <c r="I4653" s="26">
        <v>0</v>
      </c>
      <c r="J4653" s="26">
        <v>80</v>
      </c>
      <c r="K4653" t="inlineStr">
        <is>
          <t>Non</t>
        </is>
      </c>
      <c r="L4653">
        <f>SUBTOTAL(103,A4653)</f>
        <v>1</v>
      </c>
    </row>
    <row r="4654">
      <c r="A4654" t="inlineStr">
        <is>
          <t>SOCIETE C2479</t>
        </is>
      </c>
      <c r="B4654" t="inlineStr">
        <is>
          <t>C2479</t>
        </is>
      </c>
      <c r="C4654" t="inlineStr">
        <is>
          <t>CORPORATE BANKING</t>
        </is>
      </c>
      <c r="D4654" t="inlineStr">
        <is>
          <t>IV</t>
        </is>
      </c>
      <c r="E4654" t="inlineStr">
        <is>
          <t>Stage 3</t>
        </is>
      </c>
      <c r="F4654" t="inlineStr">
        <is>
          <t>N/A</t>
        </is>
      </c>
      <c r="G4654" s="26">
        <v>1246175794</v>
      </c>
      <c r="H4654" s="26">
        <v>685396687</v>
      </c>
      <c r="I4654" s="26">
        <v>203651594</v>
      </c>
      <c r="J4654" s="26">
        <v>27</v>
      </c>
      <c r="K4654" t="inlineStr">
        <is>
          <t>Oui</t>
        </is>
      </c>
      <c r="L4654">
        <f>SUBTOTAL(103,A4654)</f>
        <v>1</v>
      </c>
    </row>
    <row r="4655">
      <c r="A4655" t="inlineStr">
        <is>
          <t>SOCIETE C1022</t>
        </is>
      </c>
      <c r="B4655" t="inlineStr">
        <is>
          <t>C1022</t>
        </is>
      </c>
      <c r="C4655" t="inlineStr">
        <is>
          <t>CORPORATE BANKING</t>
        </is>
      </c>
      <c r="D4655" t="inlineStr">
        <is>
          <t>I</t>
        </is>
      </c>
      <c r="E4655" t="inlineStr">
        <is>
          <t>Stage 1</t>
        </is>
      </c>
      <c r="F4655" t="inlineStr">
        <is>
          <t>N/A</t>
        </is>
      </c>
      <c r="G4655" s="26">
        <v>1066504407</v>
      </c>
      <c r="H4655" s="26">
        <v>10665044</v>
      </c>
      <c r="I4655" s="26">
        <v>23977254</v>
      </c>
      <c r="J4655" s="26">
        <v>14</v>
      </c>
      <c r="K4655" t="inlineStr">
        <is>
          <t>Non</t>
        </is>
      </c>
      <c r="L4655">
        <f>SUBTOTAL(103,A4655)</f>
        <v>1</v>
      </c>
    </row>
    <row r="4656">
      <c r="A4656" t="inlineStr">
        <is>
          <t>SOCIETE C417</t>
        </is>
      </c>
      <c r="B4656" t="inlineStr">
        <is>
          <t>C417</t>
        </is>
      </c>
      <c r="C4656" t="inlineStr">
        <is>
          <t>COMMERCIAL BANKING</t>
        </is>
      </c>
      <c r="D4656" t="inlineStr">
        <is>
          <t>IA</t>
        </is>
      </c>
      <c r="E4656" t="inlineStr">
        <is>
          <t>Stage 2</t>
        </is>
      </c>
      <c r="F4656" t="inlineStr">
        <is>
          <t>N/A</t>
        </is>
      </c>
      <c r="G4656" s="26">
        <v>852466409</v>
      </c>
      <c r="H4656" s="26">
        <v>51147985</v>
      </c>
      <c r="I4656" s="26">
        <v>0</v>
      </c>
      <c r="J4656" s="26">
        <v>172</v>
      </c>
      <c r="K4656" t="inlineStr">
        <is>
          <t>Non</t>
        </is>
      </c>
      <c r="L4656">
        <f>SUBTOTAL(103,A4656)</f>
        <v>1</v>
      </c>
    </row>
    <row r="4657">
      <c r="A4657" t="inlineStr">
        <is>
          <t>SOCIETE C22</t>
        </is>
      </c>
      <c r="B4657" t="inlineStr">
        <is>
          <t>C22</t>
        </is>
      </c>
      <c r="C4657" t="inlineStr">
        <is>
          <t>SME</t>
        </is>
      </c>
      <c r="D4657" t="inlineStr">
        <is>
          <t>IA</t>
        </is>
      </c>
      <c r="E4657" t="inlineStr">
        <is>
          <t>Stage 2</t>
        </is>
      </c>
      <c r="F4657" t="inlineStr">
        <is>
          <t>N/A</t>
        </is>
      </c>
      <c r="G4657" s="26">
        <v>1178325287</v>
      </c>
      <c r="H4657" s="26">
        <v>70699517</v>
      </c>
      <c r="I4657" s="26">
        <v>0</v>
      </c>
      <c r="J4657" s="26">
        <v>35</v>
      </c>
      <c r="K4657" t="inlineStr">
        <is>
          <t>Non</t>
        </is>
      </c>
      <c r="L4657">
        <f>SUBTOTAL(103,A4657)</f>
        <v>1</v>
      </c>
    </row>
    <row r="4658">
      <c r="A4658" t="inlineStr">
        <is>
          <t>SOCIETE C1984</t>
        </is>
      </c>
      <c r="B4658" t="inlineStr">
        <is>
          <t>C1984</t>
        </is>
      </c>
      <c r="C4658" t="inlineStr">
        <is>
          <t>COMMERCIAL BANKING</t>
        </is>
      </c>
      <c r="D4658" t="inlineStr">
        <is>
          <t>I</t>
        </is>
      </c>
      <c r="E4658" t="inlineStr">
        <is>
          <t>Stage 1</t>
        </is>
      </c>
      <c r="F4658" t="inlineStr">
        <is>
          <t>N/A</t>
        </is>
      </c>
      <c r="G4658" s="26">
        <v>1605224323</v>
      </c>
      <c r="H4658" s="26">
        <v>16052243</v>
      </c>
      <c r="I4658" s="26">
        <v>240471621</v>
      </c>
      <c r="J4658" s="26">
        <v>334</v>
      </c>
      <c r="K4658" t="inlineStr">
        <is>
          <t>Non</t>
        </is>
      </c>
      <c r="L4658">
        <f>SUBTOTAL(103,A4658)</f>
        <v>1</v>
      </c>
    </row>
    <row r="4659">
      <c r="A4659" t="inlineStr">
        <is>
          <t>SOCIETE C753</t>
        </is>
      </c>
      <c r="B4659" t="inlineStr">
        <is>
          <t>C753</t>
        </is>
      </c>
      <c r="C4659" t="inlineStr">
        <is>
          <t>CORPORATE BANKING</t>
        </is>
      </c>
      <c r="D4659" t="inlineStr">
        <is>
          <t>I</t>
        </is>
      </c>
      <c r="E4659" t="inlineStr">
        <is>
          <t>Stage 1</t>
        </is>
      </c>
      <c r="F4659" t="inlineStr">
        <is>
          <t>N/A</t>
        </is>
      </c>
      <c r="G4659" s="26">
        <v>1537240348</v>
      </c>
      <c r="H4659" s="26">
        <v>15372403</v>
      </c>
      <c r="I4659" s="26">
        <v>232394074</v>
      </c>
      <c r="J4659" s="26">
        <v>19</v>
      </c>
      <c r="K4659" t="inlineStr">
        <is>
          <t>Non</t>
        </is>
      </c>
      <c r="L4659">
        <f>SUBTOTAL(103,A4659)</f>
        <v>1</v>
      </c>
    </row>
    <row r="4660">
      <c r="A4660" t="inlineStr">
        <is>
          <t>SOCIETE C2153</t>
        </is>
      </c>
      <c r="B4660" t="inlineStr">
        <is>
          <t>C2153</t>
        </is>
      </c>
      <c r="C4660" t="inlineStr">
        <is>
          <t>CORPORATE BANKING</t>
        </is>
      </c>
      <c r="D4660" t="inlineStr">
        <is>
          <t>V</t>
        </is>
      </c>
      <c r="E4660" t="inlineStr">
        <is>
          <t>Stage 3</t>
        </is>
      </c>
      <c r="F4660" t="inlineStr">
        <is>
          <t>N/A</t>
        </is>
      </c>
      <c r="G4660" s="26">
        <v>893510090</v>
      </c>
      <c r="H4660" s="26">
        <v>491430549</v>
      </c>
      <c r="I4660" s="26">
        <v>0</v>
      </c>
      <c r="J4660" s="26">
        <v>143</v>
      </c>
      <c r="K4660" t="inlineStr">
        <is>
          <t>Oui</t>
        </is>
      </c>
      <c r="L4660">
        <f>SUBTOTAL(103,A4660)</f>
        <v>1</v>
      </c>
    </row>
    <row r="4661">
      <c r="A4661" t="inlineStr">
        <is>
          <t>SOCIETE C2459</t>
        </is>
      </c>
      <c r="B4661" t="inlineStr">
        <is>
          <t>C2459</t>
        </is>
      </c>
      <c r="C4661" t="inlineStr">
        <is>
          <t>COMMERCIAL BANKING</t>
        </is>
      </c>
      <c r="D4661" t="inlineStr">
        <is>
          <t>I</t>
        </is>
      </c>
      <c r="E4661" t="inlineStr">
        <is>
          <t>Stage 1</t>
        </is>
      </c>
      <c r="F4661" t="inlineStr">
        <is>
          <t>N/A</t>
        </is>
      </c>
      <c r="G4661" s="26">
        <v>1954257738</v>
      </c>
      <c r="H4661" s="26">
        <v>19542577</v>
      </c>
      <c r="I4661" s="26">
        <v>0</v>
      </c>
      <c r="J4661" s="26">
        <v>75</v>
      </c>
      <c r="K4661" t="inlineStr">
        <is>
          <t>Non</t>
        </is>
      </c>
      <c r="L4661">
        <f>SUBTOTAL(103,A4661)</f>
        <v>1</v>
      </c>
    </row>
    <row r="4662">
      <c r="A4662" t="inlineStr">
        <is>
          <t>SOCIETE C25</t>
        </is>
      </c>
      <c r="B4662" t="inlineStr">
        <is>
          <t>C25</t>
        </is>
      </c>
      <c r="C4662" t="inlineStr">
        <is>
          <t>CONSUMER BANKING</t>
        </is>
      </c>
      <c r="D4662" t="inlineStr">
        <is>
          <t>IV</t>
        </is>
      </c>
      <c r="E4662" t="inlineStr">
        <is>
          <t>Stage 3</t>
        </is>
      </c>
      <c r="F4662" t="inlineStr">
        <is>
          <t>N/A</t>
        </is>
      </c>
      <c r="G4662" s="26">
        <v>240115570</v>
      </c>
      <c r="H4662" s="26">
        <v>132063564</v>
      </c>
      <c r="I4662" s="26">
        <v>0</v>
      </c>
      <c r="J4662" s="26">
        <v>10</v>
      </c>
      <c r="K4662" t="inlineStr">
        <is>
          <t>Oui</t>
        </is>
      </c>
      <c r="L4662">
        <f>SUBTOTAL(103,A4662)</f>
        <v>1</v>
      </c>
    </row>
    <row r="4663">
      <c r="A4663" t="inlineStr">
        <is>
          <t>SOCIETE C1454</t>
        </is>
      </c>
      <c r="B4663" t="inlineStr">
        <is>
          <t>C1454</t>
        </is>
      </c>
      <c r="C4663" t="inlineStr">
        <is>
          <t>CORPORATE BANKING</t>
        </is>
      </c>
      <c r="D4663" t="inlineStr">
        <is>
          <t>I</t>
        </is>
      </c>
      <c r="E4663" t="inlineStr">
        <is>
          <t>Stage 1</t>
        </is>
      </c>
      <c r="F4663" t="inlineStr">
        <is>
          <t>N/A</t>
        </is>
      </c>
      <c r="G4663" s="26">
        <v>67260774</v>
      </c>
      <c r="H4663" s="26">
        <v>672608</v>
      </c>
      <c r="I4663" s="26">
        <v>0</v>
      </c>
      <c r="J4663" s="26">
        <v>31</v>
      </c>
      <c r="K4663" t="inlineStr">
        <is>
          <t>Non</t>
        </is>
      </c>
      <c r="L4663">
        <f>SUBTOTAL(103,A4663)</f>
        <v>1</v>
      </c>
    </row>
    <row r="4664">
      <c r="A4664" t="inlineStr">
        <is>
          <t>SOCIETE C845</t>
        </is>
      </c>
      <c r="B4664" t="inlineStr">
        <is>
          <t>C845</t>
        </is>
      </c>
      <c r="C4664" t="inlineStr">
        <is>
          <t>PUBLIC SECTOR</t>
        </is>
      </c>
      <c r="D4664" t="inlineStr">
        <is>
          <t>V</t>
        </is>
      </c>
      <c r="E4664" t="inlineStr">
        <is>
          <t>Stage 3</t>
        </is>
      </c>
      <c r="F4664" t="inlineStr">
        <is>
          <t>N/A</t>
        </is>
      </c>
      <c r="G4664" s="26">
        <v>488630465</v>
      </c>
      <c r="H4664" s="26">
        <v>268746756</v>
      </c>
      <c r="I4664" s="26">
        <v>0</v>
      </c>
      <c r="J4664" s="26">
        <v>186</v>
      </c>
      <c r="K4664" t="inlineStr">
        <is>
          <t>Oui</t>
        </is>
      </c>
      <c r="L4664">
        <f>SUBTOTAL(103,A4664)</f>
        <v>1</v>
      </c>
    </row>
    <row r="4665">
      <c r="A4665" t="inlineStr">
        <is>
          <t>SOCIETE C343</t>
        </is>
      </c>
      <c r="B4665" t="inlineStr">
        <is>
          <t>C343</t>
        </is>
      </c>
      <c r="C4665" t="inlineStr">
        <is>
          <t>CORPORATE BANKING</t>
        </is>
      </c>
      <c r="D4665" t="inlineStr">
        <is>
          <t>IV</t>
        </is>
      </c>
      <c r="E4665" t="inlineStr">
        <is>
          <t>Stage 3</t>
        </is>
      </c>
      <c r="F4665" t="inlineStr">
        <is>
          <t>N/A</t>
        </is>
      </c>
      <c r="G4665" s="26">
        <v>1878096721</v>
      </c>
      <c r="H4665" s="26">
        <v>1032953197</v>
      </c>
      <c r="I4665" s="26">
        <v>0</v>
      </c>
      <c r="J4665" s="26">
        <v>182</v>
      </c>
      <c r="K4665" t="inlineStr">
        <is>
          <t>Oui</t>
        </is>
      </c>
      <c r="L4665">
        <f>SUBTOTAL(103,A4665)</f>
        <v>1</v>
      </c>
    </row>
    <row r="4666">
      <c r="A4666" t="inlineStr">
        <is>
          <t>SOCIETE C131</t>
        </is>
      </c>
      <c r="B4666" t="inlineStr">
        <is>
          <t>C131</t>
        </is>
      </c>
      <c r="C4666" t="inlineStr">
        <is>
          <t>CORPORATE BANKING</t>
        </is>
      </c>
      <c r="D4666" t="inlineStr">
        <is>
          <t>I</t>
        </is>
      </c>
      <c r="E4666" t="inlineStr">
        <is>
          <t>Stage 1</t>
        </is>
      </c>
      <c r="F4666" t="inlineStr">
        <is>
          <t>N/A</t>
        </is>
      </c>
      <c r="G4666" s="26">
        <v>179635733</v>
      </c>
      <c r="H4666" s="26">
        <v>1796357</v>
      </c>
      <c r="I4666" s="26">
        <v>0</v>
      </c>
      <c r="J4666" s="26">
        <v>44</v>
      </c>
      <c r="K4666" t="inlineStr">
        <is>
          <t>Non</t>
        </is>
      </c>
      <c r="L4666">
        <f>SUBTOTAL(103,A4666)</f>
        <v>1</v>
      </c>
    </row>
    <row r="4667">
      <c r="A4667" t="inlineStr">
        <is>
          <t>SOCIETE C419</t>
        </is>
      </c>
      <c r="B4667" t="inlineStr">
        <is>
          <t>C419</t>
        </is>
      </c>
      <c r="C4667" t="inlineStr">
        <is>
          <t>CORPORATE BANKING</t>
        </is>
      </c>
      <c r="D4667" t="inlineStr">
        <is>
          <t>IA</t>
        </is>
      </c>
      <c r="E4667" t="inlineStr">
        <is>
          <t>Stage 2</t>
        </is>
      </c>
      <c r="F4667" t="inlineStr">
        <is>
          <t>N/A</t>
        </is>
      </c>
      <c r="G4667" s="26">
        <v>499528743</v>
      </c>
      <c r="H4667" s="26">
        <v>29971725</v>
      </c>
      <c r="I4667" s="26">
        <v>0</v>
      </c>
      <c r="J4667" s="26">
        <v>15</v>
      </c>
      <c r="K4667" t="inlineStr">
        <is>
          <t>Non</t>
        </is>
      </c>
      <c r="L4667">
        <f>SUBTOTAL(103,A4667)</f>
        <v>1</v>
      </c>
    </row>
    <row r="4668">
      <c r="A4668" t="inlineStr">
        <is>
          <t>SOCIETE C2499</t>
        </is>
      </c>
      <c r="B4668" t="inlineStr">
        <is>
          <t>C2499</t>
        </is>
      </c>
      <c r="C4668" t="inlineStr">
        <is>
          <t>CONSUMER BANKING</t>
        </is>
      </c>
      <c r="D4668" t="inlineStr">
        <is>
          <t>I</t>
        </is>
      </c>
      <c r="E4668" t="inlineStr">
        <is>
          <t>Stage 1</t>
        </is>
      </c>
      <c r="F4668" t="inlineStr">
        <is>
          <t>N/A</t>
        </is>
      </c>
      <c r="G4668" s="26">
        <v>145561645</v>
      </c>
      <c r="H4668" s="26">
        <v>1455616</v>
      </c>
      <c r="I4668" s="26">
        <v>6394391</v>
      </c>
      <c r="J4668" s="26">
        <v>145</v>
      </c>
      <c r="K4668" t="inlineStr">
        <is>
          <t>Non</t>
        </is>
      </c>
      <c r="L4668">
        <f>SUBTOTAL(103,A4668)</f>
        <v>1</v>
      </c>
    </row>
    <row r="4669">
      <c r="A4669" t="inlineStr">
        <is>
          <t>SOCIETE C2193</t>
        </is>
      </c>
      <c r="B4669" t="inlineStr">
        <is>
          <t>C2193</t>
        </is>
      </c>
      <c r="C4669" t="inlineStr">
        <is>
          <t>CORPORATE BANKING</t>
        </is>
      </c>
      <c r="D4669" t="inlineStr">
        <is>
          <t>IA</t>
        </is>
      </c>
      <c r="E4669" t="inlineStr">
        <is>
          <t>Stage 2</t>
        </is>
      </c>
      <c r="F4669" t="inlineStr">
        <is>
          <t>N/A</t>
        </is>
      </c>
      <c r="G4669" s="26">
        <v>281674760</v>
      </c>
      <c r="H4669" s="26">
        <v>16900486</v>
      </c>
      <c r="I4669" s="26">
        <v>0</v>
      </c>
      <c r="J4669" s="26">
        <v>159</v>
      </c>
      <c r="K4669" t="inlineStr">
        <is>
          <t>Non</t>
        </is>
      </c>
      <c r="L4669">
        <f>SUBTOTAL(103,A4669)</f>
        <v>1</v>
      </c>
    </row>
    <row r="4670">
      <c r="A4670" t="inlineStr">
        <is>
          <t>SOCIETE C2424</t>
        </is>
      </c>
      <c r="B4670" t="inlineStr">
        <is>
          <t>C2424</t>
        </is>
      </c>
      <c r="C4670" t="inlineStr">
        <is>
          <t>CORPORATE BANKING</t>
        </is>
      </c>
      <c r="D4670" t="inlineStr">
        <is>
          <t>IV</t>
        </is>
      </c>
      <c r="E4670" t="inlineStr">
        <is>
          <t>Stage 3</t>
        </is>
      </c>
      <c r="F4670" t="inlineStr">
        <is>
          <t>N/A</t>
        </is>
      </c>
      <c r="G4670" s="26">
        <v>9822747</v>
      </c>
      <c r="H4670" s="26">
        <v>5402511</v>
      </c>
      <c r="I4670" s="26">
        <v>331196</v>
      </c>
      <c r="J4670" s="26">
        <v>106</v>
      </c>
      <c r="K4670" t="inlineStr">
        <is>
          <t>Oui</t>
        </is>
      </c>
      <c r="L4670">
        <f>SUBTOTAL(103,A4670)</f>
        <v>1</v>
      </c>
    </row>
    <row r="4671">
      <c r="A4671" t="inlineStr">
        <is>
          <t>SOCIETE C1807</t>
        </is>
      </c>
      <c r="B4671" t="inlineStr">
        <is>
          <t>C1807</t>
        </is>
      </c>
      <c r="C4671" t="inlineStr">
        <is>
          <t>PUBLIC SECTOR</t>
        </is>
      </c>
      <c r="D4671" t="inlineStr">
        <is>
          <t>IV</t>
        </is>
      </c>
      <c r="E4671" t="inlineStr">
        <is>
          <t>Stage 3</t>
        </is>
      </c>
      <c r="F4671" t="inlineStr">
        <is>
          <t>N/A</t>
        </is>
      </c>
      <c r="G4671" s="26">
        <v>107614914</v>
      </c>
      <c r="H4671" s="26">
        <v>59188203</v>
      </c>
      <c r="I4671" s="26">
        <v>0</v>
      </c>
      <c r="J4671" s="26">
        <v>25</v>
      </c>
      <c r="K4671" t="inlineStr">
        <is>
          <t>Oui</t>
        </is>
      </c>
      <c r="L4671">
        <f>SUBTOTAL(103,A4671)</f>
        <v>1</v>
      </c>
    </row>
    <row r="4672">
      <c r="A4672" t="inlineStr">
        <is>
          <t>SOCIETE C783</t>
        </is>
      </c>
      <c r="B4672" t="inlineStr">
        <is>
          <t>C783</t>
        </is>
      </c>
      <c r="C4672" t="inlineStr">
        <is>
          <t>CONSUMER BANKING</t>
        </is>
      </c>
      <c r="D4672" t="inlineStr">
        <is>
          <t>II</t>
        </is>
      </c>
      <c r="E4672" t="inlineStr">
        <is>
          <t>Stage 2</t>
        </is>
      </c>
      <c r="F4672" t="inlineStr">
        <is>
          <t>N/A</t>
        </is>
      </c>
      <c r="G4672" s="26">
        <v>1005469</v>
      </c>
      <c r="H4672" s="26">
        <v>60328</v>
      </c>
      <c r="I4672" s="26">
        <v>0</v>
      </c>
      <c r="J4672" s="26">
        <v>10</v>
      </c>
      <c r="K4672" t="inlineStr">
        <is>
          <t>Non</t>
        </is>
      </c>
      <c r="L4672">
        <f>SUBTOTAL(103,A4672)</f>
        <v>1</v>
      </c>
    </row>
    <row r="4673">
      <c r="A4673" t="inlineStr">
        <is>
          <t>SOCIETE C331</t>
        </is>
      </c>
      <c r="B4673" t="inlineStr">
        <is>
          <t>C331</t>
        </is>
      </c>
      <c r="C4673" t="inlineStr">
        <is>
          <t>CONSUMER BANKING</t>
        </is>
      </c>
      <c r="D4673" t="inlineStr">
        <is>
          <t>V</t>
        </is>
      </c>
      <c r="E4673" t="inlineStr">
        <is>
          <t>Stage 3</t>
        </is>
      </c>
      <c r="F4673" t="inlineStr">
        <is>
          <t>N/A</t>
        </is>
      </c>
      <c r="G4673" s="26">
        <v>924716393</v>
      </c>
      <c r="H4673" s="26">
        <v>508594016</v>
      </c>
      <c r="I4673" s="26">
        <v>0</v>
      </c>
      <c r="J4673" s="26">
        <v>11</v>
      </c>
      <c r="K4673" t="inlineStr">
        <is>
          <t>Oui</t>
        </is>
      </c>
      <c r="L4673">
        <f>SUBTOTAL(103,A4673)</f>
        <v>1</v>
      </c>
    </row>
    <row r="4674">
      <c r="A4674" t="inlineStr">
        <is>
          <t>SOCIETE C1844</t>
        </is>
      </c>
      <c r="B4674" t="inlineStr">
        <is>
          <t>C1844</t>
        </is>
      </c>
      <c r="C4674" t="inlineStr">
        <is>
          <t>SME</t>
        </is>
      </c>
      <c r="D4674" t="inlineStr">
        <is>
          <t>III</t>
        </is>
      </c>
      <c r="E4674" t="inlineStr">
        <is>
          <t>Stage 3</t>
        </is>
      </c>
      <c r="F4674" t="inlineStr">
        <is>
          <t>N/A</t>
        </is>
      </c>
      <c r="G4674" s="26">
        <v>50187447</v>
      </c>
      <c r="H4674" s="26">
        <v>27603096</v>
      </c>
      <c r="I4674" s="26">
        <v>0</v>
      </c>
      <c r="J4674" s="26">
        <v>99</v>
      </c>
      <c r="K4674" t="inlineStr">
        <is>
          <t>Oui</t>
        </is>
      </c>
      <c r="L4674">
        <f>SUBTOTAL(103,A4674)</f>
        <v>1</v>
      </c>
    </row>
    <row r="4675">
      <c r="A4675" t="inlineStr">
        <is>
          <t>SOCIETE C958</t>
        </is>
      </c>
      <c r="B4675" t="inlineStr">
        <is>
          <t>C958</t>
        </is>
      </c>
      <c r="C4675" t="inlineStr">
        <is>
          <t>CORPORATE BANKING</t>
        </is>
      </c>
      <c r="D4675" t="inlineStr">
        <is>
          <t>IA</t>
        </is>
      </c>
      <c r="E4675" t="inlineStr">
        <is>
          <t>Stage 2</t>
        </is>
      </c>
      <c r="F4675" t="inlineStr">
        <is>
          <t>N/A</t>
        </is>
      </c>
      <c r="G4675" s="26">
        <v>1229414</v>
      </c>
      <c r="H4675" s="26">
        <v>73765</v>
      </c>
      <c r="I4675" s="26">
        <v>0</v>
      </c>
      <c r="J4675" s="26">
        <v>39</v>
      </c>
      <c r="K4675" t="inlineStr">
        <is>
          <t>Non</t>
        </is>
      </c>
      <c r="L4675">
        <f>SUBTOTAL(103,A4675)</f>
        <v>1</v>
      </c>
    </row>
    <row r="4676">
      <c r="A4676" t="inlineStr">
        <is>
          <t>SOCIETE C100</t>
        </is>
      </c>
      <c r="B4676" t="inlineStr">
        <is>
          <t>C100</t>
        </is>
      </c>
      <c r="C4676" t="inlineStr">
        <is>
          <t>COMMERCIAL BANKING</t>
        </is>
      </c>
      <c r="D4676" t="inlineStr">
        <is>
          <t>I</t>
        </is>
      </c>
      <c r="E4676" t="inlineStr">
        <is>
          <t>Stage 1</t>
        </is>
      </c>
      <c r="F4676" t="inlineStr">
        <is>
          <t>N/A</t>
        </is>
      </c>
      <c r="G4676" s="26">
        <v>1524916</v>
      </c>
      <c r="H4676" s="26">
        <v>15249</v>
      </c>
      <c r="I4676" s="26">
        <v>0</v>
      </c>
      <c r="J4676" s="26">
        <v>245</v>
      </c>
      <c r="K4676" t="inlineStr">
        <is>
          <t>Non</t>
        </is>
      </c>
      <c r="L4676">
        <f>SUBTOTAL(103,A4676)</f>
        <v>1</v>
      </c>
    </row>
    <row r="4677">
      <c r="A4677" t="inlineStr">
        <is>
          <t>SOCIETE C2281</t>
        </is>
      </c>
      <c r="B4677" t="inlineStr">
        <is>
          <t>C2281</t>
        </is>
      </c>
      <c r="C4677" t="inlineStr">
        <is>
          <t>CORPORATE BANKING</t>
        </is>
      </c>
      <c r="D4677" t="inlineStr">
        <is>
          <t>I</t>
        </is>
      </c>
      <c r="E4677" t="inlineStr">
        <is>
          <t>Stage 1</t>
        </is>
      </c>
      <c r="F4677" t="inlineStr">
        <is>
          <t>N/A</t>
        </is>
      </c>
      <c r="G4677" s="26">
        <v>2344992286</v>
      </c>
      <c r="H4677" s="26">
        <v>23449923</v>
      </c>
      <c r="I4677" s="26">
        <v>0</v>
      </c>
      <c r="J4677" s="26">
        <v>215</v>
      </c>
      <c r="K4677" t="inlineStr">
        <is>
          <t>Non</t>
        </is>
      </c>
      <c r="L4677">
        <f>SUBTOTAL(103,A4677)</f>
        <v>1</v>
      </c>
    </row>
    <row r="4678">
      <c r="A4678" t="inlineStr">
        <is>
          <t>SOCIETE C1176</t>
        </is>
      </c>
      <c r="B4678" t="inlineStr">
        <is>
          <t>C1176</t>
        </is>
      </c>
      <c r="C4678" t="inlineStr">
        <is>
          <t>SME</t>
        </is>
      </c>
      <c r="D4678" t="inlineStr">
        <is>
          <t>III</t>
        </is>
      </c>
      <c r="E4678" t="inlineStr">
        <is>
          <t>Stage 3</t>
        </is>
      </c>
      <c r="F4678" t="inlineStr">
        <is>
          <t>N/A</t>
        </is>
      </c>
      <c r="G4678" s="26">
        <v>86334033</v>
      </c>
      <c r="H4678" s="26">
        <v>47483718</v>
      </c>
      <c r="I4678" s="26">
        <v>0</v>
      </c>
      <c r="J4678" s="26">
        <v>146</v>
      </c>
      <c r="K4678" t="inlineStr">
        <is>
          <t>Oui</t>
        </is>
      </c>
      <c r="L4678">
        <f>SUBTOTAL(103,A4678)</f>
        <v>1</v>
      </c>
    </row>
    <row r="4679">
      <c r="A4679" t="inlineStr">
        <is>
          <t>SOCIETE C1379</t>
        </is>
      </c>
      <c r="B4679" t="inlineStr">
        <is>
          <t>C1379</t>
        </is>
      </c>
      <c r="C4679" t="inlineStr">
        <is>
          <t>COMMERCIAL BANKING</t>
        </is>
      </c>
      <c r="D4679" t="inlineStr">
        <is>
          <t>IA</t>
        </is>
      </c>
      <c r="E4679" t="inlineStr">
        <is>
          <t>Stage 2</t>
        </is>
      </c>
      <c r="F4679" t="inlineStr">
        <is>
          <t>N/A</t>
        </is>
      </c>
      <c r="G4679" s="26">
        <v>947218781</v>
      </c>
      <c r="H4679" s="26">
        <v>56833127</v>
      </c>
      <c r="I4679" s="26">
        <v>0</v>
      </c>
      <c r="J4679" s="26">
        <v>119</v>
      </c>
      <c r="K4679" t="inlineStr">
        <is>
          <t>Non</t>
        </is>
      </c>
      <c r="L4679">
        <f>SUBTOTAL(103,A4679)</f>
        <v>1</v>
      </c>
    </row>
    <row r="4680">
      <c r="A4680" t="inlineStr">
        <is>
          <t>SOCIETE C1259</t>
        </is>
      </c>
      <c r="B4680" t="inlineStr">
        <is>
          <t>C1259</t>
        </is>
      </c>
      <c r="C4680" t="inlineStr">
        <is>
          <t>INSTITUTIONAL</t>
        </is>
      </c>
      <c r="D4680" t="inlineStr">
        <is>
          <t>IA</t>
        </is>
      </c>
      <c r="E4680" t="inlineStr">
        <is>
          <t>Stage 2</t>
        </is>
      </c>
      <c r="F4680" t="inlineStr">
        <is>
          <t>N/A</t>
        </is>
      </c>
      <c r="G4680" s="26">
        <v>356663409</v>
      </c>
      <c r="H4680" s="26">
        <v>21399805</v>
      </c>
      <c r="I4680" s="26">
        <v>0</v>
      </c>
      <c r="J4680" s="26">
        <v>36</v>
      </c>
      <c r="K4680" t="inlineStr">
        <is>
          <t>Non</t>
        </is>
      </c>
      <c r="L4680">
        <f>SUBTOTAL(103,A4680)</f>
        <v>1</v>
      </c>
    </row>
    <row r="4681">
      <c r="A4681" t="inlineStr">
        <is>
          <t>SOCIETE C895</t>
        </is>
      </c>
      <c r="B4681" t="inlineStr">
        <is>
          <t>C895</t>
        </is>
      </c>
      <c r="C4681" t="inlineStr">
        <is>
          <t>COMMERCIAL BANKING</t>
        </is>
      </c>
      <c r="D4681" t="inlineStr">
        <is>
          <t>I</t>
        </is>
      </c>
      <c r="E4681" t="inlineStr">
        <is>
          <t>Stage 1</t>
        </is>
      </c>
      <c r="F4681" t="inlineStr">
        <is>
          <t>N/A</t>
        </is>
      </c>
      <c r="G4681" s="26">
        <v>2350650373</v>
      </c>
      <c r="H4681" s="26">
        <v>23506504</v>
      </c>
      <c r="I4681" s="26">
        <v>109234633</v>
      </c>
      <c r="J4681" s="26">
        <v>41</v>
      </c>
      <c r="K4681" t="inlineStr">
        <is>
          <t>Non</t>
        </is>
      </c>
      <c r="L4681">
        <f>SUBTOTAL(103,A4681)</f>
        <v>1</v>
      </c>
    </row>
    <row r="4682">
      <c r="A4682" t="inlineStr">
        <is>
          <t>SOCIETE C1466</t>
        </is>
      </c>
      <c r="B4682" t="inlineStr">
        <is>
          <t>C1466</t>
        </is>
      </c>
      <c r="C4682" t="inlineStr">
        <is>
          <t>PUBLIC SECTOR</t>
        </is>
      </c>
      <c r="D4682" t="inlineStr">
        <is>
          <t>V</t>
        </is>
      </c>
      <c r="E4682" t="inlineStr">
        <is>
          <t>Stage 3</t>
        </is>
      </c>
      <c r="F4682" t="inlineStr">
        <is>
          <t>N/A</t>
        </is>
      </c>
      <c r="G4682" s="26">
        <v>1999087910</v>
      </c>
      <c r="H4682" s="26">
        <v>1099498350</v>
      </c>
      <c r="I4682" s="26">
        <v>0</v>
      </c>
      <c r="J4682" s="26">
        <v>19</v>
      </c>
      <c r="K4682" t="inlineStr">
        <is>
          <t>Oui</t>
        </is>
      </c>
      <c r="L4682">
        <f>SUBTOTAL(103,A4682)</f>
        <v>1</v>
      </c>
    </row>
    <row r="4683">
      <c r="A4683" t="inlineStr">
        <is>
          <t>SOCIETE C730</t>
        </is>
      </c>
      <c r="B4683" t="inlineStr">
        <is>
          <t>C730</t>
        </is>
      </c>
      <c r="C4683" t="inlineStr">
        <is>
          <t>COMMERCIAL BANKING</t>
        </is>
      </c>
      <c r="D4683" t="inlineStr">
        <is>
          <t>IA</t>
        </is>
      </c>
      <c r="E4683" t="inlineStr">
        <is>
          <t>Stage 2</t>
        </is>
      </c>
      <c r="F4683" t="inlineStr">
        <is>
          <t>N/A</t>
        </is>
      </c>
      <c r="G4683" s="26">
        <v>1540568</v>
      </c>
      <c r="H4683" s="26">
        <v>92434</v>
      </c>
      <c r="I4683" s="26">
        <v>158479</v>
      </c>
      <c r="J4683" s="26">
        <v>168</v>
      </c>
      <c r="K4683" t="inlineStr">
        <is>
          <t>Non</t>
        </is>
      </c>
      <c r="L4683">
        <f>SUBTOTAL(103,A4683)</f>
        <v>1</v>
      </c>
    </row>
    <row r="4684">
      <c r="A4684" t="inlineStr">
        <is>
          <t>SOCIETE C1749</t>
        </is>
      </c>
      <c r="B4684" t="inlineStr">
        <is>
          <t>C1749</t>
        </is>
      </c>
      <c r="C4684" t="inlineStr">
        <is>
          <t>CONSUMER BANKING</t>
        </is>
      </c>
      <c r="D4684" t="inlineStr">
        <is>
          <t>I</t>
        </is>
      </c>
      <c r="E4684" t="inlineStr">
        <is>
          <t>Stage 1</t>
        </is>
      </c>
      <c r="F4684" t="inlineStr">
        <is>
          <t>N/A</t>
        </is>
      </c>
      <c r="G4684" s="26">
        <v>755248250</v>
      </c>
      <c r="H4684" s="26">
        <v>7552482</v>
      </c>
      <c r="I4684" s="26">
        <v>0</v>
      </c>
      <c r="J4684" s="26">
        <v>177</v>
      </c>
      <c r="K4684" t="inlineStr">
        <is>
          <t>Non</t>
        </is>
      </c>
      <c r="L4684">
        <f>SUBTOTAL(103,A4684)</f>
        <v>1</v>
      </c>
    </row>
    <row r="4685">
      <c r="A4685" t="inlineStr">
        <is>
          <t>SOCIETE C1093</t>
        </is>
      </c>
      <c r="B4685" t="inlineStr">
        <is>
          <t>C1093</t>
        </is>
      </c>
      <c r="C4685" t="inlineStr">
        <is>
          <t>SME</t>
        </is>
      </c>
      <c r="D4685" t="inlineStr">
        <is>
          <t>I</t>
        </is>
      </c>
      <c r="E4685" t="inlineStr">
        <is>
          <t>Stage 1</t>
        </is>
      </c>
      <c r="F4685" t="inlineStr">
        <is>
          <t>N/A</t>
        </is>
      </c>
      <c r="G4685" s="26">
        <v>3794625</v>
      </c>
      <c r="H4685" s="26">
        <v>37946</v>
      </c>
      <c r="I4685" s="26">
        <v>0</v>
      </c>
      <c r="J4685" s="26">
        <v>120</v>
      </c>
      <c r="K4685" t="inlineStr">
        <is>
          <t>Non</t>
        </is>
      </c>
      <c r="L4685">
        <f>SUBTOTAL(103,A4685)</f>
        <v>1</v>
      </c>
    </row>
    <row r="4686">
      <c r="A4686" t="inlineStr">
        <is>
          <t>SOCIETE C2209</t>
        </is>
      </c>
      <c r="B4686" t="inlineStr">
        <is>
          <t>C2209</t>
        </is>
      </c>
      <c r="C4686" t="inlineStr">
        <is>
          <t>CORPORATE BANKING</t>
        </is>
      </c>
      <c r="D4686" t="inlineStr">
        <is>
          <t>IA</t>
        </is>
      </c>
      <c r="E4686" t="inlineStr">
        <is>
          <t>Stage 2</t>
        </is>
      </c>
      <c r="F4686" t="inlineStr">
        <is>
          <t>N/A</t>
        </is>
      </c>
      <c r="G4686" s="26">
        <v>1357260</v>
      </c>
      <c r="H4686" s="26">
        <v>81436</v>
      </c>
      <c r="I4686" s="26">
        <v>0</v>
      </c>
      <c r="J4686" s="26">
        <v>23</v>
      </c>
      <c r="K4686" t="inlineStr">
        <is>
          <t>Non</t>
        </is>
      </c>
      <c r="L4686">
        <f>SUBTOTAL(103,A4686)</f>
        <v>1</v>
      </c>
    </row>
    <row r="4687">
      <c r="A4687" t="inlineStr">
        <is>
          <t>SOCIETE C1663</t>
        </is>
      </c>
      <c r="B4687" t="inlineStr">
        <is>
          <t>C1663</t>
        </is>
      </c>
      <c r="C4687" t="inlineStr">
        <is>
          <t>CORPORATE BANKING</t>
        </is>
      </c>
      <c r="D4687" t="inlineStr">
        <is>
          <t>I</t>
        </is>
      </c>
      <c r="E4687" t="inlineStr">
        <is>
          <t>Stage 1</t>
        </is>
      </c>
      <c r="F4687" t="inlineStr">
        <is>
          <t>N/A</t>
        </is>
      </c>
      <c r="G4687" s="26">
        <v>23971179</v>
      </c>
      <c r="H4687" s="26">
        <v>239712</v>
      </c>
      <c r="I4687" s="26">
        <v>0</v>
      </c>
      <c r="J4687" s="26">
        <v>95</v>
      </c>
      <c r="K4687" t="inlineStr">
        <is>
          <t>Non</t>
        </is>
      </c>
      <c r="L4687">
        <f>SUBTOTAL(103,A4687)</f>
        <v>1</v>
      </c>
    </row>
    <row r="4688">
      <c r="A4688" t="inlineStr">
        <is>
          <t>SOCIETE C2419</t>
        </is>
      </c>
      <c r="B4688" t="inlineStr">
        <is>
          <t>C2419</t>
        </is>
      </c>
      <c r="C4688" t="inlineStr">
        <is>
          <t>CORPORATE BANKING</t>
        </is>
      </c>
      <c r="D4688" t="inlineStr">
        <is>
          <t>I</t>
        </is>
      </c>
      <c r="E4688" t="inlineStr">
        <is>
          <t>Stage 1</t>
        </is>
      </c>
      <c r="F4688" t="inlineStr">
        <is>
          <t>N/A</t>
        </is>
      </c>
      <c r="G4688" s="26">
        <v>3511248</v>
      </c>
      <c r="H4688" s="26">
        <v>35112</v>
      </c>
      <c r="I4688" s="26">
        <v>364680</v>
      </c>
      <c r="J4688" s="26">
        <v>326</v>
      </c>
      <c r="K4688" t="inlineStr">
        <is>
          <t>Non</t>
        </is>
      </c>
      <c r="L4688">
        <f>SUBTOTAL(103,A4688)</f>
        <v>1</v>
      </c>
    </row>
    <row r="4689">
      <c r="A4689" t="inlineStr">
        <is>
          <t>SOCIETE C516</t>
        </is>
      </c>
      <c r="B4689" t="inlineStr">
        <is>
          <t>C516</t>
        </is>
      </c>
      <c r="C4689" t="inlineStr">
        <is>
          <t>COMMERCIAL BANKING</t>
        </is>
      </c>
      <c r="D4689" t="inlineStr">
        <is>
          <t>I</t>
        </is>
      </c>
      <c r="E4689" t="inlineStr">
        <is>
          <t>Stage 1</t>
        </is>
      </c>
      <c r="F4689" t="inlineStr">
        <is>
          <t>N/A</t>
        </is>
      </c>
      <c r="G4689" s="26">
        <v>53236746</v>
      </c>
      <c r="H4689" s="26">
        <v>532367</v>
      </c>
      <c r="I4689" s="26">
        <v>2331424</v>
      </c>
      <c r="J4689" s="26">
        <v>62</v>
      </c>
      <c r="K4689" t="inlineStr">
        <is>
          <t>Non</t>
        </is>
      </c>
      <c r="L4689">
        <f>SUBTOTAL(103,A4689)</f>
        <v>1</v>
      </c>
    </row>
    <row r="4690">
      <c r="A4690" t="inlineStr">
        <is>
          <t>SOCIETE C1430</t>
        </is>
      </c>
      <c r="B4690" t="inlineStr">
        <is>
          <t>C1430</t>
        </is>
      </c>
      <c r="C4690" t="inlineStr">
        <is>
          <t>COMMERCIAL BANKING</t>
        </is>
      </c>
      <c r="D4690" t="inlineStr">
        <is>
          <t>I</t>
        </is>
      </c>
      <c r="E4690" t="inlineStr">
        <is>
          <t>Stage 1</t>
        </is>
      </c>
      <c r="F4690" t="inlineStr">
        <is>
          <t>N/A</t>
        </is>
      </c>
      <c r="G4690" s="26">
        <v>2533183736</v>
      </c>
      <c r="H4690" s="26">
        <v>25331837</v>
      </c>
      <c r="I4690" s="26">
        <v>22826127</v>
      </c>
      <c r="J4690" s="26">
        <v>2</v>
      </c>
      <c r="K4690" t="inlineStr">
        <is>
          <t>Non</t>
        </is>
      </c>
      <c r="L4690">
        <f>SUBTOTAL(103,A4690)</f>
        <v>1</v>
      </c>
    </row>
    <row r="4691">
      <c r="A4691" t="inlineStr">
        <is>
          <t>SOCIETE C1552</t>
        </is>
      </c>
      <c r="B4691" t="inlineStr">
        <is>
          <t>C1552</t>
        </is>
      </c>
      <c r="C4691" t="inlineStr">
        <is>
          <t>CORPORATE BANKING</t>
        </is>
      </c>
      <c r="D4691" t="inlineStr">
        <is>
          <t>I</t>
        </is>
      </c>
      <c r="E4691" t="inlineStr">
        <is>
          <t>Stage 1</t>
        </is>
      </c>
      <c r="F4691" t="inlineStr">
        <is>
          <t>N/A</t>
        </is>
      </c>
      <c r="G4691" s="26">
        <v>257646348</v>
      </c>
      <c r="H4691" s="26">
        <v>2576463</v>
      </c>
      <c r="I4691" s="26">
        <v>16792996</v>
      </c>
      <c r="J4691" s="26">
        <v>30</v>
      </c>
      <c r="K4691" t="inlineStr">
        <is>
          <t>Non</t>
        </is>
      </c>
      <c r="L4691">
        <f>SUBTOTAL(103,A4691)</f>
        <v>1</v>
      </c>
    </row>
    <row r="4692">
      <c r="A4692" t="inlineStr">
        <is>
          <t>SOCIETE C1454</t>
        </is>
      </c>
      <c r="B4692" t="inlineStr">
        <is>
          <t>C1454</t>
        </is>
      </c>
      <c r="C4692" t="inlineStr">
        <is>
          <t>CORPORATE BANKING</t>
        </is>
      </c>
      <c r="D4692" t="inlineStr">
        <is>
          <t>IA</t>
        </is>
      </c>
      <c r="E4692" t="inlineStr">
        <is>
          <t>Stage 2</t>
        </is>
      </c>
      <c r="F4692" t="inlineStr">
        <is>
          <t>N/A</t>
        </is>
      </c>
      <c r="G4692" s="26">
        <v>878022119</v>
      </c>
      <c r="H4692" s="26">
        <v>52681327</v>
      </c>
      <c r="I4692" s="26">
        <v>0</v>
      </c>
      <c r="J4692" s="26">
        <v>313</v>
      </c>
      <c r="K4692" t="inlineStr">
        <is>
          <t>Non</t>
        </is>
      </c>
      <c r="L4692">
        <f>SUBTOTAL(103,A4692)</f>
        <v>1</v>
      </c>
    </row>
    <row r="4693">
      <c r="A4693" t="inlineStr">
        <is>
          <t>SOCIETE C103</t>
        </is>
      </c>
      <c r="B4693" t="inlineStr">
        <is>
          <t>C103</t>
        </is>
      </c>
      <c r="C4693" t="inlineStr">
        <is>
          <t>PUBLIC SECTOR</t>
        </is>
      </c>
      <c r="D4693" t="inlineStr">
        <is>
          <t>II</t>
        </is>
      </c>
      <c r="E4693" t="inlineStr">
        <is>
          <t>Stage 2</t>
        </is>
      </c>
      <c r="F4693" t="inlineStr">
        <is>
          <t>N/A</t>
        </is>
      </c>
      <c r="G4693" s="26">
        <v>748515306</v>
      </c>
      <c r="H4693" s="26">
        <v>44910918</v>
      </c>
      <c r="I4693" s="26">
        <v>51960715</v>
      </c>
      <c r="J4693" s="26">
        <v>224</v>
      </c>
      <c r="K4693" t="inlineStr">
        <is>
          <t>Non</t>
        </is>
      </c>
      <c r="L4693">
        <f>SUBTOTAL(103,A4693)</f>
        <v>1</v>
      </c>
    </row>
    <row r="4694">
      <c r="A4694" t="inlineStr">
        <is>
          <t>SOCIETE C566</t>
        </is>
      </c>
      <c r="B4694" t="inlineStr">
        <is>
          <t>C566</t>
        </is>
      </c>
      <c r="C4694" t="inlineStr">
        <is>
          <t>COMMERCIAL BANKING</t>
        </is>
      </c>
      <c r="D4694" t="inlineStr">
        <is>
          <t>I</t>
        </is>
      </c>
      <c r="E4694" t="inlineStr">
        <is>
          <t>Stage 1</t>
        </is>
      </c>
      <c r="F4694" t="inlineStr">
        <is>
          <t>N/A</t>
        </is>
      </c>
      <c r="G4694" s="26">
        <v>7887806</v>
      </c>
      <c r="H4694" s="26">
        <v>78878</v>
      </c>
      <c r="I4694" s="26">
        <v>1342323</v>
      </c>
      <c r="J4694" s="26">
        <v>129</v>
      </c>
      <c r="K4694" t="inlineStr">
        <is>
          <t>Non</t>
        </is>
      </c>
      <c r="L4694">
        <f>SUBTOTAL(103,A4694)</f>
        <v>1</v>
      </c>
    </row>
    <row r="4695">
      <c r="A4695" t="inlineStr">
        <is>
          <t>SOCIETE C2269</t>
        </is>
      </c>
      <c r="B4695" t="inlineStr">
        <is>
          <t>C2269</t>
        </is>
      </c>
      <c r="C4695" t="inlineStr">
        <is>
          <t>COMMERCIAL BANKING</t>
        </is>
      </c>
      <c r="D4695" t="inlineStr">
        <is>
          <t>V</t>
        </is>
      </c>
      <c r="E4695" t="inlineStr">
        <is>
          <t>Stage 3</t>
        </is>
      </c>
      <c r="F4695" t="inlineStr">
        <is>
          <t>N/A</t>
        </is>
      </c>
      <c r="G4695" s="26">
        <v>93482531</v>
      </c>
      <c r="H4695" s="26">
        <v>51415392</v>
      </c>
      <c r="I4695" s="26">
        <v>0</v>
      </c>
      <c r="J4695" s="26">
        <v>36</v>
      </c>
      <c r="K4695" t="inlineStr">
        <is>
          <t>Oui</t>
        </is>
      </c>
      <c r="L4695">
        <f>SUBTOTAL(103,A4695)</f>
        <v>1</v>
      </c>
    </row>
    <row r="4696">
      <c r="A4696" t="inlineStr">
        <is>
          <t>SOCIETE C318</t>
        </is>
      </c>
      <c r="B4696" t="inlineStr">
        <is>
          <t>C318</t>
        </is>
      </c>
      <c r="C4696" t="inlineStr">
        <is>
          <t>COMMERCIAL BANKING</t>
        </is>
      </c>
      <c r="D4696" t="inlineStr">
        <is>
          <t>IV</t>
        </is>
      </c>
      <c r="E4696" t="inlineStr">
        <is>
          <t>Stage 3</t>
        </is>
      </c>
      <c r="F4696" t="inlineStr">
        <is>
          <t>N/A</t>
        </is>
      </c>
      <c r="G4696" s="26">
        <v>9968164</v>
      </c>
      <c r="H4696" s="26">
        <v>5482490</v>
      </c>
      <c r="I4696" s="26">
        <v>0</v>
      </c>
      <c r="J4696" s="26">
        <v>8</v>
      </c>
      <c r="K4696" t="inlineStr">
        <is>
          <t>Oui</t>
        </is>
      </c>
      <c r="L4696">
        <f>SUBTOTAL(103,A4696)</f>
        <v>1</v>
      </c>
    </row>
    <row r="4697">
      <c r="A4697" t="inlineStr">
        <is>
          <t>SOCIETE C168</t>
        </is>
      </c>
      <c r="B4697" t="inlineStr">
        <is>
          <t>C168</t>
        </is>
      </c>
      <c r="C4697" t="inlineStr">
        <is>
          <t>CONSUMER BANKING</t>
        </is>
      </c>
      <c r="D4697" t="inlineStr">
        <is>
          <t>II</t>
        </is>
      </c>
      <c r="E4697" t="inlineStr">
        <is>
          <t>Stage 2</t>
        </is>
      </c>
      <c r="F4697" t="inlineStr">
        <is>
          <t>N/A</t>
        </is>
      </c>
      <c r="G4697" s="26">
        <v>2027185934</v>
      </c>
      <c r="H4697" s="26">
        <v>121631156</v>
      </c>
      <c r="I4697" s="26">
        <v>0</v>
      </c>
      <c r="J4697" s="26">
        <v>29</v>
      </c>
      <c r="K4697" t="inlineStr">
        <is>
          <t>Non</t>
        </is>
      </c>
      <c r="L4697">
        <f>SUBTOTAL(103,A4697)</f>
        <v>1</v>
      </c>
    </row>
    <row r="4698">
      <c r="A4698" t="inlineStr">
        <is>
          <t>SOCIETE C555</t>
        </is>
      </c>
      <c r="B4698" t="inlineStr">
        <is>
          <t>C555</t>
        </is>
      </c>
      <c r="C4698" t="inlineStr">
        <is>
          <t>CORPORATE BANKING</t>
        </is>
      </c>
      <c r="D4698" t="inlineStr">
        <is>
          <t>I</t>
        </is>
      </c>
      <c r="E4698" t="inlineStr">
        <is>
          <t>Stage 1</t>
        </is>
      </c>
      <c r="F4698" t="inlineStr">
        <is>
          <t>N/A</t>
        </is>
      </c>
      <c r="G4698" s="26">
        <v>1008199531</v>
      </c>
      <c r="H4698" s="26">
        <v>10081995</v>
      </c>
      <c r="I4698" s="26">
        <v>44722913</v>
      </c>
      <c r="J4698" s="26">
        <v>143</v>
      </c>
      <c r="K4698" t="inlineStr">
        <is>
          <t>Non</t>
        </is>
      </c>
      <c r="L4698">
        <f>SUBTOTAL(103,A4698)</f>
        <v>1</v>
      </c>
    </row>
    <row r="4699">
      <c r="A4699" t="inlineStr">
        <is>
          <t>SOCIETE C150</t>
        </is>
      </c>
      <c r="B4699" t="inlineStr">
        <is>
          <t>C150</t>
        </is>
      </c>
      <c r="C4699" t="inlineStr">
        <is>
          <t>CORPORATE BANKING</t>
        </is>
      </c>
      <c r="D4699" t="inlineStr">
        <is>
          <t>IV</t>
        </is>
      </c>
      <c r="E4699" t="inlineStr">
        <is>
          <t>Stage 3</t>
        </is>
      </c>
      <c r="F4699" t="inlineStr">
        <is>
          <t>N/A</t>
        </is>
      </c>
      <c r="G4699" s="26">
        <v>2019772096</v>
      </c>
      <c r="H4699" s="26">
        <v>1110874653</v>
      </c>
      <c r="I4699" s="26">
        <v>0</v>
      </c>
      <c r="J4699" s="26">
        <v>32</v>
      </c>
      <c r="K4699" t="inlineStr">
        <is>
          <t>Oui</t>
        </is>
      </c>
      <c r="L4699">
        <f>SUBTOTAL(103,A4699)</f>
        <v>1</v>
      </c>
    </row>
    <row r="4700">
      <c r="A4700" t="inlineStr">
        <is>
          <t>SOCIETE C1663</t>
        </is>
      </c>
      <c r="B4700" t="inlineStr">
        <is>
          <t>C1663</t>
        </is>
      </c>
      <c r="C4700" t="inlineStr">
        <is>
          <t>COMMERCIAL BANKING</t>
        </is>
      </c>
      <c r="D4700" t="inlineStr">
        <is>
          <t>II</t>
        </is>
      </c>
      <c r="E4700" t="inlineStr">
        <is>
          <t>Stage 2</t>
        </is>
      </c>
      <c r="F4700" t="inlineStr">
        <is>
          <t>N/A</t>
        </is>
      </c>
      <c r="G4700" s="26">
        <v>1551461501</v>
      </c>
      <c r="H4700" s="26">
        <v>93087690</v>
      </c>
      <c r="I4700" s="26">
        <v>0</v>
      </c>
      <c r="J4700" s="26">
        <v>55</v>
      </c>
      <c r="K4700" t="inlineStr">
        <is>
          <t>Non</t>
        </is>
      </c>
      <c r="L4700">
        <f>SUBTOTAL(103,A4700)</f>
        <v>1</v>
      </c>
    </row>
    <row r="4701">
      <c r="A4701" t="inlineStr">
        <is>
          <t>SOCIETE C975</t>
        </is>
      </c>
      <c r="B4701" t="inlineStr">
        <is>
          <t>C975</t>
        </is>
      </c>
      <c r="C4701" t="inlineStr">
        <is>
          <t>CORPORATE BANKING</t>
        </is>
      </c>
      <c r="D4701" t="inlineStr">
        <is>
          <t>IV</t>
        </is>
      </c>
      <c r="E4701" t="inlineStr">
        <is>
          <t>Stage 3</t>
        </is>
      </c>
      <c r="F4701" t="inlineStr">
        <is>
          <t>N/A</t>
        </is>
      </c>
      <c r="G4701" s="26">
        <v>10354321</v>
      </c>
      <c r="H4701" s="26">
        <v>5694876</v>
      </c>
      <c r="I4701" s="26">
        <v>0</v>
      </c>
      <c r="J4701" s="26">
        <v>243</v>
      </c>
      <c r="K4701" t="inlineStr">
        <is>
          <t>Oui</t>
        </is>
      </c>
      <c r="L4701">
        <f>SUBTOTAL(103,A4701)</f>
        <v>1</v>
      </c>
    </row>
    <row r="4702">
      <c r="A4702" t="inlineStr">
        <is>
          <t>SOCIETE C2334</t>
        </is>
      </c>
      <c r="B4702" t="inlineStr">
        <is>
          <t>C2334</t>
        </is>
      </c>
      <c r="C4702" t="inlineStr">
        <is>
          <t>COMMERCIAL BANKING</t>
        </is>
      </c>
      <c r="D4702" t="inlineStr">
        <is>
          <t>IA</t>
        </is>
      </c>
      <c r="E4702" t="inlineStr">
        <is>
          <t>Stage 2</t>
        </is>
      </c>
      <c r="F4702" t="inlineStr">
        <is>
          <t>N/A</t>
        </is>
      </c>
      <c r="G4702" s="26">
        <v>1905967236</v>
      </c>
      <c r="H4702" s="26">
        <v>114358034</v>
      </c>
      <c r="I4702" s="26">
        <v>0</v>
      </c>
      <c r="J4702" s="26">
        <v>95</v>
      </c>
      <c r="K4702" t="inlineStr">
        <is>
          <t>Non</t>
        </is>
      </c>
      <c r="L4702">
        <f>SUBTOTAL(103,A4702)</f>
        <v>1</v>
      </c>
    </row>
    <row r="4703">
      <c r="A4703" t="inlineStr">
        <is>
          <t>SOCIETE C931</t>
        </is>
      </c>
      <c r="B4703" t="inlineStr">
        <is>
          <t>C931</t>
        </is>
      </c>
      <c r="C4703" t="inlineStr">
        <is>
          <t>CORPORATE BANKING</t>
        </is>
      </c>
      <c r="D4703" t="inlineStr">
        <is>
          <t>I</t>
        </is>
      </c>
      <c r="E4703" t="inlineStr">
        <is>
          <t>Stage 1</t>
        </is>
      </c>
      <c r="F4703" t="inlineStr">
        <is>
          <t>N/A</t>
        </is>
      </c>
      <c r="G4703" s="26">
        <v>1013420799</v>
      </c>
      <c r="H4703" s="26">
        <v>10134208</v>
      </c>
      <c r="I4703" s="26">
        <v>0</v>
      </c>
      <c r="J4703" s="26">
        <v>154</v>
      </c>
      <c r="K4703" t="inlineStr">
        <is>
          <t>Non</t>
        </is>
      </c>
      <c r="L4703">
        <f>SUBTOTAL(103,A4703)</f>
        <v>1</v>
      </c>
    </row>
    <row r="4704">
      <c r="A4704" t="inlineStr">
        <is>
          <t>SOCIETE C918</t>
        </is>
      </c>
      <c r="B4704" t="inlineStr">
        <is>
          <t>C918</t>
        </is>
      </c>
      <c r="C4704" t="inlineStr">
        <is>
          <t>CORPORATE BANKING</t>
        </is>
      </c>
      <c r="D4704" t="inlineStr">
        <is>
          <t>V</t>
        </is>
      </c>
      <c r="E4704" t="inlineStr">
        <is>
          <t>Stage 3</t>
        </is>
      </c>
      <c r="F4704" t="inlineStr">
        <is>
          <t>N/A</t>
        </is>
      </c>
      <c r="G4704" s="26">
        <v>2489340935</v>
      </c>
      <c r="H4704" s="26">
        <v>1369137514</v>
      </c>
      <c r="I4704" s="26">
        <v>0</v>
      </c>
      <c r="J4704" s="26">
        <v>56</v>
      </c>
      <c r="K4704" t="inlineStr">
        <is>
          <t>Oui</t>
        </is>
      </c>
      <c r="L4704">
        <f>SUBTOTAL(103,A4704)</f>
        <v>1</v>
      </c>
    </row>
    <row r="4705">
      <c r="A4705" t="inlineStr">
        <is>
          <t>SOCIETE C1340</t>
        </is>
      </c>
      <c r="B4705" t="inlineStr">
        <is>
          <t>C1340</t>
        </is>
      </c>
      <c r="C4705" t="inlineStr">
        <is>
          <t>CORPORATE BANKING</t>
        </is>
      </c>
      <c r="D4705" t="inlineStr">
        <is>
          <t>I</t>
        </is>
      </c>
      <c r="E4705" t="inlineStr">
        <is>
          <t>Stage 1</t>
        </is>
      </c>
      <c r="F4705" t="inlineStr">
        <is>
          <t>N/A</t>
        </is>
      </c>
      <c r="G4705" s="26">
        <v>1655968</v>
      </c>
      <c r="H4705" s="26">
        <v>16560</v>
      </c>
      <c r="I4705" s="26">
        <v>0</v>
      </c>
      <c r="J4705" s="26">
        <v>105</v>
      </c>
      <c r="K4705" t="inlineStr">
        <is>
          <t>Non</t>
        </is>
      </c>
      <c r="L4705">
        <f>SUBTOTAL(103,A4705)</f>
        <v>1</v>
      </c>
    </row>
    <row r="4706">
      <c r="A4706" t="inlineStr">
        <is>
          <t>SOCIETE C504</t>
        </is>
      </c>
      <c r="B4706" t="inlineStr">
        <is>
          <t>C504</t>
        </is>
      </c>
      <c r="C4706" t="inlineStr">
        <is>
          <t>CORPORATE BANKING</t>
        </is>
      </c>
      <c r="D4706" t="inlineStr">
        <is>
          <t>I</t>
        </is>
      </c>
      <c r="E4706" t="inlineStr">
        <is>
          <t>Stage 1</t>
        </is>
      </c>
      <c r="F4706" t="inlineStr">
        <is>
          <t>N/A</t>
        </is>
      </c>
      <c r="G4706" s="26">
        <v>278193575</v>
      </c>
      <c r="H4706" s="26">
        <v>2781936</v>
      </c>
      <c r="I4706" s="26">
        <v>0</v>
      </c>
      <c r="J4706" s="26">
        <v>275</v>
      </c>
      <c r="K4706" t="inlineStr">
        <is>
          <t>Non</t>
        </is>
      </c>
      <c r="L4706">
        <f>SUBTOTAL(103,A4706)</f>
        <v>1</v>
      </c>
    </row>
    <row r="4707">
      <c r="A4707" t="inlineStr">
        <is>
          <t>SOCIETE C1143</t>
        </is>
      </c>
      <c r="B4707" t="inlineStr">
        <is>
          <t>C1143</t>
        </is>
      </c>
      <c r="C4707" t="inlineStr">
        <is>
          <t>CONSUMER BANKING</t>
        </is>
      </c>
      <c r="D4707" t="inlineStr">
        <is>
          <t>III</t>
        </is>
      </c>
      <c r="E4707" t="inlineStr">
        <is>
          <t>Stage 3</t>
        </is>
      </c>
      <c r="F4707" t="inlineStr">
        <is>
          <t>N/A</t>
        </is>
      </c>
      <c r="G4707" s="26">
        <v>1536608451</v>
      </c>
      <c r="H4707" s="26">
        <v>845134648</v>
      </c>
      <c r="I4707" s="26">
        <v>0</v>
      </c>
      <c r="J4707" s="26">
        <v>66</v>
      </c>
      <c r="K4707" t="inlineStr">
        <is>
          <t>Oui</t>
        </is>
      </c>
      <c r="L4707">
        <f>SUBTOTAL(103,A4707)</f>
        <v>1</v>
      </c>
    </row>
    <row r="4708">
      <c r="A4708" t="inlineStr">
        <is>
          <t>SOCIETE C378</t>
        </is>
      </c>
      <c r="B4708" t="inlineStr">
        <is>
          <t>C378</t>
        </is>
      </c>
      <c r="C4708" t="inlineStr">
        <is>
          <t>PUBLIC SECTOR</t>
        </is>
      </c>
      <c r="D4708" t="inlineStr">
        <is>
          <t>I</t>
        </is>
      </c>
      <c r="E4708" t="inlineStr">
        <is>
          <t>Stage 1</t>
        </is>
      </c>
      <c r="F4708" t="inlineStr">
        <is>
          <t>N/A</t>
        </is>
      </c>
      <c r="G4708" s="26">
        <v>17060527</v>
      </c>
      <c r="H4708" s="26">
        <v>170605</v>
      </c>
      <c r="I4708" s="26">
        <v>2759067</v>
      </c>
      <c r="J4708" s="26">
        <v>78</v>
      </c>
      <c r="K4708" t="inlineStr">
        <is>
          <t>Non</t>
        </is>
      </c>
      <c r="L4708">
        <f>SUBTOTAL(103,A4708)</f>
        <v>1</v>
      </c>
    </row>
    <row r="4709">
      <c r="A4709" t="inlineStr">
        <is>
          <t>SOCIETE C1744</t>
        </is>
      </c>
      <c r="B4709" t="inlineStr">
        <is>
          <t>C1744</t>
        </is>
      </c>
      <c r="C4709" t="inlineStr">
        <is>
          <t>CORPORATE BANKING</t>
        </is>
      </c>
      <c r="D4709" t="inlineStr">
        <is>
          <t>III</t>
        </is>
      </c>
      <c r="E4709" t="inlineStr">
        <is>
          <t>Stage 3</t>
        </is>
      </c>
      <c r="F4709" t="inlineStr">
        <is>
          <t>N/A</t>
        </is>
      </c>
      <c r="G4709" s="26">
        <v>2156230270</v>
      </c>
      <c r="H4709" s="26">
        <v>1185926649</v>
      </c>
      <c r="I4709" s="26">
        <v>0</v>
      </c>
      <c r="J4709" s="26">
        <v>71</v>
      </c>
      <c r="K4709" t="inlineStr">
        <is>
          <t>Oui</t>
        </is>
      </c>
      <c r="L4709">
        <f>SUBTOTAL(103,A4709)</f>
        <v>1</v>
      </c>
    </row>
    <row r="4710">
      <c r="A4710" t="inlineStr">
        <is>
          <t>SOCIETE C330</t>
        </is>
      </c>
      <c r="B4710" t="inlineStr">
        <is>
          <t>C330</t>
        </is>
      </c>
      <c r="C4710" t="inlineStr">
        <is>
          <t>COMMERCIAL BANKING</t>
        </is>
      </c>
      <c r="D4710" t="inlineStr">
        <is>
          <t>IA</t>
        </is>
      </c>
      <c r="E4710" t="inlineStr">
        <is>
          <t>Stage 2</t>
        </is>
      </c>
      <c r="F4710" t="inlineStr">
        <is>
          <t>N/A</t>
        </is>
      </c>
      <c r="G4710" s="26">
        <v>200404338</v>
      </c>
      <c r="H4710" s="26">
        <v>12024260</v>
      </c>
      <c r="I4710" s="26">
        <v>0</v>
      </c>
      <c r="J4710" s="26">
        <v>26</v>
      </c>
      <c r="K4710" t="inlineStr">
        <is>
          <t>Non</t>
        </is>
      </c>
      <c r="L4710">
        <f>SUBTOTAL(103,A4710)</f>
        <v>1</v>
      </c>
    </row>
    <row r="4711">
      <c r="A4711" t="inlineStr">
        <is>
          <t>SOCIETE C1322</t>
        </is>
      </c>
      <c r="B4711" t="inlineStr">
        <is>
          <t>C1322</t>
        </is>
      </c>
      <c r="C4711" t="inlineStr">
        <is>
          <t>CORPORATE BANKING</t>
        </is>
      </c>
      <c r="D4711" t="inlineStr">
        <is>
          <t>I</t>
        </is>
      </c>
      <c r="E4711" t="inlineStr">
        <is>
          <t>Stage 1</t>
        </is>
      </c>
      <c r="F4711" t="inlineStr">
        <is>
          <t>N/A</t>
        </is>
      </c>
      <c r="G4711" s="26">
        <v>1270629058</v>
      </c>
      <c r="H4711" s="26">
        <v>12706291</v>
      </c>
      <c r="I4711" s="26">
        <v>101387312</v>
      </c>
      <c r="J4711" s="26">
        <v>17</v>
      </c>
      <c r="K4711" t="inlineStr">
        <is>
          <t>Non</t>
        </is>
      </c>
      <c r="L4711">
        <f>SUBTOTAL(103,A4711)</f>
        <v>1</v>
      </c>
    </row>
    <row r="4712">
      <c r="A4712" t="inlineStr">
        <is>
          <t>SOCIETE C586</t>
        </is>
      </c>
      <c r="B4712" t="inlineStr">
        <is>
          <t>C586</t>
        </is>
      </c>
      <c r="C4712" t="inlineStr">
        <is>
          <t>CORPORATE BANKING</t>
        </is>
      </c>
      <c r="D4712" t="inlineStr">
        <is>
          <t>IA</t>
        </is>
      </c>
      <c r="E4712" t="inlineStr">
        <is>
          <t>Stage 2</t>
        </is>
      </c>
      <c r="F4712" t="inlineStr">
        <is>
          <t>N/A</t>
        </is>
      </c>
      <c r="G4712" s="26">
        <v>1339983828</v>
      </c>
      <c r="H4712" s="26">
        <v>80399030</v>
      </c>
      <c r="I4712" s="26">
        <v>0</v>
      </c>
      <c r="J4712" s="26">
        <v>26</v>
      </c>
      <c r="K4712" t="inlineStr">
        <is>
          <t>Non</t>
        </is>
      </c>
      <c r="L4712">
        <f>SUBTOTAL(103,A4712)</f>
        <v>1</v>
      </c>
    </row>
    <row r="4713">
      <c r="A4713" t="inlineStr">
        <is>
          <t>SOCIETE C863</t>
        </is>
      </c>
      <c r="B4713" t="inlineStr">
        <is>
          <t>C863</t>
        </is>
      </c>
      <c r="C4713" t="inlineStr">
        <is>
          <t>CONSUMER BANKING</t>
        </is>
      </c>
      <c r="D4713" t="inlineStr">
        <is>
          <t>I</t>
        </is>
      </c>
      <c r="E4713" t="inlineStr">
        <is>
          <t>Stage 1</t>
        </is>
      </c>
      <c r="F4713" t="inlineStr">
        <is>
          <t>N/A</t>
        </is>
      </c>
      <c r="G4713" s="26">
        <v>732788317</v>
      </c>
      <c r="H4713" s="26">
        <v>7327883</v>
      </c>
      <c r="I4713" s="26">
        <v>57724478</v>
      </c>
      <c r="J4713" s="26">
        <v>106</v>
      </c>
      <c r="K4713" t="inlineStr">
        <is>
          <t>Non</t>
        </is>
      </c>
      <c r="L4713">
        <f>SUBTOTAL(103,A4713)</f>
        <v>1</v>
      </c>
    </row>
    <row r="4714">
      <c r="A4714" t="inlineStr">
        <is>
          <t>SOCIETE C171</t>
        </is>
      </c>
      <c r="B4714" t="inlineStr">
        <is>
          <t>C171</t>
        </is>
      </c>
      <c r="C4714" t="inlineStr">
        <is>
          <t>CONSUMER BANKING</t>
        </is>
      </c>
      <c r="D4714" t="inlineStr">
        <is>
          <t>IA</t>
        </is>
      </c>
      <c r="E4714" t="inlineStr">
        <is>
          <t>Stage 2</t>
        </is>
      </c>
      <c r="F4714" t="inlineStr">
        <is>
          <t>N/A</t>
        </is>
      </c>
      <c r="G4714" s="26">
        <v>315290266</v>
      </c>
      <c r="H4714" s="26">
        <v>18917416</v>
      </c>
      <c r="I4714" s="26">
        <v>0</v>
      </c>
      <c r="J4714" s="26">
        <v>38</v>
      </c>
      <c r="K4714" t="inlineStr">
        <is>
          <t>Non</t>
        </is>
      </c>
      <c r="L4714">
        <f>SUBTOTAL(103,A4714)</f>
        <v>1</v>
      </c>
    </row>
    <row r="4715">
      <c r="A4715" t="inlineStr">
        <is>
          <t>SOCIETE C1366</t>
        </is>
      </c>
      <c r="B4715" t="inlineStr">
        <is>
          <t>C1366</t>
        </is>
      </c>
      <c r="C4715" t="inlineStr">
        <is>
          <t>COMMERCIAL BANKING</t>
        </is>
      </c>
      <c r="D4715" t="inlineStr">
        <is>
          <t>IV</t>
        </is>
      </c>
      <c r="E4715" t="inlineStr">
        <is>
          <t>Stage 3</t>
        </is>
      </c>
      <c r="F4715" t="inlineStr">
        <is>
          <t>N/A</t>
        </is>
      </c>
      <c r="G4715" s="26">
        <v>1540754563</v>
      </c>
      <c r="H4715" s="26">
        <v>847415009</v>
      </c>
      <c r="I4715" s="26">
        <v>0</v>
      </c>
      <c r="J4715" s="26">
        <v>11</v>
      </c>
      <c r="K4715" t="inlineStr">
        <is>
          <t>Oui</t>
        </is>
      </c>
      <c r="L4715">
        <f>SUBTOTAL(103,A4715)</f>
        <v>1</v>
      </c>
    </row>
    <row r="4716">
      <c r="A4716" t="inlineStr">
        <is>
          <t>SOCIETE C1051</t>
        </is>
      </c>
      <c r="B4716" t="inlineStr">
        <is>
          <t>C1051</t>
        </is>
      </c>
      <c r="C4716" t="inlineStr">
        <is>
          <t>COMMERCIAL BANKING</t>
        </is>
      </c>
      <c r="D4716" t="inlineStr">
        <is>
          <t>III</t>
        </is>
      </c>
      <c r="E4716" t="inlineStr">
        <is>
          <t>Stage 3</t>
        </is>
      </c>
      <c r="F4716" t="inlineStr">
        <is>
          <t>N/A</t>
        </is>
      </c>
      <c r="G4716" s="26">
        <v>762034925</v>
      </c>
      <c r="H4716" s="26">
        <v>419119209</v>
      </c>
      <c r="I4716" s="26">
        <v>0</v>
      </c>
      <c r="J4716" s="26">
        <v>57</v>
      </c>
      <c r="K4716" t="inlineStr">
        <is>
          <t>Oui</t>
        </is>
      </c>
      <c r="L4716">
        <f>SUBTOTAL(103,A4716)</f>
        <v>1</v>
      </c>
    </row>
    <row r="4717">
      <c r="A4717" t="inlineStr">
        <is>
          <t>SOCIETE C1698</t>
        </is>
      </c>
      <c r="B4717" t="inlineStr">
        <is>
          <t>C1698</t>
        </is>
      </c>
      <c r="C4717" t="inlineStr">
        <is>
          <t>CORPORATE BANKING</t>
        </is>
      </c>
      <c r="D4717" t="inlineStr">
        <is>
          <t>IA</t>
        </is>
      </c>
      <c r="E4717" t="inlineStr">
        <is>
          <t>Stage 2</t>
        </is>
      </c>
      <c r="F4717" t="inlineStr">
        <is>
          <t>N/A</t>
        </is>
      </c>
      <c r="G4717" s="26">
        <v>917057683</v>
      </c>
      <c r="H4717" s="26">
        <v>55023461</v>
      </c>
      <c r="I4717" s="26">
        <v>0</v>
      </c>
      <c r="J4717" s="26">
        <v>17</v>
      </c>
      <c r="K4717" t="inlineStr">
        <is>
          <t>Non</t>
        </is>
      </c>
      <c r="L4717">
        <f>SUBTOTAL(103,A4717)</f>
        <v>1</v>
      </c>
    </row>
    <row r="4718">
      <c r="A4718" t="inlineStr">
        <is>
          <t>SOCIETE C2491</t>
        </is>
      </c>
      <c r="B4718" t="inlineStr">
        <is>
          <t>C2491</t>
        </is>
      </c>
      <c r="C4718" t="inlineStr">
        <is>
          <t>CONSUMER BANKING</t>
        </is>
      </c>
      <c r="D4718" t="inlineStr">
        <is>
          <t>I</t>
        </is>
      </c>
      <c r="E4718" t="inlineStr">
        <is>
          <t>Stage 1</t>
        </is>
      </c>
      <c r="F4718" t="inlineStr">
        <is>
          <t>N/A</t>
        </is>
      </c>
      <c r="G4718" s="26">
        <v>83351900</v>
      </c>
      <c r="H4718" s="26">
        <v>833519</v>
      </c>
      <c r="I4718" s="26">
        <v>0</v>
      </c>
      <c r="J4718" s="26">
        <v>210</v>
      </c>
      <c r="K4718" t="inlineStr">
        <is>
          <t>Non</t>
        </is>
      </c>
      <c r="L4718">
        <f>SUBTOTAL(103,A4718)</f>
        <v>1</v>
      </c>
    </row>
    <row r="4719">
      <c r="A4719" t="inlineStr">
        <is>
          <t>SOCIETE C2119</t>
        </is>
      </c>
      <c r="B4719" t="inlineStr">
        <is>
          <t>C2119</t>
        </is>
      </c>
      <c r="C4719" t="inlineStr">
        <is>
          <t>CORPORATE BANKING</t>
        </is>
      </c>
      <c r="D4719" t="inlineStr">
        <is>
          <t>V</t>
        </is>
      </c>
      <c r="E4719" t="inlineStr">
        <is>
          <t>Stage 3</t>
        </is>
      </c>
      <c r="F4719" t="inlineStr">
        <is>
          <t>N/A</t>
        </is>
      </c>
      <c r="G4719" s="26">
        <v>741709684</v>
      </c>
      <c r="H4719" s="26">
        <v>407940326</v>
      </c>
      <c r="I4719" s="26">
        <v>27432571</v>
      </c>
      <c r="J4719" s="26">
        <v>25</v>
      </c>
      <c r="K4719" t="inlineStr">
        <is>
          <t>Oui</t>
        </is>
      </c>
      <c r="L4719">
        <f>SUBTOTAL(103,A4719)</f>
        <v>1</v>
      </c>
    </row>
    <row r="4720">
      <c r="A4720" t="inlineStr">
        <is>
          <t>SOCIETE C651</t>
        </is>
      </c>
      <c r="B4720" t="inlineStr">
        <is>
          <t>C651</t>
        </is>
      </c>
      <c r="C4720" t="inlineStr">
        <is>
          <t>COMMERCIAL BANKING</t>
        </is>
      </c>
      <c r="D4720" t="inlineStr">
        <is>
          <t>I</t>
        </is>
      </c>
      <c r="E4720" t="inlineStr">
        <is>
          <t>Stage 1</t>
        </is>
      </c>
      <c r="F4720" t="inlineStr">
        <is>
          <t>N/A</t>
        </is>
      </c>
      <c r="G4720" s="26">
        <v>822323429</v>
      </c>
      <c r="H4720" s="26">
        <v>8223234</v>
      </c>
      <c r="I4720" s="26">
        <v>0</v>
      </c>
      <c r="J4720" s="26">
        <v>23</v>
      </c>
      <c r="K4720" t="inlineStr">
        <is>
          <t>Non</t>
        </is>
      </c>
      <c r="L4720">
        <f>SUBTOTAL(103,A4720)</f>
        <v>1</v>
      </c>
    </row>
    <row r="4721">
      <c r="A4721" t="inlineStr">
        <is>
          <t>SOCIETE C1984</t>
        </is>
      </c>
      <c r="B4721" t="inlineStr">
        <is>
          <t>C1984</t>
        </is>
      </c>
      <c r="C4721" t="inlineStr">
        <is>
          <t>CORPORATE BANKING</t>
        </is>
      </c>
      <c r="D4721" t="inlineStr">
        <is>
          <t>IA</t>
        </is>
      </c>
      <c r="E4721" t="inlineStr">
        <is>
          <t>Stage 2</t>
        </is>
      </c>
      <c r="F4721" t="inlineStr">
        <is>
          <t>N/A</t>
        </is>
      </c>
      <c r="G4721" s="26">
        <v>51973126</v>
      </c>
      <c r="H4721" s="26">
        <v>3118388</v>
      </c>
      <c r="I4721" s="26">
        <v>0</v>
      </c>
      <c r="J4721" s="26">
        <v>177</v>
      </c>
      <c r="K4721" t="inlineStr">
        <is>
          <t>Non</t>
        </is>
      </c>
      <c r="L4721">
        <f>SUBTOTAL(103,A4721)</f>
        <v>1</v>
      </c>
    </row>
    <row r="4722">
      <c r="A4722" t="inlineStr">
        <is>
          <t>SOCIETE C1274</t>
        </is>
      </c>
      <c r="B4722" t="inlineStr">
        <is>
          <t>C1274</t>
        </is>
      </c>
      <c r="C4722" t="inlineStr">
        <is>
          <t>CORPORATE BANKING</t>
        </is>
      </c>
      <c r="D4722" t="inlineStr">
        <is>
          <t>IV</t>
        </is>
      </c>
      <c r="E4722" t="inlineStr">
        <is>
          <t>Stage 3</t>
        </is>
      </c>
      <c r="F4722" t="inlineStr">
        <is>
          <t>N/A</t>
        </is>
      </c>
      <c r="G4722" s="26">
        <v>1003969</v>
      </c>
      <c r="H4722" s="26">
        <v>552183</v>
      </c>
      <c r="I4722" s="26">
        <v>0</v>
      </c>
      <c r="J4722" s="26">
        <v>18</v>
      </c>
      <c r="K4722" t="inlineStr">
        <is>
          <t>Oui</t>
        </is>
      </c>
      <c r="L4722">
        <f>SUBTOTAL(103,A4722)</f>
        <v>1</v>
      </c>
    </row>
    <row r="4723">
      <c r="A4723" t="inlineStr">
        <is>
          <t>SOCIETE C1025</t>
        </is>
      </c>
      <c r="B4723" t="inlineStr">
        <is>
          <t>C1025</t>
        </is>
      </c>
      <c r="C4723" t="inlineStr">
        <is>
          <t>COMMERCIAL BANKING</t>
        </is>
      </c>
      <c r="D4723" t="inlineStr">
        <is>
          <t>I</t>
        </is>
      </c>
      <c r="E4723" t="inlineStr">
        <is>
          <t>Stage 1</t>
        </is>
      </c>
      <c r="F4723" t="inlineStr">
        <is>
          <t>N/A</t>
        </is>
      </c>
      <c r="G4723" s="26">
        <v>16497909</v>
      </c>
      <c r="H4723" s="26">
        <v>164979</v>
      </c>
      <c r="I4723" s="26">
        <v>0</v>
      </c>
      <c r="J4723" s="26">
        <v>22</v>
      </c>
      <c r="K4723" t="inlineStr">
        <is>
          <t>Non</t>
        </is>
      </c>
      <c r="L4723">
        <f>SUBTOTAL(103,A4723)</f>
        <v>1</v>
      </c>
    </row>
    <row r="4724">
      <c r="A4724" t="inlineStr">
        <is>
          <t>SOCIETE C406</t>
        </is>
      </c>
      <c r="B4724" t="inlineStr">
        <is>
          <t>C406</t>
        </is>
      </c>
      <c r="C4724" t="inlineStr">
        <is>
          <t>CORPORATE BANKING</t>
        </is>
      </c>
      <c r="D4724" t="inlineStr">
        <is>
          <t>I</t>
        </is>
      </c>
      <c r="E4724" t="inlineStr">
        <is>
          <t>Stage 1</t>
        </is>
      </c>
      <c r="F4724" t="inlineStr">
        <is>
          <t>N/A</t>
        </is>
      </c>
      <c r="G4724" s="26">
        <v>1316642498</v>
      </c>
      <c r="H4724" s="26">
        <v>13166425</v>
      </c>
      <c r="I4724" s="26">
        <v>88825109</v>
      </c>
      <c r="J4724" s="26">
        <v>46</v>
      </c>
      <c r="K4724" t="inlineStr">
        <is>
          <t>Non</t>
        </is>
      </c>
      <c r="L4724">
        <f>SUBTOTAL(103,A4724)</f>
        <v>1</v>
      </c>
    </row>
    <row r="4725">
      <c r="A4725" t="inlineStr">
        <is>
          <t>SOCIETE C1353</t>
        </is>
      </c>
      <c r="B4725" t="inlineStr">
        <is>
          <t>C1353</t>
        </is>
      </c>
      <c r="C4725" t="inlineStr">
        <is>
          <t>CORPORATE BANKING</t>
        </is>
      </c>
      <c r="D4725" t="inlineStr">
        <is>
          <t>V</t>
        </is>
      </c>
      <c r="E4725" t="inlineStr">
        <is>
          <t>Stage 3</t>
        </is>
      </c>
      <c r="F4725" t="inlineStr">
        <is>
          <t>N/A</t>
        </is>
      </c>
      <c r="G4725" s="26">
        <v>1738118401</v>
      </c>
      <c r="H4725" s="26">
        <v>955965120</v>
      </c>
      <c r="I4725" s="26">
        <v>0</v>
      </c>
      <c r="J4725" s="26">
        <v>52</v>
      </c>
      <c r="K4725" t="inlineStr">
        <is>
          <t>Oui</t>
        </is>
      </c>
      <c r="L4725">
        <f>SUBTOTAL(103,A4725)</f>
        <v>1</v>
      </c>
    </row>
    <row r="4726">
      <c r="A4726" t="inlineStr">
        <is>
          <t>SOCIETE C1529</t>
        </is>
      </c>
      <c r="B4726" t="inlineStr">
        <is>
          <t>C1529</t>
        </is>
      </c>
      <c r="C4726" t="inlineStr">
        <is>
          <t>CORPORATE BANKING</t>
        </is>
      </c>
      <c r="D4726" t="inlineStr">
        <is>
          <t>I</t>
        </is>
      </c>
      <c r="E4726" t="inlineStr">
        <is>
          <t>Stage 1</t>
        </is>
      </c>
      <c r="F4726" t="inlineStr">
        <is>
          <t>N/A</t>
        </is>
      </c>
      <c r="G4726" s="26">
        <v>1178211216</v>
      </c>
      <c r="H4726" s="26">
        <v>11782112</v>
      </c>
      <c r="I4726" s="26">
        <v>0</v>
      </c>
      <c r="J4726" s="26">
        <v>77</v>
      </c>
      <c r="K4726" t="inlineStr">
        <is>
          <t>Non</t>
        </is>
      </c>
      <c r="L4726">
        <f>SUBTOTAL(103,A4726)</f>
        <v>1</v>
      </c>
    </row>
    <row r="4727">
      <c r="A4727" t="inlineStr">
        <is>
          <t>SOCIETE C968</t>
        </is>
      </c>
      <c r="B4727" t="inlineStr">
        <is>
          <t>C968</t>
        </is>
      </c>
      <c r="C4727" t="inlineStr">
        <is>
          <t>PUBLIC SECTOR</t>
        </is>
      </c>
      <c r="D4727" t="inlineStr">
        <is>
          <t>V</t>
        </is>
      </c>
      <c r="E4727" t="inlineStr">
        <is>
          <t>Stage 3</t>
        </is>
      </c>
      <c r="F4727" t="inlineStr">
        <is>
          <t>N/A</t>
        </is>
      </c>
      <c r="G4727" s="26">
        <v>1743274322</v>
      </c>
      <c r="H4727" s="26">
        <v>958800877</v>
      </c>
      <c r="I4727" s="26">
        <v>152552915</v>
      </c>
      <c r="J4727" s="26">
        <v>338</v>
      </c>
      <c r="K4727" t="inlineStr">
        <is>
          <t>Oui</t>
        </is>
      </c>
      <c r="L4727">
        <f>SUBTOTAL(103,A4727)</f>
        <v>1</v>
      </c>
    </row>
    <row r="4728">
      <c r="A4728" t="inlineStr">
        <is>
          <t>SOCIETE C2210</t>
        </is>
      </c>
      <c r="B4728" t="inlineStr">
        <is>
          <t>C2210</t>
        </is>
      </c>
      <c r="C4728" t="inlineStr">
        <is>
          <t>CORPORATE BANKING</t>
        </is>
      </c>
      <c r="D4728" t="inlineStr">
        <is>
          <t>II</t>
        </is>
      </c>
      <c r="E4728" t="inlineStr">
        <is>
          <t>Stage 2</t>
        </is>
      </c>
      <c r="F4728" t="inlineStr">
        <is>
          <t>N/A</t>
        </is>
      </c>
      <c r="G4728" s="26">
        <v>34828992</v>
      </c>
      <c r="H4728" s="26">
        <v>2089740</v>
      </c>
      <c r="I4728" s="26">
        <v>0</v>
      </c>
      <c r="J4728" s="26">
        <v>60</v>
      </c>
      <c r="K4728" t="inlineStr">
        <is>
          <t>Non</t>
        </is>
      </c>
      <c r="L4728">
        <f>SUBTOTAL(103,A4728)</f>
        <v>1</v>
      </c>
    </row>
    <row r="4729">
      <c r="A4729" t="inlineStr">
        <is>
          <t>SOCIETE C1863</t>
        </is>
      </c>
      <c r="B4729" t="inlineStr">
        <is>
          <t>C1863</t>
        </is>
      </c>
      <c r="C4729" t="inlineStr">
        <is>
          <t>COMMERCIAL BANKING</t>
        </is>
      </c>
      <c r="D4729" t="inlineStr">
        <is>
          <t>V</t>
        </is>
      </c>
      <c r="E4729" t="inlineStr">
        <is>
          <t>Stage 3</t>
        </is>
      </c>
      <c r="F4729" t="inlineStr">
        <is>
          <t>N/A</t>
        </is>
      </c>
      <c r="G4729" s="26">
        <v>711548145</v>
      </c>
      <c r="H4729" s="26">
        <v>391351480</v>
      </c>
      <c r="I4729" s="26">
        <v>69961876</v>
      </c>
      <c r="J4729" s="26">
        <v>58</v>
      </c>
      <c r="K4729" t="inlineStr">
        <is>
          <t>Oui</t>
        </is>
      </c>
      <c r="L4729">
        <f>SUBTOTAL(103,A4729)</f>
        <v>1</v>
      </c>
    </row>
    <row r="4730">
      <c r="A4730" t="inlineStr">
        <is>
          <t>SOCIETE C393</t>
        </is>
      </c>
      <c r="B4730" t="inlineStr">
        <is>
          <t>C393</t>
        </is>
      </c>
      <c r="C4730" t="inlineStr">
        <is>
          <t>CONSUMER BANKING</t>
        </is>
      </c>
      <c r="D4730" t="inlineStr">
        <is>
          <t>IA</t>
        </is>
      </c>
      <c r="E4730" t="inlineStr">
        <is>
          <t>Stage 2</t>
        </is>
      </c>
      <c r="F4730" t="inlineStr">
        <is>
          <t>N/A</t>
        </is>
      </c>
      <c r="G4730" s="26">
        <v>94658880</v>
      </c>
      <c r="H4730" s="26">
        <v>5679533</v>
      </c>
      <c r="I4730" s="26">
        <v>0</v>
      </c>
      <c r="J4730" s="26">
        <v>0</v>
      </c>
      <c r="K4730" t="inlineStr">
        <is>
          <t>Non</t>
        </is>
      </c>
      <c r="L4730">
        <f>SUBTOTAL(103,A4730)</f>
        <v>1</v>
      </c>
    </row>
    <row r="4731">
      <c r="A4731" t="inlineStr">
        <is>
          <t>SOCIETE C551</t>
        </is>
      </c>
      <c r="B4731" t="inlineStr">
        <is>
          <t>C551</t>
        </is>
      </c>
      <c r="C4731" t="inlineStr">
        <is>
          <t>CORPORATE BANKING</t>
        </is>
      </c>
      <c r="D4731" t="inlineStr">
        <is>
          <t>I</t>
        </is>
      </c>
      <c r="E4731" t="inlineStr">
        <is>
          <t>Stage 1</t>
        </is>
      </c>
      <c r="F4731" t="inlineStr">
        <is>
          <t>N/A</t>
        </is>
      </c>
      <c r="G4731" s="26">
        <v>2798612821</v>
      </c>
      <c r="H4731" s="26">
        <v>27986128</v>
      </c>
      <c r="I4731" s="26">
        <v>0</v>
      </c>
      <c r="J4731" s="26">
        <v>3</v>
      </c>
      <c r="K4731" t="inlineStr">
        <is>
          <t>Non</t>
        </is>
      </c>
      <c r="L4731">
        <f>SUBTOTAL(103,A4731)</f>
        <v>1</v>
      </c>
    </row>
    <row r="4732">
      <c r="A4732" t="inlineStr">
        <is>
          <t>SOCIETE C1931</t>
        </is>
      </c>
      <c r="B4732" t="inlineStr">
        <is>
          <t>C1931</t>
        </is>
      </c>
      <c r="C4732" t="inlineStr">
        <is>
          <t>CONSUMER BANKING</t>
        </is>
      </c>
      <c r="D4732" t="inlineStr">
        <is>
          <t>I</t>
        </is>
      </c>
      <c r="E4732" t="inlineStr">
        <is>
          <t>Stage 1</t>
        </is>
      </c>
      <c r="F4732" t="inlineStr">
        <is>
          <t>N/A</t>
        </is>
      </c>
      <c r="G4732" s="26">
        <v>1901950172</v>
      </c>
      <c r="H4732" s="26">
        <v>19019502</v>
      </c>
      <c r="I4732" s="26">
        <v>0</v>
      </c>
      <c r="J4732" s="26">
        <v>185</v>
      </c>
      <c r="K4732" t="inlineStr">
        <is>
          <t>Non</t>
        </is>
      </c>
      <c r="L4732">
        <f>SUBTOTAL(103,A4732)</f>
        <v>1</v>
      </c>
    </row>
    <row r="4733">
      <c r="A4733" t="inlineStr">
        <is>
          <t>SOCIETE C2304</t>
        </is>
      </c>
      <c r="B4733" t="inlineStr">
        <is>
          <t>C2304</t>
        </is>
      </c>
      <c r="C4733" t="inlineStr">
        <is>
          <t>COMMERCIAL BANKING</t>
        </is>
      </c>
      <c r="D4733" t="inlineStr">
        <is>
          <t>IV</t>
        </is>
      </c>
      <c r="E4733" t="inlineStr">
        <is>
          <t>Stage 3</t>
        </is>
      </c>
      <c r="F4733" t="inlineStr">
        <is>
          <t>N/A</t>
        </is>
      </c>
      <c r="G4733" s="26">
        <v>1156903803</v>
      </c>
      <c r="H4733" s="26">
        <v>636297091</v>
      </c>
      <c r="I4733" s="26">
        <v>0</v>
      </c>
      <c r="J4733" s="26">
        <v>4</v>
      </c>
      <c r="K4733" t="inlineStr">
        <is>
          <t>Oui</t>
        </is>
      </c>
      <c r="L4733">
        <f>SUBTOTAL(103,A4733)</f>
        <v>1</v>
      </c>
    </row>
    <row r="4734">
      <c r="A4734" t="inlineStr">
        <is>
          <t>SOCIETE C1445</t>
        </is>
      </c>
      <c r="B4734" t="inlineStr">
        <is>
          <t>C1445</t>
        </is>
      </c>
      <c r="C4734" t="inlineStr">
        <is>
          <t>CORPORATE BANKING</t>
        </is>
      </c>
      <c r="D4734" t="inlineStr">
        <is>
          <t>I</t>
        </is>
      </c>
      <c r="E4734" t="inlineStr">
        <is>
          <t>Stage 1</t>
        </is>
      </c>
      <c r="F4734" t="inlineStr">
        <is>
          <t>N/A</t>
        </is>
      </c>
      <c r="G4734" s="26">
        <v>68747001</v>
      </c>
      <c r="H4734" s="26">
        <v>687470</v>
      </c>
      <c r="I4734" s="26">
        <v>10015763</v>
      </c>
      <c r="J4734" s="26">
        <v>6</v>
      </c>
      <c r="K4734" t="inlineStr">
        <is>
          <t>Non</t>
        </is>
      </c>
      <c r="L4734">
        <f>SUBTOTAL(103,A4734)</f>
        <v>1</v>
      </c>
    </row>
    <row r="4735">
      <c r="A4735" t="inlineStr">
        <is>
          <t>SOCIETE C1966</t>
        </is>
      </c>
      <c r="B4735" t="inlineStr">
        <is>
          <t>C1966</t>
        </is>
      </c>
      <c r="C4735" t="inlineStr">
        <is>
          <t>CORPORATE BANKING</t>
        </is>
      </c>
      <c r="D4735" t="inlineStr">
        <is>
          <t>II</t>
        </is>
      </c>
      <c r="E4735" t="inlineStr">
        <is>
          <t>Stage 2</t>
        </is>
      </c>
      <c r="F4735" t="inlineStr">
        <is>
          <t>N/A</t>
        </is>
      </c>
      <c r="G4735" s="26">
        <v>76109472</v>
      </c>
      <c r="H4735" s="26">
        <v>4566568</v>
      </c>
      <c r="I4735" s="26">
        <v>11742943</v>
      </c>
      <c r="J4735" s="26">
        <v>283</v>
      </c>
      <c r="K4735" t="inlineStr">
        <is>
          <t>Non</t>
        </is>
      </c>
      <c r="L4735">
        <f>SUBTOTAL(103,A4735)</f>
        <v>1</v>
      </c>
    </row>
    <row r="4736">
      <c r="A4736" t="inlineStr">
        <is>
          <t>SOCIETE C1627</t>
        </is>
      </c>
      <c r="B4736" t="inlineStr">
        <is>
          <t>C1627</t>
        </is>
      </c>
      <c r="C4736" t="inlineStr">
        <is>
          <t>CONSUMER BANKING</t>
        </is>
      </c>
      <c r="D4736" t="inlineStr">
        <is>
          <t>I</t>
        </is>
      </c>
      <c r="E4736" t="inlineStr">
        <is>
          <t>Stage 1</t>
        </is>
      </c>
      <c r="F4736" t="inlineStr">
        <is>
          <t>N/A</t>
        </is>
      </c>
      <c r="G4736" s="26">
        <v>256300273</v>
      </c>
      <c r="H4736" s="26">
        <v>2563003</v>
      </c>
      <c r="I4736" s="26">
        <v>0</v>
      </c>
      <c r="J4736" s="26">
        <v>130</v>
      </c>
      <c r="K4736" t="inlineStr">
        <is>
          <t>Non</t>
        </is>
      </c>
      <c r="L4736">
        <f>SUBTOTAL(103,A4736)</f>
        <v>1</v>
      </c>
    </row>
    <row r="4737">
      <c r="A4737" t="inlineStr">
        <is>
          <t>SOCIETE C848</t>
        </is>
      </c>
      <c r="B4737" t="inlineStr">
        <is>
          <t>C848</t>
        </is>
      </c>
      <c r="C4737" t="inlineStr">
        <is>
          <t>CORPORATE BANKING</t>
        </is>
      </c>
      <c r="D4737" t="inlineStr">
        <is>
          <t>V</t>
        </is>
      </c>
      <c r="E4737" t="inlineStr">
        <is>
          <t>Stage 3</t>
        </is>
      </c>
      <c r="F4737" t="inlineStr">
        <is>
          <t>N/A</t>
        </is>
      </c>
      <c r="G4737" s="26">
        <v>409883369</v>
      </c>
      <c r="H4737" s="26">
        <v>225435853</v>
      </c>
      <c r="I4737" s="26">
        <v>0</v>
      </c>
      <c r="J4737" s="26">
        <v>382</v>
      </c>
      <c r="K4737" t="inlineStr">
        <is>
          <t>Oui</t>
        </is>
      </c>
      <c r="L4737">
        <f>SUBTOTAL(103,A4737)</f>
        <v>1</v>
      </c>
    </row>
    <row r="4738">
      <c r="A4738" t="inlineStr">
        <is>
          <t>SOCIETE C1352</t>
        </is>
      </c>
      <c r="B4738" t="inlineStr">
        <is>
          <t>C1352</t>
        </is>
      </c>
      <c r="C4738" t="inlineStr">
        <is>
          <t>PUBLIC SECTOR</t>
        </is>
      </c>
      <c r="D4738" t="inlineStr">
        <is>
          <t>I</t>
        </is>
      </c>
      <c r="E4738" t="inlineStr">
        <is>
          <t>Stage 1</t>
        </is>
      </c>
      <c r="F4738" t="inlineStr">
        <is>
          <t>N/A</t>
        </is>
      </c>
      <c r="G4738" s="26">
        <v>2782451810</v>
      </c>
      <c r="H4738" s="26">
        <v>27824518</v>
      </c>
      <c r="I4738" s="26">
        <v>0</v>
      </c>
      <c r="J4738" s="26">
        <v>99</v>
      </c>
      <c r="K4738" t="inlineStr">
        <is>
          <t>Non</t>
        </is>
      </c>
      <c r="L4738">
        <f>SUBTOTAL(103,A4738)</f>
        <v>1</v>
      </c>
    </row>
    <row r="4739">
      <c r="A4739" t="inlineStr">
        <is>
          <t>SOCIETE C209</t>
        </is>
      </c>
      <c r="B4739" t="inlineStr">
        <is>
          <t>C209</t>
        </is>
      </c>
      <c r="C4739" t="inlineStr">
        <is>
          <t>CORPORATE BANKING</t>
        </is>
      </c>
      <c r="D4739" t="inlineStr">
        <is>
          <t>I</t>
        </is>
      </c>
      <c r="E4739" t="inlineStr">
        <is>
          <t>Stage 1</t>
        </is>
      </c>
      <c r="F4739" t="inlineStr">
        <is>
          <t>N/A</t>
        </is>
      </c>
      <c r="G4739" s="26">
        <v>502109357</v>
      </c>
      <c r="H4739" s="26">
        <v>5021094</v>
      </c>
      <c r="I4739" s="26">
        <v>0</v>
      </c>
      <c r="J4739" s="26">
        <v>271</v>
      </c>
      <c r="K4739" t="inlineStr">
        <is>
          <t>Non</t>
        </is>
      </c>
      <c r="L4739">
        <f>SUBTOTAL(103,A4739)</f>
        <v>1</v>
      </c>
    </row>
    <row r="4740">
      <c r="A4740" t="inlineStr">
        <is>
          <t>SOCIETE C1381</t>
        </is>
      </c>
      <c r="B4740" t="inlineStr">
        <is>
          <t>C1381</t>
        </is>
      </c>
      <c r="C4740" t="inlineStr">
        <is>
          <t>CORPORATE BANKING</t>
        </is>
      </c>
      <c r="D4740" t="inlineStr">
        <is>
          <t>I</t>
        </is>
      </c>
      <c r="E4740" t="inlineStr">
        <is>
          <t>Stage 1</t>
        </is>
      </c>
      <c r="F4740" t="inlineStr">
        <is>
          <t>N/A</t>
        </is>
      </c>
      <c r="G4740" s="26">
        <v>2982058181</v>
      </c>
      <c r="H4740" s="26">
        <v>29820582</v>
      </c>
      <c r="I4740" s="26">
        <v>0</v>
      </c>
      <c r="J4740" s="26">
        <v>37</v>
      </c>
      <c r="K4740" t="inlineStr">
        <is>
          <t>Non</t>
        </is>
      </c>
      <c r="L4740">
        <f>SUBTOTAL(103,A4740)</f>
        <v>1</v>
      </c>
    </row>
    <row r="4741">
      <c r="A4741" t="inlineStr">
        <is>
          <t>SOCIETE C1367</t>
        </is>
      </c>
      <c r="B4741" t="inlineStr">
        <is>
          <t>C1367</t>
        </is>
      </c>
      <c r="C4741" t="inlineStr">
        <is>
          <t>CORPORATE BANKING</t>
        </is>
      </c>
      <c r="D4741" t="inlineStr">
        <is>
          <t>II</t>
        </is>
      </c>
      <c r="E4741" t="inlineStr">
        <is>
          <t>Stage 2</t>
        </is>
      </c>
      <c r="F4741" t="inlineStr">
        <is>
          <t>N/A</t>
        </is>
      </c>
      <c r="G4741" s="26">
        <v>1369379183</v>
      </c>
      <c r="H4741" s="26">
        <v>82162751</v>
      </c>
      <c r="I4741" s="26">
        <v>0</v>
      </c>
      <c r="J4741" s="26">
        <v>126</v>
      </c>
      <c r="K4741" t="inlineStr">
        <is>
          <t>Non</t>
        </is>
      </c>
      <c r="L4741">
        <f>SUBTOTAL(103,A4741)</f>
        <v>1</v>
      </c>
    </row>
    <row r="4742">
      <c r="A4742" t="inlineStr">
        <is>
          <t>SOCIETE C909</t>
        </is>
      </c>
      <c r="B4742" t="inlineStr">
        <is>
          <t>C909</t>
        </is>
      </c>
      <c r="C4742" t="inlineStr">
        <is>
          <t>CORPORATE BANKING</t>
        </is>
      </c>
      <c r="D4742" t="inlineStr">
        <is>
          <t>IA</t>
        </is>
      </c>
      <c r="E4742" t="inlineStr">
        <is>
          <t>Stage 2</t>
        </is>
      </c>
      <c r="F4742" t="inlineStr">
        <is>
          <t>N/A</t>
        </is>
      </c>
      <c r="G4742" s="26">
        <v>1013937746</v>
      </c>
      <c r="H4742" s="26">
        <v>60836265</v>
      </c>
      <c r="I4742" s="26">
        <v>0</v>
      </c>
      <c r="J4742" s="26">
        <v>184</v>
      </c>
      <c r="K4742" t="inlineStr">
        <is>
          <t>Non</t>
        </is>
      </c>
      <c r="L4742">
        <f>SUBTOTAL(103,A4742)</f>
        <v>1</v>
      </c>
    </row>
    <row r="4743">
      <c r="A4743" t="inlineStr">
        <is>
          <t>SOCIETE C182</t>
        </is>
      </c>
      <c r="B4743" t="inlineStr">
        <is>
          <t>C182</t>
        </is>
      </c>
      <c r="C4743" t="inlineStr">
        <is>
          <t>CORPORATE BANKING</t>
        </is>
      </c>
      <c r="D4743" t="inlineStr">
        <is>
          <t>IA</t>
        </is>
      </c>
      <c r="E4743" t="inlineStr">
        <is>
          <t>Stage 2</t>
        </is>
      </c>
      <c r="F4743" t="inlineStr">
        <is>
          <t>N/A</t>
        </is>
      </c>
      <c r="G4743" s="26">
        <v>1598980681</v>
      </c>
      <c r="H4743" s="26">
        <v>95938841</v>
      </c>
      <c r="I4743" s="26">
        <v>23337526</v>
      </c>
      <c r="J4743" s="26">
        <v>98</v>
      </c>
      <c r="K4743" t="inlineStr">
        <is>
          <t>Non</t>
        </is>
      </c>
      <c r="L4743">
        <f>SUBTOTAL(103,A4743)</f>
        <v>1</v>
      </c>
    </row>
    <row r="4744">
      <c r="A4744" t="inlineStr">
        <is>
          <t>SOCIETE C2064</t>
        </is>
      </c>
      <c r="B4744" t="inlineStr">
        <is>
          <t>C2064</t>
        </is>
      </c>
      <c r="C4744" t="inlineStr">
        <is>
          <t>COMMERCIAL BANKING</t>
        </is>
      </c>
      <c r="D4744" t="inlineStr">
        <is>
          <t>I</t>
        </is>
      </c>
      <c r="E4744" t="inlineStr">
        <is>
          <t>Stage 1</t>
        </is>
      </c>
      <c r="F4744" t="inlineStr">
        <is>
          <t>N/A</t>
        </is>
      </c>
      <c r="G4744" s="26">
        <v>197318125</v>
      </c>
      <c r="H4744" s="26">
        <v>1973181</v>
      </c>
      <c r="I4744" s="26">
        <v>14625590</v>
      </c>
      <c r="J4744" s="26">
        <v>159</v>
      </c>
      <c r="K4744" t="inlineStr">
        <is>
          <t>Non</t>
        </is>
      </c>
      <c r="L4744">
        <f>SUBTOTAL(103,A4744)</f>
        <v>1</v>
      </c>
    </row>
    <row r="4745">
      <c r="A4745" t="inlineStr">
        <is>
          <t>SOCIETE C451</t>
        </is>
      </c>
      <c r="B4745" t="inlineStr">
        <is>
          <t>C451</t>
        </is>
      </c>
      <c r="C4745" t="inlineStr">
        <is>
          <t>CONSUMER BANKING</t>
        </is>
      </c>
      <c r="D4745" t="inlineStr">
        <is>
          <t>I</t>
        </is>
      </c>
      <c r="E4745" t="inlineStr">
        <is>
          <t>Stage 1</t>
        </is>
      </c>
      <c r="F4745" t="inlineStr">
        <is>
          <t>N/A</t>
        </is>
      </c>
      <c r="G4745" s="26">
        <v>22317407</v>
      </c>
      <c r="H4745" s="26">
        <v>223174</v>
      </c>
      <c r="I4745" s="26">
        <v>0</v>
      </c>
      <c r="J4745" s="26">
        <v>3</v>
      </c>
      <c r="K4745" t="inlineStr">
        <is>
          <t>Non</t>
        </is>
      </c>
      <c r="L4745">
        <f>SUBTOTAL(103,A4745)</f>
        <v>1</v>
      </c>
    </row>
    <row r="4746">
      <c r="A4746" t="inlineStr">
        <is>
          <t>SOCIETE C1562</t>
        </is>
      </c>
      <c r="B4746" t="inlineStr">
        <is>
          <t>C1562</t>
        </is>
      </c>
      <c r="C4746" t="inlineStr">
        <is>
          <t>CORPORATE BANKING</t>
        </is>
      </c>
      <c r="D4746" t="inlineStr">
        <is>
          <t>I</t>
        </is>
      </c>
      <c r="E4746" t="inlineStr">
        <is>
          <t>Stage 1</t>
        </is>
      </c>
      <c r="F4746" t="inlineStr">
        <is>
          <t>N/A</t>
        </is>
      </c>
      <c r="G4746" s="26">
        <v>80159846</v>
      </c>
      <c r="H4746" s="26">
        <v>801598</v>
      </c>
      <c r="I4746" s="26">
        <v>0</v>
      </c>
      <c r="J4746" s="26">
        <v>7</v>
      </c>
      <c r="K4746" t="inlineStr">
        <is>
          <t>Non</t>
        </is>
      </c>
      <c r="L4746">
        <f>SUBTOTAL(103,A4746)</f>
        <v>1</v>
      </c>
    </row>
    <row r="4747">
      <c r="A4747" t="inlineStr">
        <is>
          <t>SOCIETE C2357</t>
        </is>
      </c>
      <c r="B4747" t="inlineStr">
        <is>
          <t>C2357</t>
        </is>
      </c>
      <c r="C4747" t="inlineStr">
        <is>
          <t>COMMERCIAL BANKING</t>
        </is>
      </c>
      <c r="D4747" t="inlineStr">
        <is>
          <t>I</t>
        </is>
      </c>
      <c r="E4747" t="inlineStr">
        <is>
          <t>Stage 1</t>
        </is>
      </c>
      <c r="F4747" t="inlineStr">
        <is>
          <t>N/A</t>
        </is>
      </c>
      <c r="G4747" s="26">
        <v>832908504</v>
      </c>
      <c r="H4747" s="26">
        <v>8329085</v>
      </c>
      <c r="I4747" s="26">
        <v>0</v>
      </c>
      <c r="J4747" s="26">
        <v>0</v>
      </c>
      <c r="K4747" t="inlineStr">
        <is>
          <t>Non</t>
        </is>
      </c>
      <c r="L4747">
        <f>SUBTOTAL(103,A4747)</f>
        <v>1</v>
      </c>
    </row>
    <row r="4748">
      <c r="A4748" t="inlineStr">
        <is>
          <t>SOCIETE C979</t>
        </is>
      </c>
      <c r="B4748" t="inlineStr">
        <is>
          <t>C979</t>
        </is>
      </c>
      <c r="C4748" t="inlineStr">
        <is>
          <t>PUBLIC SECTOR</t>
        </is>
      </c>
      <c r="D4748" t="inlineStr">
        <is>
          <t>IA</t>
        </is>
      </c>
      <c r="E4748" t="inlineStr">
        <is>
          <t>Stage 2</t>
        </is>
      </c>
      <c r="F4748" t="inlineStr">
        <is>
          <t>N/A</t>
        </is>
      </c>
      <c r="G4748" s="26">
        <v>2296039854</v>
      </c>
      <c r="H4748" s="26">
        <v>137762391</v>
      </c>
      <c r="I4748" s="26">
        <v>348381964</v>
      </c>
      <c r="J4748" s="26">
        <v>38</v>
      </c>
      <c r="K4748" t="inlineStr">
        <is>
          <t>Non</t>
        </is>
      </c>
      <c r="L4748">
        <f>SUBTOTAL(103,A4748)</f>
        <v>1</v>
      </c>
    </row>
    <row r="4749">
      <c r="A4749" t="inlineStr">
        <is>
          <t>SOCIETE C902</t>
        </is>
      </c>
      <c r="B4749" t="inlineStr">
        <is>
          <t>C902</t>
        </is>
      </c>
      <c r="C4749" t="inlineStr">
        <is>
          <t>CONSUMER BANKING</t>
        </is>
      </c>
      <c r="D4749" t="inlineStr">
        <is>
          <t>I</t>
        </is>
      </c>
      <c r="E4749" t="inlineStr">
        <is>
          <t>Stage 1</t>
        </is>
      </c>
      <c r="F4749" t="inlineStr">
        <is>
          <t>N/A</t>
        </is>
      </c>
      <c r="G4749" s="26">
        <v>1082143933</v>
      </c>
      <c r="H4749" s="26">
        <v>10821439</v>
      </c>
      <c r="I4749" s="26">
        <v>0</v>
      </c>
      <c r="J4749" s="26">
        <v>29</v>
      </c>
      <c r="K4749" t="inlineStr">
        <is>
          <t>Non</t>
        </is>
      </c>
      <c r="L4749">
        <f>SUBTOTAL(103,A4749)</f>
        <v>1</v>
      </c>
    </row>
    <row r="4750">
      <c r="A4750" t="inlineStr">
        <is>
          <t>SOCIETE C1744</t>
        </is>
      </c>
      <c r="B4750" t="inlineStr">
        <is>
          <t>C1744</t>
        </is>
      </c>
      <c r="C4750" t="inlineStr">
        <is>
          <t>CORPORATE BANKING</t>
        </is>
      </c>
      <c r="D4750" t="inlineStr">
        <is>
          <t>IA</t>
        </is>
      </c>
      <c r="E4750" t="inlineStr">
        <is>
          <t>Stage 2</t>
        </is>
      </c>
      <c r="F4750" t="inlineStr">
        <is>
          <t>N/A</t>
        </is>
      </c>
      <c r="G4750" s="26">
        <v>2259641878</v>
      </c>
      <c r="H4750" s="26">
        <v>135578513</v>
      </c>
      <c r="I4750" s="26">
        <v>0</v>
      </c>
      <c r="J4750" s="26">
        <v>40</v>
      </c>
      <c r="K4750" t="inlineStr">
        <is>
          <t>Non</t>
        </is>
      </c>
      <c r="L4750">
        <f>SUBTOTAL(103,A4750)</f>
        <v>1</v>
      </c>
    </row>
    <row r="4751">
      <c r="A4751" t="inlineStr">
        <is>
          <t>SOCIETE C854</t>
        </is>
      </c>
      <c r="B4751" t="inlineStr">
        <is>
          <t>C854</t>
        </is>
      </c>
      <c r="C4751" t="inlineStr">
        <is>
          <t>COMMERCIAL BANKING</t>
        </is>
      </c>
      <c r="D4751" t="inlineStr">
        <is>
          <t>IA</t>
        </is>
      </c>
      <c r="E4751" t="inlineStr">
        <is>
          <t>Stage 2</t>
        </is>
      </c>
      <c r="F4751" t="inlineStr">
        <is>
          <t>N/A</t>
        </is>
      </c>
      <c r="G4751" s="26">
        <v>3286998</v>
      </c>
      <c r="H4751" s="26">
        <v>197220</v>
      </c>
      <c r="I4751" s="26">
        <v>217601</v>
      </c>
      <c r="J4751" s="26">
        <v>58</v>
      </c>
      <c r="K4751" t="inlineStr">
        <is>
          <t>Non</t>
        </is>
      </c>
      <c r="L4751">
        <f>SUBTOTAL(103,A4751)</f>
        <v>1</v>
      </c>
    </row>
    <row r="4752">
      <c r="A4752" t="inlineStr">
        <is>
          <t>SOCIETE C2264</t>
        </is>
      </c>
      <c r="B4752" t="inlineStr">
        <is>
          <t>C2264</t>
        </is>
      </c>
      <c r="C4752" t="inlineStr">
        <is>
          <t>SME</t>
        </is>
      </c>
      <c r="D4752" t="inlineStr">
        <is>
          <t>II</t>
        </is>
      </c>
      <c r="E4752" t="inlineStr">
        <is>
          <t>Stage 2</t>
        </is>
      </c>
      <c r="F4752" t="inlineStr">
        <is>
          <t>N/A</t>
        </is>
      </c>
      <c r="G4752" s="26">
        <v>195159057</v>
      </c>
      <c r="H4752" s="26">
        <v>11709543</v>
      </c>
      <c r="I4752" s="26">
        <v>0</v>
      </c>
      <c r="J4752" s="26">
        <v>40</v>
      </c>
      <c r="K4752" t="inlineStr">
        <is>
          <t>Non</t>
        </is>
      </c>
      <c r="L4752">
        <f>SUBTOTAL(103,A4752)</f>
        <v>1</v>
      </c>
    </row>
    <row r="4753">
      <c r="A4753" t="inlineStr">
        <is>
          <t>SOCIETE C822</t>
        </is>
      </c>
      <c r="B4753" t="inlineStr">
        <is>
          <t>C822</t>
        </is>
      </c>
      <c r="C4753" t="inlineStr">
        <is>
          <t>CORPORATE BANKING</t>
        </is>
      </c>
      <c r="D4753" t="inlineStr">
        <is>
          <t>IA</t>
        </is>
      </c>
      <c r="E4753" t="inlineStr">
        <is>
          <t>Stage 2</t>
        </is>
      </c>
      <c r="F4753" t="inlineStr">
        <is>
          <t>N/A</t>
        </is>
      </c>
      <c r="G4753" s="26">
        <v>489746263</v>
      </c>
      <c r="H4753" s="26">
        <v>29384776</v>
      </c>
      <c r="I4753" s="26">
        <v>0</v>
      </c>
      <c r="J4753" s="26">
        <v>13</v>
      </c>
      <c r="K4753" t="inlineStr">
        <is>
          <t>Non</t>
        </is>
      </c>
      <c r="L4753">
        <f>SUBTOTAL(103,A4753)</f>
        <v>1</v>
      </c>
    </row>
    <row r="4754">
      <c r="A4754" t="inlineStr">
        <is>
          <t>SOCIETE C1528</t>
        </is>
      </c>
      <c r="B4754" t="inlineStr">
        <is>
          <t>C1528</t>
        </is>
      </c>
      <c r="C4754" t="inlineStr">
        <is>
          <t>SME</t>
        </is>
      </c>
      <c r="D4754" t="inlineStr">
        <is>
          <t>IA</t>
        </is>
      </c>
      <c r="E4754" t="inlineStr">
        <is>
          <t>Stage 2</t>
        </is>
      </c>
      <c r="F4754" t="inlineStr">
        <is>
          <t>N/A</t>
        </is>
      </c>
      <c r="G4754" s="26">
        <v>322067149</v>
      </c>
      <c r="H4754" s="26">
        <v>19324029</v>
      </c>
      <c r="I4754" s="26">
        <v>0</v>
      </c>
      <c r="J4754" s="26">
        <v>309</v>
      </c>
      <c r="K4754" t="inlineStr">
        <is>
          <t>Non</t>
        </is>
      </c>
      <c r="L4754">
        <f>SUBTOTAL(103,A4754)</f>
        <v>1</v>
      </c>
    </row>
    <row r="4755">
      <c r="A4755" t="inlineStr">
        <is>
          <t>SOCIETE C1657</t>
        </is>
      </c>
      <c r="B4755" t="inlineStr">
        <is>
          <t>C1657</t>
        </is>
      </c>
      <c r="C4755" t="inlineStr">
        <is>
          <t>CORPORATE BANKING</t>
        </is>
      </c>
      <c r="D4755" t="inlineStr">
        <is>
          <t>IA</t>
        </is>
      </c>
      <c r="E4755" t="inlineStr">
        <is>
          <t>Stage 2</t>
        </is>
      </c>
      <c r="F4755" t="inlineStr">
        <is>
          <t>N/A</t>
        </is>
      </c>
      <c r="G4755" s="26">
        <v>7129393</v>
      </c>
      <c r="H4755" s="26">
        <v>427764</v>
      </c>
      <c r="I4755" s="26">
        <v>0</v>
      </c>
      <c r="J4755" s="26">
        <v>26</v>
      </c>
      <c r="K4755" t="inlineStr">
        <is>
          <t>Non</t>
        </is>
      </c>
      <c r="L4755">
        <f>SUBTOTAL(103,A4755)</f>
        <v>1</v>
      </c>
    </row>
    <row r="4756">
      <c r="A4756" t="inlineStr">
        <is>
          <t>SOCIETE C920</t>
        </is>
      </c>
      <c r="B4756" t="inlineStr">
        <is>
          <t>C920</t>
        </is>
      </c>
      <c r="C4756" t="inlineStr">
        <is>
          <t>CORPORATE BANKING</t>
        </is>
      </c>
      <c r="D4756" t="inlineStr">
        <is>
          <t>V</t>
        </is>
      </c>
      <c r="E4756" t="inlineStr">
        <is>
          <t>Stage 3</t>
        </is>
      </c>
      <c r="F4756" t="inlineStr">
        <is>
          <t>N/A</t>
        </is>
      </c>
      <c r="G4756" s="26">
        <v>144033169</v>
      </c>
      <c r="H4756" s="26">
        <v>79218243</v>
      </c>
      <c r="I4756" s="26">
        <v>0</v>
      </c>
      <c r="J4756" s="26">
        <v>234</v>
      </c>
      <c r="K4756" t="inlineStr">
        <is>
          <t>Oui</t>
        </is>
      </c>
      <c r="L4756">
        <f>SUBTOTAL(103,A4756)</f>
        <v>1</v>
      </c>
    </row>
    <row r="4757">
      <c r="A4757" t="inlineStr">
        <is>
          <t>SOCIETE C761</t>
        </is>
      </c>
      <c r="B4757" t="inlineStr">
        <is>
          <t>C761</t>
        </is>
      </c>
      <c r="C4757" t="inlineStr">
        <is>
          <t>CORPORATE BANKING</t>
        </is>
      </c>
      <c r="D4757" t="inlineStr">
        <is>
          <t>I</t>
        </is>
      </c>
      <c r="E4757" t="inlineStr">
        <is>
          <t>Stage 1</t>
        </is>
      </c>
      <c r="F4757" t="inlineStr">
        <is>
          <t>N/A</t>
        </is>
      </c>
      <c r="G4757" s="26">
        <v>384334957</v>
      </c>
      <c r="H4757" s="26">
        <v>3843350</v>
      </c>
      <c r="I4757" s="26">
        <v>53036505</v>
      </c>
      <c r="J4757" s="26">
        <v>180</v>
      </c>
      <c r="K4757" t="inlineStr">
        <is>
          <t>Non</t>
        </is>
      </c>
      <c r="L4757">
        <f>SUBTOTAL(103,A4757)</f>
        <v>1</v>
      </c>
    </row>
    <row r="4758">
      <c r="A4758" t="inlineStr">
        <is>
          <t>SOCIETE C1651</t>
        </is>
      </c>
      <c r="B4758" t="inlineStr">
        <is>
          <t>C1651</t>
        </is>
      </c>
      <c r="C4758" t="inlineStr">
        <is>
          <t>SME</t>
        </is>
      </c>
      <c r="D4758" t="inlineStr">
        <is>
          <t>I</t>
        </is>
      </c>
      <c r="E4758" t="inlineStr">
        <is>
          <t>Stage 1</t>
        </is>
      </c>
      <c r="F4758" t="inlineStr">
        <is>
          <t>N/A</t>
        </is>
      </c>
      <c r="G4758" s="26">
        <v>1888899298</v>
      </c>
      <c r="H4758" s="26">
        <v>18888993</v>
      </c>
      <c r="I4758" s="26">
        <v>0</v>
      </c>
      <c r="J4758" s="26">
        <v>197</v>
      </c>
      <c r="K4758" t="inlineStr">
        <is>
          <t>Non</t>
        </is>
      </c>
      <c r="L4758">
        <f>SUBTOTAL(103,A4758)</f>
        <v>1</v>
      </c>
    </row>
    <row r="4759">
      <c r="A4759" t="inlineStr">
        <is>
          <t>SOCIETE C2142</t>
        </is>
      </c>
      <c r="B4759" t="inlineStr">
        <is>
          <t>C2142</t>
        </is>
      </c>
      <c r="C4759" t="inlineStr">
        <is>
          <t>CORPORATE BANKING</t>
        </is>
      </c>
      <c r="D4759" t="inlineStr">
        <is>
          <t>IV</t>
        </is>
      </c>
      <c r="E4759" t="inlineStr">
        <is>
          <t>Stage 3</t>
        </is>
      </c>
      <c r="F4759" t="inlineStr">
        <is>
          <t>N/A</t>
        </is>
      </c>
      <c r="G4759" s="26">
        <v>1594482</v>
      </c>
      <c r="H4759" s="26">
        <v>876965</v>
      </c>
      <c r="I4759" s="26">
        <v>0</v>
      </c>
      <c r="J4759" s="26">
        <v>3</v>
      </c>
      <c r="K4759" t="inlineStr">
        <is>
          <t>Oui</t>
        </is>
      </c>
      <c r="L4759">
        <f>SUBTOTAL(103,A4759)</f>
        <v>1</v>
      </c>
    </row>
    <row r="4760">
      <c r="A4760" t="inlineStr">
        <is>
          <t>SOCIETE C97</t>
        </is>
      </c>
      <c r="B4760" t="inlineStr">
        <is>
          <t>C97</t>
        </is>
      </c>
      <c r="C4760" t="inlineStr">
        <is>
          <t>COMMERCIAL BANKING</t>
        </is>
      </c>
      <c r="D4760" t="inlineStr">
        <is>
          <t>V</t>
        </is>
      </c>
      <c r="E4760" t="inlineStr">
        <is>
          <t>Stage 3</t>
        </is>
      </c>
      <c r="F4760" t="inlineStr">
        <is>
          <t>N/A</t>
        </is>
      </c>
      <c r="G4760" s="26">
        <v>1646584831</v>
      </c>
      <c r="H4760" s="26">
        <v>905621657</v>
      </c>
      <c r="I4760" s="26">
        <v>210893633</v>
      </c>
      <c r="J4760" s="26">
        <v>12</v>
      </c>
      <c r="K4760" t="inlineStr">
        <is>
          <t>Oui</t>
        </is>
      </c>
      <c r="L4760">
        <f>SUBTOTAL(103,A4760)</f>
        <v>1</v>
      </c>
    </row>
    <row r="4761">
      <c r="A4761" t="inlineStr">
        <is>
          <t>SOCIETE C1660</t>
        </is>
      </c>
      <c r="B4761" t="inlineStr">
        <is>
          <t>C1660</t>
        </is>
      </c>
      <c r="C4761" t="inlineStr">
        <is>
          <t>COMMERCIAL BANKING</t>
        </is>
      </c>
      <c r="D4761" t="inlineStr">
        <is>
          <t>IV</t>
        </is>
      </c>
      <c r="E4761" t="inlineStr">
        <is>
          <t>Stage 3</t>
        </is>
      </c>
      <c r="F4761" t="inlineStr">
        <is>
          <t>N/A</t>
        </is>
      </c>
      <c r="G4761" s="26">
        <v>210819967</v>
      </c>
      <c r="H4761" s="26">
        <v>115950982</v>
      </c>
      <c r="I4761" s="26">
        <v>0</v>
      </c>
      <c r="J4761" s="26">
        <v>111</v>
      </c>
      <c r="K4761" t="inlineStr">
        <is>
          <t>Oui</t>
        </is>
      </c>
      <c r="L4761">
        <f>SUBTOTAL(103,A4761)</f>
        <v>1</v>
      </c>
    </row>
    <row r="4762">
      <c r="A4762" t="inlineStr">
        <is>
          <t>SOCIETE C222</t>
        </is>
      </c>
      <c r="B4762" t="inlineStr">
        <is>
          <t>C222</t>
        </is>
      </c>
      <c r="C4762" t="inlineStr">
        <is>
          <t>CORPORATE BANKING</t>
        </is>
      </c>
      <c r="D4762" t="inlineStr">
        <is>
          <t>IA</t>
        </is>
      </c>
      <c r="E4762" t="inlineStr">
        <is>
          <t>Stage 2</t>
        </is>
      </c>
      <c r="F4762" t="inlineStr">
        <is>
          <t>N/A</t>
        </is>
      </c>
      <c r="G4762" s="26">
        <v>673770364</v>
      </c>
      <c r="H4762" s="26">
        <v>40426222</v>
      </c>
      <c r="I4762" s="26">
        <v>0</v>
      </c>
      <c r="J4762" s="26">
        <v>70</v>
      </c>
      <c r="K4762" t="inlineStr">
        <is>
          <t>Non</t>
        </is>
      </c>
      <c r="L4762">
        <f>SUBTOTAL(103,A4762)</f>
        <v>1</v>
      </c>
    </row>
    <row r="4763">
      <c r="A4763" t="inlineStr">
        <is>
          <t>SOCIETE C1165</t>
        </is>
      </c>
      <c r="B4763" t="inlineStr">
        <is>
          <t>C1165</t>
        </is>
      </c>
      <c r="C4763" t="inlineStr">
        <is>
          <t>COMMERCIAL BANKING</t>
        </is>
      </c>
      <c r="D4763" t="inlineStr">
        <is>
          <t>V</t>
        </is>
      </c>
      <c r="E4763" t="inlineStr">
        <is>
          <t>Stage 3</t>
        </is>
      </c>
      <c r="F4763" t="inlineStr">
        <is>
          <t>N/A</t>
        </is>
      </c>
      <c r="G4763" s="26">
        <v>5181837</v>
      </c>
      <c r="H4763" s="26">
        <v>2850010</v>
      </c>
      <c r="I4763" s="26">
        <v>0</v>
      </c>
      <c r="J4763" s="26">
        <v>7</v>
      </c>
      <c r="K4763" t="inlineStr">
        <is>
          <t>Oui</t>
        </is>
      </c>
      <c r="L4763">
        <f>SUBTOTAL(103,A4763)</f>
        <v>1</v>
      </c>
    </row>
    <row r="4764">
      <c r="A4764" t="inlineStr">
        <is>
          <t>SOCIETE C221</t>
        </is>
      </c>
      <c r="B4764" t="inlineStr">
        <is>
          <t>C221</t>
        </is>
      </c>
      <c r="C4764" t="inlineStr">
        <is>
          <t>CORPORATE BANKING</t>
        </is>
      </c>
      <c r="D4764" t="inlineStr">
        <is>
          <t>I</t>
        </is>
      </c>
      <c r="E4764" t="inlineStr">
        <is>
          <t>Stage 1</t>
        </is>
      </c>
      <c r="F4764" t="inlineStr">
        <is>
          <t>N/A</t>
        </is>
      </c>
      <c r="G4764" s="26">
        <v>84433116</v>
      </c>
      <c r="H4764" s="26">
        <v>844331</v>
      </c>
      <c r="I4764" s="26">
        <v>0</v>
      </c>
      <c r="J4764" s="26">
        <v>24</v>
      </c>
      <c r="K4764" t="inlineStr">
        <is>
          <t>Non</t>
        </is>
      </c>
      <c r="L4764">
        <f>SUBTOTAL(103,A4764)</f>
        <v>1</v>
      </c>
    </row>
    <row r="4765">
      <c r="A4765" t="inlineStr">
        <is>
          <t>SOCIETE C1425</t>
        </is>
      </c>
      <c r="B4765" t="inlineStr">
        <is>
          <t>C1425</t>
        </is>
      </c>
      <c r="C4765" t="inlineStr">
        <is>
          <t>COMMERCIAL BANKING</t>
        </is>
      </c>
      <c r="D4765" t="inlineStr">
        <is>
          <t>IA</t>
        </is>
      </c>
      <c r="E4765" t="inlineStr">
        <is>
          <t>Stage 2</t>
        </is>
      </c>
      <c r="F4765" t="inlineStr">
        <is>
          <t>N/A</t>
        </is>
      </c>
      <c r="G4765" s="26">
        <v>1511429436</v>
      </c>
      <c r="H4765" s="26">
        <v>90685766</v>
      </c>
      <c r="I4765" s="26">
        <v>0</v>
      </c>
      <c r="J4765" s="26">
        <v>316</v>
      </c>
      <c r="K4765" t="inlineStr">
        <is>
          <t>Non</t>
        </is>
      </c>
      <c r="L4765">
        <f>SUBTOTAL(103,A4765)</f>
        <v>1</v>
      </c>
    </row>
    <row r="4766">
      <c r="A4766" t="inlineStr">
        <is>
          <t>SOCIETE C711</t>
        </is>
      </c>
      <c r="B4766" t="inlineStr">
        <is>
          <t>C711</t>
        </is>
      </c>
      <c r="C4766" t="inlineStr">
        <is>
          <t>CORPORATE BANKING</t>
        </is>
      </c>
      <c r="D4766" t="inlineStr">
        <is>
          <t>I</t>
        </is>
      </c>
      <c r="E4766" t="inlineStr">
        <is>
          <t>Stage 1</t>
        </is>
      </c>
      <c r="F4766" t="inlineStr">
        <is>
          <t>N/A</t>
        </is>
      </c>
      <c r="G4766" s="26">
        <v>1526633928</v>
      </c>
      <c r="H4766" s="26">
        <v>15266339</v>
      </c>
      <c r="I4766" s="26">
        <v>0</v>
      </c>
      <c r="J4766" s="26">
        <v>177</v>
      </c>
      <c r="K4766" t="inlineStr">
        <is>
          <t>Non</t>
        </is>
      </c>
      <c r="L4766">
        <f>SUBTOTAL(103,A4766)</f>
        <v>1</v>
      </c>
    </row>
    <row r="4767">
      <c r="A4767" t="inlineStr">
        <is>
          <t>SOCIETE C772</t>
        </is>
      </c>
      <c r="B4767" t="inlineStr">
        <is>
          <t>C772</t>
        </is>
      </c>
      <c r="C4767" t="inlineStr">
        <is>
          <t>COMMERCIAL BANKING</t>
        </is>
      </c>
      <c r="D4767" t="inlineStr">
        <is>
          <t>IV</t>
        </is>
      </c>
      <c r="E4767" t="inlineStr">
        <is>
          <t>Stage 3</t>
        </is>
      </c>
      <c r="F4767" t="inlineStr">
        <is>
          <t>N/A</t>
        </is>
      </c>
      <c r="G4767" s="26">
        <v>268791957</v>
      </c>
      <c r="H4767" s="26">
        <v>147835576</v>
      </c>
      <c r="I4767" s="26">
        <v>0</v>
      </c>
      <c r="J4767" s="26">
        <v>12</v>
      </c>
      <c r="K4767" t="inlineStr">
        <is>
          <t>Oui</t>
        </is>
      </c>
      <c r="L4767">
        <f>SUBTOTAL(103,A4767)</f>
        <v>1</v>
      </c>
    </row>
    <row r="4768">
      <c r="A4768" t="inlineStr">
        <is>
          <t>SOCIETE C2058</t>
        </is>
      </c>
      <c r="B4768" t="inlineStr">
        <is>
          <t>C2058</t>
        </is>
      </c>
      <c r="C4768" t="inlineStr">
        <is>
          <t>COMMERCIAL BANKING</t>
        </is>
      </c>
      <c r="D4768" t="inlineStr">
        <is>
          <t>I</t>
        </is>
      </c>
      <c r="E4768" t="inlineStr">
        <is>
          <t>Stage 1</t>
        </is>
      </c>
      <c r="F4768" t="inlineStr">
        <is>
          <t>N/A</t>
        </is>
      </c>
      <c r="G4768" s="26">
        <v>1148297</v>
      </c>
      <c r="H4768" s="26">
        <v>11483</v>
      </c>
      <c r="I4768" s="26">
        <v>0</v>
      </c>
      <c r="J4768" s="26">
        <v>131</v>
      </c>
      <c r="K4768" t="inlineStr">
        <is>
          <t>Non</t>
        </is>
      </c>
      <c r="L4768">
        <f>SUBTOTAL(103,A4768)</f>
        <v>1</v>
      </c>
    </row>
    <row r="4769">
      <c r="A4769" t="inlineStr">
        <is>
          <t>SOCIETE C1643</t>
        </is>
      </c>
      <c r="B4769" t="inlineStr">
        <is>
          <t>C1643</t>
        </is>
      </c>
      <c r="C4769" t="inlineStr">
        <is>
          <t>CORPORATE BANKING</t>
        </is>
      </c>
      <c r="D4769" t="inlineStr">
        <is>
          <t>III</t>
        </is>
      </c>
      <c r="E4769" t="inlineStr">
        <is>
          <t>Stage 3</t>
        </is>
      </c>
      <c r="F4769" t="inlineStr">
        <is>
          <t>N/A</t>
        </is>
      </c>
      <c r="G4769" s="26">
        <v>1261633712</v>
      </c>
      <c r="H4769" s="26">
        <v>693898542</v>
      </c>
      <c r="I4769" s="26">
        <v>48856503</v>
      </c>
      <c r="J4769" s="26">
        <v>32</v>
      </c>
      <c r="K4769" t="inlineStr">
        <is>
          <t>Oui</t>
        </is>
      </c>
      <c r="L4769">
        <f>SUBTOTAL(103,A4769)</f>
        <v>1</v>
      </c>
    </row>
    <row r="4770">
      <c r="A4770" t="inlineStr">
        <is>
          <t>SOCIETE C2054</t>
        </is>
      </c>
      <c r="B4770" t="inlineStr">
        <is>
          <t>C2054</t>
        </is>
      </c>
      <c r="C4770" t="inlineStr">
        <is>
          <t>CORPORATE BANKING</t>
        </is>
      </c>
      <c r="D4770" t="inlineStr">
        <is>
          <t>I</t>
        </is>
      </c>
      <c r="E4770" t="inlineStr">
        <is>
          <t>Stage 1</t>
        </is>
      </c>
      <c r="F4770" t="inlineStr">
        <is>
          <t>N/A</t>
        </is>
      </c>
      <c r="G4770" s="26">
        <v>488069869</v>
      </c>
      <c r="H4770" s="26">
        <v>4880699</v>
      </c>
      <c r="I4770" s="26">
        <v>36102681</v>
      </c>
      <c r="J4770" s="26">
        <v>10</v>
      </c>
      <c r="K4770" t="inlineStr">
        <is>
          <t>Non</t>
        </is>
      </c>
      <c r="L4770">
        <f>SUBTOTAL(103,A4770)</f>
        <v>1</v>
      </c>
    </row>
    <row r="4771">
      <c r="A4771" t="inlineStr">
        <is>
          <t>SOCIETE C2006</t>
        </is>
      </c>
      <c r="B4771" t="inlineStr">
        <is>
          <t>C2006</t>
        </is>
      </c>
      <c r="C4771" t="inlineStr">
        <is>
          <t>CORPORATE BANKING</t>
        </is>
      </c>
      <c r="D4771" t="inlineStr">
        <is>
          <t>III</t>
        </is>
      </c>
      <c r="E4771" t="inlineStr">
        <is>
          <t>Stage 3</t>
        </is>
      </c>
      <c r="F4771" t="inlineStr">
        <is>
          <t>N/A</t>
        </is>
      </c>
      <c r="G4771" s="26">
        <v>3407293</v>
      </c>
      <c r="H4771" s="26">
        <v>1874011</v>
      </c>
      <c r="I4771" s="26">
        <v>0</v>
      </c>
      <c r="J4771" s="26">
        <v>224</v>
      </c>
      <c r="K4771" t="inlineStr">
        <is>
          <t>Oui</t>
        </is>
      </c>
      <c r="L4771">
        <f>SUBTOTAL(103,A4771)</f>
        <v>1</v>
      </c>
    </row>
    <row r="4772">
      <c r="A4772" t="inlineStr">
        <is>
          <t>SOCIETE C2188</t>
        </is>
      </c>
      <c r="B4772" t="inlineStr">
        <is>
          <t>C2188</t>
        </is>
      </c>
      <c r="C4772" t="inlineStr">
        <is>
          <t>CORPORATE BANKING</t>
        </is>
      </c>
      <c r="D4772" t="inlineStr">
        <is>
          <t>IA</t>
        </is>
      </c>
      <c r="E4772" t="inlineStr">
        <is>
          <t>Stage 2</t>
        </is>
      </c>
      <c r="F4772" t="inlineStr">
        <is>
          <t>N/A</t>
        </is>
      </c>
      <c r="G4772" s="26">
        <v>170710439</v>
      </c>
      <c r="H4772" s="26">
        <v>10242626</v>
      </c>
      <c r="I4772" s="26">
        <v>11180797</v>
      </c>
      <c r="J4772" s="26">
        <v>257</v>
      </c>
      <c r="K4772" t="inlineStr">
        <is>
          <t>Non</t>
        </is>
      </c>
      <c r="L4772">
        <f>SUBTOTAL(103,A4772)</f>
        <v>1</v>
      </c>
    </row>
    <row r="4773">
      <c r="A4773" t="inlineStr">
        <is>
          <t>SOCIETE C1183</t>
        </is>
      </c>
      <c r="B4773" t="inlineStr">
        <is>
          <t>C1183</t>
        </is>
      </c>
      <c r="C4773" t="inlineStr">
        <is>
          <t>SME</t>
        </is>
      </c>
      <c r="D4773" t="inlineStr">
        <is>
          <t>I</t>
        </is>
      </c>
      <c r="E4773" t="inlineStr">
        <is>
          <t>Stage 1</t>
        </is>
      </c>
      <c r="F4773" t="inlineStr">
        <is>
          <t>N/A</t>
        </is>
      </c>
      <c r="G4773" s="26">
        <v>491368455</v>
      </c>
      <c r="H4773" s="26">
        <v>4913685</v>
      </c>
      <c r="I4773" s="26">
        <v>40319731</v>
      </c>
      <c r="J4773" s="26">
        <v>21</v>
      </c>
      <c r="K4773" t="inlineStr">
        <is>
          <t>Non</t>
        </is>
      </c>
      <c r="L4773">
        <f>SUBTOTAL(103,A4773)</f>
        <v>1</v>
      </c>
    </row>
    <row r="4774">
      <c r="A4774" t="inlineStr">
        <is>
          <t>SOCIETE C1714</t>
        </is>
      </c>
      <c r="B4774" t="inlineStr">
        <is>
          <t>C1714</t>
        </is>
      </c>
      <c r="C4774" t="inlineStr">
        <is>
          <t>CONSUMER BANKING</t>
        </is>
      </c>
      <c r="D4774" t="inlineStr">
        <is>
          <t>IV</t>
        </is>
      </c>
      <c r="E4774" t="inlineStr">
        <is>
          <t>Stage 3</t>
        </is>
      </c>
      <c r="F4774" t="inlineStr">
        <is>
          <t>N/A</t>
        </is>
      </c>
      <c r="G4774" s="26">
        <v>40529294</v>
      </c>
      <c r="H4774" s="26">
        <v>22291112</v>
      </c>
      <c r="I4774" s="26">
        <v>0</v>
      </c>
      <c r="J4774" s="26">
        <v>16</v>
      </c>
      <c r="K4774" t="inlineStr">
        <is>
          <t>Oui</t>
        </is>
      </c>
      <c r="L4774">
        <f>SUBTOTAL(103,A4774)</f>
        <v>1</v>
      </c>
    </row>
    <row r="4775">
      <c r="A4775" t="inlineStr">
        <is>
          <t>SOCIETE C2289</t>
        </is>
      </c>
      <c r="B4775" t="inlineStr">
        <is>
          <t>C2289</t>
        </is>
      </c>
      <c r="C4775" t="inlineStr">
        <is>
          <t>CORPORATE BANKING</t>
        </is>
      </c>
      <c r="D4775" t="inlineStr">
        <is>
          <t>V</t>
        </is>
      </c>
      <c r="E4775" t="inlineStr">
        <is>
          <t>Stage 3</t>
        </is>
      </c>
      <c r="F4775" t="inlineStr">
        <is>
          <t>N/A</t>
        </is>
      </c>
      <c r="G4775" s="26">
        <v>2365951944</v>
      </c>
      <c r="H4775" s="26">
        <v>1301273569</v>
      </c>
      <c r="I4775" s="26">
        <v>0</v>
      </c>
      <c r="J4775" s="26">
        <v>35</v>
      </c>
      <c r="K4775" t="inlineStr">
        <is>
          <t>Oui</t>
        </is>
      </c>
      <c r="L4775">
        <f>SUBTOTAL(103,A4775)</f>
        <v>1</v>
      </c>
    </row>
    <row r="4776">
      <c r="A4776" t="inlineStr">
        <is>
          <t>SOCIETE C2371</t>
        </is>
      </c>
      <c r="B4776" t="inlineStr">
        <is>
          <t>C2371</t>
        </is>
      </c>
      <c r="C4776" t="inlineStr">
        <is>
          <t>SME</t>
        </is>
      </c>
      <c r="D4776" t="inlineStr">
        <is>
          <t>I</t>
        </is>
      </c>
      <c r="E4776" t="inlineStr">
        <is>
          <t>Stage 1</t>
        </is>
      </c>
      <c r="F4776" t="inlineStr">
        <is>
          <t>N/A</t>
        </is>
      </c>
      <c r="G4776" s="26">
        <v>121566785</v>
      </c>
      <c r="H4776" s="26">
        <v>1215668</v>
      </c>
      <c r="I4776" s="26">
        <v>0</v>
      </c>
      <c r="J4776" s="26">
        <v>44</v>
      </c>
      <c r="K4776" t="inlineStr">
        <is>
          <t>Non</t>
        </is>
      </c>
      <c r="L4776">
        <f>SUBTOTAL(103,A4776)</f>
        <v>1</v>
      </c>
    </row>
    <row r="4777">
      <c r="A4777" t="inlineStr">
        <is>
          <t>SOCIETE C872</t>
        </is>
      </c>
      <c r="B4777" t="inlineStr">
        <is>
          <t>C872</t>
        </is>
      </c>
      <c r="C4777" t="inlineStr">
        <is>
          <t>PUBLIC SECTOR</t>
        </is>
      </c>
      <c r="D4777" t="inlineStr">
        <is>
          <t>III</t>
        </is>
      </c>
      <c r="E4777" t="inlineStr">
        <is>
          <t>Stage 3</t>
        </is>
      </c>
      <c r="F4777" t="inlineStr">
        <is>
          <t>N/A</t>
        </is>
      </c>
      <c r="G4777" s="26">
        <v>1292265</v>
      </c>
      <c r="H4777" s="26">
        <v>710746</v>
      </c>
      <c r="I4777" s="26">
        <v>0</v>
      </c>
      <c r="J4777" s="26">
        <v>161</v>
      </c>
      <c r="K4777" t="inlineStr">
        <is>
          <t>Oui</t>
        </is>
      </c>
      <c r="L4777">
        <f>SUBTOTAL(103,A4777)</f>
        <v>1</v>
      </c>
    </row>
    <row r="4778">
      <c r="A4778" t="inlineStr">
        <is>
          <t>SOCIETE C443</t>
        </is>
      </c>
      <c r="B4778" t="inlineStr">
        <is>
          <t>C443</t>
        </is>
      </c>
      <c r="C4778" t="inlineStr">
        <is>
          <t>CORPORATE BANKING</t>
        </is>
      </c>
      <c r="D4778" t="inlineStr">
        <is>
          <t>I</t>
        </is>
      </c>
      <c r="E4778" t="inlineStr">
        <is>
          <t>Stage 1</t>
        </is>
      </c>
      <c r="F4778" t="inlineStr">
        <is>
          <t>N/A</t>
        </is>
      </c>
      <c r="G4778" s="26">
        <v>616400540</v>
      </c>
      <c r="H4778" s="26">
        <v>6164005</v>
      </c>
      <c r="I4778" s="26">
        <v>40918021</v>
      </c>
      <c r="J4778" s="26">
        <v>109</v>
      </c>
      <c r="K4778" t="inlineStr">
        <is>
          <t>Non</t>
        </is>
      </c>
      <c r="L4778">
        <f>SUBTOTAL(103,A4778)</f>
        <v>1</v>
      </c>
    </row>
    <row r="4779">
      <c r="A4779" t="inlineStr">
        <is>
          <t>SOCIETE C1900</t>
        </is>
      </c>
      <c r="B4779" t="inlineStr">
        <is>
          <t>C1900</t>
        </is>
      </c>
      <c r="C4779" t="inlineStr">
        <is>
          <t>COMMERCIAL BANKING</t>
        </is>
      </c>
      <c r="D4779" t="inlineStr">
        <is>
          <t>V</t>
        </is>
      </c>
      <c r="E4779" t="inlineStr">
        <is>
          <t>Stage 3</t>
        </is>
      </c>
      <c r="F4779" t="inlineStr">
        <is>
          <t>N/A</t>
        </is>
      </c>
      <c r="G4779" s="26">
        <v>423855813</v>
      </c>
      <c r="H4779" s="26">
        <v>233120697</v>
      </c>
      <c r="I4779" s="26">
        <v>0</v>
      </c>
      <c r="J4779" s="26">
        <v>35</v>
      </c>
      <c r="K4779" t="inlineStr">
        <is>
          <t>Oui</t>
        </is>
      </c>
      <c r="L4779">
        <f>SUBTOTAL(103,A4779)</f>
        <v>1</v>
      </c>
    </row>
    <row r="4780">
      <c r="A4780" t="inlineStr">
        <is>
          <t>SOCIETE C992</t>
        </is>
      </c>
      <c r="B4780" t="inlineStr">
        <is>
          <t>C992</t>
        </is>
      </c>
      <c r="C4780" t="inlineStr">
        <is>
          <t>COMMERCIAL BANKING</t>
        </is>
      </c>
      <c r="D4780" t="inlineStr">
        <is>
          <t>I</t>
        </is>
      </c>
      <c r="E4780" t="inlineStr">
        <is>
          <t>Stage 1</t>
        </is>
      </c>
      <c r="F4780" t="inlineStr">
        <is>
          <t>N/A</t>
        </is>
      </c>
      <c r="G4780" s="26">
        <v>55395125</v>
      </c>
      <c r="H4780" s="26">
        <v>553951</v>
      </c>
      <c r="I4780" s="26">
        <v>0</v>
      </c>
      <c r="J4780" s="26">
        <v>0</v>
      </c>
      <c r="K4780" t="inlineStr">
        <is>
          <t>Non</t>
        </is>
      </c>
      <c r="L4780">
        <f>SUBTOTAL(103,A4780)</f>
        <v>1</v>
      </c>
    </row>
    <row r="4781">
      <c r="A4781" t="inlineStr">
        <is>
          <t>SOCIETE C391</t>
        </is>
      </c>
      <c r="B4781" t="inlineStr">
        <is>
          <t>C391</t>
        </is>
      </c>
      <c r="C4781" t="inlineStr">
        <is>
          <t>CORPORATE BANKING</t>
        </is>
      </c>
      <c r="D4781" t="inlineStr">
        <is>
          <t>IA</t>
        </is>
      </c>
      <c r="E4781" t="inlineStr">
        <is>
          <t>Stage 2</t>
        </is>
      </c>
      <c r="F4781" t="inlineStr">
        <is>
          <t>N/A</t>
        </is>
      </c>
      <c r="G4781" s="26">
        <v>2393587074</v>
      </c>
      <c r="H4781" s="26">
        <v>143615224</v>
      </c>
      <c r="I4781" s="26">
        <v>0</v>
      </c>
      <c r="J4781" s="26">
        <v>57</v>
      </c>
      <c r="K4781" t="inlineStr">
        <is>
          <t>Non</t>
        </is>
      </c>
      <c r="L4781">
        <f>SUBTOTAL(103,A4781)</f>
        <v>1</v>
      </c>
    </row>
    <row r="4782">
      <c r="A4782" t="inlineStr">
        <is>
          <t>SOCIETE C368</t>
        </is>
      </c>
      <c r="B4782" t="inlineStr">
        <is>
          <t>C368</t>
        </is>
      </c>
      <c r="C4782" t="inlineStr">
        <is>
          <t>COMMERCIAL BANKING</t>
        </is>
      </c>
      <c r="D4782" t="inlineStr">
        <is>
          <t>I</t>
        </is>
      </c>
      <c r="E4782" t="inlineStr">
        <is>
          <t>Stage 1</t>
        </is>
      </c>
      <c r="F4782" t="inlineStr">
        <is>
          <t>N/A</t>
        </is>
      </c>
      <c r="G4782" s="26">
        <v>1316946958</v>
      </c>
      <c r="H4782" s="26">
        <v>13169470</v>
      </c>
      <c r="I4782" s="26">
        <v>0</v>
      </c>
      <c r="J4782" s="26">
        <v>161</v>
      </c>
      <c r="K4782" t="inlineStr">
        <is>
          <t>Non</t>
        </is>
      </c>
      <c r="L4782">
        <f>SUBTOTAL(103,A4782)</f>
        <v>1</v>
      </c>
    </row>
    <row r="4783">
      <c r="A4783" t="inlineStr">
        <is>
          <t>SOCIETE C1422</t>
        </is>
      </c>
      <c r="B4783" t="inlineStr">
        <is>
          <t>C1422</t>
        </is>
      </c>
      <c r="C4783" t="inlineStr">
        <is>
          <t>PUBLIC SECTOR</t>
        </is>
      </c>
      <c r="D4783" t="inlineStr">
        <is>
          <t>III</t>
        </is>
      </c>
      <c r="E4783" t="inlineStr">
        <is>
          <t>Stage 3</t>
        </is>
      </c>
      <c r="F4783" t="inlineStr">
        <is>
          <t>N/A</t>
        </is>
      </c>
      <c r="G4783" s="26">
        <v>146099026</v>
      </c>
      <c r="H4783" s="26">
        <v>80354465</v>
      </c>
      <c r="I4783" s="26">
        <v>0</v>
      </c>
      <c r="J4783" s="26">
        <v>47</v>
      </c>
      <c r="K4783" t="inlineStr">
        <is>
          <t>Oui</t>
        </is>
      </c>
      <c r="L4783">
        <f>SUBTOTAL(103,A4783)</f>
        <v>1</v>
      </c>
    </row>
    <row r="4784">
      <c r="A4784" t="inlineStr">
        <is>
          <t>SOCIETE C493</t>
        </is>
      </c>
      <c r="B4784" t="inlineStr">
        <is>
          <t>C493</t>
        </is>
      </c>
      <c r="C4784" t="inlineStr">
        <is>
          <t>COMMERCIAL BANKING</t>
        </is>
      </c>
      <c r="D4784" t="inlineStr">
        <is>
          <t>I</t>
        </is>
      </c>
      <c r="E4784" t="inlineStr">
        <is>
          <t>Stage 1</t>
        </is>
      </c>
      <c r="F4784" t="inlineStr">
        <is>
          <t>N/A</t>
        </is>
      </c>
      <c r="G4784" s="26">
        <v>1227264206</v>
      </c>
      <c r="H4784" s="26">
        <v>12272642</v>
      </c>
      <c r="I4784" s="26">
        <v>107382234</v>
      </c>
      <c r="J4784" s="26">
        <v>62</v>
      </c>
      <c r="K4784" t="inlineStr">
        <is>
          <t>Non</t>
        </is>
      </c>
      <c r="L4784">
        <f>SUBTOTAL(103,A4784)</f>
        <v>1</v>
      </c>
    </row>
    <row r="4785">
      <c r="A4785" t="inlineStr">
        <is>
          <t>SOCIETE C3</t>
        </is>
      </c>
      <c r="B4785" t="inlineStr">
        <is>
          <t>C3</t>
        </is>
      </c>
      <c r="C4785" t="inlineStr">
        <is>
          <t>CORPORATE BANKING</t>
        </is>
      </c>
      <c r="D4785" t="inlineStr">
        <is>
          <t>IV</t>
        </is>
      </c>
      <c r="E4785" t="inlineStr">
        <is>
          <t>Stage 3</t>
        </is>
      </c>
      <c r="F4785" t="inlineStr">
        <is>
          <t>N/A</t>
        </is>
      </c>
      <c r="G4785" s="26">
        <v>1423855109</v>
      </c>
      <c r="H4785" s="26">
        <v>783120310</v>
      </c>
      <c r="I4785" s="26">
        <v>0</v>
      </c>
      <c r="J4785" s="26">
        <v>83</v>
      </c>
      <c r="K4785" t="inlineStr">
        <is>
          <t>Oui</t>
        </is>
      </c>
      <c r="L4785">
        <f>SUBTOTAL(103,A4785)</f>
        <v>1</v>
      </c>
    </row>
    <row r="4786">
      <c r="A4786" t="inlineStr">
        <is>
          <t>SOCIETE C133</t>
        </is>
      </c>
      <c r="B4786" t="inlineStr">
        <is>
          <t>C133</t>
        </is>
      </c>
      <c r="C4786" t="inlineStr">
        <is>
          <t>COMMERCIAL BANKING</t>
        </is>
      </c>
      <c r="D4786" t="inlineStr">
        <is>
          <t>III</t>
        </is>
      </c>
      <c r="E4786" t="inlineStr">
        <is>
          <t>Stage 3</t>
        </is>
      </c>
      <c r="F4786" t="inlineStr">
        <is>
          <t>N/A</t>
        </is>
      </c>
      <c r="G4786" s="26">
        <v>567270757</v>
      </c>
      <c r="H4786" s="26">
        <v>311998916</v>
      </c>
      <c r="I4786" s="26">
        <v>0</v>
      </c>
      <c r="J4786" s="26">
        <v>64</v>
      </c>
      <c r="K4786" t="inlineStr">
        <is>
          <t>Oui</t>
        </is>
      </c>
      <c r="L4786">
        <f>SUBTOTAL(103,A4786)</f>
        <v>1</v>
      </c>
    </row>
    <row r="4787">
      <c r="A4787" t="inlineStr">
        <is>
          <t>SOCIETE C1638</t>
        </is>
      </c>
      <c r="B4787" t="inlineStr">
        <is>
          <t>C1638</t>
        </is>
      </c>
      <c r="C4787" t="inlineStr">
        <is>
          <t>CORPORATE BANKING</t>
        </is>
      </c>
      <c r="D4787" t="inlineStr">
        <is>
          <t>I</t>
        </is>
      </c>
      <c r="E4787" t="inlineStr">
        <is>
          <t>Stage 1</t>
        </is>
      </c>
      <c r="F4787" t="inlineStr">
        <is>
          <t>N/A</t>
        </is>
      </c>
      <c r="G4787" s="26">
        <v>1830138504</v>
      </c>
      <c r="H4787" s="26">
        <v>18301385</v>
      </c>
      <c r="I4787" s="26">
        <v>92691983</v>
      </c>
      <c r="J4787" s="26">
        <v>9</v>
      </c>
      <c r="K4787" t="inlineStr">
        <is>
          <t>Non</t>
        </is>
      </c>
      <c r="L4787">
        <f>SUBTOTAL(103,A4787)</f>
        <v>1</v>
      </c>
    </row>
    <row r="4788">
      <c r="A4788" t="inlineStr">
        <is>
          <t>SOCIETE C2301</t>
        </is>
      </c>
      <c r="B4788" t="inlineStr">
        <is>
          <t>C2301</t>
        </is>
      </c>
      <c r="C4788" t="inlineStr">
        <is>
          <t>COMMERCIAL BANKING</t>
        </is>
      </c>
      <c r="D4788" t="inlineStr">
        <is>
          <t>V</t>
        </is>
      </c>
      <c r="E4788" t="inlineStr">
        <is>
          <t>Stage 3</t>
        </is>
      </c>
      <c r="F4788" t="inlineStr">
        <is>
          <t>N/A</t>
        </is>
      </c>
      <c r="G4788" s="26">
        <v>665469750</v>
      </c>
      <c r="H4788" s="26">
        <v>366008363</v>
      </c>
      <c r="I4788" s="26">
        <v>0</v>
      </c>
      <c r="J4788" s="26">
        <v>29</v>
      </c>
      <c r="K4788" t="inlineStr">
        <is>
          <t>Oui</t>
        </is>
      </c>
      <c r="L4788">
        <f>SUBTOTAL(103,A4788)</f>
        <v>1</v>
      </c>
    </row>
    <row r="4789">
      <c r="A4789" t="inlineStr">
        <is>
          <t>SOCIETE C1823</t>
        </is>
      </c>
      <c r="B4789" t="inlineStr">
        <is>
          <t>C1823</t>
        </is>
      </c>
      <c r="C4789" t="inlineStr">
        <is>
          <t>CORPORATE BANKING</t>
        </is>
      </c>
      <c r="D4789" t="inlineStr">
        <is>
          <t>IV</t>
        </is>
      </c>
      <c r="E4789" t="inlineStr">
        <is>
          <t>Stage 3</t>
        </is>
      </c>
      <c r="F4789" t="inlineStr">
        <is>
          <t>N/A</t>
        </is>
      </c>
      <c r="G4789" s="26">
        <v>994425775</v>
      </c>
      <c r="H4789" s="26">
        <v>546934176</v>
      </c>
      <c r="I4789" s="26">
        <v>0</v>
      </c>
      <c r="J4789" s="26">
        <v>12</v>
      </c>
      <c r="K4789" t="inlineStr">
        <is>
          <t>Oui</t>
        </is>
      </c>
      <c r="L4789">
        <f>SUBTOTAL(103,A4789)</f>
        <v>1</v>
      </c>
    </row>
    <row r="4790">
      <c r="A4790" t="inlineStr">
        <is>
          <t>SOCIETE C1270</t>
        </is>
      </c>
      <c r="B4790" t="inlineStr">
        <is>
          <t>C1270</t>
        </is>
      </c>
      <c r="C4790" t="inlineStr">
        <is>
          <t>COMMERCIAL BANKING</t>
        </is>
      </c>
      <c r="D4790" t="inlineStr">
        <is>
          <t>I</t>
        </is>
      </c>
      <c r="E4790" t="inlineStr">
        <is>
          <t>Stage 1</t>
        </is>
      </c>
      <c r="F4790" t="inlineStr">
        <is>
          <t>N/A</t>
        </is>
      </c>
      <c r="G4790" s="26">
        <v>1160192168</v>
      </c>
      <c r="H4790" s="26">
        <v>11601922</v>
      </c>
      <c r="I4790" s="26">
        <v>175820458</v>
      </c>
      <c r="J4790" s="26">
        <v>5</v>
      </c>
      <c r="K4790" t="inlineStr">
        <is>
          <t>Non</t>
        </is>
      </c>
      <c r="L4790">
        <f>SUBTOTAL(103,A4790)</f>
        <v>1</v>
      </c>
    </row>
    <row r="4791">
      <c r="A4791" t="inlineStr">
        <is>
          <t>SOCIETE C875</t>
        </is>
      </c>
      <c r="B4791" t="inlineStr">
        <is>
          <t>C875</t>
        </is>
      </c>
      <c r="C4791" t="inlineStr">
        <is>
          <t>PUBLIC SECTOR</t>
        </is>
      </c>
      <c r="D4791" t="inlineStr">
        <is>
          <t>II</t>
        </is>
      </c>
      <c r="E4791" t="inlineStr">
        <is>
          <t>Stage 2</t>
        </is>
      </c>
      <c r="F4791" t="inlineStr">
        <is>
          <t>N/A</t>
        </is>
      </c>
      <c r="G4791" s="26">
        <v>2191300</v>
      </c>
      <c r="H4791" s="26">
        <v>131478</v>
      </c>
      <c r="I4791" s="26">
        <v>351313</v>
      </c>
      <c r="J4791" s="26">
        <v>211</v>
      </c>
      <c r="K4791" t="inlineStr">
        <is>
          <t>Non</t>
        </is>
      </c>
      <c r="L4791">
        <f>SUBTOTAL(103,A4791)</f>
        <v>1</v>
      </c>
    </row>
    <row r="4792">
      <c r="A4792" t="inlineStr">
        <is>
          <t>SOCIETE C1624</t>
        </is>
      </c>
      <c r="B4792" t="inlineStr">
        <is>
          <t>C1624</t>
        </is>
      </c>
      <c r="C4792" t="inlineStr">
        <is>
          <t>COMMERCIAL BANKING</t>
        </is>
      </c>
      <c r="D4792" t="inlineStr">
        <is>
          <t>II</t>
        </is>
      </c>
      <c r="E4792" t="inlineStr">
        <is>
          <t>Stage 2</t>
        </is>
      </c>
      <c r="F4792" t="inlineStr">
        <is>
          <t>N/A</t>
        </is>
      </c>
      <c r="G4792" s="26">
        <v>262040818</v>
      </c>
      <c r="H4792" s="26">
        <v>15722449</v>
      </c>
      <c r="I4792" s="26">
        <v>0</v>
      </c>
      <c r="J4792" s="26">
        <v>241</v>
      </c>
      <c r="K4792" t="inlineStr">
        <is>
          <t>Non</t>
        </is>
      </c>
      <c r="L4792">
        <f>SUBTOTAL(103,A4792)</f>
        <v>1</v>
      </c>
    </row>
    <row r="4793">
      <c r="A4793" t="inlineStr">
        <is>
          <t>SOCIETE C789</t>
        </is>
      </c>
      <c r="B4793" t="inlineStr">
        <is>
          <t>C789</t>
        </is>
      </c>
      <c r="C4793" t="inlineStr">
        <is>
          <t>PUBLIC SECTOR</t>
        </is>
      </c>
      <c r="D4793" t="inlineStr">
        <is>
          <t>I</t>
        </is>
      </c>
      <c r="E4793" t="inlineStr">
        <is>
          <t>Stage 1</t>
        </is>
      </c>
      <c r="F4793" t="inlineStr">
        <is>
          <t>N/A</t>
        </is>
      </c>
      <c r="G4793" s="26">
        <v>1834631821</v>
      </c>
      <c r="H4793" s="26">
        <v>18346318</v>
      </c>
      <c r="I4793" s="26">
        <v>89080681</v>
      </c>
      <c r="J4793" s="26">
        <v>77</v>
      </c>
      <c r="K4793" t="inlineStr">
        <is>
          <t>Non</t>
        </is>
      </c>
      <c r="L4793">
        <f>SUBTOTAL(103,A4793)</f>
        <v>1</v>
      </c>
    </row>
    <row r="4794">
      <c r="A4794" t="inlineStr">
        <is>
          <t>SOCIETE C1736</t>
        </is>
      </c>
      <c r="B4794" t="inlineStr">
        <is>
          <t>C1736</t>
        </is>
      </c>
      <c r="C4794" t="inlineStr">
        <is>
          <t>COMMERCIAL BANKING</t>
        </is>
      </c>
      <c r="D4794" t="inlineStr">
        <is>
          <t>IA</t>
        </is>
      </c>
      <c r="E4794" t="inlineStr">
        <is>
          <t>Stage 2</t>
        </is>
      </c>
      <c r="F4794" t="inlineStr">
        <is>
          <t>N/A</t>
        </is>
      </c>
      <c r="G4794" s="26">
        <v>81836000</v>
      </c>
      <c r="H4794" s="26">
        <v>4910160</v>
      </c>
      <c r="I4794" s="26">
        <v>0</v>
      </c>
      <c r="J4794" s="26">
        <v>35</v>
      </c>
      <c r="K4794" t="inlineStr">
        <is>
          <t>Non</t>
        </is>
      </c>
      <c r="L4794">
        <f>SUBTOTAL(103,A4794)</f>
        <v>1</v>
      </c>
    </row>
    <row r="4795">
      <c r="A4795" t="inlineStr">
        <is>
          <t>SOCIETE C104</t>
        </is>
      </c>
      <c r="B4795" t="inlineStr">
        <is>
          <t>C104</t>
        </is>
      </c>
      <c r="C4795" t="inlineStr">
        <is>
          <t>COMMERCIAL BANKING</t>
        </is>
      </c>
      <c r="D4795" t="inlineStr">
        <is>
          <t>I</t>
        </is>
      </c>
      <c r="E4795" t="inlineStr">
        <is>
          <t>Stage 1</t>
        </is>
      </c>
      <c r="F4795" t="inlineStr">
        <is>
          <t>N/A</t>
        </is>
      </c>
      <c r="G4795" s="26">
        <v>149283405</v>
      </c>
      <c r="H4795" s="26">
        <v>1492834</v>
      </c>
      <c r="I4795" s="26">
        <v>0</v>
      </c>
      <c r="J4795" s="26">
        <v>92</v>
      </c>
      <c r="K4795" t="inlineStr">
        <is>
          <t>Non</t>
        </is>
      </c>
      <c r="L4795">
        <f>SUBTOTAL(103,A4795)</f>
        <v>1</v>
      </c>
    </row>
    <row r="4796">
      <c r="A4796" t="inlineStr">
        <is>
          <t>SOCIETE C2406</t>
        </is>
      </c>
      <c r="B4796" t="inlineStr">
        <is>
          <t>C2406</t>
        </is>
      </c>
      <c r="C4796" t="inlineStr">
        <is>
          <t>CORPORATE BANKING</t>
        </is>
      </c>
      <c r="D4796" t="inlineStr">
        <is>
          <t>I</t>
        </is>
      </c>
      <c r="E4796" t="inlineStr">
        <is>
          <t>Stage 1</t>
        </is>
      </c>
      <c r="F4796" t="inlineStr">
        <is>
          <t>N/A</t>
        </is>
      </c>
      <c r="G4796" s="26">
        <v>314683027</v>
      </c>
      <c r="H4796" s="26">
        <v>3146830</v>
      </c>
      <c r="I4796" s="26">
        <v>0</v>
      </c>
      <c r="J4796" s="26">
        <v>81</v>
      </c>
      <c r="K4796" t="inlineStr">
        <is>
          <t>Non</t>
        </is>
      </c>
      <c r="L4796">
        <f>SUBTOTAL(103,A4796)</f>
        <v>1</v>
      </c>
    </row>
    <row r="4797">
      <c r="A4797" t="inlineStr">
        <is>
          <t>SOCIETE C1945</t>
        </is>
      </c>
      <c r="B4797" t="inlineStr">
        <is>
          <t>C1945</t>
        </is>
      </c>
      <c r="C4797" t="inlineStr">
        <is>
          <t>CORPORATE BANKING</t>
        </is>
      </c>
      <c r="D4797" t="inlineStr">
        <is>
          <t>IA</t>
        </is>
      </c>
      <c r="E4797" t="inlineStr">
        <is>
          <t>Stage 2</t>
        </is>
      </c>
      <c r="F4797" t="inlineStr">
        <is>
          <t>N/A</t>
        </is>
      </c>
      <c r="G4797" s="26">
        <v>906197936</v>
      </c>
      <c r="H4797" s="26">
        <v>54371876</v>
      </c>
      <c r="I4797" s="26">
        <v>169319522</v>
      </c>
      <c r="J4797" s="26">
        <v>213</v>
      </c>
      <c r="K4797" t="inlineStr">
        <is>
          <t>Non</t>
        </is>
      </c>
      <c r="L4797">
        <f>SUBTOTAL(103,A4797)</f>
        <v>1</v>
      </c>
    </row>
    <row r="4798">
      <c r="A4798" t="inlineStr">
        <is>
          <t>SOCIETE C1425</t>
        </is>
      </c>
      <c r="B4798" t="inlineStr">
        <is>
          <t>C1425</t>
        </is>
      </c>
      <c r="C4798" t="inlineStr">
        <is>
          <t>CORPORATE BANKING</t>
        </is>
      </c>
      <c r="D4798" t="inlineStr">
        <is>
          <t>V</t>
        </is>
      </c>
      <c r="E4798" t="inlineStr">
        <is>
          <t>Stage 3</t>
        </is>
      </c>
      <c r="F4798" t="inlineStr">
        <is>
          <t>N/A</t>
        </is>
      </c>
      <c r="G4798" s="26">
        <v>1849424918</v>
      </c>
      <c r="H4798" s="26">
        <v>1017183705</v>
      </c>
      <c r="I4798" s="26">
        <v>0</v>
      </c>
      <c r="J4798" s="26">
        <v>69</v>
      </c>
      <c r="K4798" t="inlineStr">
        <is>
          <t>Oui</t>
        </is>
      </c>
      <c r="L4798">
        <f>SUBTOTAL(103,A4798)</f>
        <v>1</v>
      </c>
    </row>
    <row r="4799">
      <c r="A4799" t="inlineStr">
        <is>
          <t>SOCIETE C180</t>
        </is>
      </c>
      <c r="B4799" t="inlineStr">
        <is>
          <t>C180</t>
        </is>
      </c>
      <c r="C4799" t="inlineStr">
        <is>
          <t>PUBLIC SECTOR</t>
        </is>
      </c>
      <c r="D4799" t="inlineStr">
        <is>
          <t>IA</t>
        </is>
      </c>
      <c r="E4799" t="inlineStr">
        <is>
          <t>Stage 2</t>
        </is>
      </c>
      <c r="F4799" t="inlineStr">
        <is>
          <t>N/A</t>
        </is>
      </c>
      <c r="G4799" s="26">
        <v>1040841059</v>
      </c>
      <c r="H4799" s="26">
        <v>62450464</v>
      </c>
      <c r="I4799" s="26">
        <v>178136689</v>
      </c>
      <c r="J4799" s="26">
        <v>91</v>
      </c>
      <c r="K4799" t="inlineStr">
        <is>
          <t>Non</t>
        </is>
      </c>
      <c r="L4799">
        <f>SUBTOTAL(103,A4799)</f>
        <v>1</v>
      </c>
    </row>
    <row r="4800">
      <c r="A4800" t="inlineStr">
        <is>
          <t>SOCIETE C2298</t>
        </is>
      </c>
      <c r="B4800" t="inlineStr">
        <is>
          <t>C2298</t>
        </is>
      </c>
      <c r="C4800" t="inlineStr">
        <is>
          <t>COMMERCIAL BANKING</t>
        </is>
      </c>
      <c r="D4800" t="inlineStr">
        <is>
          <t>I</t>
        </is>
      </c>
      <c r="E4800" t="inlineStr">
        <is>
          <t>Stage 1</t>
        </is>
      </c>
      <c r="F4800" t="inlineStr">
        <is>
          <t>N/A</t>
        </is>
      </c>
      <c r="G4800" s="26">
        <v>1816796395</v>
      </c>
      <c r="H4800" s="26">
        <v>18167964</v>
      </c>
      <c r="I4800" s="26">
        <v>0</v>
      </c>
      <c r="J4800" s="26">
        <v>38</v>
      </c>
      <c r="K4800" t="inlineStr">
        <is>
          <t>Non</t>
        </is>
      </c>
      <c r="L4800">
        <f>SUBTOTAL(103,A4800)</f>
        <v>1</v>
      </c>
    </row>
    <row r="4801">
      <c r="A4801" t="inlineStr">
        <is>
          <t>SOCIETE C487</t>
        </is>
      </c>
      <c r="B4801" t="inlineStr">
        <is>
          <t>C487</t>
        </is>
      </c>
      <c r="C4801" t="inlineStr">
        <is>
          <t>CORPORATE BANKING</t>
        </is>
      </c>
      <c r="D4801" t="inlineStr">
        <is>
          <t>I</t>
        </is>
      </c>
      <c r="E4801" t="inlineStr">
        <is>
          <t>Stage 1</t>
        </is>
      </c>
      <c r="F4801" t="inlineStr">
        <is>
          <t>N/A</t>
        </is>
      </c>
      <c r="G4801" s="26">
        <v>524542544</v>
      </c>
      <c r="H4801" s="26">
        <v>5245425</v>
      </c>
      <c r="I4801" s="26">
        <v>73145192</v>
      </c>
      <c r="J4801" s="26">
        <v>107</v>
      </c>
      <c r="K4801" t="inlineStr">
        <is>
          <t>Non</t>
        </is>
      </c>
      <c r="L4801">
        <f>SUBTOTAL(103,A4801)</f>
        <v>1</v>
      </c>
    </row>
    <row r="4802">
      <c r="A4802" t="inlineStr">
        <is>
          <t>SOCIETE C1404</t>
        </is>
      </c>
      <c r="B4802" t="inlineStr">
        <is>
          <t>C1404</t>
        </is>
      </c>
      <c r="C4802" t="inlineStr">
        <is>
          <t>CORPORATE BANKING</t>
        </is>
      </c>
      <c r="D4802" t="inlineStr">
        <is>
          <t>I</t>
        </is>
      </c>
      <c r="E4802" t="inlineStr">
        <is>
          <t>Stage 1</t>
        </is>
      </c>
      <c r="F4802" t="inlineStr">
        <is>
          <t>N/A</t>
        </is>
      </c>
      <c r="G4802" s="26">
        <v>459138018</v>
      </c>
      <c r="H4802" s="26">
        <v>4591380</v>
      </c>
      <c r="I4802" s="26">
        <v>22581694</v>
      </c>
      <c r="J4802" s="26">
        <v>14</v>
      </c>
      <c r="K4802" t="inlineStr">
        <is>
          <t>Non</t>
        </is>
      </c>
      <c r="L4802">
        <f>SUBTOTAL(103,A4802)</f>
        <v>1</v>
      </c>
    </row>
    <row r="4803">
      <c r="A4803" t="inlineStr">
        <is>
          <t>SOCIETE C2239</t>
        </is>
      </c>
      <c r="B4803" t="inlineStr">
        <is>
          <t>C2239</t>
        </is>
      </c>
      <c r="C4803" t="inlineStr">
        <is>
          <t>CONSUMER BANKING</t>
        </is>
      </c>
      <c r="D4803" t="inlineStr">
        <is>
          <t>III</t>
        </is>
      </c>
      <c r="E4803" t="inlineStr">
        <is>
          <t>Stage 3</t>
        </is>
      </c>
      <c r="F4803" t="inlineStr">
        <is>
          <t>N/A</t>
        </is>
      </c>
      <c r="G4803" s="26">
        <v>293651578</v>
      </c>
      <c r="H4803" s="26">
        <v>161508368</v>
      </c>
      <c r="I4803" s="26">
        <v>0</v>
      </c>
      <c r="J4803" s="26">
        <v>25</v>
      </c>
      <c r="K4803" t="inlineStr">
        <is>
          <t>Oui</t>
        </is>
      </c>
      <c r="L4803">
        <f>SUBTOTAL(103,A4803)</f>
        <v>1</v>
      </c>
    </row>
    <row r="4804">
      <c r="A4804" t="inlineStr">
        <is>
          <t>SOCIETE C2091</t>
        </is>
      </c>
      <c r="B4804" t="inlineStr">
        <is>
          <t>C2091</t>
        </is>
      </c>
      <c r="C4804" t="inlineStr">
        <is>
          <t>CORPORATE BANKING</t>
        </is>
      </c>
      <c r="D4804" t="inlineStr">
        <is>
          <t>II</t>
        </is>
      </c>
      <c r="E4804" t="inlineStr">
        <is>
          <t>Stage 2</t>
        </is>
      </c>
      <c r="F4804" t="inlineStr">
        <is>
          <t>N/A</t>
        </is>
      </c>
      <c r="G4804" s="26">
        <v>2456122</v>
      </c>
      <c r="H4804" s="26">
        <v>147367</v>
      </c>
      <c r="I4804" s="26">
        <v>436212</v>
      </c>
      <c r="J4804" s="26">
        <v>13</v>
      </c>
      <c r="K4804" t="inlineStr">
        <is>
          <t>Non</t>
        </is>
      </c>
      <c r="L4804">
        <f>SUBTOTAL(103,A4804)</f>
        <v>1</v>
      </c>
    </row>
    <row r="4805">
      <c r="A4805" t="inlineStr">
        <is>
          <t>SOCIETE C34</t>
        </is>
      </c>
      <c r="B4805" t="inlineStr">
        <is>
          <t>C34</t>
        </is>
      </c>
      <c r="C4805" t="inlineStr">
        <is>
          <t>CORPORATE BANKING</t>
        </is>
      </c>
      <c r="D4805" t="inlineStr">
        <is>
          <t>IA</t>
        </is>
      </c>
      <c r="E4805" t="inlineStr">
        <is>
          <t>Stage 2</t>
        </is>
      </c>
      <c r="F4805" t="inlineStr">
        <is>
          <t>N/A</t>
        </is>
      </c>
      <c r="G4805" s="26">
        <v>399711684</v>
      </c>
      <c r="H4805" s="26">
        <v>23982701</v>
      </c>
      <c r="I4805" s="26">
        <v>0</v>
      </c>
      <c r="J4805" s="26">
        <v>31</v>
      </c>
      <c r="K4805" t="inlineStr">
        <is>
          <t>Non</t>
        </is>
      </c>
      <c r="L4805">
        <f>SUBTOTAL(103,A4805)</f>
        <v>1</v>
      </c>
    </row>
    <row r="4806">
      <c r="A4806" t="inlineStr">
        <is>
          <t>SOCIETE C1103</t>
        </is>
      </c>
      <c r="B4806" t="inlineStr">
        <is>
          <t>C1103</t>
        </is>
      </c>
      <c r="C4806" t="inlineStr">
        <is>
          <t>PUBLIC SECTOR</t>
        </is>
      </c>
      <c r="D4806" t="inlineStr">
        <is>
          <t>II</t>
        </is>
      </c>
      <c r="E4806" t="inlineStr">
        <is>
          <t>Stage 2</t>
        </is>
      </c>
      <c r="F4806" t="inlineStr">
        <is>
          <t>N/A</t>
        </is>
      </c>
      <c r="G4806" s="26">
        <v>36264052</v>
      </c>
      <c r="H4806" s="26">
        <v>2175843</v>
      </c>
      <c r="I4806" s="26">
        <v>0</v>
      </c>
      <c r="J4806" s="26">
        <v>91</v>
      </c>
      <c r="K4806" t="inlineStr">
        <is>
          <t>Non</t>
        </is>
      </c>
      <c r="L4806">
        <f>SUBTOTAL(103,A4806)</f>
        <v>1</v>
      </c>
    </row>
    <row r="4807">
      <c r="A4807" t="inlineStr">
        <is>
          <t>SOCIETE C1927</t>
        </is>
      </c>
      <c r="B4807" t="inlineStr">
        <is>
          <t>C1927</t>
        </is>
      </c>
      <c r="C4807" t="inlineStr">
        <is>
          <t>CORPORATE BANKING</t>
        </is>
      </c>
      <c r="D4807" t="inlineStr">
        <is>
          <t>V</t>
        </is>
      </c>
      <c r="E4807" t="inlineStr">
        <is>
          <t>Stage 3</t>
        </is>
      </c>
      <c r="F4807" t="inlineStr">
        <is>
          <t>N/A</t>
        </is>
      </c>
      <c r="G4807" s="26">
        <v>1001887955</v>
      </c>
      <c r="H4807" s="26">
        <v>551038375</v>
      </c>
      <c r="I4807" s="26">
        <v>0</v>
      </c>
      <c r="J4807" s="26">
        <v>15</v>
      </c>
      <c r="K4807" t="inlineStr">
        <is>
          <t>Oui</t>
        </is>
      </c>
      <c r="L4807">
        <f>SUBTOTAL(103,A4807)</f>
        <v>1</v>
      </c>
    </row>
    <row r="4808">
      <c r="A4808" t="inlineStr">
        <is>
          <t>SOCIETE C996</t>
        </is>
      </c>
      <c r="B4808" t="inlineStr">
        <is>
          <t>C996</t>
        </is>
      </c>
      <c r="C4808" t="inlineStr">
        <is>
          <t>CORPORATE BANKING</t>
        </is>
      </c>
      <c r="D4808" t="inlineStr">
        <is>
          <t>III</t>
        </is>
      </c>
      <c r="E4808" t="inlineStr">
        <is>
          <t>Stage 3</t>
        </is>
      </c>
      <c r="F4808" t="inlineStr">
        <is>
          <t>N/A</t>
        </is>
      </c>
      <c r="G4808" s="26">
        <v>2061730891</v>
      </c>
      <c r="H4808" s="26">
        <v>1133951990</v>
      </c>
      <c r="I4808" s="26">
        <v>0</v>
      </c>
      <c r="J4808" s="26">
        <v>110</v>
      </c>
      <c r="K4808" t="inlineStr">
        <is>
          <t>Oui</t>
        </is>
      </c>
      <c r="L4808">
        <f>SUBTOTAL(103,A4808)</f>
        <v>1</v>
      </c>
    </row>
    <row r="4809">
      <c r="A4809" t="inlineStr">
        <is>
          <t>SOCIETE C1240</t>
        </is>
      </c>
      <c r="B4809" t="inlineStr">
        <is>
          <t>C1240</t>
        </is>
      </c>
      <c r="C4809" t="inlineStr">
        <is>
          <t>CORPORATE BANKING</t>
        </is>
      </c>
      <c r="D4809" t="inlineStr">
        <is>
          <t>I</t>
        </is>
      </c>
      <c r="E4809" t="inlineStr">
        <is>
          <t>Stage 1</t>
        </is>
      </c>
      <c r="F4809" t="inlineStr">
        <is>
          <t>N/A</t>
        </is>
      </c>
      <c r="G4809" s="26">
        <v>518097691</v>
      </c>
      <c r="H4809" s="26">
        <v>5180977</v>
      </c>
      <c r="I4809" s="26">
        <v>5614191</v>
      </c>
      <c r="J4809" s="26">
        <v>194</v>
      </c>
      <c r="K4809" t="inlineStr">
        <is>
          <t>Non</t>
        </is>
      </c>
      <c r="L4809">
        <f>SUBTOTAL(103,A4809)</f>
        <v>1</v>
      </c>
    </row>
    <row r="4810">
      <c r="A4810" t="inlineStr">
        <is>
          <t>SOCIETE C1436</t>
        </is>
      </c>
      <c r="B4810" t="inlineStr">
        <is>
          <t>C1436</t>
        </is>
      </c>
      <c r="C4810" t="inlineStr">
        <is>
          <t>CORPORATE BANKING</t>
        </is>
      </c>
      <c r="D4810" t="inlineStr">
        <is>
          <t>I</t>
        </is>
      </c>
      <c r="E4810" t="inlineStr">
        <is>
          <t>Stage 1</t>
        </is>
      </c>
      <c r="F4810" t="inlineStr">
        <is>
          <t>N/A</t>
        </is>
      </c>
      <c r="G4810" s="26">
        <v>843113141</v>
      </c>
      <c r="H4810" s="26">
        <v>8431131</v>
      </c>
      <c r="I4810" s="26">
        <v>0</v>
      </c>
      <c r="J4810" s="26">
        <v>238</v>
      </c>
      <c r="K4810" t="inlineStr">
        <is>
          <t>Non</t>
        </is>
      </c>
      <c r="L4810">
        <f>SUBTOTAL(103,A4810)</f>
        <v>1</v>
      </c>
    </row>
    <row r="4811">
      <c r="A4811" t="inlineStr">
        <is>
          <t>SOCIETE C1194</t>
        </is>
      </c>
      <c r="B4811" t="inlineStr">
        <is>
          <t>C1194</t>
        </is>
      </c>
      <c r="C4811" t="inlineStr">
        <is>
          <t>CORPORATE BANKING</t>
        </is>
      </c>
      <c r="D4811" t="inlineStr">
        <is>
          <t>I</t>
        </is>
      </c>
      <c r="E4811" t="inlineStr">
        <is>
          <t>Stage 1</t>
        </is>
      </c>
      <c r="F4811" t="inlineStr">
        <is>
          <t>N/A</t>
        </is>
      </c>
      <c r="G4811" s="26">
        <v>26088704</v>
      </c>
      <c r="H4811" s="26">
        <v>260887</v>
      </c>
      <c r="I4811" s="26">
        <v>0</v>
      </c>
      <c r="J4811" s="26">
        <v>205</v>
      </c>
      <c r="K4811" t="inlineStr">
        <is>
          <t>Non</t>
        </is>
      </c>
      <c r="L4811">
        <f>SUBTOTAL(103,A4811)</f>
        <v>1</v>
      </c>
    </row>
    <row r="4812">
      <c r="A4812" t="inlineStr">
        <is>
          <t>SOCIETE C1717</t>
        </is>
      </c>
      <c r="B4812" t="inlineStr">
        <is>
          <t>C1717</t>
        </is>
      </c>
      <c r="C4812" t="inlineStr">
        <is>
          <t>CONSUMER BANKING</t>
        </is>
      </c>
      <c r="D4812" t="inlineStr">
        <is>
          <t>I</t>
        </is>
      </c>
      <c r="E4812" t="inlineStr">
        <is>
          <t>Stage 1</t>
        </is>
      </c>
      <c r="F4812" t="inlineStr">
        <is>
          <t>N/A</t>
        </is>
      </c>
      <c r="G4812" s="26">
        <v>358110575</v>
      </c>
      <c r="H4812" s="26">
        <v>3581106</v>
      </c>
      <c r="I4812" s="26">
        <v>0</v>
      </c>
      <c r="J4812" s="26">
        <v>228</v>
      </c>
      <c r="K4812" t="inlineStr">
        <is>
          <t>Non</t>
        </is>
      </c>
      <c r="L4812">
        <f>SUBTOTAL(103,A4812)</f>
        <v>1</v>
      </c>
    </row>
    <row r="4813">
      <c r="A4813" t="inlineStr">
        <is>
          <t>SOCIETE C360</t>
        </is>
      </c>
      <c r="B4813" t="inlineStr">
        <is>
          <t>C360</t>
        </is>
      </c>
      <c r="C4813" t="inlineStr">
        <is>
          <t>CORPORATE BANKING</t>
        </is>
      </c>
      <c r="D4813" t="inlineStr">
        <is>
          <t>III</t>
        </is>
      </c>
      <c r="E4813" t="inlineStr">
        <is>
          <t>Stage 3</t>
        </is>
      </c>
      <c r="F4813" t="inlineStr">
        <is>
          <t>N/A</t>
        </is>
      </c>
      <c r="G4813" s="26">
        <v>1923112690</v>
      </c>
      <c r="H4813" s="26">
        <v>1057711980</v>
      </c>
      <c r="I4813" s="26">
        <v>0</v>
      </c>
      <c r="J4813" s="26">
        <v>142</v>
      </c>
      <c r="K4813" t="inlineStr">
        <is>
          <t>Oui</t>
        </is>
      </c>
      <c r="L4813">
        <f>SUBTOTAL(103,A4813)</f>
        <v>1</v>
      </c>
    </row>
    <row r="4814">
      <c r="A4814" t="inlineStr">
        <is>
          <t>SOCIETE C1663</t>
        </is>
      </c>
      <c r="B4814" t="inlineStr">
        <is>
          <t>C1663</t>
        </is>
      </c>
      <c r="C4814" t="inlineStr">
        <is>
          <t>CORPORATE BANKING</t>
        </is>
      </c>
      <c r="D4814" t="inlineStr">
        <is>
          <t>V</t>
        </is>
      </c>
      <c r="E4814" t="inlineStr">
        <is>
          <t>Stage 3</t>
        </is>
      </c>
      <c r="F4814" t="inlineStr">
        <is>
          <t>N/A</t>
        </is>
      </c>
      <c r="G4814" s="26">
        <v>595317410</v>
      </c>
      <c r="H4814" s="26">
        <v>327424576</v>
      </c>
      <c r="I4814" s="26">
        <v>113153378</v>
      </c>
      <c r="J4814" s="26">
        <v>281</v>
      </c>
      <c r="K4814" t="inlineStr">
        <is>
          <t>Oui</t>
        </is>
      </c>
      <c r="L4814">
        <f>SUBTOTAL(103,A4814)</f>
        <v>1</v>
      </c>
    </row>
    <row r="4815">
      <c r="A4815" t="inlineStr">
        <is>
          <t>SOCIETE C1816</t>
        </is>
      </c>
      <c r="B4815" t="inlineStr">
        <is>
          <t>C1816</t>
        </is>
      </c>
      <c r="C4815" t="inlineStr">
        <is>
          <t>CORPORATE BANKING</t>
        </is>
      </c>
      <c r="D4815" t="inlineStr">
        <is>
          <t>III</t>
        </is>
      </c>
      <c r="E4815" t="inlineStr">
        <is>
          <t>Stage 3</t>
        </is>
      </c>
      <c r="F4815" t="inlineStr">
        <is>
          <t>N/A</t>
        </is>
      </c>
      <c r="G4815" s="26">
        <v>2858067591</v>
      </c>
      <c r="H4815" s="26">
        <v>1571937175</v>
      </c>
      <c r="I4815" s="26">
        <v>134559761</v>
      </c>
      <c r="J4815" s="26">
        <v>113</v>
      </c>
      <c r="K4815" t="inlineStr">
        <is>
          <t>Oui</t>
        </is>
      </c>
      <c r="L4815">
        <f>SUBTOTAL(103,A4815)</f>
        <v>1</v>
      </c>
    </row>
    <row r="4816">
      <c r="A4816" t="inlineStr">
        <is>
          <t>SOCIETE C1325</t>
        </is>
      </c>
      <c r="B4816" t="inlineStr">
        <is>
          <t>C1325</t>
        </is>
      </c>
      <c r="C4816" t="inlineStr">
        <is>
          <t>CORPORATE BANKING</t>
        </is>
      </c>
      <c r="D4816" t="inlineStr">
        <is>
          <t>II</t>
        </is>
      </c>
      <c r="E4816" t="inlineStr">
        <is>
          <t>Stage 2</t>
        </is>
      </c>
      <c r="F4816" t="inlineStr">
        <is>
          <t>N/A</t>
        </is>
      </c>
      <c r="G4816" s="26">
        <v>902049233</v>
      </c>
      <c r="H4816" s="26">
        <v>54122954</v>
      </c>
      <c r="I4816" s="26">
        <v>131156260</v>
      </c>
      <c r="J4816" s="26">
        <v>87</v>
      </c>
      <c r="K4816" t="inlineStr">
        <is>
          <t>Non</t>
        </is>
      </c>
      <c r="L4816">
        <f>SUBTOTAL(103,A4816)</f>
        <v>1</v>
      </c>
    </row>
    <row r="4817">
      <c r="A4817" t="inlineStr">
        <is>
          <t>SOCIETE C1269</t>
        </is>
      </c>
      <c r="B4817" t="inlineStr">
        <is>
          <t>C1269</t>
        </is>
      </c>
      <c r="C4817" t="inlineStr">
        <is>
          <t>COMMERCIAL BANKING</t>
        </is>
      </c>
      <c r="D4817" t="inlineStr">
        <is>
          <t>II</t>
        </is>
      </c>
      <c r="E4817" t="inlineStr">
        <is>
          <t>Stage 2</t>
        </is>
      </c>
      <c r="F4817" t="inlineStr">
        <is>
          <t>N/A</t>
        </is>
      </c>
      <c r="G4817" s="26">
        <v>3117813</v>
      </c>
      <c r="H4817" s="26">
        <v>187069</v>
      </c>
      <c r="I4817" s="26">
        <v>0</v>
      </c>
      <c r="J4817" s="26">
        <v>34</v>
      </c>
      <c r="K4817" t="inlineStr">
        <is>
          <t>Non</t>
        </is>
      </c>
      <c r="L4817">
        <f>SUBTOTAL(103,A4817)</f>
        <v>1</v>
      </c>
    </row>
    <row r="4818">
      <c r="A4818" t="inlineStr">
        <is>
          <t>SOCIETE C1880</t>
        </is>
      </c>
      <c r="B4818" t="inlineStr">
        <is>
          <t>C1880</t>
        </is>
      </c>
      <c r="C4818" t="inlineStr">
        <is>
          <t>COMMERCIAL BANKING</t>
        </is>
      </c>
      <c r="D4818" t="inlineStr">
        <is>
          <t>IA</t>
        </is>
      </c>
      <c r="E4818" t="inlineStr">
        <is>
          <t>Stage 2</t>
        </is>
      </c>
      <c r="F4818" t="inlineStr">
        <is>
          <t>N/A</t>
        </is>
      </c>
      <c r="G4818" s="26">
        <v>2807583288</v>
      </c>
      <c r="H4818" s="26">
        <v>168454997</v>
      </c>
      <c r="I4818" s="26">
        <v>69408662</v>
      </c>
      <c r="J4818" s="26">
        <v>55</v>
      </c>
      <c r="K4818" t="inlineStr">
        <is>
          <t>Non</t>
        </is>
      </c>
      <c r="L4818">
        <f>SUBTOTAL(103,A4818)</f>
        <v>1</v>
      </c>
    </row>
    <row r="4819">
      <c r="A4819" t="inlineStr">
        <is>
          <t>SOCIETE C1015</t>
        </is>
      </c>
      <c r="B4819" t="inlineStr">
        <is>
          <t>C1015</t>
        </is>
      </c>
      <c r="C4819" t="inlineStr">
        <is>
          <t>COMMERCIAL BANKING</t>
        </is>
      </c>
      <c r="D4819" t="inlineStr">
        <is>
          <t>V</t>
        </is>
      </c>
      <c r="E4819" t="inlineStr">
        <is>
          <t>Stage 3</t>
        </is>
      </c>
      <c r="F4819" t="inlineStr">
        <is>
          <t>N/A</t>
        </is>
      </c>
      <c r="G4819" s="26">
        <v>2288887073</v>
      </c>
      <c r="H4819" s="26">
        <v>1258887890</v>
      </c>
      <c r="I4819" s="26">
        <v>0</v>
      </c>
      <c r="J4819" s="26">
        <v>152</v>
      </c>
      <c r="K4819" t="inlineStr">
        <is>
          <t>Oui</t>
        </is>
      </c>
      <c r="L4819">
        <f>SUBTOTAL(103,A4819)</f>
        <v>1</v>
      </c>
    </row>
    <row r="4820">
      <c r="A4820" t="inlineStr">
        <is>
          <t>SOCIETE C1956</t>
        </is>
      </c>
      <c r="B4820" t="inlineStr">
        <is>
          <t>C1956</t>
        </is>
      </c>
      <c r="C4820" t="inlineStr">
        <is>
          <t>CORPORATE BANKING</t>
        </is>
      </c>
      <c r="D4820" t="inlineStr">
        <is>
          <t>I</t>
        </is>
      </c>
      <c r="E4820" t="inlineStr">
        <is>
          <t>Stage 1</t>
        </is>
      </c>
      <c r="F4820" t="inlineStr">
        <is>
          <t>N/A</t>
        </is>
      </c>
      <c r="G4820" s="26">
        <v>18574581</v>
      </c>
      <c r="H4820" s="26">
        <v>185746</v>
      </c>
      <c r="I4820" s="26">
        <v>0</v>
      </c>
      <c r="J4820" s="26">
        <v>347</v>
      </c>
      <c r="K4820" t="inlineStr">
        <is>
          <t>Non</t>
        </is>
      </c>
      <c r="L4820">
        <f>SUBTOTAL(103,A4820)</f>
        <v>1</v>
      </c>
    </row>
    <row r="4821">
      <c r="A4821" t="inlineStr">
        <is>
          <t>SOCIETE C1251</t>
        </is>
      </c>
      <c r="B4821" t="inlineStr">
        <is>
          <t>C1251</t>
        </is>
      </c>
      <c r="C4821" t="inlineStr">
        <is>
          <t>CORPORATE BANKING</t>
        </is>
      </c>
      <c r="D4821" t="inlineStr">
        <is>
          <t>I</t>
        </is>
      </c>
      <c r="E4821" t="inlineStr">
        <is>
          <t>Stage 1</t>
        </is>
      </c>
      <c r="F4821" t="inlineStr">
        <is>
          <t>N/A</t>
        </is>
      </c>
      <c r="G4821" s="26">
        <v>2591946452</v>
      </c>
      <c r="H4821" s="26">
        <v>25919465</v>
      </c>
      <c r="I4821" s="26">
        <v>0</v>
      </c>
      <c r="J4821" s="26">
        <v>218</v>
      </c>
      <c r="K4821" t="inlineStr">
        <is>
          <t>Non</t>
        </is>
      </c>
      <c r="L4821">
        <f>SUBTOTAL(103,A4821)</f>
        <v>1</v>
      </c>
    </row>
    <row r="4822">
      <c r="A4822" t="inlineStr">
        <is>
          <t>SOCIETE C1312</t>
        </is>
      </c>
      <c r="B4822" t="inlineStr">
        <is>
          <t>C1312</t>
        </is>
      </c>
      <c r="C4822" t="inlineStr">
        <is>
          <t>CORPORATE BANKING</t>
        </is>
      </c>
      <c r="D4822" t="inlineStr">
        <is>
          <t>I</t>
        </is>
      </c>
      <c r="E4822" t="inlineStr">
        <is>
          <t>Stage 1</t>
        </is>
      </c>
      <c r="F4822" t="inlineStr">
        <is>
          <t>N/A</t>
        </is>
      </c>
      <c r="G4822" s="26">
        <v>1812051432</v>
      </c>
      <c r="H4822" s="26">
        <v>18120514</v>
      </c>
      <c r="I4822" s="26">
        <v>0</v>
      </c>
      <c r="J4822" s="26">
        <v>252</v>
      </c>
      <c r="K4822" t="inlineStr">
        <is>
          <t>Non</t>
        </is>
      </c>
      <c r="L4822">
        <f>SUBTOTAL(103,A4822)</f>
        <v>1</v>
      </c>
    </row>
    <row r="4823">
      <c r="A4823" t="inlineStr">
        <is>
          <t>SOCIETE C63</t>
        </is>
      </c>
      <c r="B4823" t="inlineStr">
        <is>
          <t>C63</t>
        </is>
      </c>
      <c r="C4823" t="inlineStr">
        <is>
          <t>CORPORATE BANKING</t>
        </is>
      </c>
      <c r="D4823" t="inlineStr">
        <is>
          <t>I</t>
        </is>
      </c>
      <c r="E4823" t="inlineStr">
        <is>
          <t>Stage 1</t>
        </is>
      </c>
      <c r="F4823" t="inlineStr">
        <is>
          <t>N/A</t>
        </is>
      </c>
      <c r="G4823" s="26">
        <v>1319939</v>
      </c>
      <c r="H4823" s="26">
        <v>13199</v>
      </c>
      <c r="I4823" s="26">
        <v>1320</v>
      </c>
      <c r="J4823" s="26">
        <v>12</v>
      </c>
      <c r="K4823" t="inlineStr">
        <is>
          <t>Non</t>
        </is>
      </c>
      <c r="L4823">
        <f>SUBTOTAL(103,A4823)</f>
        <v>1</v>
      </c>
    </row>
    <row r="4824">
      <c r="A4824" t="inlineStr">
        <is>
          <t>SOCIETE C187</t>
        </is>
      </c>
      <c r="B4824" t="inlineStr">
        <is>
          <t>C187</t>
        </is>
      </c>
      <c r="C4824" t="inlineStr">
        <is>
          <t>CORPORATE BANKING</t>
        </is>
      </c>
      <c r="D4824" t="inlineStr">
        <is>
          <t>I</t>
        </is>
      </c>
      <c r="E4824" t="inlineStr">
        <is>
          <t>Stage 1</t>
        </is>
      </c>
      <c r="F4824" t="inlineStr">
        <is>
          <t>N/A</t>
        </is>
      </c>
      <c r="G4824" s="26">
        <v>881208663</v>
      </c>
      <c r="H4824" s="26">
        <v>8812087</v>
      </c>
      <c r="I4824" s="26">
        <v>0</v>
      </c>
      <c r="J4824" s="26">
        <v>304</v>
      </c>
      <c r="K4824" t="inlineStr">
        <is>
          <t>Non</t>
        </is>
      </c>
      <c r="L4824">
        <f>SUBTOTAL(103,A4824)</f>
        <v>1</v>
      </c>
    </row>
    <row r="4825">
      <c r="A4825" t="inlineStr">
        <is>
          <t>SOCIETE C782</t>
        </is>
      </c>
      <c r="B4825" t="inlineStr">
        <is>
          <t>C782</t>
        </is>
      </c>
      <c r="C4825" t="inlineStr">
        <is>
          <t>CONSUMER BANKING</t>
        </is>
      </c>
      <c r="D4825" t="inlineStr">
        <is>
          <t>I</t>
        </is>
      </c>
      <c r="E4825" t="inlineStr">
        <is>
          <t>Stage 1</t>
        </is>
      </c>
      <c r="F4825" t="inlineStr">
        <is>
          <t>N/A</t>
        </is>
      </c>
      <c r="G4825" s="26">
        <v>776914438</v>
      </c>
      <c r="H4825" s="26">
        <v>7769144</v>
      </c>
      <c r="I4825" s="26">
        <v>0</v>
      </c>
      <c r="J4825" s="26">
        <v>17</v>
      </c>
      <c r="K4825" t="inlineStr">
        <is>
          <t>Non</t>
        </is>
      </c>
      <c r="L4825">
        <f>SUBTOTAL(103,A4825)</f>
        <v>1</v>
      </c>
    </row>
    <row r="4826">
      <c r="A4826" t="inlineStr">
        <is>
          <t>SOCIETE C671</t>
        </is>
      </c>
      <c r="B4826" t="inlineStr">
        <is>
          <t>C671</t>
        </is>
      </c>
      <c r="C4826" t="inlineStr">
        <is>
          <t>CORPORATE BANKING</t>
        </is>
      </c>
      <c r="D4826" t="inlineStr">
        <is>
          <t>I</t>
        </is>
      </c>
      <c r="E4826" t="inlineStr">
        <is>
          <t>Stage 1</t>
        </is>
      </c>
      <c r="F4826" t="inlineStr">
        <is>
          <t>N/A</t>
        </is>
      </c>
      <c r="G4826" s="26">
        <v>1319768779</v>
      </c>
      <c r="H4826" s="26">
        <v>13197688</v>
      </c>
      <c r="I4826" s="26">
        <v>177109557</v>
      </c>
      <c r="J4826" s="26">
        <v>13</v>
      </c>
      <c r="K4826" t="inlineStr">
        <is>
          <t>Non</t>
        </is>
      </c>
      <c r="L4826">
        <f>SUBTOTAL(103,A4826)</f>
        <v>1</v>
      </c>
    </row>
    <row r="4827">
      <c r="A4827" t="inlineStr">
        <is>
          <t>SOCIETE C1195</t>
        </is>
      </c>
      <c r="B4827" t="inlineStr">
        <is>
          <t>C1195</t>
        </is>
      </c>
      <c r="C4827" t="inlineStr">
        <is>
          <t>CONSUMER BANKING</t>
        </is>
      </c>
      <c r="D4827" t="inlineStr">
        <is>
          <t>V</t>
        </is>
      </c>
      <c r="E4827" t="inlineStr">
        <is>
          <t>Stage 3</t>
        </is>
      </c>
      <c r="F4827" t="inlineStr">
        <is>
          <t>N/A</t>
        </is>
      </c>
      <c r="G4827" s="26">
        <v>68529038</v>
      </c>
      <c r="H4827" s="26">
        <v>37690971</v>
      </c>
      <c r="I4827" s="26">
        <v>6845364</v>
      </c>
      <c r="J4827" s="26">
        <v>96</v>
      </c>
      <c r="K4827" t="inlineStr">
        <is>
          <t>Oui</t>
        </is>
      </c>
      <c r="L4827">
        <f>SUBTOTAL(103,A4827)</f>
        <v>1</v>
      </c>
    </row>
    <row r="4828">
      <c r="A4828" t="inlineStr">
        <is>
          <t>SOCIETE C187</t>
        </is>
      </c>
      <c r="B4828" t="inlineStr">
        <is>
          <t>C187</t>
        </is>
      </c>
      <c r="C4828" t="inlineStr">
        <is>
          <t>CORPORATE BANKING</t>
        </is>
      </c>
      <c r="D4828" t="inlineStr">
        <is>
          <t>V</t>
        </is>
      </c>
      <c r="E4828" t="inlineStr">
        <is>
          <t>Stage 3</t>
        </is>
      </c>
      <c r="F4828" t="inlineStr">
        <is>
          <t>N/A</t>
        </is>
      </c>
      <c r="G4828" s="26">
        <v>66525530</v>
      </c>
      <c r="H4828" s="26">
        <v>36589041</v>
      </c>
      <c r="I4828" s="26">
        <v>0</v>
      </c>
      <c r="J4828" s="26">
        <v>111</v>
      </c>
      <c r="K4828" t="inlineStr">
        <is>
          <t>Oui</t>
        </is>
      </c>
      <c r="L4828">
        <f>SUBTOTAL(103,A4828)</f>
        <v>1</v>
      </c>
    </row>
    <row r="4829">
      <c r="A4829" t="inlineStr">
        <is>
          <t>SOCIETE C2349</t>
        </is>
      </c>
      <c r="B4829" t="inlineStr">
        <is>
          <t>C2349</t>
        </is>
      </c>
      <c r="C4829" t="inlineStr">
        <is>
          <t>CORPORATE BANKING</t>
        </is>
      </c>
      <c r="D4829" t="inlineStr">
        <is>
          <t>I</t>
        </is>
      </c>
      <c r="E4829" t="inlineStr">
        <is>
          <t>Stage 1</t>
        </is>
      </c>
      <c r="F4829" t="inlineStr">
        <is>
          <t>N/A</t>
        </is>
      </c>
      <c r="G4829" s="26">
        <v>49472166</v>
      </c>
      <c r="H4829" s="26">
        <v>494722</v>
      </c>
      <c r="I4829" s="26">
        <v>0</v>
      </c>
      <c r="J4829" s="26">
        <v>116</v>
      </c>
      <c r="K4829" t="inlineStr">
        <is>
          <t>Non</t>
        </is>
      </c>
      <c r="L4829">
        <f>SUBTOTAL(103,A4829)</f>
        <v>1</v>
      </c>
    </row>
    <row r="4830">
      <c r="A4830" t="inlineStr">
        <is>
          <t>SOCIETE C2312</t>
        </is>
      </c>
      <c r="B4830" t="inlineStr">
        <is>
          <t>C2312</t>
        </is>
      </c>
      <c r="C4830" t="inlineStr">
        <is>
          <t>CORPORATE BANKING</t>
        </is>
      </c>
      <c r="D4830" t="inlineStr">
        <is>
          <t>IA</t>
        </is>
      </c>
      <c r="E4830" t="inlineStr">
        <is>
          <t>Stage 2</t>
        </is>
      </c>
      <c r="F4830" t="inlineStr">
        <is>
          <t>N/A</t>
        </is>
      </c>
      <c r="G4830" s="26">
        <v>1322450470</v>
      </c>
      <c r="H4830" s="26">
        <v>79347028</v>
      </c>
      <c r="I4830" s="26">
        <v>0</v>
      </c>
      <c r="J4830" s="26">
        <v>3</v>
      </c>
      <c r="K4830" t="inlineStr">
        <is>
          <t>Non</t>
        </is>
      </c>
      <c r="L4830">
        <f>SUBTOTAL(103,A4830)</f>
        <v>1</v>
      </c>
    </row>
    <row r="4831">
      <c r="A4831" t="inlineStr">
        <is>
          <t>SOCIETE C1499</t>
        </is>
      </c>
      <c r="B4831" t="inlineStr">
        <is>
          <t>C1499</t>
        </is>
      </c>
      <c r="C4831" t="inlineStr">
        <is>
          <t>CORPORATE BANKING</t>
        </is>
      </c>
      <c r="D4831" t="inlineStr">
        <is>
          <t>I</t>
        </is>
      </c>
      <c r="E4831" t="inlineStr">
        <is>
          <t>Stage 1</t>
        </is>
      </c>
      <c r="F4831" t="inlineStr">
        <is>
          <t>N/A</t>
        </is>
      </c>
      <c r="G4831" s="26">
        <v>1634972139</v>
      </c>
      <c r="H4831" s="26">
        <v>16349721</v>
      </c>
      <c r="I4831" s="26">
        <v>0</v>
      </c>
      <c r="J4831" s="26">
        <v>89</v>
      </c>
      <c r="K4831" t="inlineStr">
        <is>
          <t>Non</t>
        </is>
      </c>
      <c r="L4831">
        <f>SUBTOTAL(103,A4831)</f>
        <v>1</v>
      </c>
    </row>
    <row r="4832">
      <c r="A4832" t="inlineStr">
        <is>
          <t>SOCIETE C813</t>
        </is>
      </c>
      <c r="B4832" t="inlineStr">
        <is>
          <t>C813</t>
        </is>
      </c>
      <c r="C4832" t="inlineStr">
        <is>
          <t>PUBLIC SECTOR</t>
        </is>
      </c>
      <c r="D4832" t="inlineStr">
        <is>
          <t>V</t>
        </is>
      </c>
      <c r="E4832" t="inlineStr">
        <is>
          <t>Stage 3</t>
        </is>
      </c>
      <c r="F4832" t="inlineStr">
        <is>
          <t>N/A</t>
        </is>
      </c>
      <c r="G4832" s="26">
        <v>1038451</v>
      </c>
      <c r="H4832" s="26">
        <v>571148</v>
      </c>
      <c r="I4832" s="26">
        <v>0</v>
      </c>
      <c r="J4832" s="26">
        <v>86</v>
      </c>
      <c r="K4832" t="inlineStr">
        <is>
          <t>Oui</t>
        </is>
      </c>
      <c r="L4832">
        <f>SUBTOTAL(103,A4832)</f>
        <v>1</v>
      </c>
    </row>
    <row r="4833">
      <c r="A4833" t="inlineStr">
        <is>
          <t>SOCIETE C2371</t>
        </is>
      </c>
      <c r="B4833" t="inlineStr">
        <is>
          <t>C2371</t>
        </is>
      </c>
      <c r="C4833" t="inlineStr">
        <is>
          <t>CORPORATE BANKING</t>
        </is>
      </c>
      <c r="D4833" t="inlineStr">
        <is>
          <t>IA</t>
        </is>
      </c>
      <c r="E4833" t="inlineStr">
        <is>
          <t>Stage 2</t>
        </is>
      </c>
      <c r="F4833" t="inlineStr">
        <is>
          <t>N/A</t>
        </is>
      </c>
      <c r="G4833" s="26">
        <v>1546391792</v>
      </c>
      <c r="H4833" s="26">
        <v>92783508</v>
      </c>
      <c r="I4833" s="26">
        <v>179470278</v>
      </c>
      <c r="J4833" s="26">
        <v>345</v>
      </c>
      <c r="K4833" t="inlineStr">
        <is>
          <t>Non</t>
        </is>
      </c>
      <c r="L4833">
        <f>SUBTOTAL(103,A4833)</f>
        <v>1</v>
      </c>
    </row>
    <row r="4834">
      <c r="A4834" t="inlineStr">
        <is>
          <t>SOCIETE C910</t>
        </is>
      </c>
      <c r="B4834" t="inlineStr">
        <is>
          <t>C910</t>
        </is>
      </c>
      <c r="C4834" t="inlineStr">
        <is>
          <t>CORPORATE BANKING</t>
        </is>
      </c>
      <c r="D4834" t="inlineStr">
        <is>
          <t>I</t>
        </is>
      </c>
      <c r="E4834" t="inlineStr">
        <is>
          <t>Stage 1</t>
        </is>
      </c>
      <c r="F4834" t="inlineStr">
        <is>
          <t>N/A</t>
        </is>
      </c>
      <c r="G4834" s="26">
        <v>1081873635</v>
      </c>
      <c r="H4834" s="26">
        <v>10818736</v>
      </c>
      <c r="I4834" s="26">
        <v>93350141</v>
      </c>
      <c r="J4834" s="26">
        <v>2</v>
      </c>
      <c r="K4834" t="inlineStr">
        <is>
          <t>Non</t>
        </is>
      </c>
      <c r="L4834">
        <f>SUBTOTAL(103,A4834)</f>
        <v>1</v>
      </c>
    </row>
    <row r="4835">
      <c r="A4835" t="inlineStr">
        <is>
          <t>SOCIETE C1107</t>
        </is>
      </c>
      <c r="B4835" t="inlineStr">
        <is>
          <t>C1107</t>
        </is>
      </c>
      <c r="C4835" t="inlineStr">
        <is>
          <t>CONSUMER BANKING</t>
        </is>
      </c>
      <c r="D4835" t="inlineStr">
        <is>
          <t>III</t>
        </is>
      </c>
      <c r="E4835" t="inlineStr">
        <is>
          <t>Stage 3</t>
        </is>
      </c>
      <c r="F4835" t="inlineStr">
        <is>
          <t>N/A</t>
        </is>
      </c>
      <c r="G4835" s="26">
        <v>1588290</v>
      </c>
      <c r="H4835" s="26">
        <v>873559</v>
      </c>
      <c r="I4835" s="26">
        <v>0</v>
      </c>
      <c r="J4835" s="26">
        <v>274</v>
      </c>
      <c r="K4835" t="inlineStr">
        <is>
          <t>Oui</t>
        </is>
      </c>
      <c r="L4835">
        <f>SUBTOTAL(103,A4835)</f>
        <v>1</v>
      </c>
    </row>
    <row r="4836">
      <c r="A4836" t="inlineStr">
        <is>
          <t>SOCIETE C1420</t>
        </is>
      </c>
      <c r="B4836" t="inlineStr">
        <is>
          <t>C1420</t>
        </is>
      </c>
      <c r="C4836" t="inlineStr">
        <is>
          <t>CORPORATE BANKING</t>
        </is>
      </c>
      <c r="D4836" t="inlineStr">
        <is>
          <t>III</t>
        </is>
      </c>
      <c r="E4836" t="inlineStr">
        <is>
          <t>Stage 3</t>
        </is>
      </c>
      <c r="F4836" t="inlineStr">
        <is>
          <t>N/A</t>
        </is>
      </c>
      <c r="G4836" s="26">
        <v>875897697</v>
      </c>
      <c r="H4836" s="26">
        <v>481743733</v>
      </c>
      <c r="I4836" s="26">
        <v>109918594</v>
      </c>
      <c r="J4836" s="26">
        <v>191</v>
      </c>
      <c r="K4836" t="inlineStr">
        <is>
          <t>Oui</t>
        </is>
      </c>
      <c r="L4836">
        <f>SUBTOTAL(103,A4836)</f>
        <v>1</v>
      </c>
    </row>
    <row r="4837">
      <c r="A4837" t="inlineStr">
        <is>
          <t>SOCIETE C1211</t>
        </is>
      </c>
      <c r="B4837" t="inlineStr">
        <is>
          <t>C1211</t>
        </is>
      </c>
      <c r="C4837" t="inlineStr">
        <is>
          <t>COMMERCIAL BANKING</t>
        </is>
      </c>
      <c r="D4837" t="inlineStr">
        <is>
          <t>II</t>
        </is>
      </c>
      <c r="E4837" t="inlineStr">
        <is>
          <t>Stage 2</t>
        </is>
      </c>
      <c r="F4837" t="inlineStr">
        <is>
          <t>N/A</t>
        </is>
      </c>
      <c r="G4837" s="26">
        <v>2308196543</v>
      </c>
      <c r="H4837" s="26">
        <v>138491793</v>
      </c>
      <c r="I4837" s="26">
        <v>0</v>
      </c>
      <c r="J4837" s="26">
        <v>72</v>
      </c>
      <c r="K4837" t="inlineStr">
        <is>
          <t>Non</t>
        </is>
      </c>
      <c r="L4837">
        <f>SUBTOTAL(103,A4837)</f>
        <v>1</v>
      </c>
    </row>
    <row r="4838">
      <c r="A4838" t="inlineStr">
        <is>
          <t>SOCIETE C2371</t>
        </is>
      </c>
      <c r="B4838" t="inlineStr">
        <is>
          <t>C2371</t>
        </is>
      </c>
      <c r="C4838" t="inlineStr">
        <is>
          <t>CORPORATE BANKING</t>
        </is>
      </c>
      <c r="D4838" t="inlineStr">
        <is>
          <t>I</t>
        </is>
      </c>
      <c r="E4838" t="inlineStr">
        <is>
          <t>Stage 1</t>
        </is>
      </c>
      <c r="F4838" t="inlineStr">
        <is>
          <t>N/A</t>
        </is>
      </c>
      <c r="G4838" s="26">
        <v>35127800</v>
      </c>
      <c r="H4838" s="26">
        <v>351278</v>
      </c>
      <c r="I4838" s="26">
        <v>0</v>
      </c>
      <c r="J4838" s="26">
        <v>89</v>
      </c>
      <c r="K4838" t="inlineStr">
        <is>
          <t>Non</t>
        </is>
      </c>
      <c r="L4838">
        <f>SUBTOTAL(103,A4838)</f>
        <v>1</v>
      </c>
    </row>
    <row r="4839">
      <c r="A4839" t="inlineStr">
        <is>
          <t>SOCIETE C1177</t>
        </is>
      </c>
      <c r="B4839" t="inlineStr">
        <is>
          <t>C1177</t>
        </is>
      </c>
      <c r="C4839" t="inlineStr">
        <is>
          <t>COMMERCIAL BANKING</t>
        </is>
      </c>
      <c r="D4839" t="inlineStr">
        <is>
          <t>I</t>
        </is>
      </c>
      <c r="E4839" t="inlineStr">
        <is>
          <t>Stage 1</t>
        </is>
      </c>
      <c r="F4839" t="inlineStr">
        <is>
          <t>N/A</t>
        </is>
      </c>
      <c r="G4839" s="26">
        <v>1760024</v>
      </c>
      <c r="H4839" s="26">
        <v>17600</v>
      </c>
      <c r="I4839" s="26">
        <v>0</v>
      </c>
      <c r="J4839" s="26">
        <v>53</v>
      </c>
      <c r="K4839" t="inlineStr">
        <is>
          <t>Non</t>
        </is>
      </c>
      <c r="L4839">
        <f>SUBTOTAL(103,A4839)</f>
        <v>1</v>
      </c>
    </row>
    <row r="4840">
      <c r="A4840" t="inlineStr">
        <is>
          <t>SOCIETE C1387</t>
        </is>
      </c>
      <c r="B4840" t="inlineStr">
        <is>
          <t>C1387</t>
        </is>
      </c>
      <c r="C4840" t="inlineStr">
        <is>
          <t>CORPORATE BANKING</t>
        </is>
      </c>
      <c r="D4840" t="inlineStr">
        <is>
          <t>I</t>
        </is>
      </c>
      <c r="E4840" t="inlineStr">
        <is>
          <t>Stage 1</t>
        </is>
      </c>
      <c r="F4840" t="inlineStr">
        <is>
          <t>N/A</t>
        </is>
      </c>
      <c r="G4840" s="26">
        <v>117504699</v>
      </c>
      <c r="H4840" s="26">
        <v>1175047</v>
      </c>
      <c r="I4840" s="26">
        <v>0</v>
      </c>
      <c r="J4840" s="26">
        <v>8</v>
      </c>
      <c r="K4840" t="inlineStr">
        <is>
          <t>Non</t>
        </is>
      </c>
      <c r="L4840">
        <f>SUBTOTAL(103,A4840)</f>
        <v>1</v>
      </c>
    </row>
    <row r="4841">
      <c r="A4841" t="inlineStr">
        <is>
          <t>SOCIETE C852</t>
        </is>
      </c>
      <c r="B4841" t="inlineStr">
        <is>
          <t>C852</t>
        </is>
      </c>
      <c r="C4841" t="inlineStr">
        <is>
          <t>CORPORATE BANKING</t>
        </is>
      </c>
      <c r="D4841" t="inlineStr">
        <is>
          <t>I</t>
        </is>
      </c>
      <c r="E4841" t="inlineStr">
        <is>
          <t>Stage 1</t>
        </is>
      </c>
      <c r="F4841" t="inlineStr">
        <is>
          <t>N/A</t>
        </is>
      </c>
      <c r="G4841" s="26">
        <v>1119718</v>
      </c>
      <c r="H4841" s="26">
        <v>11197</v>
      </c>
      <c r="I4841" s="26">
        <v>0</v>
      </c>
      <c r="J4841" s="26">
        <v>17</v>
      </c>
      <c r="K4841" t="inlineStr">
        <is>
          <t>Non</t>
        </is>
      </c>
      <c r="L4841">
        <f>SUBTOTAL(103,A4841)</f>
        <v>1</v>
      </c>
    </row>
    <row r="4842">
      <c r="A4842" t="inlineStr">
        <is>
          <t>SOCIETE C2420</t>
        </is>
      </c>
      <c r="B4842" t="inlineStr">
        <is>
          <t>C2420</t>
        </is>
      </c>
      <c r="C4842" t="inlineStr">
        <is>
          <t>COMMERCIAL BANKING</t>
        </is>
      </c>
      <c r="D4842" t="inlineStr">
        <is>
          <t>I</t>
        </is>
      </c>
      <c r="E4842" t="inlineStr">
        <is>
          <t>Stage 1</t>
        </is>
      </c>
      <c r="F4842" t="inlineStr">
        <is>
          <t>N/A</t>
        </is>
      </c>
      <c r="G4842" s="26">
        <v>97058219</v>
      </c>
      <c r="H4842" s="26">
        <v>970582</v>
      </c>
      <c r="I4842" s="26">
        <v>0</v>
      </c>
      <c r="J4842" s="26">
        <v>293</v>
      </c>
      <c r="K4842" t="inlineStr">
        <is>
          <t>Non</t>
        </is>
      </c>
      <c r="L4842">
        <f>SUBTOTAL(103,A4842)</f>
        <v>1</v>
      </c>
    </row>
    <row r="4843">
      <c r="A4843" t="inlineStr">
        <is>
          <t>SOCIETE C2088</t>
        </is>
      </c>
      <c r="B4843" t="inlineStr">
        <is>
          <t>C2088</t>
        </is>
      </c>
      <c r="C4843" t="inlineStr">
        <is>
          <t>CORPORATE BANKING</t>
        </is>
      </c>
      <c r="D4843" t="inlineStr">
        <is>
          <t>I</t>
        </is>
      </c>
      <c r="E4843" t="inlineStr">
        <is>
          <t>Stage 1</t>
        </is>
      </c>
      <c r="F4843" t="inlineStr">
        <is>
          <t>N/A</t>
        </is>
      </c>
      <c r="G4843" s="26">
        <v>2259259640</v>
      </c>
      <c r="H4843" s="26">
        <v>22592596</v>
      </c>
      <c r="I4843" s="26">
        <v>0</v>
      </c>
      <c r="J4843" s="26">
        <v>159</v>
      </c>
      <c r="K4843" t="inlineStr">
        <is>
          <t>Non</t>
        </is>
      </c>
      <c r="L4843">
        <f>SUBTOTAL(103,A4843)</f>
        <v>1</v>
      </c>
    </row>
    <row r="4844">
      <c r="A4844" t="inlineStr">
        <is>
          <t>SOCIETE C1182</t>
        </is>
      </c>
      <c r="B4844" t="inlineStr">
        <is>
          <t>C1182</t>
        </is>
      </c>
      <c r="C4844" t="inlineStr">
        <is>
          <t>CORPORATE BANKING</t>
        </is>
      </c>
      <c r="D4844" t="inlineStr">
        <is>
          <t>I</t>
        </is>
      </c>
      <c r="E4844" t="inlineStr">
        <is>
          <t>Stage 1</t>
        </is>
      </c>
      <c r="F4844" t="inlineStr">
        <is>
          <t>N/A</t>
        </is>
      </c>
      <c r="G4844" s="26">
        <v>967691202</v>
      </c>
      <c r="H4844" s="26">
        <v>9676912</v>
      </c>
      <c r="I4844" s="26">
        <v>0</v>
      </c>
      <c r="J4844" s="26">
        <v>69</v>
      </c>
      <c r="K4844" t="inlineStr">
        <is>
          <t>Non</t>
        </is>
      </c>
      <c r="L4844">
        <f>SUBTOTAL(103,A4844)</f>
        <v>1</v>
      </c>
    </row>
    <row r="4845">
      <c r="A4845" t="inlineStr">
        <is>
          <t>SOCIETE C1136</t>
        </is>
      </c>
      <c r="B4845" t="inlineStr">
        <is>
          <t>C1136</t>
        </is>
      </c>
      <c r="C4845" t="inlineStr">
        <is>
          <t>CONSUMER BANKING</t>
        </is>
      </c>
      <c r="D4845" t="inlineStr">
        <is>
          <t>I</t>
        </is>
      </c>
      <c r="E4845" t="inlineStr">
        <is>
          <t>Stage 1</t>
        </is>
      </c>
      <c r="F4845" t="inlineStr">
        <is>
          <t>N/A</t>
        </is>
      </c>
      <c r="G4845" s="26">
        <v>1541753022</v>
      </c>
      <c r="H4845" s="26">
        <v>15417530</v>
      </c>
      <c r="I4845" s="26">
        <v>0</v>
      </c>
      <c r="J4845" s="26">
        <v>245</v>
      </c>
      <c r="K4845" t="inlineStr">
        <is>
          <t>Non</t>
        </is>
      </c>
      <c r="L4845">
        <f>SUBTOTAL(103,A4845)</f>
        <v>1</v>
      </c>
    </row>
    <row r="4846">
      <c r="A4846" t="inlineStr">
        <is>
          <t>SOCIETE C1370</t>
        </is>
      </c>
      <c r="B4846" t="inlineStr">
        <is>
          <t>C1370</t>
        </is>
      </c>
      <c r="C4846" t="inlineStr">
        <is>
          <t>CORPORATE BANKING</t>
        </is>
      </c>
      <c r="D4846" t="inlineStr">
        <is>
          <t>I</t>
        </is>
      </c>
      <c r="E4846" t="inlineStr">
        <is>
          <t>Stage 1</t>
        </is>
      </c>
      <c r="F4846" t="inlineStr">
        <is>
          <t>N/A</t>
        </is>
      </c>
      <c r="G4846" s="26">
        <v>140138806</v>
      </c>
      <c r="H4846" s="26">
        <v>1401388</v>
      </c>
      <c r="I4846" s="26">
        <v>0</v>
      </c>
      <c r="J4846" s="26">
        <v>57</v>
      </c>
      <c r="K4846" t="inlineStr">
        <is>
          <t>Non</t>
        </is>
      </c>
      <c r="L4846">
        <f>SUBTOTAL(103,A4846)</f>
        <v>1</v>
      </c>
    </row>
    <row r="4847">
      <c r="A4847" t="inlineStr">
        <is>
          <t>SOCIETE C1606</t>
        </is>
      </c>
      <c r="B4847" t="inlineStr">
        <is>
          <t>C1606</t>
        </is>
      </c>
      <c r="C4847" t="inlineStr">
        <is>
          <t>CORPORATE BANKING</t>
        </is>
      </c>
      <c r="D4847" t="inlineStr">
        <is>
          <t>I</t>
        </is>
      </c>
      <c r="E4847" t="inlineStr">
        <is>
          <t>Stage 1</t>
        </is>
      </c>
      <c r="F4847" t="inlineStr">
        <is>
          <t>N/A</t>
        </is>
      </c>
      <c r="G4847" s="26">
        <v>1452918673</v>
      </c>
      <c r="H4847" s="26">
        <v>14529187</v>
      </c>
      <c r="I4847" s="26">
        <v>0</v>
      </c>
      <c r="J4847" s="26">
        <v>40</v>
      </c>
      <c r="K4847" t="inlineStr">
        <is>
          <t>Non</t>
        </is>
      </c>
      <c r="L4847">
        <f>SUBTOTAL(103,A4847)</f>
        <v>1</v>
      </c>
    </row>
    <row r="4848">
      <c r="A4848" t="inlineStr">
        <is>
          <t>SOCIETE C882</t>
        </is>
      </c>
      <c r="B4848" t="inlineStr">
        <is>
          <t>C882</t>
        </is>
      </c>
      <c r="C4848" t="inlineStr">
        <is>
          <t>COMMERCIAL BANKING</t>
        </is>
      </c>
      <c r="D4848" t="inlineStr">
        <is>
          <t>IA</t>
        </is>
      </c>
      <c r="E4848" t="inlineStr">
        <is>
          <t>Stage 2</t>
        </is>
      </c>
      <c r="F4848" t="inlineStr">
        <is>
          <t>N/A</t>
        </is>
      </c>
      <c r="G4848" s="26">
        <v>551438667</v>
      </c>
      <c r="H4848" s="26">
        <v>33086320</v>
      </c>
      <c r="I4848" s="26">
        <v>0</v>
      </c>
      <c r="J4848" s="26">
        <v>184</v>
      </c>
      <c r="K4848" t="inlineStr">
        <is>
          <t>Non</t>
        </is>
      </c>
      <c r="L4848">
        <f>SUBTOTAL(103,A4848)</f>
        <v>1</v>
      </c>
    </row>
    <row r="4849">
      <c r="A4849" t="inlineStr">
        <is>
          <t>SOCIETE C2169</t>
        </is>
      </c>
      <c r="B4849" t="inlineStr">
        <is>
          <t>C2169</t>
        </is>
      </c>
      <c r="C4849" t="inlineStr">
        <is>
          <t>CONSUMER BANKING</t>
        </is>
      </c>
      <c r="D4849" t="inlineStr">
        <is>
          <t>I</t>
        </is>
      </c>
      <c r="E4849" t="inlineStr">
        <is>
          <t>Stage 1</t>
        </is>
      </c>
      <c r="F4849" t="inlineStr">
        <is>
          <t>N/A</t>
        </is>
      </c>
      <c r="G4849" s="26">
        <v>2498096826</v>
      </c>
      <c r="H4849" s="26">
        <v>24980968</v>
      </c>
      <c r="I4849" s="26">
        <v>0</v>
      </c>
      <c r="J4849" s="26">
        <v>3</v>
      </c>
      <c r="K4849" t="inlineStr">
        <is>
          <t>Non</t>
        </is>
      </c>
      <c r="L4849">
        <f>SUBTOTAL(103,A4849)</f>
        <v>1</v>
      </c>
    </row>
    <row r="4850">
      <c r="A4850" t="inlineStr">
        <is>
          <t>SOCIETE C863</t>
        </is>
      </c>
      <c r="B4850" t="inlineStr">
        <is>
          <t>C863</t>
        </is>
      </c>
      <c r="C4850" t="inlineStr">
        <is>
          <t>SME</t>
        </is>
      </c>
      <c r="D4850" t="inlineStr">
        <is>
          <t>III</t>
        </is>
      </c>
      <c r="E4850" t="inlineStr">
        <is>
          <t>Stage 3</t>
        </is>
      </c>
      <c r="F4850" t="inlineStr">
        <is>
          <t>N/A</t>
        </is>
      </c>
      <c r="G4850" s="26">
        <v>225197072</v>
      </c>
      <c r="H4850" s="26">
        <v>123858390</v>
      </c>
      <c r="I4850" s="26">
        <v>44462613</v>
      </c>
      <c r="J4850" s="26">
        <v>115</v>
      </c>
      <c r="K4850" t="inlineStr">
        <is>
          <t>Oui</t>
        </is>
      </c>
      <c r="L4850">
        <f>SUBTOTAL(103,A4850)</f>
        <v>1</v>
      </c>
    </row>
    <row r="4851">
      <c r="A4851" t="inlineStr">
        <is>
          <t>SOCIETE C842</t>
        </is>
      </c>
      <c r="B4851" t="inlineStr">
        <is>
          <t>C842</t>
        </is>
      </c>
      <c r="C4851" t="inlineStr">
        <is>
          <t>CORPORATE BANKING</t>
        </is>
      </c>
      <c r="D4851" t="inlineStr">
        <is>
          <t>I</t>
        </is>
      </c>
      <c r="E4851" t="inlineStr">
        <is>
          <t>Stage 1</t>
        </is>
      </c>
      <c r="F4851" t="inlineStr">
        <is>
          <t>N/A</t>
        </is>
      </c>
      <c r="G4851" s="26">
        <v>917703192</v>
      </c>
      <c r="H4851" s="26">
        <v>9177032</v>
      </c>
      <c r="I4851" s="26">
        <v>0</v>
      </c>
      <c r="J4851" s="26">
        <v>48</v>
      </c>
      <c r="K4851" t="inlineStr">
        <is>
          <t>Non</t>
        </is>
      </c>
      <c r="L4851">
        <f>SUBTOTAL(103,A4851)</f>
        <v>1</v>
      </c>
    </row>
    <row r="4852">
      <c r="A4852" t="inlineStr">
        <is>
          <t>SOCIETE C618</t>
        </is>
      </c>
      <c r="B4852" t="inlineStr">
        <is>
          <t>C618</t>
        </is>
      </c>
      <c r="C4852" t="inlineStr">
        <is>
          <t>COMMERCIAL BANKING</t>
        </is>
      </c>
      <c r="D4852" t="inlineStr">
        <is>
          <t>I</t>
        </is>
      </c>
      <c r="E4852" t="inlineStr">
        <is>
          <t>Stage 1</t>
        </is>
      </c>
      <c r="F4852" t="inlineStr">
        <is>
          <t>N/A</t>
        </is>
      </c>
      <c r="G4852" s="26">
        <v>1699075</v>
      </c>
      <c r="H4852" s="26">
        <v>16991</v>
      </c>
      <c r="I4852" s="26">
        <v>192258</v>
      </c>
      <c r="J4852" s="26">
        <v>4</v>
      </c>
      <c r="K4852" t="inlineStr">
        <is>
          <t>Non</t>
        </is>
      </c>
      <c r="L4852">
        <f>SUBTOTAL(103,A4852)</f>
        <v>1</v>
      </c>
    </row>
    <row r="4853">
      <c r="A4853" t="inlineStr">
        <is>
          <t>SOCIETE C796</t>
        </is>
      </c>
      <c r="B4853" t="inlineStr">
        <is>
          <t>C796</t>
        </is>
      </c>
      <c r="C4853" t="inlineStr">
        <is>
          <t>SME</t>
        </is>
      </c>
      <c r="D4853" t="inlineStr">
        <is>
          <t>IV</t>
        </is>
      </c>
      <c r="E4853" t="inlineStr">
        <is>
          <t>Stage 3</t>
        </is>
      </c>
      <c r="F4853" t="inlineStr">
        <is>
          <t>N/A</t>
        </is>
      </c>
      <c r="G4853" s="26">
        <v>2497836474</v>
      </c>
      <c r="H4853" s="26">
        <v>1373810061</v>
      </c>
      <c r="I4853" s="26">
        <v>0</v>
      </c>
      <c r="J4853" s="26">
        <v>98</v>
      </c>
      <c r="K4853" t="inlineStr">
        <is>
          <t>Oui</t>
        </is>
      </c>
      <c r="L4853">
        <f>SUBTOTAL(103,A4853)</f>
        <v>1</v>
      </c>
    </row>
    <row r="4854">
      <c r="A4854" t="inlineStr">
        <is>
          <t>SOCIETE C758</t>
        </is>
      </c>
      <c r="B4854" t="inlineStr">
        <is>
          <t>C758</t>
        </is>
      </c>
      <c r="C4854" t="inlineStr">
        <is>
          <t>CORPORATE BANKING</t>
        </is>
      </c>
      <c r="D4854" t="inlineStr">
        <is>
          <t>III</t>
        </is>
      </c>
      <c r="E4854" t="inlineStr">
        <is>
          <t>Stage 3</t>
        </is>
      </c>
      <c r="F4854" t="inlineStr">
        <is>
          <t>N/A</t>
        </is>
      </c>
      <c r="G4854" s="26">
        <v>974459761</v>
      </c>
      <c r="H4854" s="26">
        <v>535952869</v>
      </c>
      <c r="I4854" s="26">
        <v>111512021</v>
      </c>
      <c r="J4854" s="26">
        <v>196</v>
      </c>
      <c r="K4854" t="inlineStr">
        <is>
          <t>Oui</t>
        </is>
      </c>
      <c r="L4854">
        <f>SUBTOTAL(103,A4854)</f>
        <v>1</v>
      </c>
    </row>
    <row r="4855">
      <c r="A4855" t="inlineStr">
        <is>
          <t>SOCIETE C2157</t>
        </is>
      </c>
      <c r="B4855" t="inlineStr">
        <is>
          <t>C2157</t>
        </is>
      </c>
      <c r="C4855" t="inlineStr">
        <is>
          <t>COMMERCIAL BANKING</t>
        </is>
      </c>
      <c r="D4855" t="inlineStr">
        <is>
          <t>I</t>
        </is>
      </c>
      <c r="E4855" t="inlineStr">
        <is>
          <t>Stage 1</t>
        </is>
      </c>
      <c r="F4855" t="inlineStr">
        <is>
          <t>N/A</t>
        </is>
      </c>
      <c r="G4855" s="26">
        <v>707684410</v>
      </c>
      <c r="H4855" s="26">
        <v>7076844</v>
      </c>
      <c r="I4855" s="26">
        <v>100106719</v>
      </c>
      <c r="J4855" s="26">
        <v>2</v>
      </c>
      <c r="K4855" t="inlineStr">
        <is>
          <t>Non</t>
        </is>
      </c>
      <c r="L4855">
        <f>SUBTOTAL(103,A4855)</f>
        <v>1</v>
      </c>
    </row>
    <row r="4856">
      <c r="A4856" t="inlineStr">
        <is>
          <t>SOCIETE C376</t>
        </is>
      </c>
      <c r="B4856" t="inlineStr">
        <is>
          <t>C376</t>
        </is>
      </c>
      <c r="C4856" t="inlineStr">
        <is>
          <t>CONSUMER BANKING</t>
        </is>
      </c>
      <c r="D4856" t="inlineStr">
        <is>
          <t>I</t>
        </is>
      </c>
      <c r="E4856" t="inlineStr">
        <is>
          <t>Stage 1</t>
        </is>
      </c>
      <c r="F4856" t="inlineStr">
        <is>
          <t>N/A</t>
        </is>
      </c>
      <c r="G4856" s="26">
        <v>756838676</v>
      </c>
      <c r="H4856" s="26">
        <v>7568387</v>
      </c>
      <c r="I4856" s="26">
        <v>0</v>
      </c>
      <c r="J4856" s="26">
        <v>30</v>
      </c>
      <c r="K4856" t="inlineStr">
        <is>
          <t>Non</t>
        </is>
      </c>
      <c r="L4856">
        <f>SUBTOTAL(103,A4856)</f>
        <v>1</v>
      </c>
    </row>
    <row r="4857">
      <c r="A4857" t="inlineStr">
        <is>
          <t>SOCIETE C2151</t>
        </is>
      </c>
      <c r="B4857" t="inlineStr">
        <is>
          <t>C2151</t>
        </is>
      </c>
      <c r="C4857" t="inlineStr">
        <is>
          <t>COMMERCIAL BANKING</t>
        </is>
      </c>
      <c r="D4857" t="inlineStr">
        <is>
          <t>I</t>
        </is>
      </c>
      <c r="E4857" t="inlineStr">
        <is>
          <t>Stage 1</t>
        </is>
      </c>
      <c r="F4857" t="inlineStr">
        <is>
          <t>N/A</t>
        </is>
      </c>
      <c r="G4857" s="26">
        <v>516832310</v>
      </c>
      <c r="H4857" s="26">
        <v>5168323</v>
      </c>
      <c r="I4857" s="26">
        <v>58704985</v>
      </c>
      <c r="J4857" s="26">
        <v>43</v>
      </c>
      <c r="K4857" t="inlineStr">
        <is>
          <t>Non</t>
        </is>
      </c>
      <c r="L4857">
        <f>SUBTOTAL(103,A4857)</f>
        <v>1</v>
      </c>
    </row>
    <row r="4858">
      <c r="A4858" t="inlineStr">
        <is>
          <t>SOCIETE C1780</t>
        </is>
      </c>
      <c r="B4858" t="inlineStr">
        <is>
          <t>C1780</t>
        </is>
      </c>
      <c r="C4858" t="inlineStr">
        <is>
          <t>SME</t>
        </is>
      </c>
      <c r="D4858" t="inlineStr">
        <is>
          <t>V</t>
        </is>
      </c>
      <c r="E4858" t="inlineStr">
        <is>
          <t>Stage 3</t>
        </is>
      </c>
      <c r="F4858" t="inlineStr">
        <is>
          <t>N/A</t>
        </is>
      </c>
      <c r="G4858" s="26">
        <v>191880822</v>
      </c>
      <c r="H4858" s="26">
        <v>105534452</v>
      </c>
      <c r="I4858" s="26">
        <v>0</v>
      </c>
      <c r="J4858" s="26">
        <v>68</v>
      </c>
      <c r="K4858" t="inlineStr">
        <is>
          <t>Oui</t>
        </is>
      </c>
      <c r="L4858">
        <f>SUBTOTAL(103,A4858)</f>
        <v>1</v>
      </c>
    </row>
    <row r="4859">
      <c r="A4859" t="inlineStr">
        <is>
          <t>SOCIETE C1778</t>
        </is>
      </c>
      <c r="B4859" t="inlineStr">
        <is>
          <t>C1778</t>
        </is>
      </c>
      <c r="C4859" t="inlineStr">
        <is>
          <t>CORPORATE BANKING</t>
        </is>
      </c>
      <c r="D4859" t="inlineStr">
        <is>
          <t>I</t>
        </is>
      </c>
      <c r="E4859" t="inlineStr">
        <is>
          <t>Stage 1</t>
        </is>
      </c>
      <c r="F4859" t="inlineStr">
        <is>
          <t>N/A</t>
        </is>
      </c>
      <c r="G4859" s="26">
        <v>722253984</v>
      </c>
      <c r="H4859" s="26">
        <v>7222540</v>
      </c>
      <c r="I4859" s="26">
        <v>0</v>
      </c>
      <c r="J4859" s="26">
        <v>18</v>
      </c>
      <c r="K4859" t="inlineStr">
        <is>
          <t>Non</t>
        </is>
      </c>
      <c r="L4859">
        <f>SUBTOTAL(103,A4859)</f>
        <v>1</v>
      </c>
    </row>
    <row r="4860">
      <c r="A4860" t="inlineStr">
        <is>
          <t>SOCIETE C1293</t>
        </is>
      </c>
      <c r="B4860" t="inlineStr">
        <is>
          <t>C1293</t>
        </is>
      </c>
      <c r="C4860" t="inlineStr">
        <is>
          <t>SME</t>
        </is>
      </c>
      <c r="D4860" t="inlineStr">
        <is>
          <t>I</t>
        </is>
      </c>
      <c r="E4860" t="inlineStr">
        <is>
          <t>Stage 1</t>
        </is>
      </c>
      <c r="F4860" t="inlineStr">
        <is>
          <t>N/A</t>
        </is>
      </c>
      <c r="G4860" s="26">
        <v>166301839</v>
      </c>
      <c r="H4860" s="26">
        <v>1663018</v>
      </c>
      <c r="I4860" s="26">
        <v>13663799</v>
      </c>
      <c r="J4860" s="26">
        <v>43</v>
      </c>
      <c r="K4860" t="inlineStr">
        <is>
          <t>Non</t>
        </is>
      </c>
      <c r="L4860">
        <f>SUBTOTAL(103,A4860)</f>
        <v>1</v>
      </c>
    </row>
    <row r="4861">
      <c r="A4861" t="inlineStr">
        <is>
          <t>SOCIETE C2497</t>
        </is>
      </c>
      <c r="B4861" t="inlineStr">
        <is>
          <t>C2497</t>
        </is>
      </c>
      <c r="C4861" t="inlineStr">
        <is>
          <t>CORPORATE BANKING</t>
        </is>
      </c>
      <c r="D4861" t="inlineStr">
        <is>
          <t>IA</t>
        </is>
      </c>
      <c r="E4861" t="inlineStr">
        <is>
          <t>Stage 2</t>
        </is>
      </c>
      <c r="F4861" t="inlineStr">
        <is>
          <t>N/A</t>
        </is>
      </c>
      <c r="G4861" s="26">
        <v>25509042</v>
      </c>
      <c r="H4861" s="26">
        <v>1530543</v>
      </c>
      <c r="I4861" s="26">
        <v>0</v>
      </c>
      <c r="J4861" s="26">
        <v>5</v>
      </c>
      <c r="K4861" t="inlineStr">
        <is>
          <t>Non</t>
        </is>
      </c>
      <c r="L4861">
        <f>SUBTOTAL(103,A4861)</f>
        <v>1</v>
      </c>
    </row>
    <row r="4862">
      <c r="A4862" t="inlineStr">
        <is>
          <t>SOCIETE C76</t>
        </is>
      </c>
      <c r="B4862" t="inlineStr">
        <is>
          <t>C76</t>
        </is>
      </c>
      <c r="C4862" t="inlineStr">
        <is>
          <t>CONSUMER BANKING</t>
        </is>
      </c>
      <c r="D4862" t="inlineStr">
        <is>
          <t>I</t>
        </is>
      </c>
      <c r="E4862" t="inlineStr">
        <is>
          <t>Stage 1</t>
        </is>
      </c>
      <c r="F4862" t="inlineStr">
        <is>
          <t>N/A</t>
        </is>
      </c>
      <c r="G4862" s="26">
        <v>274904593</v>
      </c>
      <c r="H4862" s="26">
        <v>2749046</v>
      </c>
      <c r="I4862" s="26">
        <v>50653003</v>
      </c>
      <c r="J4862" s="26">
        <v>0</v>
      </c>
      <c r="K4862" t="inlineStr">
        <is>
          <t>Non</t>
        </is>
      </c>
      <c r="L4862">
        <f>SUBTOTAL(103,A4862)</f>
        <v>1</v>
      </c>
    </row>
    <row r="4863">
      <c r="A4863" t="inlineStr">
        <is>
          <t>SOCIETE C1754</t>
        </is>
      </c>
      <c r="B4863" t="inlineStr">
        <is>
          <t>C1754</t>
        </is>
      </c>
      <c r="C4863" t="inlineStr">
        <is>
          <t>PUBLIC SECTOR</t>
        </is>
      </c>
      <c r="D4863" t="inlineStr">
        <is>
          <t>II</t>
        </is>
      </c>
      <c r="E4863" t="inlineStr">
        <is>
          <t>Stage 2</t>
        </is>
      </c>
      <c r="F4863" t="inlineStr">
        <is>
          <t>N/A</t>
        </is>
      </c>
      <c r="G4863" s="26">
        <v>10822650</v>
      </c>
      <c r="H4863" s="26">
        <v>649359</v>
      </c>
      <c r="I4863" s="26">
        <v>0</v>
      </c>
      <c r="J4863" s="26">
        <v>79</v>
      </c>
      <c r="K4863" t="inlineStr">
        <is>
          <t>Non</t>
        </is>
      </c>
      <c r="L4863">
        <f>SUBTOTAL(103,A4863)</f>
        <v>1</v>
      </c>
    </row>
    <row r="4864">
      <c r="A4864" t="inlineStr">
        <is>
          <t>SOCIETE C2094</t>
        </is>
      </c>
      <c r="B4864" t="inlineStr">
        <is>
          <t>C2094</t>
        </is>
      </c>
      <c r="C4864" t="inlineStr">
        <is>
          <t>INSTITUTIONAL</t>
        </is>
      </c>
      <c r="D4864" t="inlineStr">
        <is>
          <t>I</t>
        </is>
      </c>
      <c r="E4864" t="inlineStr">
        <is>
          <t>Stage 1</t>
        </is>
      </c>
      <c r="F4864" t="inlineStr">
        <is>
          <t>N/A</t>
        </is>
      </c>
      <c r="G4864" s="26">
        <v>50815643</v>
      </c>
      <c r="H4864" s="26">
        <v>508156</v>
      </c>
      <c r="I4864" s="26">
        <v>0</v>
      </c>
      <c r="J4864" s="26">
        <v>11</v>
      </c>
      <c r="K4864" t="inlineStr">
        <is>
          <t>Non</t>
        </is>
      </c>
      <c r="L4864">
        <f>SUBTOTAL(103,A4864)</f>
        <v>1</v>
      </c>
    </row>
    <row r="4865">
      <c r="A4865" t="inlineStr">
        <is>
          <t>SOCIETE C642</t>
        </is>
      </c>
      <c r="B4865" t="inlineStr">
        <is>
          <t>C642</t>
        </is>
      </c>
      <c r="C4865" t="inlineStr">
        <is>
          <t>COMMERCIAL BANKING</t>
        </is>
      </c>
      <c r="D4865" t="inlineStr">
        <is>
          <t>IV</t>
        </is>
      </c>
      <c r="E4865" t="inlineStr">
        <is>
          <t>Stage 3</t>
        </is>
      </c>
      <c r="F4865" t="inlineStr">
        <is>
          <t>N/A</t>
        </is>
      </c>
      <c r="G4865" s="26">
        <v>490214093</v>
      </c>
      <c r="H4865" s="26">
        <v>269617751</v>
      </c>
      <c r="I4865" s="26">
        <v>32400458</v>
      </c>
      <c r="J4865" s="26">
        <v>10</v>
      </c>
      <c r="K4865" t="inlineStr">
        <is>
          <t>Oui</t>
        </is>
      </c>
      <c r="L4865">
        <f>SUBTOTAL(103,A4865)</f>
        <v>1</v>
      </c>
    </row>
    <row r="4866">
      <c r="A4866" t="inlineStr">
        <is>
          <t>SOCIETE C477</t>
        </is>
      </c>
      <c r="B4866" t="inlineStr">
        <is>
          <t>C477</t>
        </is>
      </c>
      <c r="C4866" t="inlineStr">
        <is>
          <t>CORPORATE BANKING</t>
        </is>
      </c>
      <c r="D4866" t="inlineStr">
        <is>
          <t>IV</t>
        </is>
      </c>
      <c r="E4866" t="inlineStr">
        <is>
          <t>Stage 3</t>
        </is>
      </c>
      <c r="F4866" t="inlineStr">
        <is>
          <t>N/A</t>
        </is>
      </c>
      <c r="G4866" s="26">
        <v>46596304</v>
      </c>
      <c r="H4866" s="26">
        <v>25627967</v>
      </c>
      <c r="I4866" s="26">
        <v>763578</v>
      </c>
      <c r="J4866" s="26">
        <v>35</v>
      </c>
      <c r="K4866" t="inlineStr">
        <is>
          <t>Oui</t>
        </is>
      </c>
      <c r="L4866">
        <f>SUBTOTAL(103,A4866)</f>
        <v>1</v>
      </c>
    </row>
    <row r="4867">
      <c r="A4867" t="inlineStr">
        <is>
          <t>SOCIETE C932</t>
        </is>
      </c>
      <c r="B4867" t="inlineStr">
        <is>
          <t>C932</t>
        </is>
      </c>
      <c r="C4867" t="inlineStr">
        <is>
          <t>CORPORATE BANKING</t>
        </is>
      </c>
      <c r="D4867" t="inlineStr">
        <is>
          <t>I</t>
        </is>
      </c>
      <c r="E4867" t="inlineStr">
        <is>
          <t>Stage 1</t>
        </is>
      </c>
      <c r="F4867" t="inlineStr">
        <is>
          <t>N/A</t>
        </is>
      </c>
      <c r="G4867" s="26">
        <v>518574925</v>
      </c>
      <c r="H4867" s="26">
        <v>5185749</v>
      </c>
      <c r="I4867" s="26">
        <v>0</v>
      </c>
      <c r="J4867" s="26">
        <v>21</v>
      </c>
      <c r="K4867" t="inlineStr">
        <is>
          <t>Non</t>
        </is>
      </c>
      <c r="L4867">
        <f>SUBTOTAL(103,A4867)</f>
        <v>1</v>
      </c>
    </row>
    <row r="4868">
      <c r="A4868" t="inlineStr">
        <is>
          <t>SOCIETE C1820</t>
        </is>
      </c>
      <c r="B4868" t="inlineStr">
        <is>
          <t>C1820</t>
        </is>
      </c>
      <c r="C4868" t="inlineStr">
        <is>
          <t>SME</t>
        </is>
      </c>
      <c r="D4868" t="inlineStr">
        <is>
          <t>I</t>
        </is>
      </c>
      <c r="E4868" t="inlineStr">
        <is>
          <t>Stage 1</t>
        </is>
      </c>
      <c r="F4868" t="inlineStr">
        <is>
          <t>N/A</t>
        </is>
      </c>
      <c r="G4868" s="26">
        <v>203814912</v>
      </c>
      <c r="H4868" s="26">
        <v>2038149</v>
      </c>
      <c r="I4868" s="26">
        <v>0</v>
      </c>
      <c r="J4868" s="26">
        <v>171</v>
      </c>
      <c r="K4868" t="inlineStr">
        <is>
          <t>Non</t>
        </is>
      </c>
      <c r="L4868">
        <f>SUBTOTAL(103,A4868)</f>
        <v>1</v>
      </c>
    </row>
    <row r="4869">
      <c r="A4869" t="inlineStr">
        <is>
          <t>SOCIETE C2075</t>
        </is>
      </c>
      <c r="B4869" t="inlineStr">
        <is>
          <t>C2075</t>
        </is>
      </c>
      <c r="C4869" t="inlineStr">
        <is>
          <t>COMMERCIAL BANKING</t>
        </is>
      </c>
      <c r="D4869" t="inlineStr">
        <is>
          <t>IV</t>
        </is>
      </c>
      <c r="E4869" t="inlineStr">
        <is>
          <t>Stage 3</t>
        </is>
      </c>
      <c r="F4869" t="inlineStr">
        <is>
          <t>N/A</t>
        </is>
      </c>
      <c r="G4869" s="26">
        <v>17137321</v>
      </c>
      <c r="H4869" s="26">
        <v>9425527</v>
      </c>
      <c r="I4869" s="26">
        <v>3390140</v>
      </c>
      <c r="J4869" s="26">
        <v>187</v>
      </c>
      <c r="K4869" t="inlineStr">
        <is>
          <t>Oui</t>
        </is>
      </c>
      <c r="L4869">
        <f>SUBTOTAL(103,A4869)</f>
        <v>1</v>
      </c>
    </row>
    <row r="4870">
      <c r="A4870" t="inlineStr">
        <is>
          <t>SOCIETE C2214</t>
        </is>
      </c>
      <c r="B4870" t="inlineStr">
        <is>
          <t>C2214</t>
        </is>
      </c>
      <c r="C4870" t="inlineStr">
        <is>
          <t>SME</t>
        </is>
      </c>
      <c r="D4870" t="inlineStr">
        <is>
          <t>I</t>
        </is>
      </c>
      <c r="E4870" t="inlineStr">
        <is>
          <t>Stage 1</t>
        </is>
      </c>
      <c r="F4870" t="inlineStr">
        <is>
          <t>N/A</t>
        </is>
      </c>
      <c r="G4870" s="26">
        <v>2813290146</v>
      </c>
      <c r="H4870" s="26">
        <v>28132901</v>
      </c>
      <c r="I4870" s="26">
        <v>0</v>
      </c>
      <c r="J4870" s="26">
        <v>1</v>
      </c>
      <c r="K4870" t="inlineStr">
        <is>
          <t>Non</t>
        </is>
      </c>
      <c r="L4870">
        <f>SUBTOTAL(103,A4870)</f>
        <v>1</v>
      </c>
    </row>
    <row r="4871">
      <c r="A4871" t="inlineStr">
        <is>
          <t>SOCIETE C13</t>
        </is>
      </c>
      <c r="B4871" t="inlineStr">
        <is>
          <t>C13</t>
        </is>
      </c>
      <c r="C4871" t="inlineStr">
        <is>
          <t>COMMERCIAL BANKING</t>
        </is>
      </c>
      <c r="D4871" t="inlineStr">
        <is>
          <t>IA</t>
        </is>
      </c>
      <c r="E4871" t="inlineStr">
        <is>
          <t>Stage 2</t>
        </is>
      </c>
      <c r="F4871" t="inlineStr">
        <is>
          <t>N/A</t>
        </is>
      </c>
      <c r="G4871" s="26">
        <v>2759331374</v>
      </c>
      <c r="H4871" s="26">
        <v>165559882</v>
      </c>
      <c r="I4871" s="26">
        <v>0</v>
      </c>
      <c r="J4871" s="26">
        <v>201</v>
      </c>
      <c r="K4871" t="inlineStr">
        <is>
          <t>Non</t>
        </is>
      </c>
      <c r="L4871">
        <f>SUBTOTAL(103,A4871)</f>
        <v>1</v>
      </c>
    </row>
    <row r="4872">
      <c r="A4872" t="inlineStr">
        <is>
          <t>SOCIETE C1081</t>
        </is>
      </c>
      <c r="B4872" t="inlineStr">
        <is>
          <t>C1081</t>
        </is>
      </c>
      <c r="C4872" t="inlineStr">
        <is>
          <t>CORPORATE BANKING</t>
        </is>
      </c>
      <c r="D4872" t="inlineStr">
        <is>
          <t>V</t>
        </is>
      </c>
      <c r="E4872" t="inlineStr">
        <is>
          <t>Stage 3</t>
        </is>
      </c>
      <c r="F4872" t="inlineStr">
        <is>
          <t>N/A</t>
        </is>
      </c>
      <c r="G4872" s="26">
        <v>534341891</v>
      </c>
      <c r="H4872" s="26">
        <v>293888040</v>
      </c>
      <c r="I4872" s="26">
        <v>0</v>
      </c>
      <c r="J4872" s="26">
        <v>73</v>
      </c>
      <c r="K4872" t="inlineStr">
        <is>
          <t>Oui</t>
        </is>
      </c>
      <c r="L4872">
        <f>SUBTOTAL(103,A4872)</f>
        <v>1</v>
      </c>
    </row>
    <row r="4873">
      <c r="A4873" t="inlineStr">
        <is>
          <t>SOCIETE C246</t>
        </is>
      </c>
      <c r="B4873" t="inlineStr">
        <is>
          <t>C246</t>
        </is>
      </c>
      <c r="C4873" t="inlineStr">
        <is>
          <t>CORPORATE BANKING</t>
        </is>
      </c>
      <c r="D4873" t="inlineStr">
        <is>
          <t>I</t>
        </is>
      </c>
      <c r="E4873" t="inlineStr">
        <is>
          <t>Stage 1</t>
        </is>
      </c>
      <c r="F4873" t="inlineStr">
        <is>
          <t>N/A</t>
        </is>
      </c>
      <c r="G4873" s="26">
        <v>716757933</v>
      </c>
      <c r="H4873" s="26">
        <v>7167579</v>
      </c>
      <c r="I4873" s="26">
        <v>0</v>
      </c>
      <c r="J4873" s="26">
        <v>131</v>
      </c>
      <c r="K4873" t="inlineStr">
        <is>
          <t>Non</t>
        </is>
      </c>
      <c r="L4873">
        <f>SUBTOTAL(103,A4873)</f>
        <v>1</v>
      </c>
    </row>
    <row r="4874">
      <c r="A4874" t="inlineStr">
        <is>
          <t>SOCIETE C91</t>
        </is>
      </c>
      <c r="B4874" t="inlineStr">
        <is>
          <t>C91</t>
        </is>
      </c>
      <c r="C4874" t="inlineStr">
        <is>
          <t>PUBLIC SECTOR</t>
        </is>
      </c>
      <c r="D4874" t="inlineStr">
        <is>
          <t>II</t>
        </is>
      </c>
      <c r="E4874" t="inlineStr">
        <is>
          <t>Stage 2</t>
        </is>
      </c>
      <c r="F4874" t="inlineStr">
        <is>
          <t>N/A</t>
        </is>
      </c>
      <c r="G4874" s="26">
        <v>1689654661</v>
      </c>
      <c r="H4874" s="26">
        <v>101379280</v>
      </c>
      <c r="I4874" s="26">
        <v>0</v>
      </c>
      <c r="J4874" s="26">
        <v>19</v>
      </c>
      <c r="K4874" t="inlineStr">
        <is>
          <t>Non</t>
        </is>
      </c>
      <c r="L4874">
        <f>SUBTOTAL(103,A4874)</f>
        <v>1</v>
      </c>
    </row>
    <row r="4875">
      <c r="A4875" t="inlineStr">
        <is>
          <t>SOCIETE C142</t>
        </is>
      </c>
      <c r="B4875" t="inlineStr">
        <is>
          <t>C142</t>
        </is>
      </c>
      <c r="C4875" t="inlineStr">
        <is>
          <t>COMMERCIAL BANKING</t>
        </is>
      </c>
      <c r="D4875" t="inlineStr">
        <is>
          <t>V</t>
        </is>
      </c>
      <c r="E4875" t="inlineStr">
        <is>
          <t>Stage 3</t>
        </is>
      </c>
      <c r="F4875" t="inlineStr">
        <is>
          <t>N/A</t>
        </is>
      </c>
      <c r="G4875" s="26">
        <v>1365736667</v>
      </c>
      <c r="H4875" s="26">
        <v>751155167</v>
      </c>
      <c r="I4875" s="26">
        <v>252944752</v>
      </c>
      <c r="J4875" s="26">
        <v>340</v>
      </c>
      <c r="K4875" t="inlineStr">
        <is>
          <t>Oui</t>
        </is>
      </c>
      <c r="L4875">
        <f>SUBTOTAL(103,A4875)</f>
        <v>1</v>
      </c>
    </row>
    <row r="4876">
      <c r="A4876" t="inlineStr">
        <is>
          <t>SOCIETE C1117</t>
        </is>
      </c>
      <c r="B4876" t="inlineStr">
        <is>
          <t>C1117</t>
        </is>
      </c>
      <c r="C4876" t="inlineStr">
        <is>
          <t>CORPORATE BANKING</t>
        </is>
      </c>
      <c r="D4876" t="inlineStr">
        <is>
          <t>IA</t>
        </is>
      </c>
      <c r="E4876" t="inlineStr">
        <is>
          <t>Stage 2</t>
        </is>
      </c>
      <c r="F4876" t="inlineStr">
        <is>
          <t>N/A</t>
        </is>
      </c>
      <c r="G4876" s="26">
        <v>375323940</v>
      </c>
      <c r="H4876" s="26">
        <v>22519436</v>
      </c>
      <c r="I4876" s="26">
        <v>57303306</v>
      </c>
      <c r="J4876" s="26">
        <v>74</v>
      </c>
      <c r="K4876" t="inlineStr">
        <is>
          <t>Non</t>
        </is>
      </c>
      <c r="L4876">
        <f>SUBTOTAL(103,A4876)</f>
        <v>1</v>
      </c>
    </row>
    <row r="4877">
      <c r="A4877" t="inlineStr">
        <is>
          <t>SOCIETE C431</t>
        </is>
      </c>
      <c r="B4877" t="inlineStr">
        <is>
          <t>C431</t>
        </is>
      </c>
      <c r="C4877" t="inlineStr">
        <is>
          <t>COMMERCIAL BANKING</t>
        </is>
      </c>
      <c r="D4877" t="inlineStr">
        <is>
          <t>III</t>
        </is>
      </c>
      <c r="E4877" t="inlineStr">
        <is>
          <t>Stage 3</t>
        </is>
      </c>
      <c r="F4877" t="inlineStr">
        <is>
          <t>N/A</t>
        </is>
      </c>
      <c r="G4877" s="26">
        <v>402950107</v>
      </c>
      <c r="H4877" s="26">
        <v>221622559</v>
      </c>
      <c r="I4877" s="26">
        <v>0</v>
      </c>
      <c r="J4877" s="26">
        <v>81</v>
      </c>
      <c r="K4877" t="inlineStr">
        <is>
          <t>Oui</t>
        </is>
      </c>
      <c r="L4877">
        <f>SUBTOTAL(103,A4877)</f>
        <v>1</v>
      </c>
    </row>
    <row r="4878">
      <c r="A4878" t="inlineStr">
        <is>
          <t>SOCIETE C521</t>
        </is>
      </c>
      <c r="B4878" t="inlineStr">
        <is>
          <t>C521</t>
        </is>
      </c>
      <c r="C4878" t="inlineStr">
        <is>
          <t>PUBLIC SECTOR</t>
        </is>
      </c>
      <c r="D4878" t="inlineStr">
        <is>
          <t>IA</t>
        </is>
      </c>
      <c r="E4878" t="inlineStr">
        <is>
          <t>Stage 2</t>
        </is>
      </c>
      <c r="F4878" t="inlineStr">
        <is>
          <t>N/A</t>
        </is>
      </c>
      <c r="G4878" s="26">
        <v>621823561</v>
      </c>
      <c r="H4878" s="26">
        <v>37309414</v>
      </c>
      <c r="I4878" s="26">
        <v>0</v>
      </c>
      <c r="J4878" s="26">
        <v>184</v>
      </c>
      <c r="K4878" t="inlineStr">
        <is>
          <t>Non</t>
        </is>
      </c>
      <c r="L4878">
        <f>SUBTOTAL(103,A4878)</f>
        <v>1</v>
      </c>
    </row>
    <row r="4879">
      <c r="A4879" t="inlineStr">
        <is>
          <t>SOCIETE C2082</t>
        </is>
      </c>
      <c r="B4879" t="inlineStr">
        <is>
          <t>C2082</t>
        </is>
      </c>
      <c r="C4879" t="inlineStr">
        <is>
          <t>SME</t>
        </is>
      </c>
      <c r="D4879" t="inlineStr">
        <is>
          <t>I</t>
        </is>
      </c>
      <c r="E4879" t="inlineStr">
        <is>
          <t>Stage 1</t>
        </is>
      </c>
      <c r="F4879" t="inlineStr">
        <is>
          <t>N/A</t>
        </is>
      </c>
      <c r="G4879" s="26">
        <v>1000004</v>
      </c>
      <c r="H4879" s="26">
        <v>10000</v>
      </c>
      <c r="I4879" s="26">
        <v>0</v>
      </c>
      <c r="J4879" s="26">
        <v>224</v>
      </c>
      <c r="K4879" t="inlineStr">
        <is>
          <t>Non</t>
        </is>
      </c>
      <c r="L4879">
        <f>SUBTOTAL(103,A4879)</f>
        <v>1</v>
      </c>
    </row>
    <row r="4880">
      <c r="A4880" t="inlineStr">
        <is>
          <t>SOCIETE C2029</t>
        </is>
      </c>
      <c r="B4880" t="inlineStr">
        <is>
          <t>C2029</t>
        </is>
      </c>
      <c r="C4880" t="inlineStr">
        <is>
          <t>SME</t>
        </is>
      </c>
      <c r="D4880" t="inlineStr">
        <is>
          <t>IA</t>
        </is>
      </c>
      <c r="E4880" t="inlineStr">
        <is>
          <t>Stage 2</t>
        </is>
      </c>
      <c r="F4880" t="inlineStr">
        <is>
          <t>N/A</t>
        </is>
      </c>
      <c r="G4880" s="26">
        <v>25810298</v>
      </c>
      <c r="H4880" s="26">
        <v>1548618</v>
      </c>
      <c r="I4880" s="26">
        <v>1339279</v>
      </c>
      <c r="J4880" s="26">
        <v>43</v>
      </c>
      <c r="K4880" t="inlineStr">
        <is>
          <t>Non</t>
        </is>
      </c>
      <c r="L4880">
        <f>SUBTOTAL(103,A4880)</f>
        <v>1</v>
      </c>
    </row>
    <row r="4881">
      <c r="A4881" t="inlineStr">
        <is>
          <t>SOCIETE C905</t>
        </is>
      </c>
      <c r="B4881" t="inlineStr">
        <is>
          <t>C905</t>
        </is>
      </c>
      <c r="C4881" t="inlineStr">
        <is>
          <t>CORPORATE BANKING</t>
        </is>
      </c>
      <c r="D4881" t="inlineStr">
        <is>
          <t>I</t>
        </is>
      </c>
      <c r="E4881" t="inlineStr">
        <is>
          <t>Stage 1</t>
        </is>
      </c>
      <c r="F4881" t="inlineStr">
        <is>
          <t>N/A</t>
        </is>
      </c>
      <c r="G4881" s="26">
        <v>2019074081</v>
      </c>
      <c r="H4881" s="26">
        <v>20190741</v>
      </c>
      <c r="I4881" s="26">
        <v>0</v>
      </c>
      <c r="J4881" s="26">
        <v>117</v>
      </c>
      <c r="K4881" t="inlineStr">
        <is>
          <t>Non</t>
        </is>
      </c>
      <c r="L4881">
        <f>SUBTOTAL(103,A4881)</f>
        <v>1</v>
      </c>
    </row>
    <row r="4882">
      <c r="A4882" t="inlineStr">
        <is>
          <t>SOCIETE C1974</t>
        </is>
      </c>
      <c r="B4882" t="inlineStr">
        <is>
          <t>C1974</t>
        </is>
      </c>
      <c r="C4882" t="inlineStr">
        <is>
          <t>CONSUMER BANKING</t>
        </is>
      </c>
      <c r="D4882" t="inlineStr">
        <is>
          <t>III</t>
        </is>
      </c>
      <c r="E4882" t="inlineStr">
        <is>
          <t>Stage 3</t>
        </is>
      </c>
      <c r="F4882" t="inlineStr">
        <is>
          <t>N/A</t>
        </is>
      </c>
      <c r="G4882" s="26">
        <v>12322887</v>
      </c>
      <c r="H4882" s="26">
        <v>6777588</v>
      </c>
      <c r="I4882" s="26">
        <v>0</v>
      </c>
      <c r="J4882" s="26">
        <v>23</v>
      </c>
      <c r="K4882" t="inlineStr">
        <is>
          <t>Oui</t>
        </is>
      </c>
      <c r="L4882">
        <f>SUBTOTAL(103,A4882)</f>
        <v>1</v>
      </c>
    </row>
    <row r="4883">
      <c r="A4883" t="inlineStr">
        <is>
          <t>SOCIETE C1906</t>
        </is>
      </c>
      <c r="B4883" t="inlineStr">
        <is>
          <t>C1906</t>
        </is>
      </c>
      <c r="C4883" t="inlineStr">
        <is>
          <t>COMMERCIAL BANKING</t>
        </is>
      </c>
      <c r="D4883" t="inlineStr">
        <is>
          <t>IA</t>
        </is>
      </c>
      <c r="E4883" t="inlineStr">
        <is>
          <t>Stage 2</t>
        </is>
      </c>
      <c r="F4883" t="inlineStr">
        <is>
          <t>N/A</t>
        </is>
      </c>
      <c r="G4883" s="26">
        <v>15794359</v>
      </c>
      <c r="H4883" s="26">
        <v>947662</v>
      </c>
      <c r="I4883" s="26">
        <v>0</v>
      </c>
      <c r="J4883" s="26">
        <v>20</v>
      </c>
      <c r="K4883" t="inlineStr">
        <is>
          <t>Non</t>
        </is>
      </c>
      <c r="L4883">
        <f>SUBTOTAL(103,A4883)</f>
        <v>1</v>
      </c>
    </row>
    <row r="4884">
      <c r="A4884" t="inlineStr">
        <is>
          <t>SOCIETE C22</t>
        </is>
      </c>
      <c r="B4884" t="inlineStr">
        <is>
          <t>C22</t>
        </is>
      </c>
      <c r="C4884" t="inlineStr">
        <is>
          <t>CORPORATE BANKING</t>
        </is>
      </c>
      <c r="D4884" t="inlineStr">
        <is>
          <t>I</t>
        </is>
      </c>
      <c r="E4884" t="inlineStr">
        <is>
          <t>Stage 1</t>
        </is>
      </c>
      <c r="F4884" t="inlineStr">
        <is>
          <t>N/A</t>
        </is>
      </c>
      <c r="G4884" s="26">
        <v>77688769</v>
      </c>
      <c r="H4884" s="26">
        <v>776888</v>
      </c>
      <c r="I4884" s="26">
        <v>0</v>
      </c>
      <c r="J4884" s="26">
        <v>0</v>
      </c>
      <c r="K4884" t="inlineStr">
        <is>
          <t>Non</t>
        </is>
      </c>
      <c r="L4884">
        <f>SUBTOTAL(103,A4884)</f>
        <v>1</v>
      </c>
    </row>
    <row r="4885">
      <c r="A4885" t="inlineStr">
        <is>
          <t>SOCIETE C1514</t>
        </is>
      </c>
      <c r="B4885" t="inlineStr">
        <is>
          <t>C1514</t>
        </is>
      </c>
      <c r="C4885" t="inlineStr">
        <is>
          <t>CORPORATE BANKING</t>
        </is>
      </c>
      <c r="D4885" t="inlineStr">
        <is>
          <t>IV</t>
        </is>
      </c>
      <c r="E4885" t="inlineStr">
        <is>
          <t>Stage 3</t>
        </is>
      </c>
      <c r="F4885" t="inlineStr">
        <is>
          <t>N/A</t>
        </is>
      </c>
      <c r="G4885" s="26">
        <v>459757020</v>
      </c>
      <c r="H4885" s="26">
        <v>252866361</v>
      </c>
      <c r="I4885" s="26">
        <v>17615218</v>
      </c>
      <c r="J4885" s="26">
        <v>5</v>
      </c>
      <c r="K4885" t="inlineStr">
        <is>
          <t>Oui</t>
        </is>
      </c>
      <c r="L4885">
        <f>SUBTOTAL(103,A4885)</f>
        <v>1</v>
      </c>
    </row>
    <row r="4886">
      <c r="A4886" t="inlineStr">
        <is>
          <t>SOCIETE C1236</t>
        </is>
      </c>
      <c r="B4886" t="inlineStr">
        <is>
          <t>C1236</t>
        </is>
      </c>
      <c r="C4886" t="inlineStr">
        <is>
          <t>COMMERCIAL BANKING</t>
        </is>
      </c>
      <c r="D4886" t="inlineStr">
        <is>
          <t>I</t>
        </is>
      </c>
      <c r="E4886" t="inlineStr">
        <is>
          <t>Stage 1</t>
        </is>
      </c>
      <c r="F4886" t="inlineStr">
        <is>
          <t>N/A</t>
        </is>
      </c>
      <c r="G4886" s="26">
        <v>1002422</v>
      </c>
      <c r="H4886" s="26">
        <v>10024</v>
      </c>
      <c r="I4886" s="26">
        <v>0</v>
      </c>
      <c r="J4886" s="26">
        <v>83</v>
      </c>
      <c r="K4886" t="inlineStr">
        <is>
          <t>Non</t>
        </is>
      </c>
      <c r="L4886">
        <f>SUBTOTAL(103,A4886)</f>
        <v>1</v>
      </c>
    </row>
    <row r="4887">
      <c r="A4887" t="inlineStr">
        <is>
          <t>SOCIETE C1877</t>
        </is>
      </c>
      <c r="B4887" t="inlineStr">
        <is>
          <t>C1877</t>
        </is>
      </c>
      <c r="C4887" t="inlineStr">
        <is>
          <t>CORPORATE BANKING</t>
        </is>
      </c>
      <c r="D4887" t="inlineStr">
        <is>
          <t>III</t>
        </is>
      </c>
      <c r="E4887" t="inlineStr">
        <is>
          <t>Stage 3</t>
        </is>
      </c>
      <c r="F4887" t="inlineStr">
        <is>
          <t>N/A</t>
        </is>
      </c>
      <c r="G4887" s="26">
        <v>1448996935</v>
      </c>
      <c r="H4887" s="26">
        <v>796948314</v>
      </c>
      <c r="I4887" s="26">
        <v>0</v>
      </c>
      <c r="J4887" s="26">
        <v>11</v>
      </c>
      <c r="K4887" t="inlineStr">
        <is>
          <t>Oui</t>
        </is>
      </c>
      <c r="L4887">
        <f>SUBTOTAL(103,A4887)</f>
        <v>1</v>
      </c>
    </row>
    <row r="4888">
      <c r="A4888" t="inlineStr">
        <is>
          <t>SOCIETE C1313</t>
        </is>
      </c>
      <c r="B4888" t="inlineStr">
        <is>
          <t>C1313</t>
        </is>
      </c>
      <c r="C4888" t="inlineStr">
        <is>
          <t>CORPORATE BANKING</t>
        </is>
      </c>
      <c r="D4888" t="inlineStr">
        <is>
          <t>I</t>
        </is>
      </c>
      <c r="E4888" t="inlineStr">
        <is>
          <t>Stage 1</t>
        </is>
      </c>
      <c r="F4888" t="inlineStr">
        <is>
          <t>N/A</t>
        </is>
      </c>
      <c r="G4888" s="26">
        <v>846319859</v>
      </c>
      <c r="H4888" s="26">
        <v>8463199</v>
      </c>
      <c r="I4888" s="26">
        <v>78800739</v>
      </c>
      <c r="J4888" s="26">
        <v>145</v>
      </c>
      <c r="K4888" t="inlineStr">
        <is>
          <t>Non</t>
        </is>
      </c>
      <c r="L4888">
        <f>SUBTOTAL(103,A4888)</f>
        <v>1</v>
      </c>
    </row>
    <row r="4889">
      <c r="A4889" t="inlineStr">
        <is>
          <t>SOCIETE C2426</t>
        </is>
      </c>
      <c r="B4889" t="inlineStr">
        <is>
          <t>C2426</t>
        </is>
      </c>
      <c r="C4889" t="inlineStr">
        <is>
          <t>COMMERCIAL BANKING</t>
        </is>
      </c>
      <c r="D4889" t="inlineStr">
        <is>
          <t>I</t>
        </is>
      </c>
      <c r="E4889" t="inlineStr">
        <is>
          <t>Stage 1</t>
        </is>
      </c>
      <c r="F4889" t="inlineStr">
        <is>
          <t>N/A</t>
        </is>
      </c>
      <c r="G4889" s="26">
        <v>1736046790</v>
      </c>
      <c r="H4889" s="26">
        <v>17360468</v>
      </c>
      <c r="I4889" s="26">
        <v>0</v>
      </c>
      <c r="J4889" s="26">
        <v>76</v>
      </c>
      <c r="K4889" t="inlineStr">
        <is>
          <t>Non</t>
        </is>
      </c>
      <c r="L4889">
        <f>SUBTOTAL(103,A4889)</f>
        <v>1</v>
      </c>
    </row>
    <row r="4890">
      <c r="A4890" t="inlineStr">
        <is>
          <t>SOCIETE C2489</t>
        </is>
      </c>
      <c r="B4890" t="inlineStr">
        <is>
          <t>C2489</t>
        </is>
      </c>
      <c r="C4890" t="inlineStr">
        <is>
          <t>COMMERCIAL BANKING</t>
        </is>
      </c>
      <c r="D4890" t="inlineStr">
        <is>
          <t>I</t>
        </is>
      </c>
      <c r="E4890" t="inlineStr">
        <is>
          <t>Stage 1</t>
        </is>
      </c>
      <c r="F4890" t="inlineStr">
        <is>
          <t>N/A</t>
        </is>
      </c>
      <c r="G4890" s="26">
        <v>186913378</v>
      </c>
      <c r="H4890" s="26">
        <v>1869134</v>
      </c>
      <c r="I4890" s="26">
        <v>0</v>
      </c>
      <c r="J4890" s="26">
        <v>23</v>
      </c>
      <c r="K4890" t="inlineStr">
        <is>
          <t>Non</t>
        </is>
      </c>
      <c r="L4890">
        <f>SUBTOTAL(103,A4890)</f>
        <v>1</v>
      </c>
    </row>
    <row r="4891">
      <c r="A4891" t="inlineStr">
        <is>
          <t>SOCIETE C1553</t>
        </is>
      </c>
      <c r="B4891" t="inlineStr">
        <is>
          <t>C1553</t>
        </is>
      </c>
      <c r="C4891" t="inlineStr">
        <is>
          <t>CORPORATE BANKING</t>
        </is>
      </c>
      <c r="D4891" t="inlineStr">
        <is>
          <t>II</t>
        </is>
      </c>
      <c r="E4891" t="inlineStr">
        <is>
          <t>Stage 2</t>
        </is>
      </c>
      <c r="F4891" t="inlineStr">
        <is>
          <t>N/A</t>
        </is>
      </c>
      <c r="G4891" s="26">
        <v>35690817</v>
      </c>
      <c r="H4891" s="26">
        <v>2141449</v>
      </c>
      <c r="I4891" s="26">
        <v>3370967</v>
      </c>
      <c r="J4891" s="26">
        <v>10</v>
      </c>
      <c r="K4891" t="inlineStr">
        <is>
          <t>Non</t>
        </is>
      </c>
      <c r="L4891">
        <f>SUBTOTAL(103,A4891)</f>
        <v>1</v>
      </c>
    </row>
    <row r="4892">
      <c r="A4892" t="inlineStr">
        <is>
          <t>SOCIETE C670</t>
        </is>
      </c>
      <c r="B4892" t="inlineStr">
        <is>
          <t>C670</t>
        </is>
      </c>
      <c r="C4892" t="inlineStr">
        <is>
          <t>CORPORATE BANKING</t>
        </is>
      </c>
      <c r="D4892" t="inlineStr">
        <is>
          <t>III</t>
        </is>
      </c>
      <c r="E4892" t="inlineStr">
        <is>
          <t>Stage 3</t>
        </is>
      </c>
      <c r="F4892" t="inlineStr">
        <is>
          <t>N/A</t>
        </is>
      </c>
      <c r="G4892" s="26">
        <v>317102503</v>
      </c>
      <c r="H4892" s="26">
        <v>174406377</v>
      </c>
      <c r="I4892" s="26">
        <v>0</v>
      </c>
      <c r="J4892" s="26">
        <v>29</v>
      </c>
      <c r="K4892" t="inlineStr">
        <is>
          <t>Oui</t>
        </is>
      </c>
      <c r="L4892">
        <f>SUBTOTAL(103,A4892)</f>
        <v>1</v>
      </c>
    </row>
    <row r="4893">
      <c r="A4893" t="inlineStr">
        <is>
          <t>SOCIETE C1509</t>
        </is>
      </c>
      <c r="B4893" t="inlineStr">
        <is>
          <t>C1509</t>
        </is>
      </c>
      <c r="C4893" t="inlineStr">
        <is>
          <t>COMMERCIAL BANKING</t>
        </is>
      </c>
      <c r="D4893" t="inlineStr">
        <is>
          <t>I</t>
        </is>
      </c>
      <c r="E4893" t="inlineStr">
        <is>
          <t>Stage 1</t>
        </is>
      </c>
      <c r="F4893" t="inlineStr">
        <is>
          <t>N/A</t>
        </is>
      </c>
      <c r="G4893" s="26">
        <v>357322893</v>
      </c>
      <c r="H4893" s="26">
        <v>3573229</v>
      </c>
      <c r="I4893" s="26">
        <v>0</v>
      </c>
      <c r="J4893" s="26">
        <v>161</v>
      </c>
      <c r="K4893" t="inlineStr">
        <is>
          <t>Non</t>
        </is>
      </c>
      <c r="L4893">
        <f>SUBTOTAL(103,A4893)</f>
        <v>1</v>
      </c>
    </row>
    <row r="4894">
      <c r="A4894" t="inlineStr">
        <is>
          <t>SOCIETE C1161</t>
        </is>
      </c>
      <c r="B4894" t="inlineStr">
        <is>
          <t>C1161</t>
        </is>
      </c>
      <c r="C4894" t="inlineStr">
        <is>
          <t>COMMERCIAL BANKING</t>
        </is>
      </c>
      <c r="D4894" t="inlineStr">
        <is>
          <t>IA</t>
        </is>
      </c>
      <c r="E4894" t="inlineStr">
        <is>
          <t>Stage 2</t>
        </is>
      </c>
      <c r="F4894" t="inlineStr">
        <is>
          <t>N/A</t>
        </is>
      </c>
      <c r="G4894" s="26">
        <v>1121694929</v>
      </c>
      <c r="H4894" s="26">
        <v>67301696</v>
      </c>
      <c r="I4894" s="26">
        <v>0</v>
      </c>
      <c r="J4894" s="26">
        <v>218</v>
      </c>
      <c r="K4894" t="inlineStr">
        <is>
          <t>Non</t>
        </is>
      </c>
      <c r="L4894">
        <f>SUBTOTAL(103,A4894)</f>
        <v>1</v>
      </c>
    </row>
    <row r="4895">
      <c r="A4895" t="inlineStr">
        <is>
          <t>SOCIETE C992</t>
        </is>
      </c>
      <c r="B4895" t="inlineStr">
        <is>
          <t>C992</t>
        </is>
      </c>
      <c r="C4895" t="inlineStr">
        <is>
          <t>COMMERCIAL BANKING</t>
        </is>
      </c>
      <c r="D4895" t="inlineStr">
        <is>
          <t>I</t>
        </is>
      </c>
      <c r="E4895" t="inlineStr">
        <is>
          <t>Stage 1</t>
        </is>
      </c>
      <c r="F4895" t="inlineStr">
        <is>
          <t>N/A</t>
        </is>
      </c>
      <c r="G4895" s="26">
        <v>4257070</v>
      </c>
      <c r="H4895" s="26">
        <v>42571</v>
      </c>
      <c r="I4895" s="26">
        <v>0</v>
      </c>
      <c r="J4895" s="26">
        <v>339</v>
      </c>
      <c r="K4895" t="inlineStr">
        <is>
          <t>Non</t>
        </is>
      </c>
      <c r="L4895">
        <f>SUBTOTAL(103,A4895)</f>
        <v>1</v>
      </c>
    </row>
    <row r="4896">
      <c r="A4896" t="inlineStr">
        <is>
          <t>SOCIETE C958</t>
        </is>
      </c>
      <c r="B4896" t="inlineStr">
        <is>
          <t>C958</t>
        </is>
      </c>
      <c r="C4896" t="inlineStr">
        <is>
          <t>CORPORATE BANKING</t>
        </is>
      </c>
      <c r="D4896" t="inlineStr">
        <is>
          <t>IV</t>
        </is>
      </c>
      <c r="E4896" t="inlineStr">
        <is>
          <t>Stage 3</t>
        </is>
      </c>
      <c r="F4896" t="inlineStr">
        <is>
          <t>N/A</t>
        </is>
      </c>
      <c r="G4896" s="26">
        <v>12911679</v>
      </c>
      <c r="H4896" s="26">
        <v>7101423</v>
      </c>
      <c r="I4896" s="26">
        <v>0</v>
      </c>
      <c r="J4896" s="26">
        <v>209</v>
      </c>
      <c r="K4896" t="inlineStr">
        <is>
          <t>Oui</t>
        </is>
      </c>
      <c r="L4896">
        <f>SUBTOTAL(103,A4896)</f>
        <v>1</v>
      </c>
    </row>
    <row r="4897">
      <c r="A4897" t="inlineStr">
        <is>
          <t>SOCIETE C1454</t>
        </is>
      </c>
      <c r="B4897" t="inlineStr">
        <is>
          <t>C1454</t>
        </is>
      </c>
      <c r="C4897" t="inlineStr">
        <is>
          <t>CORPORATE BANKING</t>
        </is>
      </c>
      <c r="D4897" t="inlineStr">
        <is>
          <t>I</t>
        </is>
      </c>
      <c r="E4897" t="inlineStr">
        <is>
          <t>Stage 1</t>
        </is>
      </c>
      <c r="F4897" t="inlineStr">
        <is>
          <t>N/A</t>
        </is>
      </c>
      <c r="G4897" s="26">
        <v>71083760</v>
      </c>
      <c r="H4897" s="26">
        <v>710838</v>
      </c>
      <c r="I4897" s="26">
        <v>0</v>
      </c>
      <c r="J4897" s="26">
        <v>47</v>
      </c>
      <c r="K4897" t="inlineStr">
        <is>
          <t>Non</t>
        </is>
      </c>
      <c r="L4897">
        <f>SUBTOTAL(103,A4897)</f>
        <v>1</v>
      </c>
    </row>
    <row r="4898">
      <c r="A4898" t="inlineStr">
        <is>
          <t>SOCIETE C1314</t>
        </is>
      </c>
      <c r="B4898" t="inlineStr">
        <is>
          <t>C1314</t>
        </is>
      </c>
      <c r="C4898" t="inlineStr">
        <is>
          <t>PUBLIC SECTOR</t>
        </is>
      </c>
      <c r="D4898" t="inlineStr">
        <is>
          <t>IA</t>
        </is>
      </c>
      <c r="E4898" t="inlineStr">
        <is>
          <t>Stage 2</t>
        </is>
      </c>
      <c r="F4898" t="inlineStr">
        <is>
          <t>N/A</t>
        </is>
      </c>
      <c r="G4898" s="26">
        <v>2822833</v>
      </c>
      <c r="H4898" s="26">
        <v>169370</v>
      </c>
      <c r="I4898" s="26">
        <v>323740</v>
      </c>
      <c r="J4898" s="26">
        <v>255</v>
      </c>
      <c r="K4898" t="inlineStr">
        <is>
          <t>Non</t>
        </is>
      </c>
      <c r="L4898">
        <f>SUBTOTAL(103,A4898)</f>
        <v>1</v>
      </c>
    </row>
    <row r="4899">
      <c r="A4899" t="inlineStr">
        <is>
          <t>SOCIETE C2406</t>
        </is>
      </c>
      <c r="B4899" t="inlineStr">
        <is>
          <t>C2406</t>
        </is>
      </c>
      <c r="C4899" t="inlineStr">
        <is>
          <t>COMMERCIAL BANKING</t>
        </is>
      </c>
      <c r="D4899" t="inlineStr">
        <is>
          <t>IA</t>
        </is>
      </c>
      <c r="E4899" t="inlineStr">
        <is>
          <t>Stage 2</t>
        </is>
      </c>
      <c r="F4899" t="inlineStr">
        <is>
          <t>N/A</t>
        </is>
      </c>
      <c r="G4899" s="26">
        <v>819549981</v>
      </c>
      <c r="H4899" s="26">
        <v>49172999</v>
      </c>
      <c r="I4899" s="26">
        <v>0</v>
      </c>
      <c r="J4899" s="26">
        <v>90</v>
      </c>
      <c r="K4899" t="inlineStr">
        <is>
          <t>Non</t>
        </is>
      </c>
      <c r="L4899">
        <f>SUBTOTAL(103,A4899)</f>
        <v>1</v>
      </c>
    </row>
    <row r="4900">
      <c r="A4900" t="inlineStr">
        <is>
          <t>SOCIETE C2336</t>
        </is>
      </c>
      <c r="B4900" t="inlineStr">
        <is>
          <t>C2336</t>
        </is>
      </c>
      <c r="C4900" t="inlineStr">
        <is>
          <t>CORPORATE BANKING</t>
        </is>
      </c>
      <c r="D4900" t="inlineStr">
        <is>
          <t>III</t>
        </is>
      </c>
      <c r="E4900" t="inlineStr">
        <is>
          <t>Stage 3</t>
        </is>
      </c>
      <c r="F4900" t="inlineStr">
        <is>
          <t>N/A</t>
        </is>
      </c>
      <c r="G4900" s="26">
        <v>1143913394</v>
      </c>
      <c r="H4900" s="26">
        <v>629152367</v>
      </c>
      <c r="I4900" s="26">
        <v>0</v>
      </c>
      <c r="J4900" s="26">
        <v>54</v>
      </c>
      <c r="K4900" t="inlineStr">
        <is>
          <t>Oui</t>
        </is>
      </c>
      <c r="L4900">
        <f>SUBTOTAL(103,A4900)</f>
        <v>1</v>
      </c>
    </row>
    <row r="4901">
      <c r="A4901" t="inlineStr">
        <is>
          <t>SOCIETE C836</t>
        </is>
      </c>
      <c r="B4901" t="inlineStr">
        <is>
          <t>C836</t>
        </is>
      </c>
      <c r="C4901" t="inlineStr">
        <is>
          <t>CONSUMER BANKING</t>
        </is>
      </c>
      <c r="D4901" t="inlineStr">
        <is>
          <t>IV</t>
        </is>
      </c>
      <c r="E4901" t="inlineStr">
        <is>
          <t>Stage 3</t>
        </is>
      </c>
      <c r="F4901" t="inlineStr">
        <is>
          <t>N/A</t>
        </is>
      </c>
      <c r="G4901" s="26">
        <v>705943958</v>
      </c>
      <c r="H4901" s="26">
        <v>388269177</v>
      </c>
      <c r="I4901" s="26">
        <v>6153109</v>
      </c>
      <c r="J4901" s="26">
        <v>171</v>
      </c>
      <c r="K4901" t="inlineStr">
        <is>
          <t>Oui</t>
        </is>
      </c>
      <c r="L4901">
        <f>SUBTOTAL(103,A4901)</f>
        <v>1</v>
      </c>
    </row>
    <row r="4902">
      <c r="A4902" t="inlineStr">
        <is>
          <t>SOCIETE C1784</t>
        </is>
      </c>
      <c r="B4902" t="inlineStr">
        <is>
          <t>C1784</t>
        </is>
      </c>
      <c r="C4902" t="inlineStr">
        <is>
          <t>CORPORATE BANKING</t>
        </is>
      </c>
      <c r="D4902" t="inlineStr">
        <is>
          <t>II</t>
        </is>
      </c>
      <c r="E4902" t="inlineStr">
        <is>
          <t>Stage 2</t>
        </is>
      </c>
      <c r="F4902" t="inlineStr">
        <is>
          <t>N/A</t>
        </is>
      </c>
      <c r="G4902" s="26">
        <v>277702672</v>
      </c>
      <c r="H4902" s="26">
        <v>16662160</v>
      </c>
      <c r="I4902" s="26">
        <v>0</v>
      </c>
      <c r="J4902" s="26">
        <v>78</v>
      </c>
      <c r="K4902" t="inlineStr">
        <is>
          <t>Non</t>
        </is>
      </c>
      <c r="L4902">
        <f>SUBTOTAL(103,A4902)</f>
        <v>1</v>
      </c>
    </row>
    <row r="4903">
      <c r="A4903" t="inlineStr">
        <is>
          <t>SOCIETE C540</t>
        </is>
      </c>
      <c r="B4903" t="inlineStr">
        <is>
          <t>C540</t>
        </is>
      </c>
      <c r="C4903" t="inlineStr">
        <is>
          <t>COMMERCIAL BANKING</t>
        </is>
      </c>
      <c r="D4903" t="inlineStr">
        <is>
          <t>IV</t>
        </is>
      </c>
      <c r="E4903" t="inlineStr">
        <is>
          <t>Stage 3</t>
        </is>
      </c>
      <c r="F4903" t="inlineStr">
        <is>
          <t>N/A</t>
        </is>
      </c>
      <c r="G4903" s="26">
        <v>5281175</v>
      </c>
      <c r="H4903" s="26">
        <v>2904646</v>
      </c>
      <c r="I4903" s="26">
        <v>0</v>
      </c>
      <c r="J4903" s="26">
        <v>139</v>
      </c>
      <c r="K4903" t="inlineStr">
        <is>
          <t>Oui</t>
        </is>
      </c>
      <c r="L4903">
        <f>SUBTOTAL(103,A4903)</f>
        <v>1</v>
      </c>
    </row>
    <row r="4904">
      <c r="A4904" t="inlineStr">
        <is>
          <t>SOCIETE C2131</t>
        </is>
      </c>
      <c r="B4904" t="inlineStr">
        <is>
          <t>C2131</t>
        </is>
      </c>
      <c r="C4904" t="inlineStr">
        <is>
          <t>CORPORATE BANKING</t>
        </is>
      </c>
      <c r="D4904" t="inlineStr">
        <is>
          <t>I</t>
        </is>
      </c>
      <c r="E4904" t="inlineStr">
        <is>
          <t>Stage 1</t>
        </is>
      </c>
      <c r="F4904" t="inlineStr">
        <is>
          <t>N/A</t>
        </is>
      </c>
      <c r="G4904" s="26">
        <v>333330598</v>
      </c>
      <c r="H4904" s="26">
        <v>3333306</v>
      </c>
      <c r="I4904" s="26">
        <v>53773854</v>
      </c>
      <c r="J4904" s="26">
        <v>179</v>
      </c>
      <c r="K4904" t="inlineStr">
        <is>
          <t>Non</t>
        </is>
      </c>
      <c r="L4904">
        <f>SUBTOTAL(103,A4904)</f>
        <v>1</v>
      </c>
    </row>
    <row r="4905">
      <c r="A4905" t="inlineStr">
        <is>
          <t>SOCIETE C2266</t>
        </is>
      </c>
      <c r="B4905" t="inlineStr">
        <is>
          <t>C2266</t>
        </is>
      </c>
      <c r="C4905" t="inlineStr">
        <is>
          <t>CONSUMER BANKING</t>
        </is>
      </c>
      <c r="D4905" t="inlineStr">
        <is>
          <t>IA</t>
        </is>
      </c>
      <c r="E4905" t="inlineStr">
        <is>
          <t>Stage 2</t>
        </is>
      </c>
      <c r="F4905" t="inlineStr">
        <is>
          <t>N/A</t>
        </is>
      </c>
      <c r="G4905" s="26">
        <v>2725496272</v>
      </c>
      <c r="H4905" s="26">
        <v>163529776</v>
      </c>
      <c r="I4905" s="26">
        <v>498747722</v>
      </c>
      <c r="J4905" s="26">
        <v>82</v>
      </c>
      <c r="K4905" t="inlineStr">
        <is>
          <t>Non</t>
        </is>
      </c>
      <c r="L4905">
        <f>SUBTOTAL(103,A4905)</f>
        <v>1</v>
      </c>
    </row>
    <row r="4906">
      <c r="A4906" t="inlineStr">
        <is>
          <t>SOCIETE C2263</t>
        </is>
      </c>
      <c r="B4906" t="inlineStr">
        <is>
          <t>C2263</t>
        </is>
      </c>
      <c r="C4906" t="inlineStr">
        <is>
          <t>SME</t>
        </is>
      </c>
      <c r="D4906" t="inlineStr">
        <is>
          <t>I</t>
        </is>
      </c>
      <c r="E4906" t="inlineStr">
        <is>
          <t>Stage 1</t>
        </is>
      </c>
      <c r="F4906" t="inlineStr">
        <is>
          <t>N/A</t>
        </is>
      </c>
      <c r="G4906" s="26">
        <v>2846254618</v>
      </c>
      <c r="H4906" s="26">
        <v>28462546</v>
      </c>
      <c r="I4906" s="26">
        <v>0</v>
      </c>
      <c r="J4906" s="26">
        <v>34</v>
      </c>
      <c r="K4906" t="inlineStr">
        <is>
          <t>Non</t>
        </is>
      </c>
      <c r="L4906">
        <f>SUBTOTAL(103,A4906)</f>
        <v>1</v>
      </c>
    </row>
    <row r="4907">
      <c r="A4907" t="inlineStr">
        <is>
          <t>SOCIETE C2082</t>
        </is>
      </c>
      <c r="B4907" t="inlineStr">
        <is>
          <t>C2082</t>
        </is>
      </c>
      <c r="C4907" t="inlineStr">
        <is>
          <t>CORPORATE BANKING</t>
        </is>
      </c>
      <c r="D4907" t="inlineStr">
        <is>
          <t>I</t>
        </is>
      </c>
      <c r="E4907" t="inlineStr">
        <is>
          <t>Stage 1</t>
        </is>
      </c>
      <c r="F4907" t="inlineStr">
        <is>
          <t>N/A</t>
        </is>
      </c>
      <c r="G4907" s="26">
        <v>874783071</v>
      </c>
      <c r="H4907" s="26">
        <v>8747831</v>
      </c>
      <c r="I4907" s="26">
        <v>0</v>
      </c>
      <c r="J4907" s="26">
        <v>165</v>
      </c>
      <c r="K4907" t="inlineStr">
        <is>
          <t>Non</t>
        </is>
      </c>
      <c r="L4907">
        <f>SUBTOTAL(103,A4907)</f>
        <v>1</v>
      </c>
    </row>
    <row r="4908">
      <c r="A4908" t="inlineStr">
        <is>
          <t>SOCIETE C529</t>
        </is>
      </c>
      <c r="B4908" t="inlineStr">
        <is>
          <t>C529</t>
        </is>
      </c>
      <c r="C4908" t="inlineStr">
        <is>
          <t>CORPORATE BANKING</t>
        </is>
      </c>
      <c r="D4908" t="inlineStr">
        <is>
          <t>I</t>
        </is>
      </c>
      <c r="E4908" t="inlineStr">
        <is>
          <t>Stage 1</t>
        </is>
      </c>
      <c r="F4908" t="inlineStr">
        <is>
          <t>N/A</t>
        </is>
      </c>
      <c r="G4908" s="26">
        <v>17374905</v>
      </c>
      <c r="H4908" s="26">
        <v>173749</v>
      </c>
      <c r="I4908" s="26">
        <v>2362513</v>
      </c>
      <c r="J4908" s="26">
        <v>73</v>
      </c>
      <c r="K4908" t="inlineStr">
        <is>
          <t>Non</t>
        </is>
      </c>
      <c r="L4908">
        <f>SUBTOTAL(103,A4908)</f>
        <v>1</v>
      </c>
    </row>
    <row r="4909">
      <c r="A4909" t="inlineStr">
        <is>
          <t>SOCIETE C787</t>
        </is>
      </c>
      <c r="B4909" t="inlineStr">
        <is>
          <t>C787</t>
        </is>
      </c>
      <c r="C4909" t="inlineStr">
        <is>
          <t>CONSUMER BANKING</t>
        </is>
      </c>
      <c r="D4909" t="inlineStr">
        <is>
          <t>III</t>
        </is>
      </c>
      <c r="E4909" t="inlineStr">
        <is>
          <t>Stage 3</t>
        </is>
      </c>
      <c r="F4909" t="inlineStr">
        <is>
          <t>N/A</t>
        </is>
      </c>
      <c r="G4909" s="26">
        <v>1088652808</v>
      </c>
      <c r="H4909" s="26">
        <v>598759045</v>
      </c>
      <c r="I4909" s="26">
        <v>0</v>
      </c>
      <c r="J4909" s="26">
        <v>247</v>
      </c>
      <c r="K4909" t="inlineStr">
        <is>
          <t>Oui</t>
        </is>
      </c>
      <c r="L4909">
        <f>SUBTOTAL(103,A4909)</f>
        <v>1</v>
      </c>
    </row>
    <row r="4910">
      <c r="A4910" t="inlineStr">
        <is>
          <t>SOCIETE C1881</t>
        </is>
      </c>
      <c r="B4910" t="inlineStr">
        <is>
          <t>C1881</t>
        </is>
      </c>
      <c r="C4910" t="inlineStr">
        <is>
          <t>CORPORATE BANKING</t>
        </is>
      </c>
      <c r="D4910" t="inlineStr">
        <is>
          <t>I</t>
        </is>
      </c>
      <c r="E4910" t="inlineStr">
        <is>
          <t>Stage 1</t>
        </is>
      </c>
      <c r="F4910" t="inlineStr">
        <is>
          <t>N/A</t>
        </is>
      </c>
      <c r="G4910" s="26">
        <v>1072516332</v>
      </c>
      <c r="H4910" s="26">
        <v>10725163</v>
      </c>
      <c r="I4910" s="26">
        <v>0</v>
      </c>
      <c r="J4910" s="26">
        <v>4</v>
      </c>
      <c r="K4910" t="inlineStr">
        <is>
          <t>Non</t>
        </is>
      </c>
      <c r="L4910">
        <f>SUBTOTAL(103,A4910)</f>
        <v>1</v>
      </c>
    </row>
    <row r="4911">
      <c r="A4911" t="inlineStr">
        <is>
          <t>SOCIETE C250</t>
        </is>
      </c>
      <c r="B4911" t="inlineStr">
        <is>
          <t>C250</t>
        </is>
      </c>
      <c r="C4911" t="inlineStr">
        <is>
          <t>CONSUMER BANKING</t>
        </is>
      </c>
      <c r="D4911" t="inlineStr">
        <is>
          <t>IA</t>
        </is>
      </c>
      <c r="E4911" t="inlineStr">
        <is>
          <t>Stage 2</t>
        </is>
      </c>
      <c r="F4911" t="inlineStr">
        <is>
          <t>N/A</t>
        </is>
      </c>
      <c r="G4911" s="26">
        <v>198649346</v>
      </c>
      <c r="H4911" s="26">
        <v>11918961</v>
      </c>
      <c r="I4911" s="26">
        <v>0</v>
      </c>
      <c r="J4911" s="26">
        <v>169</v>
      </c>
      <c r="K4911" t="inlineStr">
        <is>
          <t>Non</t>
        </is>
      </c>
      <c r="L4911">
        <f>SUBTOTAL(103,A4911)</f>
        <v>1</v>
      </c>
    </row>
    <row r="4912">
      <c r="A4912" t="inlineStr">
        <is>
          <t>SOCIETE C2353</t>
        </is>
      </c>
      <c r="B4912" t="inlineStr">
        <is>
          <t>C2353</t>
        </is>
      </c>
      <c r="C4912" t="inlineStr">
        <is>
          <t>CONSUMER BANKING</t>
        </is>
      </c>
      <c r="D4912" t="inlineStr">
        <is>
          <t>IA</t>
        </is>
      </c>
      <c r="E4912" t="inlineStr">
        <is>
          <t>Stage 2</t>
        </is>
      </c>
      <c r="F4912" t="inlineStr">
        <is>
          <t>N/A</t>
        </is>
      </c>
      <c r="G4912" s="26">
        <v>3756513</v>
      </c>
      <c r="H4912" s="26">
        <v>225391</v>
      </c>
      <c r="I4912" s="26">
        <v>681209</v>
      </c>
      <c r="J4912" s="26">
        <v>309</v>
      </c>
      <c r="K4912" t="inlineStr">
        <is>
          <t>Non</t>
        </is>
      </c>
      <c r="L4912">
        <f>SUBTOTAL(103,A4912)</f>
        <v>1</v>
      </c>
    </row>
    <row r="4913">
      <c r="A4913" t="inlineStr">
        <is>
          <t>SOCIETE C643</t>
        </is>
      </c>
      <c r="B4913" t="inlineStr">
        <is>
          <t>C643</t>
        </is>
      </c>
      <c r="C4913" t="inlineStr">
        <is>
          <t>CORPORATE BANKING</t>
        </is>
      </c>
      <c r="D4913" t="inlineStr">
        <is>
          <t>II</t>
        </is>
      </c>
      <c r="E4913" t="inlineStr">
        <is>
          <t>Stage 2</t>
        </is>
      </c>
      <c r="F4913" t="inlineStr">
        <is>
          <t>N/A</t>
        </is>
      </c>
      <c r="G4913" s="26">
        <v>2786382411</v>
      </c>
      <c r="H4913" s="26">
        <v>167182945</v>
      </c>
      <c r="I4913" s="26">
        <v>401885501</v>
      </c>
      <c r="J4913" s="26">
        <v>63</v>
      </c>
      <c r="K4913" t="inlineStr">
        <is>
          <t>Non</t>
        </is>
      </c>
      <c r="L4913">
        <f>SUBTOTAL(103,A4913)</f>
        <v>1</v>
      </c>
    </row>
    <row r="4914">
      <c r="A4914" t="inlineStr">
        <is>
          <t>SOCIETE C1771</t>
        </is>
      </c>
      <c r="B4914" t="inlineStr">
        <is>
          <t>C1771</t>
        </is>
      </c>
      <c r="C4914" t="inlineStr">
        <is>
          <t>COMMERCIAL BANKING</t>
        </is>
      </c>
      <c r="D4914" t="inlineStr">
        <is>
          <t>IV</t>
        </is>
      </c>
      <c r="E4914" t="inlineStr">
        <is>
          <t>Stage 3</t>
        </is>
      </c>
      <c r="F4914" t="inlineStr">
        <is>
          <t>N/A</t>
        </is>
      </c>
      <c r="G4914" s="26">
        <v>2968830168</v>
      </c>
      <c r="H4914" s="26">
        <v>1632856592</v>
      </c>
      <c r="I4914" s="26">
        <v>33384586</v>
      </c>
      <c r="J4914" s="26">
        <v>4</v>
      </c>
      <c r="K4914" t="inlineStr">
        <is>
          <t>Oui</t>
        </is>
      </c>
      <c r="L4914">
        <f>SUBTOTAL(103,A4914)</f>
        <v>1</v>
      </c>
    </row>
    <row r="4915">
      <c r="A4915" t="inlineStr">
        <is>
          <t>SOCIETE C772</t>
        </is>
      </c>
      <c r="B4915" t="inlineStr">
        <is>
          <t>C772</t>
        </is>
      </c>
      <c r="C4915" t="inlineStr">
        <is>
          <t>CORPORATE BANKING</t>
        </is>
      </c>
      <c r="D4915" t="inlineStr">
        <is>
          <t>I</t>
        </is>
      </c>
      <c r="E4915" t="inlineStr">
        <is>
          <t>Stage 1</t>
        </is>
      </c>
      <c r="F4915" t="inlineStr">
        <is>
          <t>N/A</t>
        </is>
      </c>
      <c r="G4915" s="26">
        <v>599081995</v>
      </c>
      <c r="H4915" s="26">
        <v>5990820</v>
      </c>
      <c r="I4915" s="26">
        <v>59211120</v>
      </c>
      <c r="J4915" s="26">
        <v>117</v>
      </c>
      <c r="K4915" t="inlineStr">
        <is>
          <t>Non</t>
        </is>
      </c>
      <c r="L4915">
        <f>SUBTOTAL(103,A4915)</f>
        <v>1</v>
      </c>
    </row>
    <row r="4916">
      <c r="A4916" t="inlineStr">
        <is>
          <t>SOCIETE C380</t>
        </is>
      </c>
      <c r="B4916" t="inlineStr">
        <is>
          <t>C380</t>
        </is>
      </c>
      <c r="C4916" t="inlineStr">
        <is>
          <t>PUBLIC SECTOR</t>
        </is>
      </c>
      <c r="D4916" t="inlineStr">
        <is>
          <t>I</t>
        </is>
      </c>
      <c r="E4916" t="inlineStr">
        <is>
          <t>Stage 1</t>
        </is>
      </c>
      <c r="F4916" t="inlineStr">
        <is>
          <t>N/A</t>
        </is>
      </c>
      <c r="G4916" s="26">
        <v>129212332</v>
      </c>
      <c r="H4916" s="26">
        <v>1292123</v>
      </c>
      <c r="I4916" s="26">
        <v>13253587</v>
      </c>
      <c r="J4916" s="26">
        <v>21</v>
      </c>
      <c r="K4916" t="inlineStr">
        <is>
          <t>Non</t>
        </is>
      </c>
      <c r="L4916">
        <f>SUBTOTAL(103,A4916)</f>
        <v>1</v>
      </c>
    </row>
    <row r="4917">
      <c r="A4917" t="inlineStr">
        <is>
          <t>SOCIETE C665</t>
        </is>
      </c>
      <c r="B4917" t="inlineStr">
        <is>
          <t>C665</t>
        </is>
      </c>
      <c r="C4917" t="inlineStr">
        <is>
          <t>SME</t>
        </is>
      </c>
      <c r="D4917" t="inlineStr">
        <is>
          <t>I</t>
        </is>
      </c>
      <c r="E4917" t="inlineStr">
        <is>
          <t>Stage 1</t>
        </is>
      </c>
      <c r="F4917" t="inlineStr">
        <is>
          <t>N/A</t>
        </is>
      </c>
      <c r="G4917" s="26">
        <v>879363570</v>
      </c>
      <c r="H4917" s="26">
        <v>8793636</v>
      </c>
      <c r="I4917" s="26">
        <v>0</v>
      </c>
      <c r="J4917" s="26">
        <v>137</v>
      </c>
      <c r="K4917" t="inlineStr">
        <is>
          <t>Non</t>
        </is>
      </c>
      <c r="L4917">
        <f>SUBTOTAL(103,A4917)</f>
        <v>1</v>
      </c>
    </row>
    <row r="4918">
      <c r="A4918" t="inlineStr">
        <is>
          <t>SOCIETE C1656</t>
        </is>
      </c>
      <c r="B4918" t="inlineStr">
        <is>
          <t>C1656</t>
        </is>
      </c>
      <c r="C4918" t="inlineStr">
        <is>
          <t>COMMERCIAL BANKING</t>
        </is>
      </c>
      <c r="D4918" t="inlineStr">
        <is>
          <t>I</t>
        </is>
      </c>
      <c r="E4918" t="inlineStr">
        <is>
          <t>Stage 1</t>
        </is>
      </c>
      <c r="F4918" t="inlineStr">
        <is>
          <t>N/A</t>
        </is>
      </c>
      <c r="G4918" s="26">
        <v>1099401150</v>
      </c>
      <c r="H4918" s="26">
        <v>10994012</v>
      </c>
      <c r="I4918" s="26">
        <v>179431631</v>
      </c>
      <c r="J4918" s="26">
        <v>5</v>
      </c>
      <c r="K4918" t="inlineStr">
        <is>
          <t>Non</t>
        </is>
      </c>
      <c r="L4918">
        <f>SUBTOTAL(103,A4918)</f>
        <v>1</v>
      </c>
    </row>
    <row r="4919">
      <c r="A4919" t="inlineStr">
        <is>
          <t>SOCIETE C1009</t>
        </is>
      </c>
      <c r="B4919" t="inlineStr">
        <is>
          <t>C1009</t>
        </is>
      </c>
      <c r="C4919" t="inlineStr">
        <is>
          <t>CORPORATE BANKING</t>
        </is>
      </c>
      <c r="D4919" t="inlineStr">
        <is>
          <t>I</t>
        </is>
      </c>
      <c r="E4919" t="inlineStr">
        <is>
          <t>Stage 1</t>
        </is>
      </c>
      <c r="F4919" t="inlineStr">
        <is>
          <t>N/A</t>
        </is>
      </c>
      <c r="G4919" s="26">
        <v>608652694</v>
      </c>
      <c r="H4919" s="26">
        <v>6086527</v>
      </c>
      <c r="I4919" s="26">
        <v>0</v>
      </c>
      <c r="J4919" s="26">
        <v>76</v>
      </c>
      <c r="K4919" t="inlineStr">
        <is>
          <t>Non</t>
        </is>
      </c>
      <c r="L4919">
        <f>SUBTOTAL(103,A4919)</f>
        <v>1</v>
      </c>
    </row>
    <row r="4920">
      <c r="A4920" t="inlineStr">
        <is>
          <t>SOCIETE C1577</t>
        </is>
      </c>
      <c r="B4920" t="inlineStr">
        <is>
          <t>C1577</t>
        </is>
      </c>
      <c r="C4920" t="inlineStr">
        <is>
          <t>COMMERCIAL BANKING</t>
        </is>
      </c>
      <c r="D4920" t="inlineStr">
        <is>
          <t>IA</t>
        </is>
      </c>
      <c r="E4920" t="inlineStr">
        <is>
          <t>Stage 2</t>
        </is>
      </c>
      <c r="F4920" t="inlineStr">
        <is>
          <t>N/A</t>
        </is>
      </c>
      <c r="G4920" s="26">
        <v>49770215</v>
      </c>
      <c r="H4920" s="26">
        <v>2986213</v>
      </c>
      <c r="I4920" s="26">
        <v>0</v>
      </c>
      <c r="J4920" s="26">
        <v>45</v>
      </c>
      <c r="K4920" t="inlineStr">
        <is>
          <t>Non</t>
        </is>
      </c>
      <c r="L4920">
        <f>SUBTOTAL(103,A4920)</f>
        <v>1</v>
      </c>
    </row>
    <row r="4921">
      <c r="A4921" t="inlineStr">
        <is>
          <t>SOCIETE C1313</t>
        </is>
      </c>
      <c r="B4921" t="inlineStr">
        <is>
          <t>C1313</t>
        </is>
      </c>
      <c r="C4921" t="inlineStr">
        <is>
          <t>COMMERCIAL BANKING</t>
        </is>
      </c>
      <c r="D4921" t="inlineStr">
        <is>
          <t>I</t>
        </is>
      </c>
      <c r="E4921" t="inlineStr">
        <is>
          <t>Stage 1</t>
        </is>
      </c>
      <c r="F4921" t="inlineStr">
        <is>
          <t>N/A</t>
        </is>
      </c>
      <c r="G4921" s="26">
        <v>2860555688</v>
      </c>
      <c r="H4921" s="26">
        <v>28605557</v>
      </c>
      <c r="I4921" s="26">
        <v>0</v>
      </c>
      <c r="J4921" s="26">
        <v>101</v>
      </c>
      <c r="K4921" t="inlineStr">
        <is>
          <t>Non</t>
        </is>
      </c>
      <c r="L4921">
        <f>SUBTOTAL(103,A4921)</f>
        <v>1</v>
      </c>
    </row>
    <row r="4922">
      <c r="A4922" t="inlineStr">
        <is>
          <t>SOCIETE C462</t>
        </is>
      </c>
      <c r="B4922" t="inlineStr">
        <is>
          <t>C462</t>
        </is>
      </c>
      <c r="C4922" t="inlineStr">
        <is>
          <t>COMMERCIAL BANKING</t>
        </is>
      </c>
      <c r="D4922" t="inlineStr">
        <is>
          <t>III</t>
        </is>
      </c>
      <c r="E4922" t="inlineStr">
        <is>
          <t>Stage 3</t>
        </is>
      </c>
      <c r="F4922" t="inlineStr">
        <is>
          <t>N/A</t>
        </is>
      </c>
      <c r="G4922" s="26">
        <v>294252224</v>
      </c>
      <c r="H4922" s="26">
        <v>161838723</v>
      </c>
      <c r="I4922" s="26">
        <v>0</v>
      </c>
      <c r="J4922" s="26">
        <v>99</v>
      </c>
      <c r="K4922" t="inlineStr">
        <is>
          <t>Oui</t>
        </is>
      </c>
      <c r="L4922">
        <f>SUBTOTAL(103,A4922)</f>
        <v>1</v>
      </c>
    </row>
    <row r="4923">
      <c r="A4923" t="inlineStr">
        <is>
          <t>SOCIETE C1065</t>
        </is>
      </c>
      <c r="B4923" t="inlineStr">
        <is>
          <t>C1065</t>
        </is>
      </c>
      <c r="C4923" t="inlineStr">
        <is>
          <t>SME</t>
        </is>
      </c>
      <c r="D4923" t="inlineStr">
        <is>
          <t>I</t>
        </is>
      </c>
      <c r="E4923" t="inlineStr">
        <is>
          <t>Stage 1</t>
        </is>
      </c>
      <c r="F4923" t="inlineStr">
        <is>
          <t>N/A</t>
        </is>
      </c>
      <c r="G4923" s="26">
        <v>2241400776</v>
      </c>
      <c r="H4923" s="26">
        <v>22414008</v>
      </c>
      <c r="I4923" s="26">
        <v>0</v>
      </c>
      <c r="J4923" s="26">
        <v>77</v>
      </c>
      <c r="K4923" t="inlineStr">
        <is>
          <t>Non</t>
        </is>
      </c>
      <c r="L4923">
        <f>SUBTOTAL(103,A4923)</f>
        <v>1</v>
      </c>
    </row>
    <row r="4924">
      <c r="A4924" t="inlineStr">
        <is>
          <t>SOCIETE C2154</t>
        </is>
      </c>
      <c r="B4924" t="inlineStr">
        <is>
          <t>C2154</t>
        </is>
      </c>
      <c r="C4924" t="inlineStr">
        <is>
          <t>SME</t>
        </is>
      </c>
      <c r="D4924" t="inlineStr">
        <is>
          <t>IA</t>
        </is>
      </c>
      <c r="E4924" t="inlineStr">
        <is>
          <t>Stage 2</t>
        </is>
      </c>
      <c r="F4924" t="inlineStr">
        <is>
          <t>N/A</t>
        </is>
      </c>
      <c r="G4924" s="26">
        <v>3700818</v>
      </c>
      <c r="H4924" s="26">
        <v>222049</v>
      </c>
      <c r="I4924" s="26">
        <v>0</v>
      </c>
      <c r="J4924" s="26">
        <v>11</v>
      </c>
      <c r="K4924" t="inlineStr">
        <is>
          <t>Non</t>
        </is>
      </c>
      <c r="L4924">
        <f>SUBTOTAL(103,A4924)</f>
        <v>1</v>
      </c>
    </row>
    <row r="4925">
      <c r="A4925" t="inlineStr">
        <is>
          <t>SOCIETE C2278</t>
        </is>
      </c>
      <c r="B4925" t="inlineStr">
        <is>
          <t>C2278</t>
        </is>
      </c>
      <c r="C4925" t="inlineStr">
        <is>
          <t>CORPORATE BANKING</t>
        </is>
      </c>
      <c r="D4925" t="inlineStr">
        <is>
          <t>III</t>
        </is>
      </c>
      <c r="E4925" t="inlineStr">
        <is>
          <t>Stage 3</t>
        </is>
      </c>
      <c r="F4925" t="inlineStr">
        <is>
          <t>N/A</t>
        </is>
      </c>
      <c r="G4925" s="26">
        <v>116363563</v>
      </c>
      <c r="H4925" s="26">
        <v>63999959</v>
      </c>
      <c r="I4925" s="26">
        <v>0</v>
      </c>
      <c r="J4925" s="26">
        <v>11</v>
      </c>
      <c r="K4925" t="inlineStr">
        <is>
          <t>Oui</t>
        </is>
      </c>
      <c r="L4925">
        <f>SUBTOTAL(103,A4925)</f>
        <v>1</v>
      </c>
    </row>
    <row r="4926">
      <c r="A4926" t="inlineStr">
        <is>
          <t>SOCIETE C596</t>
        </is>
      </c>
      <c r="B4926" t="inlineStr">
        <is>
          <t>C596</t>
        </is>
      </c>
      <c r="C4926" t="inlineStr">
        <is>
          <t>CONSUMER BANKING</t>
        </is>
      </c>
      <c r="D4926" t="inlineStr">
        <is>
          <t>II</t>
        </is>
      </c>
      <c r="E4926" t="inlineStr">
        <is>
          <t>Stage 2</t>
        </is>
      </c>
      <c r="F4926" t="inlineStr">
        <is>
          <t>N/A</t>
        </is>
      </c>
      <c r="G4926" s="26">
        <v>62797766</v>
      </c>
      <c r="H4926" s="26">
        <v>3767866</v>
      </c>
      <c r="I4926" s="26">
        <v>0</v>
      </c>
      <c r="J4926" s="26">
        <v>128</v>
      </c>
      <c r="K4926" t="inlineStr">
        <is>
          <t>Non</t>
        </is>
      </c>
      <c r="L4926">
        <f>SUBTOTAL(103,A4926)</f>
        <v>1</v>
      </c>
    </row>
    <row r="4927">
      <c r="A4927" t="inlineStr">
        <is>
          <t>SOCIETE C469</t>
        </is>
      </c>
      <c r="B4927" t="inlineStr">
        <is>
          <t>C469</t>
        </is>
      </c>
      <c r="C4927" t="inlineStr">
        <is>
          <t>CONSUMER BANKING</t>
        </is>
      </c>
      <c r="D4927" t="inlineStr">
        <is>
          <t>I</t>
        </is>
      </c>
      <c r="E4927" t="inlineStr">
        <is>
          <t>Stage 1</t>
        </is>
      </c>
      <c r="F4927" t="inlineStr">
        <is>
          <t>N/A</t>
        </is>
      </c>
      <c r="G4927" s="26">
        <v>2102345070</v>
      </c>
      <c r="H4927" s="26">
        <v>21023451</v>
      </c>
      <c r="I4927" s="26">
        <v>0</v>
      </c>
      <c r="J4927" s="26">
        <v>5</v>
      </c>
      <c r="K4927" t="inlineStr">
        <is>
          <t>Non</t>
        </is>
      </c>
      <c r="L4927">
        <f>SUBTOTAL(103,A4927)</f>
        <v>1</v>
      </c>
    </row>
    <row r="4928">
      <c r="A4928" t="inlineStr">
        <is>
          <t>SOCIETE C943</t>
        </is>
      </c>
      <c r="B4928" t="inlineStr">
        <is>
          <t>C943</t>
        </is>
      </c>
      <c r="C4928" t="inlineStr">
        <is>
          <t>PUBLIC SECTOR</t>
        </is>
      </c>
      <c r="D4928" t="inlineStr">
        <is>
          <t>I</t>
        </is>
      </c>
      <c r="E4928" t="inlineStr">
        <is>
          <t>Stage 1</t>
        </is>
      </c>
      <c r="F4928" t="inlineStr">
        <is>
          <t>N/A</t>
        </is>
      </c>
      <c r="G4928" s="26">
        <v>1072145639</v>
      </c>
      <c r="H4928" s="26">
        <v>10721456</v>
      </c>
      <c r="I4928" s="26">
        <v>104661144</v>
      </c>
      <c r="J4928" s="26">
        <v>90</v>
      </c>
      <c r="K4928" t="inlineStr">
        <is>
          <t>Non</t>
        </is>
      </c>
      <c r="L4928">
        <f>SUBTOTAL(103,A4928)</f>
        <v>1</v>
      </c>
    </row>
    <row r="4929">
      <c r="A4929" t="inlineStr">
        <is>
          <t>SOCIETE C1475</t>
        </is>
      </c>
      <c r="B4929" t="inlineStr">
        <is>
          <t>C1475</t>
        </is>
      </c>
      <c r="C4929" t="inlineStr">
        <is>
          <t>COMMERCIAL BANKING</t>
        </is>
      </c>
      <c r="D4929" t="inlineStr">
        <is>
          <t>V</t>
        </is>
      </c>
      <c r="E4929" t="inlineStr">
        <is>
          <t>Stage 3</t>
        </is>
      </c>
      <c r="F4929" t="inlineStr">
        <is>
          <t>N/A</t>
        </is>
      </c>
      <c r="G4929" s="26">
        <v>1212983955</v>
      </c>
      <c r="H4929" s="26">
        <v>667141175</v>
      </c>
      <c r="I4929" s="26">
        <v>120655303</v>
      </c>
      <c r="J4929" s="26">
        <v>201</v>
      </c>
      <c r="K4929" t="inlineStr">
        <is>
          <t>Oui</t>
        </is>
      </c>
      <c r="L4929">
        <f>SUBTOTAL(103,A4929)</f>
        <v>1</v>
      </c>
    </row>
    <row r="4930">
      <c r="A4930" t="inlineStr">
        <is>
          <t>SOCIETE C1866</t>
        </is>
      </c>
      <c r="B4930" t="inlineStr">
        <is>
          <t>C1866</t>
        </is>
      </c>
      <c r="C4930" t="inlineStr">
        <is>
          <t>CORPORATE BANKING</t>
        </is>
      </c>
      <c r="D4930" t="inlineStr">
        <is>
          <t>I</t>
        </is>
      </c>
      <c r="E4930" t="inlineStr">
        <is>
          <t>Stage 1</t>
        </is>
      </c>
      <c r="F4930" t="inlineStr">
        <is>
          <t>N/A</t>
        </is>
      </c>
      <c r="G4930" s="26">
        <v>2652566</v>
      </c>
      <c r="H4930" s="26">
        <v>26526</v>
      </c>
      <c r="I4930" s="26">
        <v>0</v>
      </c>
      <c r="J4930" s="26">
        <v>227</v>
      </c>
      <c r="K4930" t="inlineStr">
        <is>
          <t>Non</t>
        </is>
      </c>
      <c r="L4930">
        <f>SUBTOTAL(103,A4930)</f>
        <v>1</v>
      </c>
    </row>
    <row r="4931">
      <c r="A4931" t="inlineStr">
        <is>
          <t>SOCIETE C2051</t>
        </is>
      </c>
      <c r="B4931" t="inlineStr">
        <is>
          <t>C2051</t>
        </is>
      </c>
      <c r="C4931" t="inlineStr">
        <is>
          <t>COMMERCIAL BANKING</t>
        </is>
      </c>
      <c r="D4931" t="inlineStr">
        <is>
          <t>I</t>
        </is>
      </c>
      <c r="E4931" t="inlineStr">
        <is>
          <t>Stage 1</t>
        </is>
      </c>
      <c r="F4931" t="inlineStr">
        <is>
          <t>N/A</t>
        </is>
      </c>
      <c r="G4931" s="26">
        <v>1020562113</v>
      </c>
      <c r="H4931" s="26">
        <v>10205621</v>
      </c>
      <c r="I4931" s="26">
        <v>83275329</v>
      </c>
      <c r="J4931" s="26">
        <v>5</v>
      </c>
      <c r="K4931" t="inlineStr">
        <is>
          <t>Non</t>
        </is>
      </c>
      <c r="L4931">
        <f>SUBTOTAL(103,A4931)</f>
        <v>1</v>
      </c>
    </row>
    <row r="4932">
      <c r="A4932" t="inlineStr">
        <is>
          <t>SOCIETE C1276</t>
        </is>
      </c>
      <c r="B4932" t="inlineStr">
        <is>
          <t>C1276</t>
        </is>
      </c>
      <c r="C4932" t="inlineStr">
        <is>
          <t>CORPORATE BANKING</t>
        </is>
      </c>
      <c r="D4932" t="inlineStr">
        <is>
          <t>I</t>
        </is>
      </c>
      <c r="E4932" t="inlineStr">
        <is>
          <t>Stage 1</t>
        </is>
      </c>
      <c r="F4932" t="inlineStr">
        <is>
          <t>N/A</t>
        </is>
      </c>
      <c r="G4932" s="26">
        <v>1118100708</v>
      </c>
      <c r="H4932" s="26">
        <v>11181007</v>
      </c>
      <c r="I4932" s="26">
        <v>187444748</v>
      </c>
      <c r="J4932" s="26">
        <v>21</v>
      </c>
      <c r="K4932" t="inlineStr">
        <is>
          <t>Non</t>
        </is>
      </c>
      <c r="L4932">
        <f>SUBTOTAL(103,A4932)</f>
        <v>1</v>
      </c>
    </row>
    <row r="4933">
      <c r="A4933" t="inlineStr">
        <is>
          <t>SOCIETE C1184</t>
        </is>
      </c>
      <c r="B4933" t="inlineStr">
        <is>
          <t>C1184</t>
        </is>
      </c>
      <c r="C4933" t="inlineStr">
        <is>
          <t>CORPORATE BANKING</t>
        </is>
      </c>
      <c r="D4933" t="inlineStr">
        <is>
          <t>I</t>
        </is>
      </c>
      <c r="E4933" t="inlineStr">
        <is>
          <t>Stage 1</t>
        </is>
      </c>
      <c r="F4933" t="inlineStr">
        <is>
          <t>N/A</t>
        </is>
      </c>
      <c r="G4933" s="26">
        <v>1874704957</v>
      </c>
      <c r="H4933" s="26">
        <v>18747050</v>
      </c>
      <c r="I4933" s="26">
        <v>0</v>
      </c>
      <c r="J4933" s="26">
        <v>4</v>
      </c>
      <c r="K4933" t="inlineStr">
        <is>
          <t>Non</t>
        </is>
      </c>
      <c r="L4933">
        <f>SUBTOTAL(103,A4933)</f>
        <v>1</v>
      </c>
    </row>
    <row r="4934">
      <c r="A4934" t="inlineStr">
        <is>
          <t>SOCIETE C2469</t>
        </is>
      </c>
      <c r="B4934" t="inlineStr">
        <is>
          <t>C2469</t>
        </is>
      </c>
      <c r="C4934" t="inlineStr">
        <is>
          <t>COMMERCIAL BANKING</t>
        </is>
      </c>
      <c r="D4934" t="inlineStr">
        <is>
          <t>II</t>
        </is>
      </c>
      <c r="E4934" t="inlineStr">
        <is>
          <t>Stage 2</t>
        </is>
      </c>
      <c r="F4934" t="inlineStr">
        <is>
          <t>N/A</t>
        </is>
      </c>
      <c r="G4934" s="26">
        <v>957537252</v>
      </c>
      <c r="H4934" s="26">
        <v>57452235</v>
      </c>
      <c r="I4934" s="26">
        <v>0</v>
      </c>
      <c r="J4934" s="26">
        <v>197</v>
      </c>
      <c r="K4934" t="inlineStr">
        <is>
          <t>Non</t>
        </is>
      </c>
      <c r="L4934">
        <f>SUBTOTAL(103,A4934)</f>
        <v>1</v>
      </c>
    </row>
    <row r="4935">
      <c r="A4935" t="inlineStr">
        <is>
          <t>SOCIETE C1978</t>
        </is>
      </c>
      <c r="B4935" t="inlineStr">
        <is>
          <t>C1978</t>
        </is>
      </c>
      <c r="C4935" t="inlineStr">
        <is>
          <t>CORPORATE BANKING</t>
        </is>
      </c>
      <c r="D4935" t="inlineStr">
        <is>
          <t>IV</t>
        </is>
      </c>
      <c r="E4935" t="inlineStr">
        <is>
          <t>Stage 3</t>
        </is>
      </c>
      <c r="F4935" t="inlineStr">
        <is>
          <t>N/A</t>
        </is>
      </c>
      <c r="G4935" s="26">
        <v>43815997</v>
      </c>
      <c r="H4935" s="26">
        <v>24098798</v>
      </c>
      <c r="I4935" s="26">
        <v>0</v>
      </c>
      <c r="J4935" s="26">
        <v>7</v>
      </c>
      <c r="K4935" t="inlineStr">
        <is>
          <t>Oui</t>
        </is>
      </c>
      <c r="L4935">
        <f>SUBTOTAL(103,A4935)</f>
        <v>1</v>
      </c>
    </row>
    <row r="4936">
      <c r="A4936" t="inlineStr">
        <is>
          <t>SOCIETE C32</t>
        </is>
      </c>
      <c r="B4936" t="inlineStr">
        <is>
          <t>C32</t>
        </is>
      </c>
      <c r="C4936" t="inlineStr">
        <is>
          <t>COMMERCIAL BANKING</t>
        </is>
      </c>
      <c r="D4936" t="inlineStr">
        <is>
          <t>II</t>
        </is>
      </c>
      <c r="E4936" t="inlineStr">
        <is>
          <t>Stage 2</t>
        </is>
      </c>
      <c r="F4936" t="inlineStr">
        <is>
          <t>N/A</t>
        </is>
      </c>
      <c r="G4936" s="26">
        <v>62627885</v>
      </c>
      <c r="H4936" s="26">
        <v>3757673</v>
      </c>
      <c r="I4936" s="26">
        <v>788474</v>
      </c>
      <c r="J4936" s="26">
        <v>345</v>
      </c>
      <c r="K4936" t="inlineStr">
        <is>
          <t>Non</t>
        </is>
      </c>
      <c r="L4936">
        <f>SUBTOTAL(103,A4936)</f>
        <v>1</v>
      </c>
    </row>
    <row r="4937">
      <c r="A4937" t="inlineStr">
        <is>
          <t>SOCIETE C175</t>
        </is>
      </c>
      <c r="B4937" t="inlineStr">
        <is>
          <t>C175</t>
        </is>
      </c>
      <c r="C4937" t="inlineStr">
        <is>
          <t>CORPORATE BANKING</t>
        </is>
      </c>
      <c r="D4937" t="inlineStr">
        <is>
          <t>I</t>
        </is>
      </c>
      <c r="E4937" t="inlineStr">
        <is>
          <t>Stage 1</t>
        </is>
      </c>
      <c r="F4937" t="inlineStr">
        <is>
          <t>N/A</t>
        </is>
      </c>
      <c r="G4937" s="26">
        <v>317556922</v>
      </c>
      <c r="H4937" s="26">
        <v>3175569</v>
      </c>
      <c r="I4937" s="26">
        <v>0</v>
      </c>
      <c r="J4937" s="26">
        <v>124</v>
      </c>
      <c r="K4937" t="inlineStr">
        <is>
          <t>Non</t>
        </is>
      </c>
      <c r="L4937">
        <f>SUBTOTAL(103,A4937)</f>
        <v>1</v>
      </c>
    </row>
    <row r="4938">
      <c r="A4938" t="inlineStr">
        <is>
          <t>SOCIETE C579</t>
        </is>
      </c>
      <c r="B4938" t="inlineStr">
        <is>
          <t>C579</t>
        </is>
      </c>
      <c r="C4938" t="inlineStr">
        <is>
          <t>CORPORATE BANKING</t>
        </is>
      </c>
      <c r="D4938" t="inlineStr">
        <is>
          <t>V</t>
        </is>
      </c>
      <c r="E4938" t="inlineStr">
        <is>
          <t>Stage 3</t>
        </is>
      </c>
      <c r="F4938" t="inlineStr">
        <is>
          <t>N/A</t>
        </is>
      </c>
      <c r="G4938" s="26">
        <v>195792154</v>
      </c>
      <c r="H4938" s="26">
        <v>107685685</v>
      </c>
      <c r="I4938" s="26">
        <v>0</v>
      </c>
      <c r="J4938" s="26">
        <v>5</v>
      </c>
      <c r="K4938" t="inlineStr">
        <is>
          <t>Oui</t>
        </is>
      </c>
      <c r="L4938">
        <f>SUBTOTAL(103,A4938)</f>
        <v>1</v>
      </c>
    </row>
    <row r="4939">
      <c r="A4939" t="inlineStr">
        <is>
          <t>SOCIETE C511</t>
        </is>
      </c>
      <c r="B4939" t="inlineStr">
        <is>
          <t>C511</t>
        </is>
      </c>
      <c r="C4939" t="inlineStr">
        <is>
          <t>CORPORATE BANKING</t>
        </is>
      </c>
      <c r="D4939" t="inlineStr">
        <is>
          <t>II</t>
        </is>
      </c>
      <c r="E4939" t="inlineStr">
        <is>
          <t>Stage 2</t>
        </is>
      </c>
      <c r="F4939" t="inlineStr">
        <is>
          <t>N/A</t>
        </is>
      </c>
      <c r="G4939" s="26">
        <v>91875481</v>
      </c>
      <c r="H4939" s="26">
        <v>5512529</v>
      </c>
      <c r="I4939" s="26">
        <v>0</v>
      </c>
      <c r="J4939" s="26">
        <v>140</v>
      </c>
      <c r="K4939" t="inlineStr">
        <is>
          <t>Non</t>
        </is>
      </c>
      <c r="L4939">
        <f>SUBTOTAL(103,A4939)</f>
        <v>1</v>
      </c>
    </row>
    <row r="4940">
      <c r="A4940" t="inlineStr">
        <is>
          <t>SOCIETE C104</t>
        </is>
      </c>
      <c r="B4940" t="inlineStr">
        <is>
          <t>C104</t>
        </is>
      </c>
      <c r="C4940" t="inlineStr">
        <is>
          <t>CORPORATE BANKING</t>
        </is>
      </c>
      <c r="D4940" t="inlineStr">
        <is>
          <t>IA</t>
        </is>
      </c>
      <c r="E4940" t="inlineStr">
        <is>
          <t>Stage 2</t>
        </is>
      </c>
      <c r="F4940" t="inlineStr">
        <is>
          <t>N/A</t>
        </is>
      </c>
      <c r="G4940" s="26">
        <v>634239194</v>
      </c>
      <c r="H4940" s="26">
        <v>38054352</v>
      </c>
      <c r="I4940" s="26">
        <v>0</v>
      </c>
      <c r="J4940" s="26">
        <v>268</v>
      </c>
      <c r="K4940" t="inlineStr">
        <is>
          <t>Non</t>
        </is>
      </c>
      <c r="L4940">
        <f>SUBTOTAL(103,A4940)</f>
        <v>1</v>
      </c>
    </row>
    <row r="4941">
      <c r="A4941" t="inlineStr">
        <is>
          <t>SOCIETE C368</t>
        </is>
      </c>
      <c r="B4941" t="inlineStr">
        <is>
          <t>C368</t>
        </is>
      </c>
      <c r="C4941" t="inlineStr">
        <is>
          <t>CORPORATE BANKING</t>
        </is>
      </c>
      <c r="D4941" t="inlineStr">
        <is>
          <t>V</t>
        </is>
      </c>
      <c r="E4941" t="inlineStr">
        <is>
          <t>Stage 3</t>
        </is>
      </c>
      <c r="F4941" t="inlineStr">
        <is>
          <t>N/A</t>
        </is>
      </c>
      <c r="G4941" s="26">
        <v>1772260</v>
      </c>
      <c r="H4941" s="26">
        <v>974743</v>
      </c>
      <c r="I4941" s="26">
        <v>0</v>
      </c>
      <c r="J4941" s="26">
        <v>33</v>
      </c>
      <c r="K4941" t="inlineStr">
        <is>
          <t>Oui</t>
        </is>
      </c>
      <c r="L4941">
        <f>SUBTOTAL(103,A4941)</f>
        <v>1</v>
      </c>
    </row>
    <row r="4942">
      <c r="A4942" t="inlineStr">
        <is>
          <t>SOCIETE C121</t>
        </is>
      </c>
      <c r="B4942" t="inlineStr">
        <is>
          <t>C121</t>
        </is>
      </c>
      <c r="C4942" t="inlineStr">
        <is>
          <t>CONSUMER BANKING</t>
        </is>
      </c>
      <c r="D4942" t="inlineStr">
        <is>
          <t>V</t>
        </is>
      </c>
      <c r="E4942" t="inlineStr">
        <is>
          <t>Stage 3</t>
        </is>
      </c>
      <c r="F4942" t="inlineStr">
        <is>
          <t>N/A</t>
        </is>
      </c>
      <c r="G4942" s="26">
        <v>1191300606</v>
      </c>
      <c r="H4942" s="26">
        <v>655215333</v>
      </c>
      <c r="I4942" s="26">
        <v>0</v>
      </c>
      <c r="J4942" s="26">
        <v>95</v>
      </c>
      <c r="K4942" t="inlineStr">
        <is>
          <t>Oui</t>
        </is>
      </c>
      <c r="L4942">
        <f>SUBTOTAL(103,A4942)</f>
        <v>1</v>
      </c>
    </row>
    <row r="4943">
      <c r="A4943" t="inlineStr">
        <is>
          <t>SOCIETE C328</t>
        </is>
      </c>
      <c r="B4943" t="inlineStr">
        <is>
          <t>C328</t>
        </is>
      </c>
      <c r="C4943" t="inlineStr">
        <is>
          <t>CORPORATE BANKING</t>
        </is>
      </c>
      <c r="D4943" t="inlineStr">
        <is>
          <t>V</t>
        </is>
      </c>
      <c r="E4943" t="inlineStr">
        <is>
          <t>Stage 3</t>
        </is>
      </c>
      <c r="F4943" t="inlineStr">
        <is>
          <t>N/A</t>
        </is>
      </c>
      <c r="G4943" s="26">
        <v>6381478</v>
      </c>
      <c r="H4943" s="26">
        <v>3509813</v>
      </c>
      <c r="I4943" s="26">
        <v>0</v>
      </c>
      <c r="J4943" s="26">
        <v>143</v>
      </c>
      <c r="K4943" t="inlineStr">
        <is>
          <t>Oui</t>
        </is>
      </c>
      <c r="L4943">
        <f>SUBTOTAL(103,A4943)</f>
        <v>1</v>
      </c>
    </row>
    <row r="4944">
      <c r="A4944" t="inlineStr">
        <is>
          <t>SOCIETE C1184</t>
        </is>
      </c>
      <c r="B4944" t="inlineStr">
        <is>
          <t>C1184</t>
        </is>
      </c>
      <c r="C4944" t="inlineStr">
        <is>
          <t>CORPORATE BANKING</t>
        </is>
      </c>
      <c r="D4944" t="inlineStr">
        <is>
          <t>III</t>
        </is>
      </c>
      <c r="E4944" t="inlineStr">
        <is>
          <t>Stage 3</t>
        </is>
      </c>
      <c r="F4944" t="inlineStr">
        <is>
          <t>N/A</t>
        </is>
      </c>
      <c r="G4944" s="26">
        <v>1497651</v>
      </c>
      <c r="H4944" s="26">
        <v>823708</v>
      </c>
      <c r="I4944" s="26">
        <v>179966</v>
      </c>
      <c r="J4944" s="26">
        <v>30</v>
      </c>
      <c r="K4944" t="inlineStr">
        <is>
          <t>Oui</t>
        </is>
      </c>
      <c r="L4944">
        <f>SUBTOTAL(103,A4944)</f>
        <v>1</v>
      </c>
    </row>
    <row r="4945">
      <c r="A4945" t="inlineStr">
        <is>
          <t>SOCIETE C1140</t>
        </is>
      </c>
      <c r="B4945" t="inlineStr">
        <is>
          <t>C1140</t>
        </is>
      </c>
      <c r="C4945" t="inlineStr">
        <is>
          <t>PUBLIC SECTOR</t>
        </is>
      </c>
      <c r="D4945" t="inlineStr">
        <is>
          <t>I</t>
        </is>
      </c>
      <c r="E4945" t="inlineStr">
        <is>
          <t>Stage 1</t>
        </is>
      </c>
      <c r="F4945" t="inlineStr">
        <is>
          <t>N/A</t>
        </is>
      </c>
      <c r="G4945" s="26">
        <v>496828795</v>
      </c>
      <c r="H4945" s="26">
        <v>4968288</v>
      </c>
      <c r="I4945" s="26">
        <v>0</v>
      </c>
      <c r="J4945" s="26">
        <v>40</v>
      </c>
      <c r="K4945" t="inlineStr">
        <is>
          <t>Non</t>
        </is>
      </c>
      <c r="L4945">
        <f>SUBTOTAL(103,A4945)</f>
        <v>1</v>
      </c>
    </row>
    <row r="4946">
      <c r="A4946" t="inlineStr">
        <is>
          <t>SOCIETE C2477</t>
        </is>
      </c>
      <c r="B4946" t="inlineStr">
        <is>
          <t>C2477</t>
        </is>
      </c>
      <c r="C4946" t="inlineStr">
        <is>
          <t>SME</t>
        </is>
      </c>
      <c r="D4946" t="inlineStr">
        <is>
          <t>I</t>
        </is>
      </c>
      <c r="E4946" t="inlineStr">
        <is>
          <t>Stage 1</t>
        </is>
      </c>
      <c r="F4946" t="inlineStr">
        <is>
          <t>N/A</t>
        </is>
      </c>
      <c r="G4946" s="26">
        <v>6116062</v>
      </c>
      <c r="H4946" s="26">
        <v>61161</v>
      </c>
      <c r="I4946" s="26">
        <v>0</v>
      </c>
      <c r="J4946" s="26">
        <v>132</v>
      </c>
      <c r="K4946" t="inlineStr">
        <is>
          <t>Non</t>
        </is>
      </c>
      <c r="L4946">
        <f>SUBTOTAL(103,A4946)</f>
        <v>1</v>
      </c>
    </row>
    <row r="4947">
      <c r="A4947" t="inlineStr">
        <is>
          <t>SOCIETE C973</t>
        </is>
      </c>
      <c r="B4947" t="inlineStr">
        <is>
          <t>C973</t>
        </is>
      </c>
      <c r="C4947" t="inlineStr">
        <is>
          <t>CORPORATE BANKING</t>
        </is>
      </c>
      <c r="D4947" t="inlineStr">
        <is>
          <t>IA</t>
        </is>
      </c>
      <c r="E4947" t="inlineStr">
        <is>
          <t>Stage 2</t>
        </is>
      </c>
      <c r="F4947" t="inlineStr">
        <is>
          <t>N/A</t>
        </is>
      </c>
      <c r="G4947" s="26">
        <v>3513254</v>
      </c>
      <c r="H4947" s="26">
        <v>210795</v>
      </c>
      <c r="I4947" s="26">
        <v>0</v>
      </c>
      <c r="J4947" s="26">
        <v>204</v>
      </c>
      <c r="K4947" t="inlineStr">
        <is>
          <t>Non</t>
        </is>
      </c>
      <c r="L4947">
        <f>SUBTOTAL(103,A4947)</f>
        <v>1</v>
      </c>
    </row>
    <row r="4948">
      <c r="A4948" t="inlineStr">
        <is>
          <t>SOCIETE C1494</t>
        </is>
      </c>
      <c r="B4948" t="inlineStr">
        <is>
          <t>C1494</t>
        </is>
      </c>
      <c r="C4948" t="inlineStr">
        <is>
          <t>COMMERCIAL BANKING</t>
        </is>
      </c>
      <c r="D4948" t="inlineStr">
        <is>
          <t>I</t>
        </is>
      </c>
      <c r="E4948" t="inlineStr">
        <is>
          <t>Stage 1</t>
        </is>
      </c>
      <c r="F4948" t="inlineStr">
        <is>
          <t>N/A</t>
        </is>
      </c>
      <c r="G4948" s="26">
        <v>236522489</v>
      </c>
      <c r="H4948" s="26">
        <v>2365225</v>
      </c>
      <c r="I4948" s="26">
        <v>0</v>
      </c>
      <c r="J4948" s="26">
        <v>120</v>
      </c>
      <c r="K4948" t="inlineStr">
        <is>
          <t>Non</t>
        </is>
      </c>
      <c r="L4948">
        <f>SUBTOTAL(103,A4948)</f>
        <v>1</v>
      </c>
    </row>
    <row r="4949">
      <c r="A4949" t="inlineStr">
        <is>
          <t>SOCIETE C1504</t>
        </is>
      </c>
      <c r="B4949" t="inlineStr">
        <is>
          <t>C1504</t>
        </is>
      </c>
      <c r="C4949" t="inlineStr">
        <is>
          <t>COMMERCIAL BANKING</t>
        </is>
      </c>
      <c r="D4949" t="inlineStr">
        <is>
          <t>I</t>
        </is>
      </c>
      <c r="E4949" t="inlineStr">
        <is>
          <t>Stage 1</t>
        </is>
      </c>
      <c r="F4949" t="inlineStr">
        <is>
          <t>N/A</t>
        </is>
      </c>
      <c r="G4949" s="26">
        <v>1149174669</v>
      </c>
      <c r="H4949" s="26">
        <v>11491747</v>
      </c>
      <c r="I4949" s="26">
        <v>0</v>
      </c>
      <c r="J4949" s="26">
        <v>0</v>
      </c>
      <c r="K4949" t="inlineStr">
        <is>
          <t>Non</t>
        </is>
      </c>
      <c r="L4949">
        <f>SUBTOTAL(103,A4949)</f>
        <v>1</v>
      </c>
    </row>
    <row r="4950">
      <c r="A4950" t="inlineStr">
        <is>
          <t>SOCIETE C866</t>
        </is>
      </c>
      <c r="B4950" t="inlineStr">
        <is>
          <t>C866</t>
        </is>
      </c>
      <c r="C4950" t="inlineStr">
        <is>
          <t>CORPORATE BANKING</t>
        </is>
      </c>
      <c r="D4950" t="inlineStr">
        <is>
          <t>I</t>
        </is>
      </c>
      <c r="E4950" t="inlineStr">
        <is>
          <t>Stage 1</t>
        </is>
      </c>
      <c r="F4950" t="inlineStr">
        <is>
          <t>N/A</t>
        </is>
      </c>
      <c r="G4950" s="26">
        <v>2820199858</v>
      </c>
      <c r="H4950" s="26">
        <v>28201999</v>
      </c>
      <c r="I4950" s="26">
        <v>0</v>
      </c>
      <c r="J4950" s="26">
        <v>130</v>
      </c>
      <c r="K4950" t="inlineStr">
        <is>
          <t>Non</t>
        </is>
      </c>
      <c r="L4950">
        <f>SUBTOTAL(103,A4950)</f>
        <v>1</v>
      </c>
    </row>
    <row r="4951">
      <c r="A4951" t="inlineStr">
        <is>
          <t>SOCIETE C1181</t>
        </is>
      </c>
      <c r="B4951" t="inlineStr">
        <is>
          <t>C1181</t>
        </is>
      </c>
      <c r="C4951" t="inlineStr">
        <is>
          <t>CORPORATE BANKING</t>
        </is>
      </c>
      <c r="D4951" t="inlineStr">
        <is>
          <t>III</t>
        </is>
      </c>
      <c r="E4951" t="inlineStr">
        <is>
          <t>Stage 3</t>
        </is>
      </c>
      <c r="F4951" t="inlineStr">
        <is>
          <t>N/A</t>
        </is>
      </c>
      <c r="G4951" s="26">
        <v>2704741700</v>
      </c>
      <c r="H4951" s="26">
        <v>1487607935</v>
      </c>
      <c r="I4951" s="26">
        <v>0</v>
      </c>
      <c r="J4951" s="26">
        <v>151</v>
      </c>
      <c r="K4951" t="inlineStr">
        <is>
          <t>Oui</t>
        </is>
      </c>
      <c r="L4951">
        <f>SUBTOTAL(103,A4951)</f>
        <v>1</v>
      </c>
    </row>
    <row r="4952">
      <c r="A4952" t="inlineStr">
        <is>
          <t>SOCIETE C437</t>
        </is>
      </c>
      <c r="B4952" t="inlineStr">
        <is>
          <t>C437</t>
        </is>
      </c>
      <c r="C4952" t="inlineStr">
        <is>
          <t>CORPORATE BANKING</t>
        </is>
      </c>
      <c r="D4952" t="inlineStr">
        <is>
          <t>I</t>
        </is>
      </c>
      <c r="E4952" t="inlineStr">
        <is>
          <t>Stage 1</t>
        </is>
      </c>
      <c r="F4952" t="inlineStr">
        <is>
          <t>N/A</t>
        </is>
      </c>
      <c r="G4952" s="26">
        <v>111804472</v>
      </c>
      <c r="H4952" s="26">
        <v>1118045</v>
      </c>
      <c r="I4952" s="26">
        <v>10613839</v>
      </c>
      <c r="J4952" s="26">
        <v>113</v>
      </c>
      <c r="K4952" t="inlineStr">
        <is>
          <t>Non</t>
        </is>
      </c>
      <c r="L4952">
        <f>SUBTOTAL(103,A4952)</f>
        <v>1</v>
      </c>
    </row>
    <row r="4953">
      <c r="A4953" t="inlineStr">
        <is>
          <t>SOCIETE C1304</t>
        </is>
      </c>
      <c r="B4953" t="inlineStr">
        <is>
          <t>C1304</t>
        </is>
      </c>
      <c r="C4953" t="inlineStr">
        <is>
          <t>CORPORATE BANKING</t>
        </is>
      </c>
      <c r="D4953" t="inlineStr">
        <is>
          <t>IA</t>
        </is>
      </c>
      <c r="E4953" t="inlineStr">
        <is>
          <t>Stage 2</t>
        </is>
      </c>
      <c r="F4953" t="inlineStr">
        <is>
          <t>N/A</t>
        </is>
      </c>
      <c r="G4953" s="26">
        <v>1842261</v>
      </c>
      <c r="H4953" s="26">
        <v>110536</v>
      </c>
      <c r="I4953" s="26">
        <v>0</v>
      </c>
      <c r="J4953" s="26">
        <v>324</v>
      </c>
      <c r="K4953" t="inlineStr">
        <is>
          <t>Non</t>
        </is>
      </c>
      <c r="L4953">
        <f>SUBTOTAL(103,A4953)</f>
        <v>1</v>
      </c>
    </row>
    <row r="4954">
      <c r="A4954" t="inlineStr">
        <is>
          <t>SOCIETE C967</t>
        </is>
      </c>
      <c r="B4954" t="inlineStr">
        <is>
          <t>C967</t>
        </is>
      </c>
      <c r="C4954" t="inlineStr">
        <is>
          <t>CONSUMER BANKING</t>
        </is>
      </c>
      <c r="D4954" t="inlineStr">
        <is>
          <t>I</t>
        </is>
      </c>
      <c r="E4954" t="inlineStr">
        <is>
          <t>Stage 1</t>
        </is>
      </c>
      <c r="F4954" t="inlineStr">
        <is>
          <t>N/A</t>
        </is>
      </c>
      <c r="G4954" s="26">
        <v>399484867</v>
      </c>
      <c r="H4954" s="26">
        <v>3994849</v>
      </c>
      <c r="I4954" s="26">
        <v>2296070</v>
      </c>
      <c r="J4954" s="26">
        <v>115</v>
      </c>
      <c r="K4954" t="inlineStr">
        <is>
          <t>Non</t>
        </is>
      </c>
      <c r="L4954">
        <f>SUBTOTAL(103,A4954)</f>
        <v>1</v>
      </c>
    </row>
    <row r="4955">
      <c r="A4955" t="inlineStr">
        <is>
          <t>SOCIETE C205</t>
        </is>
      </c>
      <c r="B4955" t="inlineStr">
        <is>
          <t>C205</t>
        </is>
      </c>
      <c r="C4955" t="inlineStr">
        <is>
          <t>PUBLIC SECTOR</t>
        </is>
      </c>
      <c r="D4955" t="inlineStr">
        <is>
          <t>IV</t>
        </is>
      </c>
      <c r="E4955" t="inlineStr">
        <is>
          <t>Stage 3</t>
        </is>
      </c>
      <c r="F4955" t="inlineStr">
        <is>
          <t>N/A</t>
        </is>
      </c>
      <c r="G4955" s="26">
        <v>103690941</v>
      </c>
      <c r="H4955" s="26">
        <v>57030017</v>
      </c>
      <c r="I4955" s="26">
        <v>7831359</v>
      </c>
      <c r="J4955" s="26">
        <v>148</v>
      </c>
      <c r="K4955" t="inlineStr">
        <is>
          <t>Oui</t>
        </is>
      </c>
      <c r="L4955">
        <f>SUBTOTAL(103,A4955)</f>
        <v>1</v>
      </c>
    </row>
    <row r="4956">
      <c r="A4956" t="inlineStr">
        <is>
          <t>SOCIETE C1895</t>
        </is>
      </c>
      <c r="B4956" t="inlineStr">
        <is>
          <t>C1895</t>
        </is>
      </c>
      <c r="C4956" t="inlineStr">
        <is>
          <t>CORPORATE BANKING</t>
        </is>
      </c>
      <c r="D4956" t="inlineStr">
        <is>
          <t>I</t>
        </is>
      </c>
      <c r="E4956" t="inlineStr">
        <is>
          <t>Stage 1</t>
        </is>
      </c>
      <c r="F4956" t="inlineStr">
        <is>
          <t>N/A</t>
        </is>
      </c>
      <c r="G4956" s="26">
        <v>35831660</v>
      </c>
      <c r="H4956" s="26">
        <v>358317</v>
      </c>
      <c r="I4956" s="26">
        <v>6251171</v>
      </c>
      <c r="J4956" s="26">
        <v>168</v>
      </c>
      <c r="K4956" t="inlineStr">
        <is>
          <t>Non</t>
        </is>
      </c>
      <c r="L4956">
        <f>SUBTOTAL(103,A4956)</f>
        <v>1</v>
      </c>
    </row>
    <row r="4957">
      <c r="A4957" t="inlineStr">
        <is>
          <t>SOCIETE C1733</t>
        </is>
      </c>
      <c r="B4957" t="inlineStr">
        <is>
          <t>C1733</t>
        </is>
      </c>
      <c r="C4957" t="inlineStr">
        <is>
          <t>COMMERCIAL BANKING</t>
        </is>
      </c>
      <c r="D4957" t="inlineStr">
        <is>
          <t>I</t>
        </is>
      </c>
      <c r="E4957" t="inlineStr">
        <is>
          <t>Stage 1</t>
        </is>
      </c>
      <c r="F4957" t="inlineStr">
        <is>
          <t>N/A</t>
        </is>
      </c>
      <c r="G4957" s="26">
        <v>8856991</v>
      </c>
      <c r="H4957" s="26">
        <v>88570</v>
      </c>
      <c r="I4957" s="26">
        <v>0</v>
      </c>
      <c r="J4957" s="26">
        <v>63</v>
      </c>
      <c r="K4957" t="inlineStr">
        <is>
          <t>Non</t>
        </is>
      </c>
      <c r="L4957">
        <f>SUBTOTAL(103,A4957)</f>
        <v>1</v>
      </c>
    </row>
    <row r="4958">
      <c r="A4958" t="inlineStr">
        <is>
          <t>SOCIETE C2462</t>
        </is>
      </c>
      <c r="B4958" t="inlineStr">
        <is>
          <t>C2462</t>
        </is>
      </c>
      <c r="C4958" t="inlineStr">
        <is>
          <t>COMMERCIAL BANKING</t>
        </is>
      </c>
      <c r="D4958" t="inlineStr">
        <is>
          <t>IV</t>
        </is>
      </c>
      <c r="E4958" t="inlineStr">
        <is>
          <t>Stage 3</t>
        </is>
      </c>
      <c r="F4958" t="inlineStr">
        <is>
          <t>N/A</t>
        </is>
      </c>
      <c r="G4958" s="26">
        <v>25552201</v>
      </c>
      <c r="H4958" s="26">
        <v>14053710</v>
      </c>
      <c r="I4958" s="26">
        <v>4354237</v>
      </c>
      <c r="J4958" s="26">
        <v>5</v>
      </c>
      <c r="K4958" t="inlineStr">
        <is>
          <t>Oui</t>
        </is>
      </c>
      <c r="L4958">
        <f>SUBTOTAL(103,A4958)</f>
        <v>1</v>
      </c>
    </row>
    <row r="4959">
      <c r="A4959" t="inlineStr">
        <is>
          <t>SOCIETE C1461</t>
        </is>
      </c>
      <c r="B4959" t="inlineStr">
        <is>
          <t>C1461</t>
        </is>
      </c>
      <c r="C4959" t="inlineStr">
        <is>
          <t>CORPORATE BANKING</t>
        </is>
      </c>
      <c r="D4959" t="inlineStr">
        <is>
          <t>IV</t>
        </is>
      </c>
      <c r="E4959" t="inlineStr">
        <is>
          <t>Stage 3</t>
        </is>
      </c>
      <c r="F4959" t="inlineStr">
        <is>
          <t>N/A</t>
        </is>
      </c>
      <c r="G4959" s="26">
        <v>1148847</v>
      </c>
      <c r="H4959" s="26">
        <v>631866</v>
      </c>
      <c r="I4959" s="26">
        <v>0</v>
      </c>
      <c r="J4959" s="26">
        <v>185</v>
      </c>
      <c r="K4959" t="inlineStr">
        <is>
          <t>Oui</t>
        </is>
      </c>
      <c r="L4959">
        <f>SUBTOTAL(103,A4959)</f>
        <v>1</v>
      </c>
    </row>
    <row r="4960">
      <c r="A4960" t="inlineStr">
        <is>
          <t>SOCIETE C1573</t>
        </is>
      </c>
      <c r="B4960" t="inlineStr">
        <is>
          <t>C1573</t>
        </is>
      </c>
      <c r="C4960" t="inlineStr">
        <is>
          <t>CONSUMER BANKING</t>
        </is>
      </c>
      <c r="D4960" t="inlineStr">
        <is>
          <t>I</t>
        </is>
      </c>
      <c r="E4960" t="inlineStr">
        <is>
          <t>Stage 1</t>
        </is>
      </c>
      <c r="F4960" t="inlineStr">
        <is>
          <t>N/A</t>
        </is>
      </c>
      <c r="G4960" s="26">
        <v>1202199883</v>
      </c>
      <c r="H4960" s="26">
        <v>12021999</v>
      </c>
      <c r="I4960" s="26">
        <v>175126890</v>
      </c>
      <c r="J4960" s="26">
        <v>165</v>
      </c>
      <c r="K4960" t="inlineStr">
        <is>
          <t>Non</t>
        </is>
      </c>
      <c r="L4960">
        <f>SUBTOTAL(103,A4960)</f>
        <v>1</v>
      </c>
    </row>
    <row r="4961">
      <c r="A4961" t="inlineStr">
        <is>
          <t>SOCIETE C1377</t>
        </is>
      </c>
      <c r="B4961" t="inlineStr">
        <is>
          <t>C1377</t>
        </is>
      </c>
      <c r="C4961" t="inlineStr">
        <is>
          <t>INSTITUTIONAL</t>
        </is>
      </c>
      <c r="D4961" t="inlineStr">
        <is>
          <t>IV</t>
        </is>
      </c>
      <c r="E4961" t="inlineStr">
        <is>
          <t>Stage 3</t>
        </is>
      </c>
      <c r="F4961" t="inlineStr">
        <is>
          <t>N/A</t>
        </is>
      </c>
      <c r="G4961" s="26">
        <v>1140432085</v>
      </c>
      <c r="H4961" s="26">
        <v>627237646</v>
      </c>
      <c r="I4961" s="26">
        <v>0</v>
      </c>
      <c r="J4961" s="26">
        <v>2</v>
      </c>
      <c r="K4961" t="inlineStr">
        <is>
          <t>Oui</t>
        </is>
      </c>
      <c r="L4961">
        <f>SUBTOTAL(103,A4961)</f>
        <v>1</v>
      </c>
    </row>
    <row r="4962">
      <c r="A4962" t="inlineStr">
        <is>
          <t>SOCIETE C1301</t>
        </is>
      </c>
      <c r="B4962" t="inlineStr">
        <is>
          <t>C1301</t>
        </is>
      </c>
      <c r="C4962" t="inlineStr">
        <is>
          <t>CORPORATE BANKING</t>
        </is>
      </c>
      <c r="D4962" t="inlineStr">
        <is>
          <t>I</t>
        </is>
      </c>
      <c r="E4962" t="inlineStr">
        <is>
          <t>Stage 1</t>
        </is>
      </c>
      <c r="F4962" t="inlineStr">
        <is>
          <t>N/A</t>
        </is>
      </c>
      <c r="G4962" s="26">
        <v>1815111535</v>
      </c>
      <c r="H4962" s="26">
        <v>18151115</v>
      </c>
      <c r="I4962" s="26">
        <v>0</v>
      </c>
      <c r="J4962" s="26">
        <v>29</v>
      </c>
      <c r="K4962" t="inlineStr">
        <is>
          <t>Non</t>
        </is>
      </c>
      <c r="L4962">
        <f>SUBTOTAL(103,A4962)</f>
        <v>1</v>
      </c>
    </row>
    <row r="4963">
      <c r="A4963" t="inlineStr">
        <is>
          <t>SOCIETE C779</t>
        </is>
      </c>
      <c r="B4963" t="inlineStr">
        <is>
          <t>C779</t>
        </is>
      </c>
      <c r="C4963" t="inlineStr">
        <is>
          <t>CORPORATE BANKING</t>
        </is>
      </c>
      <c r="D4963" t="inlineStr">
        <is>
          <t>V</t>
        </is>
      </c>
      <c r="E4963" t="inlineStr">
        <is>
          <t>Stage 3</t>
        </is>
      </c>
      <c r="F4963" t="inlineStr">
        <is>
          <t>N/A</t>
        </is>
      </c>
      <c r="G4963" s="26">
        <v>78168536</v>
      </c>
      <c r="H4963" s="26">
        <v>42992695</v>
      </c>
      <c r="I4963" s="26">
        <v>0</v>
      </c>
      <c r="J4963" s="26">
        <v>88</v>
      </c>
      <c r="K4963" t="inlineStr">
        <is>
          <t>Oui</t>
        </is>
      </c>
      <c r="L4963">
        <f>SUBTOTAL(103,A4963)</f>
        <v>1</v>
      </c>
    </row>
    <row r="4964">
      <c r="A4964" t="inlineStr">
        <is>
          <t>SOCIETE C1182</t>
        </is>
      </c>
      <c r="B4964" t="inlineStr">
        <is>
          <t>C1182</t>
        </is>
      </c>
      <c r="C4964" t="inlineStr">
        <is>
          <t>COMMERCIAL BANKING</t>
        </is>
      </c>
      <c r="D4964" t="inlineStr">
        <is>
          <t>I</t>
        </is>
      </c>
      <c r="E4964" t="inlineStr">
        <is>
          <t>Stage 1</t>
        </is>
      </c>
      <c r="F4964" t="inlineStr">
        <is>
          <t>N/A</t>
        </is>
      </c>
      <c r="G4964" s="26">
        <v>4096183</v>
      </c>
      <c r="H4964" s="26">
        <v>40962</v>
      </c>
      <c r="I4964" s="26">
        <v>0</v>
      </c>
      <c r="J4964" s="26">
        <v>0</v>
      </c>
      <c r="K4964" t="inlineStr">
        <is>
          <t>Non</t>
        </is>
      </c>
      <c r="L4964">
        <f>SUBTOTAL(103,A4964)</f>
        <v>1</v>
      </c>
    </row>
    <row r="4965">
      <c r="A4965" t="inlineStr">
        <is>
          <t>SOCIETE C1640</t>
        </is>
      </c>
      <c r="B4965" t="inlineStr">
        <is>
          <t>C1640</t>
        </is>
      </c>
      <c r="C4965" t="inlineStr">
        <is>
          <t>CONSUMER BANKING</t>
        </is>
      </c>
      <c r="D4965" t="inlineStr">
        <is>
          <t>I</t>
        </is>
      </c>
      <c r="E4965" t="inlineStr">
        <is>
          <t>Stage 1</t>
        </is>
      </c>
      <c r="F4965" t="inlineStr">
        <is>
          <t>N/A</t>
        </is>
      </c>
      <c r="G4965" s="26">
        <v>1680770051</v>
      </c>
      <c r="H4965" s="26">
        <v>16807701</v>
      </c>
      <c r="I4965" s="26">
        <v>0</v>
      </c>
      <c r="J4965" s="26">
        <v>290</v>
      </c>
      <c r="K4965" t="inlineStr">
        <is>
          <t>Non</t>
        </is>
      </c>
      <c r="L4965">
        <f>SUBTOTAL(103,A4965)</f>
        <v>1</v>
      </c>
    </row>
    <row r="4966">
      <c r="A4966" t="inlineStr">
        <is>
          <t>SOCIETE C2007</t>
        </is>
      </c>
      <c r="B4966" t="inlineStr">
        <is>
          <t>C2007</t>
        </is>
      </c>
      <c r="C4966" t="inlineStr">
        <is>
          <t>CORPORATE BANKING</t>
        </is>
      </c>
      <c r="D4966" t="inlineStr">
        <is>
          <t>V</t>
        </is>
      </c>
      <c r="E4966" t="inlineStr">
        <is>
          <t>Stage 3</t>
        </is>
      </c>
      <c r="F4966" t="inlineStr">
        <is>
          <t>N/A</t>
        </is>
      </c>
      <c r="G4966" s="26">
        <v>67819666</v>
      </c>
      <c r="H4966" s="26">
        <v>37300816</v>
      </c>
      <c r="I4966" s="26">
        <v>0</v>
      </c>
      <c r="J4966" s="26">
        <v>74</v>
      </c>
      <c r="K4966" t="inlineStr">
        <is>
          <t>Oui</t>
        </is>
      </c>
      <c r="L4966">
        <f>SUBTOTAL(103,A4966)</f>
        <v>1</v>
      </c>
    </row>
    <row r="4967">
      <c r="A4967" t="inlineStr">
        <is>
          <t>SOCIETE C652</t>
        </is>
      </c>
      <c r="B4967" t="inlineStr">
        <is>
          <t>C652</t>
        </is>
      </c>
      <c r="C4967" t="inlineStr">
        <is>
          <t>CORPORATE BANKING</t>
        </is>
      </c>
      <c r="D4967" t="inlineStr">
        <is>
          <t>I</t>
        </is>
      </c>
      <c r="E4967" t="inlineStr">
        <is>
          <t>Stage 1</t>
        </is>
      </c>
      <c r="F4967" t="inlineStr">
        <is>
          <t>N/A</t>
        </is>
      </c>
      <c r="G4967" s="26">
        <v>963616580</v>
      </c>
      <c r="H4967" s="26">
        <v>9636166</v>
      </c>
      <c r="I4967" s="26">
        <v>0</v>
      </c>
      <c r="J4967" s="26">
        <v>279</v>
      </c>
      <c r="K4967" t="inlineStr">
        <is>
          <t>Non</t>
        </is>
      </c>
      <c r="L4967">
        <f>SUBTOTAL(103,A4967)</f>
        <v>1</v>
      </c>
    </row>
    <row r="4968">
      <c r="A4968" t="inlineStr">
        <is>
          <t>SOCIETE C1390</t>
        </is>
      </c>
      <c r="B4968" t="inlineStr">
        <is>
          <t>C1390</t>
        </is>
      </c>
      <c r="C4968" t="inlineStr">
        <is>
          <t>SME</t>
        </is>
      </c>
      <c r="D4968" t="inlineStr">
        <is>
          <t>IA</t>
        </is>
      </c>
      <c r="E4968" t="inlineStr">
        <is>
          <t>Stage 2</t>
        </is>
      </c>
      <c r="F4968" t="inlineStr">
        <is>
          <t>N/A</t>
        </is>
      </c>
      <c r="G4968" s="26">
        <v>6907037</v>
      </c>
      <c r="H4968" s="26">
        <v>414422</v>
      </c>
      <c r="I4968" s="26">
        <v>0</v>
      </c>
      <c r="J4968" s="26">
        <v>126</v>
      </c>
      <c r="K4968" t="inlineStr">
        <is>
          <t>Non</t>
        </is>
      </c>
      <c r="L4968">
        <f>SUBTOTAL(103,A4968)</f>
        <v>1</v>
      </c>
    </row>
    <row r="4969">
      <c r="A4969" t="inlineStr">
        <is>
          <t>SOCIETE C2035</t>
        </is>
      </c>
      <c r="B4969" t="inlineStr">
        <is>
          <t>C2035</t>
        </is>
      </c>
      <c r="C4969" t="inlineStr">
        <is>
          <t>PUBLIC SECTOR</t>
        </is>
      </c>
      <c r="D4969" t="inlineStr">
        <is>
          <t>III</t>
        </is>
      </c>
      <c r="E4969" t="inlineStr">
        <is>
          <t>Stage 3</t>
        </is>
      </c>
      <c r="F4969" t="inlineStr">
        <is>
          <t>N/A</t>
        </is>
      </c>
      <c r="G4969" s="26">
        <v>1743806252</v>
      </c>
      <c r="H4969" s="26">
        <v>959093439</v>
      </c>
      <c r="I4969" s="26">
        <v>195401184</v>
      </c>
      <c r="J4969" s="26">
        <v>32</v>
      </c>
      <c r="K4969" t="inlineStr">
        <is>
          <t>Oui</t>
        </is>
      </c>
      <c r="L4969">
        <f>SUBTOTAL(103,A4969)</f>
        <v>1</v>
      </c>
    </row>
    <row r="4970">
      <c r="A4970" t="inlineStr">
        <is>
          <t>SOCIETE C2383</t>
        </is>
      </c>
      <c r="B4970" t="inlineStr">
        <is>
          <t>C2383</t>
        </is>
      </c>
      <c r="C4970" t="inlineStr">
        <is>
          <t>CORPORATE BANKING</t>
        </is>
      </c>
      <c r="D4970" t="inlineStr">
        <is>
          <t>IA</t>
        </is>
      </c>
      <c r="E4970" t="inlineStr">
        <is>
          <t>Stage 2</t>
        </is>
      </c>
      <c r="F4970" t="inlineStr">
        <is>
          <t>N/A</t>
        </is>
      </c>
      <c r="G4970" s="26">
        <v>66061272</v>
      </c>
      <c r="H4970" s="26">
        <v>3963676</v>
      </c>
      <c r="I4970" s="26">
        <v>0</v>
      </c>
      <c r="J4970" s="26">
        <v>140</v>
      </c>
      <c r="K4970" t="inlineStr">
        <is>
          <t>Non</t>
        </is>
      </c>
      <c r="L4970">
        <f>SUBTOTAL(103,A4970)</f>
        <v>1</v>
      </c>
    </row>
    <row r="4971">
      <c r="A4971" t="inlineStr">
        <is>
          <t>SOCIETE C491</t>
        </is>
      </c>
      <c r="B4971" t="inlineStr">
        <is>
          <t>C491</t>
        </is>
      </c>
      <c r="C4971" t="inlineStr">
        <is>
          <t>CORPORATE BANKING</t>
        </is>
      </c>
      <c r="D4971" t="inlineStr">
        <is>
          <t>II</t>
        </is>
      </c>
      <c r="E4971" t="inlineStr">
        <is>
          <t>Stage 2</t>
        </is>
      </c>
      <c r="F4971" t="inlineStr">
        <is>
          <t>N/A</t>
        </is>
      </c>
      <c r="G4971" s="26">
        <v>2735698238</v>
      </c>
      <c r="H4971" s="26">
        <v>164141894</v>
      </c>
      <c r="I4971" s="26">
        <v>0</v>
      </c>
      <c r="J4971" s="26">
        <v>19</v>
      </c>
      <c r="K4971" t="inlineStr">
        <is>
          <t>Non</t>
        </is>
      </c>
      <c r="L4971">
        <f>SUBTOTAL(103,A4971)</f>
        <v>1</v>
      </c>
    </row>
    <row r="4972">
      <c r="A4972" t="inlineStr">
        <is>
          <t>SOCIETE C1674</t>
        </is>
      </c>
      <c r="B4972" t="inlineStr">
        <is>
          <t>C1674</t>
        </is>
      </c>
      <c r="C4972" t="inlineStr">
        <is>
          <t>PUBLIC SECTOR</t>
        </is>
      </c>
      <c r="D4972" t="inlineStr">
        <is>
          <t>III</t>
        </is>
      </c>
      <c r="E4972" t="inlineStr">
        <is>
          <t>Stage 3</t>
        </is>
      </c>
      <c r="F4972" t="inlineStr">
        <is>
          <t>N/A</t>
        </is>
      </c>
      <c r="G4972" s="26">
        <v>1061747469</v>
      </c>
      <c r="H4972" s="26">
        <v>583961108</v>
      </c>
      <c r="I4972" s="26">
        <v>0</v>
      </c>
      <c r="J4972" s="26">
        <v>51</v>
      </c>
      <c r="K4972" t="inlineStr">
        <is>
          <t>Oui</t>
        </is>
      </c>
      <c r="L4972">
        <f>SUBTOTAL(103,A4972)</f>
        <v>1</v>
      </c>
    </row>
    <row r="4973">
      <c r="A4973" t="inlineStr">
        <is>
          <t>SOCIETE C541</t>
        </is>
      </c>
      <c r="B4973" t="inlineStr">
        <is>
          <t>C541</t>
        </is>
      </c>
      <c r="C4973" t="inlineStr">
        <is>
          <t>COMMERCIAL BANKING</t>
        </is>
      </c>
      <c r="D4973" t="inlineStr">
        <is>
          <t>I</t>
        </is>
      </c>
      <c r="E4973" t="inlineStr">
        <is>
          <t>Stage 1</t>
        </is>
      </c>
      <c r="F4973" t="inlineStr">
        <is>
          <t>N/A</t>
        </is>
      </c>
      <c r="G4973" s="26">
        <v>234722404</v>
      </c>
      <c r="H4973" s="26">
        <v>2347224</v>
      </c>
      <c r="I4973" s="26">
        <v>0</v>
      </c>
      <c r="J4973" s="26">
        <v>45</v>
      </c>
      <c r="K4973" t="inlineStr">
        <is>
          <t>Non</t>
        </is>
      </c>
      <c r="L4973">
        <f>SUBTOTAL(103,A4973)</f>
        <v>1</v>
      </c>
    </row>
    <row r="4974">
      <c r="A4974" t="inlineStr">
        <is>
          <t>SOCIETE C624</t>
        </is>
      </c>
      <c r="B4974" t="inlineStr">
        <is>
          <t>C624</t>
        </is>
      </c>
      <c r="C4974" t="inlineStr">
        <is>
          <t>COMMERCIAL BANKING</t>
        </is>
      </c>
      <c r="D4974" t="inlineStr">
        <is>
          <t>I</t>
        </is>
      </c>
      <c r="E4974" t="inlineStr">
        <is>
          <t>Stage 1</t>
        </is>
      </c>
      <c r="F4974" t="inlineStr">
        <is>
          <t>N/A</t>
        </is>
      </c>
      <c r="G4974" s="26">
        <v>50829995</v>
      </c>
      <c r="H4974" s="26">
        <v>508300</v>
      </c>
      <c r="I4974" s="26">
        <v>0</v>
      </c>
      <c r="J4974" s="26">
        <v>85</v>
      </c>
      <c r="K4974" t="inlineStr">
        <is>
          <t>Non</t>
        </is>
      </c>
      <c r="L4974">
        <f>SUBTOTAL(103,A4974)</f>
        <v>1</v>
      </c>
    </row>
    <row r="4975">
      <c r="A4975" t="inlineStr">
        <is>
          <t>SOCIETE C998</t>
        </is>
      </c>
      <c r="B4975" t="inlineStr">
        <is>
          <t>C998</t>
        </is>
      </c>
      <c r="C4975" t="inlineStr">
        <is>
          <t>COMMERCIAL BANKING</t>
        </is>
      </c>
      <c r="D4975" t="inlineStr">
        <is>
          <t>I</t>
        </is>
      </c>
      <c r="E4975" t="inlineStr">
        <is>
          <t>Stage 1</t>
        </is>
      </c>
      <c r="F4975" t="inlineStr">
        <is>
          <t>N/A</t>
        </is>
      </c>
      <c r="G4975" s="26">
        <v>2797171077</v>
      </c>
      <c r="H4975" s="26">
        <v>27971711</v>
      </c>
      <c r="I4975" s="26">
        <v>0</v>
      </c>
      <c r="J4975" s="26">
        <v>5</v>
      </c>
      <c r="K4975" t="inlineStr">
        <is>
          <t>Non</t>
        </is>
      </c>
      <c r="L4975">
        <f>SUBTOTAL(103,A4975)</f>
        <v>1</v>
      </c>
    </row>
    <row r="4976">
      <c r="A4976" t="inlineStr">
        <is>
          <t>SOCIETE C1897</t>
        </is>
      </c>
      <c r="B4976" t="inlineStr">
        <is>
          <t>C1897</t>
        </is>
      </c>
      <c r="C4976" t="inlineStr">
        <is>
          <t>CORPORATE BANKING</t>
        </is>
      </c>
      <c r="D4976" t="inlineStr">
        <is>
          <t>IV</t>
        </is>
      </c>
      <c r="E4976" t="inlineStr">
        <is>
          <t>Stage 3</t>
        </is>
      </c>
      <c r="F4976" t="inlineStr">
        <is>
          <t>N/A</t>
        </is>
      </c>
      <c r="G4976" s="26">
        <v>288896071</v>
      </c>
      <c r="H4976" s="26">
        <v>158892839</v>
      </c>
      <c r="I4976" s="26">
        <v>55140931</v>
      </c>
      <c r="J4976" s="26">
        <v>74</v>
      </c>
      <c r="K4976" t="inlineStr">
        <is>
          <t>Oui</t>
        </is>
      </c>
      <c r="L4976">
        <f>SUBTOTAL(103,A4976)</f>
        <v>1</v>
      </c>
    </row>
    <row r="4977">
      <c r="A4977" t="inlineStr">
        <is>
          <t>SOCIETE C833</t>
        </is>
      </c>
      <c r="B4977" t="inlineStr">
        <is>
          <t>C833</t>
        </is>
      </c>
      <c r="C4977" t="inlineStr">
        <is>
          <t>CORPORATE BANKING</t>
        </is>
      </c>
      <c r="D4977" t="inlineStr">
        <is>
          <t>I</t>
        </is>
      </c>
      <c r="E4977" t="inlineStr">
        <is>
          <t>Stage 1</t>
        </is>
      </c>
      <c r="F4977" t="inlineStr">
        <is>
          <t>N/A</t>
        </is>
      </c>
      <c r="G4977" s="26">
        <v>985890672</v>
      </c>
      <c r="H4977" s="26">
        <v>9858907</v>
      </c>
      <c r="I4977" s="26">
        <v>0</v>
      </c>
      <c r="J4977" s="26">
        <v>148</v>
      </c>
      <c r="K4977" t="inlineStr">
        <is>
          <t>Non</t>
        </is>
      </c>
      <c r="L4977">
        <f>SUBTOTAL(103,A4977)</f>
        <v>1</v>
      </c>
    </row>
    <row r="4978">
      <c r="A4978" t="inlineStr">
        <is>
          <t>SOCIETE C1525</t>
        </is>
      </c>
      <c r="B4978" t="inlineStr">
        <is>
          <t>C1525</t>
        </is>
      </c>
      <c r="C4978" t="inlineStr">
        <is>
          <t>CONSUMER BANKING</t>
        </is>
      </c>
      <c r="D4978" t="inlineStr">
        <is>
          <t>I</t>
        </is>
      </c>
      <c r="E4978" t="inlineStr">
        <is>
          <t>Stage 1</t>
        </is>
      </c>
      <c r="F4978" t="inlineStr">
        <is>
          <t>N/A</t>
        </is>
      </c>
      <c r="G4978" s="26">
        <v>54155955</v>
      </c>
      <c r="H4978" s="26">
        <v>541560</v>
      </c>
      <c r="I4978" s="26">
        <v>8627931</v>
      </c>
      <c r="J4978" s="26">
        <v>49</v>
      </c>
      <c r="K4978" t="inlineStr">
        <is>
          <t>Non</t>
        </is>
      </c>
      <c r="L4978">
        <f>SUBTOTAL(103,A4978)</f>
        <v>1</v>
      </c>
    </row>
    <row r="4979">
      <c r="A4979" t="inlineStr">
        <is>
          <t>SOCIETE C774</t>
        </is>
      </c>
      <c r="B4979" t="inlineStr">
        <is>
          <t>C774</t>
        </is>
      </c>
      <c r="C4979" t="inlineStr">
        <is>
          <t>COMMERCIAL BANKING</t>
        </is>
      </c>
      <c r="D4979" t="inlineStr">
        <is>
          <t>III</t>
        </is>
      </c>
      <c r="E4979" t="inlineStr">
        <is>
          <t>Stage 3</t>
        </is>
      </c>
      <c r="F4979" t="inlineStr">
        <is>
          <t>N/A</t>
        </is>
      </c>
      <c r="G4979" s="26">
        <v>1548237343</v>
      </c>
      <c r="H4979" s="26">
        <v>851530539</v>
      </c>
      <c r="I4979" s="26">
        <v>123875229</v>
      </c>
      <c r="J4979" s="26">
        <v>248</v>
      </c>
      <c r="K4979" t="inlineStr">
        <is>
          <t>Oui</t>
        </is>
      </c>
      <c r="L4979">
        <f>SUBTOTAL(103,A4979)</f>
        <v>1</v>
      </c>
    </row>
    <row r="4980">
      <c r="A4980" t="inlineStr">
        <is>
          <t>SOCIETE C1188</t>
        </is>
      </c>
      <c r="B4980" t="inlineStr">
        <is>
          <t>C1188</t>
        </is>
      </c>
      <c r="C4980" t="inlineStr">
        <is>
          <t>CORPORATE BANKING</t>
        </is>
      </c>
      <c r="D4980" t="inlineStr">
        <is>
          <t>V</t>
        </is>
      </c>
      <c r="E4980" t="inlineStr">
        <is>
          <t>Stage 3</t>
        </is>
      </c>
      <c r="F4980" t="inlineStr">
        <is>
          <t>N/A</t>
        </is>
      </c>
      <c r="G4980" s="26">
        <v>19670160</v>
      </c>
      <c r="H4980" s="26">
        <v>10818588</v>
      </c>
      <c r="I4980" s="26">
        <v>0</v>
      </c>
      <c r="J4980" s="26">
        <v>159</v>
      </c>
      <c r="K4980" t="inlineStr">
        <is>
          <t>Oui</t>
        </is>
      </c>
      <c r="L4980">
        <f>SUBTOTAL(103,A4980)</f>
        <v>1</v>
      </c>
    </row>
    <row r="4981">
      <c r="A4981" t="inlineStr">
        <is>
          <t>SOCIETE C179</t>
        </is>
      </c>
      <c r="B4981" t="inlineStr">
        <is>
          <t>C179</t>
        </is>
      </c>
      <c r="C4981" t="inlineStr">
        <is>
          <t>PUBLIC SECTOR</t>
        </is>
      </c>
      <c r="D4981" t="inlineStr">
        <is>
          <t>I</t>
        </is>
      </c>
      <c r="E4981" t="inlineStr">
        <is>
          <t>Stage 1</t>
        </is>
      </c>
      <c r="F4981" t="inlineStr">
        <is>
          <t>N/A</t>
        </is>
      </c>
      <c r="G4981" s="26">
        <v>804573830</v>
      </c>
      <c r="H4981" s="26">
        <v>8045738</v>
      </c>
      <c r="I4981" s="26">
        <v>85237027</v>
      </c>
      <c r="J4981" s="26">
        <v>181</v>
      </c>
      <c r="K4981" t="inlineStr">
        <is>
          <t>Non</t>
        </is>
      </c>
      <c r="L4981">
        <f>SUBTOTAL(103,A4981)</f>
        <v>1</v>
      </c>
    </row>
    <row r="4982">
      <c r="A4982" t="inlineStr">
        <is>
          <t>SOCIETE C322</t>
        </is>
      </c>
      <c r="B4982" t="inlineStr">
        <is>
          <t>C322</t>
        </is>
      </c>
      <c r="C4982" t="inlineStr">
        <is>
          <t>COMMERCIAL BANKING</t>
        </is>
      </c>
      <c r="D4982" t="inlineStr">
        <is>
          <t>IV</t>
        </is>
      </c>
      <c r="E4982" t="inlineStr">
        <is>
          <t>Stage 3</t>
        </is>
      </c>
      <c r="F4982" t="inlineStr">
        <is>
          <t>N/A</t>
        </is>
      </c>
      <c r="G4982" s="26">
        <v>345744098</v>
      </c>
      <c r="H4982" s="26">
        <v>190159254</v>
      </c>
      <c r="I4982" s="26">
        <v>0</v>
      </c>
      <c r="J4982" s="26">
        <v>6</v>
      </c>
      <c r="K4982" t="inlineStr">
        <is>
          <t>Oui</t>
        </is>
      </c>
      <c r="L4982">
        <f>SUBTOTAL(103,A4982)</f>
        <v>1</v>
      </c>
    </row>
    <row r="4983">
      <c r="A4983" t="inlineStr">
        <is>
          <t>SOCIETE C1369</t>
        </is>
      </c>
      <c r="B4983" t="inlineStr">
        <is>
          <t>C1369</t>
        </is>
      </c>
      <c r="C4983" t="inlineStr">
        <is>
          <t>CONSUMER BANKING</t>
        </is>
      </c>
      <c r="D4983" t="inlineStr">
        <is>
          <t>I</t>
        </is>
      </c>
      <c r="E4983" t="inlineStr">
        <is>
          <t>Stage 1</t>
        </is>
      </c>
      <c r="F4983" t="inlineStr">
        <is>
          <t>N/A</t>
        </is>
      </c>
      <c r="G4983" s="26">
        <v>39812580</v>
      </c>
      <c r="H4983" s="26">
        <v>398126</v>
      </c>
      <c r="I4983" s="26">
        <v>1312640</v>
      </c>
      <c r="J4983" s="26">
        <v>64</v>
      </c>
      <c r="K4983" t="inlineStr">
        <is>
          <t>Non</t>
        </is>
      </c>
      <c r="L4983">
        <f>SUBTOTAL(103,A4983)</f>
        <v>1</v>
      </c>
    </row>
    <row r="4984">
      <c r="A4984" t="inlineStr">
        <is>
          <t>SOCIETE C645</t>
        </is>
      </c>
      <c r="B4984" t="inlineStr">
        <is>
          <t>C645</t>
        </is>
      </c>
      <c r="C4984" t="inlineStr">
        <is>
          <t>CORPORATE BANKING</t>
        </is>
      </c>
      <c r="D4984" t="inlineStr">
        <is>
          <t>IA</t>
        </is>
      </c>
      <c r="E4984" t="inlineStr">
        <is>
          <t>Stage 2</t>
        </is>
      </c>
      <c r="F4984" t="inlineStr">
        <is>
          <t>N/A</t>
        </is>
      </c>
      <c r="G4984" s="26">
        <v>2120172</v>
      </c>
      <c r="H4984" s="26">
        <v>127210</v>
      </c>
      <c r="I4984" s="26">
        <v>0</v>
      </c>
      <c r="J4984" s="26">
        <v>28</v>
      </c>
      <c r="K4984" t="inlineStr">
        <is>
          <t>Non</t>
        </is>
      </c>
      <c r="L4984">
        <f>SUBTOTAL(103,A4984)</f>
        <v>1</v>
      </c>
    </row>
    <row r="4985">
      <c r="A4985" t="inlineStr">
        <is>
          <t>SOCIETE C73</t>
        </is>
      </c>
      <c r="B4985" t="inlineStr">
        <is>
          <t>C73</t>
        </is>
      </c>
      <c r="C4985" t="inlineStr">
        <is>
          <t>CORPORATE BANKING</t>
        </is>
      </c>
      <c r="D4985" t="inlineStr">
        <is>
          <t>IA</t>
        </is>
      </c>
      <c r="E4985" t="inlineStr">
        <is>
          <t>Stage 2</t>
        </is>
      </c>
      <c r="F4985" t="inlineStr">
        <is>
          <t>N/A</t>
        </is>
      </c>
      <c r="G4985" s="26">
        <v>66649215</v>
      </c>
      <c r="H4985" s="26">
        <v>3998953</v>
      </c>
      <c r="I4985" s="26">
        <v>0</v>
      </c>
      <c r="J4985" s="26">
        <v>158</v>
      </c>
      <c r="K4985" t="inlineStr">
        <is>
          <t>Non</t>
        </is>
      </c>
      <c r="L4985">
        <f>SUBTOTAL(103,A4985)</f>
        <v>1</v>
      </c>
    </row>
    <row r="4986">
      <c r="A4986" t="inlineStr">
        <is>
          <t>SOCIETE C1299</t>
        </is>
      </c>
      <c r="B4986" t="inlineStr">
        <is>
          <t>C1299</t>
        </is>
      </c>
      <c r="C4986" t="inlineStr">
        <is>
          <t>CORPORATE BANKING</t>
        </is>
      </c>
      <c r="D4986" t="inlineStr">
        <is>
          <t>V</t>
        </is>
      </c>
      <c r="E4986" t="inlineStr">
        <is>
          <t>Stage 3</t>
        </is>
      </c>
      <c r="F4986" t="inlineStr">
        <is>
          <t>N/A</t>
        </is>
      </c>
      <c r="G4986" s="26">
        <v>2091522837</v>
      </c>
      <c r="H4986" s="26">
        <v>1150337560</v>
      </c>
      <c r="I4986" s="26">
        <v>0</v>
      </c>
      <c r="J4986" s="26">
        <v>22</v>
      </c>
      <c r="K4986" t="inlineStr">
        <is>
          <t>Oui</t>
        </is>
      </c>
      <c r="L4986">
        <f>SUBTOTAL(103,A4986)</f>
        <v>1</v>
      </c>
    </row>
    <row r="4987">
      <c r="A4987" t="inlineStr">
        <is>
          <t>SOCIETE C784</t>
        </is>
      </c>
      <c r="B4987" t="inlineStr">
        <is>
          <t>C784</t>
        </is>
      </c>
      <c r="C4987" t="inlineStr">
        <is>
          <t>COMMERCIAL BANKING</t>
        </is>
      </c>
      <c r="D4987" t="inlineStr">
        <is>
          <t>I</t>
        </is>
      </c>
      <c r="E4987" t="inlineStr">
        <is>
          <t>Stage 1</t>
        </is>
      </c>
      <c r="F4987" t="inlineStr">
        <is>
          <t>N/A</t>
        </is>
      </c>
      <c r="G4987" s="26">
        <v>284047086</v>
      </c>
      <c r="H4987" s="26">
        <v>2840471</v>
      </c>
      <c r="I4987" s="26">
        <v>0</v>
      </c>
      <c r="J4987" s="26">
        <v>11</v>
      </c>
      <c r="K4987" t="inlineStr">
        <is>
          <t>Non</t>
        </is>
      </c>
      <c r="L4987">
        <f>SUBTOTAL(103,A4987)</f>
        <v>1</v>
      </c>
    </row>
    <row r="4988">
      <c r="A4988" t="inlineStr">
        <is>
          <t>SOCIETE C893</t>
        </is>
      </c>
      <c r="B4988" t="inlineStr">
        <is>
          <t>C893</t>
        </is>
      </c>
      <c r="C4988" t="inlineStr">
        <is>
          <t>PUBLIC SECTOR</t>
        </is>
      </c>
      <c r="D4988" t="inlineStr">
        <is>
          <t>IA</t>
        </is>
      </c>
      <c r="E4988" t="inlineStr">
        <is>
          <t>Stage 2</t>
        </is>
      </c>
      <c r="F4988" t="inlineStr">
        <is>
          <t>N/A</t>
        </is>
      </c>
      <c r="G4988" s="26">
        <v>1654246216</v>
      </c>
      <c r="H4988" s="26">
        <v>99254773</v>
      </c>
      <c r="I4988" s="26">
        <v>0</v>
      </c>
      <c r="J4988" s="26">
        <v>168</v>
      </c>
      <c r="K4988" t="inlineStr">
        <is>
          <t>Non</t>
        </is>
      </c>
      <c r="L4988">
        <f>SUBTOTAL(103,A4988)</f>
        <v>1</v>
      </c>
    </row>
    <row r="4989">
      <c r="A4989" t="inlineStr">
        <is>
          <t>SOCIETE C1850</t>
        </is>
      </c>
      <c r="B4989" t="inlineStr">
        <is>
          <t>C1850</t>
        </is>
      </c>
      <c r="C4989" t="inlineStr">
        <is>
          <t>COMMERCIAL BANKING</t>
        </is>
      </c>
      <c r="D4989" t="inlineStr">
        <is>
          <t>IA</t>
        </is>
      </c>
      <c r="E4989" t="inlineStr">
        <is>
          <t>Stage 2</t>
        </is>
      </c>
      <c r="F4989" t="inlineStr">
        <is>
          <t>N/A</t>
        </is>
      </c>
      <c r="G4989" s="26">
        <v>58074676</v>
      </c>
      <c r="H4989" s="26">
        <v>3484481</v>
      </c>
      <c r="I4989" s="26">
        <v>982053</v>
      </c>
      <c r="J4989" s="26">
        <v>1</v>
      </c>
      <c r="K4989" t="inlineStr">
        <is>
          <t>Non</t>
        </is>
      </c>
      <c r="L4989">
        <f>SUBTOTAL(103,A4989)</f>
        <v>1</v>
      </c>
    </row>
    <row r="4990">
      <c r="A4990" t="inlineStr">
        <is>
          <t>SOCIETE C215</t>
        </is>
      </c>
      <c r="B4990" t="inlineStr">
        <is>
          <t>C215</t>
        </is>
      </c>
      <c r="C4990" t="inlineStr">
        <is>
          <t>SME</t>
        </is>
      </c>
      <c r="D4990" t="inlineStr">
        <is>
          <t>IA</t>
        </is>
      </c>
      <c r="E4990" t="inlineStr">
        <is>
          <t>Stage 2</t>
        </is>
      </c>
      <c r="F4990" t="inlineStr">
        <is>
          <t>N/A</t>
        </is>
      </c>
      <c r="G4990" s="26">
        <v>142190627</v>
      </c>
      <c r="H4990" s="26">
        <v>8531438</v>
      </c>
      <c r="I4990" s="26">
        <v>0</v>
      </c>
      <c r="J4990" s="26">
        <v>112</v>
      </c>
      <c r="K4990" t="inlineStr">
        <is>
          <t>Non</t>
        </is>
      </c>
      <c r="L4990">
        <f>SUBTOTAL(103,A4990)</f>
        <v>1</v>
      </c>
    </row>
    <row r="4991">
      <c r="A4991" t="inlineStr">
        <is>
          <t>SOCIETE C2224</t>
        </is>
      </c>
      <c r="B4991" t="inlineStr">
        <is>
          <t>C2224</t>
        </is>
      </c>
      <c r="C4991" t="inlineStr">
        <is>
          <t>PUBLIC SECTOR</t>
        </is>
      </c>
      <c r="D4991" t="inlineStr">
        <is>
          <t>II</t>
        </is>
      </c>
      <c r="E4991" t="inlineStr">
        <is>
          <t>Stage 2</t>
        </is>
      </c>
      <c r="F4991" t="inlineStr">
        <is>
          <t>N/A</t>
        </is>
      </c>
      <c r="G4991" s="26">
        <v>1379986372</v>
      </c>
      <c r="H4991" s="26">
        <v>82799182</v>
      </c>
      <c r="I4991" s="26">
        <v>261769671</v>
      </c>
      <c r="J4991" s="26">
        <v>0</v>
      </c>
      <c r="K4991" t="inlineStr">
        <is>
          <t>Non</t>
        </is>
      </c>
      <c r="L4991">
        <f>SUBTOTAL(103,A4991)</f>
        <v>1</v>
      </c>
    </row>
    <row r="4992">
      <c r="A4992" t="inlineStr">
        <is>
          <t>SOCIETE C2202</t>
        </is>
      </c>
      <c r="B4992" t="inlineStr">
        <is>
          <t>C2202</t>
        </is>
      </c>
      <c r="C4992" t="inlineStr">
        <is>
          <t>PUBLIC SECTOR</t>
        </is>
      </c>
      <c r="D4992" t="inlineStr">
        <is>
          <t>II</t>
        </is>
      </c>
      <c r="E4992" t="inlineStr">
        <is>
          <t>Stage 2</t>
        </is>
      </c>
      <c r="F4992" t="inlineStr">
        <is>
          <t>N/A</t>
        </is>
      </c>
      <c r="G4992" s="26">
        <v>344448631</v>
      </c>
      <c r="H4992" s="26">
        <v>20666918</v>
      </c>
      <c r="I4992" s="26">
        <v>0</v>
      </c>
      <c r="J4992" s="26">
        <v>269</v>
      </c>
      <c r="K4992" t="inlineStr">
        <is>
          <t>Non</t>
        </is>
      </c>
      <c r="L4992">
        <f>SUBTOTAL(103,A4992)</f>
        <v>1</v>
      </c>
    </row>
    <row r="4993">
      <c r="A4993" t="inlineStr">
        <is>
          <t>SOCIETE C196</t>
        </is>
      </c>
      <c r="B4993" t="inlineStr">
        <is>
          <t>C196</t>
        </is>
      </c>
      <c r="C4993" t="inlineStr">
        <is>
          <t>CORPORATE BANKING</t>
        </is>
      </c>
      <c r="D4993" t="inlineStr">
        <is>
          <t>IA</t>
        </is>
      </c>
      <c r="E4993" t="inlineStr">
        <is>
          <t>Stage 2</t>
        </is>
      </c>
      <c r="F4993" t="inlineStr">
        <is>
          <t>N/A</t>
        </is>
      </c>
      <c r="G4993" s="26">
        <v>1033880</v>
      </c>
      <c r="H4993" s="26">
        <v>62033</v>
      </c>
      <c r="I4993" s="26">
        <v>0</v>
      </c>
      <c r="J4993" s="26">
        <v>92</v>
      </c>
      <c r="K4993" t="inlineStr">
        <is>
          <t>Non</t>
        </is>
      </c>
      <c r="L4993">
        <f>SUBTOTAL(103,A4993)</f>
        <v>1</v>
      </c>
    </row>
    <row r="4994">
      <c r="A4994" t="inlineStr">
        <is>
          <t>SOCIETE C926</t>
        </is>
      </c>
      <c r="B4994" t="inlineStr">
        <is>
          <t>C926</t>
        </is>
      </c>
      <c r="C4994" t="inlineStr">
        <is>
          <t>CORPORATE BANKING</t>
        </is>
      </c>
      <c r="D4994" t="inlineStr">
        <is>
          <t>I</t>
        </is>
      </c>
      <c r="E4994" t="inlineStr">
        <is>
          <t>Stage 1</t>
        </is>
      </c>
      <c r="F4994" t="inlineStr">
        <is>
          <t>N/A</t>
        </is>
      </c>
      <c r="G4994" s="26">
        <v>142280295</v>
      </c>
      <c r="H4994" s="26">
        <v>1422803</v>
      </c>
      <c r="I4994" s="26">
        <v>0</v>
      </c>
      <c r="J4994" s="26">
        <v>15</v>
      </c>
      <c r="K4994" t="inlineStr">
        <is>
          <t>Non</t>
        </is>
      </c>
      <c r="L4994">
        <f>SUBTOTAL(103,A4994)</f>
        <v>1</v>
      </c>
    </row>
    <row r="4995">
      <c r="A4995" t="inlineStr">
        <is>
          <t>SOCIETE C1075</t>
        </is>
      </c>
      <c r="B4995" t="inlineStr">
        <is>
          <t>C1075</t>
        </is>
      </c>
      <c r="C4995" t="inlineStr">
        <is>
          <t>PUBLIC SECTOR</t>
        </is>
      </c>
      <c r="D4995" t="inlineStr">
        <is>
          <t>II</t>
        </is>
      </c>
      <c r="E4995" t="inlineStr">
        <is>
          <t>Stage 2</t>
        </is>
      </c>
      <c r="F4995" t="inlineStr">
        <is>
          <t>N/A</t>
        </is>
      </c>
      <c r="G4995" s="26">
        <v>316047894</v>
      </c>
      <c r="H4995" s="26">
        <v>18962874</v>
      </c>
      <c r="I4995" s="26">
        <v>0</v>
      </c>
      <c r="J4995" s="26">
        <v>128</v>
      </c>
      <c r="K4995" t="inlineStr">
        <is>
          <t>Non</t>
        </is>
      </c>
      <c r="L4995">
        <f>SUBTOTAL(103,A4995)</f>
        <v>1</v>
      </c>
    </row>
    <row r="4996">
      <c r="A4996" t="inlineStr">
        <is>
          <t>SOCIETE C248</t>
        </is>
      </c>
      <c r="B4996" t="inlineStr">
        <is>
          <t>C248</t>
        </is>
      </c>
      <c r="C4996" t="inlineStr">
        <is>
          <t>CORPORATE BANKING</t>
        </is>
      </c>
      <c r="D4996" t="inlineStr">
        <is>
          <t>I</t>
        </is>
      </c>
      <c r="E4996" t="inlineStr">
        <is>
          <t>Stage 1</t>
        </is>
      </c>
      <c r="F4996" t="inlineStr">
        <is>
          <t>N/A</t>
        </is>
      </c>
      <c r="G4996" s="26">
        <v>319357451</v>
      </c>
      <c r="H4996" s="26">
        <v>3193575</v>
      </c>
      <c r="I4996" s="26">
        <v>0</v>
      </c>
      <c r="J4996" s="26">
        <v>36</v>
      </c>
      <c r="K4996" t="inlineStr">
        <is>
          <t>Non</t>
        </is>
      </c>
      <c r="L4996">
        <f>SUBTOTAL(103,A4996)</f>
        <v>1</v>
      </c>
    </row>
    <row r="4997">
      <c r="A4997" t="inlineStr">
        <is>
          <t>SOCIETE C2243</t>
        </is>
      </c>
      <c r="B4997" t="inlineStr">
        <is>
          <t>C2243</t>
        </is>
      </c>
      <c r="C4997" t="inlineStr">
        <is>
          <t>CORPORATE BANKING</t>
        </is>
      </c>
      <c r="D4997" t="inlineStr">
        <is>
          <t>I</t>
        </is>
      </c>
      <c r="E4997" t="inlineStr">
        <is>
          <t>Stage 1</t>
        </is>
      </c>
      <c r="F4997" t="inlineStr">
        <is>
          <t>N/A</t>
        </is>
      </c>
      <c r="G4997" s="26">
        <v>2186524454</v>
      </c>
      <c r="H4997" s="26">
        <v>21865245</v>
      </c>
      <c r="I4997" s="26">
        <v>0</v>
      </c>
      <c r="J4997" s="26">
        <v>54</v>
      </c>
      <c r="K4997" t="inlineStr">
        <is>
          <t>Non</t>
        </is>
      </c>
      <c r="L4997">
        <f>SUBTOTAL(103,A4997)</f>
        <v>1</v>
      </c>
    </row>
    <row r="4998">
      <c r="A4998" t="inlineStr">
        <is>
          <t>SOCIETE C1382</t>
        </is>
      </c>
      <c r="B4998" t="inlineStr">
        <is>
          <t>C1382</t>
        </is>
      </c>
      <c r="C4998" t="inlineStr">
        <is>
          <t>CONSUMER BANKING</t>
        </is>
      </c>
      <c r="D4998" t="inlineStr">
        <is>
          <t>I</t>
        </is>
      </c>
      <c r="E4998" t="inlineStr">
        <is>
          <t>Stage 1</t>
        </is>
      </c>
      <c r="F4998" t="inlineStr">
        <is>
          <t>N/A</t>
        </is>
      </c>
      <c r="G4998" s="26">
        <v>1194340416</v>
      </c>
      <c r="H4998" s="26">
        <v>11943404</v>
      </c>
      <c r="I4998" s="26">
        <v>0</v>
      </c>
      <c r="J4998" s="26">
        <v>25</v>
      </c>
      <c r="K4998" t="inlineStr">
        <is>
          <t>Non</t>
        </is>
      </c>
      <c r="L4998">
        <f>SUBTOTAL(103,A4998)</f>
        <v>1</v>
      </c>
    </row>
    <row r="4999">
      <c r="A4999" t="inlineStr">
        <is>
          <t>SOCIETE C447</t>
        </is>
      </c>
      <c r="B4999" t="inlineStr">
        <is>
          <t>C447</t>
        </is>
      </c>
      <c r="C4999" t="inlineStr">
        <is>
          <t>COMMERCIAL BANKING</t>
        </is>
      </c>
      <c r="D4999" t="inlineStr">
        <is>
          <t>I</t>
        </is>
      </c>
      <c r="E4999" t="inlineStr">
        <is>
          <t>Stage 1</t>
        </is>
      </c>
      <c r="F4999" t="inlineStr">
        <is>
          <t>N/A</t>
        </is>
      </c>
      <c r="G4999" s="26">
        <v>366927834</v>
      </c>
      <c r="H4999" s="26">
        <v>3669278</v>
      </c>
      <c r="I4999" s="26">
        <v>8809277</v>
      </c>
      <c r="J4999" s="26">
        <v>142</v>
      </c>
      <c r="K4999" t="inlineStr">
        <is>
          <t>Non</t>
        </is>
      </c>
      <c r="L4999">
        <f>SUBTOTAL(103,A4999)</f>
        <v>1</v>
      </c>
    </row>
    <row r="5000">
      <c r="A5000" t="inlineStr">
        <is>
          <t>SOCIETE C1014</t>
        </is>
      </c>
      <c r="B5000" t="inlineStr">
        <is>
          <t>C1014</t>
        </is>
      </c>
      <c r="C5000" t="inlineStr">
        <is>
          <t>CORPORATE BANKING</t>
        </is>
      </c>
      <c r="D5000" t="inlineStr">
        <is>
          <t>II</t>
        </is>
      </c>
      <c r="E5000" t="inlineStr">
        <is>
          <t>Stage 2</t>
        </is>
      </c>
      <c r="F5000" t="inlineStr">
        <is>
          <t>N/A</t>
        </is>
      </c>
      <c r="G5000" s="26">
        <v>987949217</v>
      </c>
      <c r="H5000" s="26">
        <v>59276953</v>
      </c>
      <c r="I5000" s="26">
        <v>111288587</v>
      </c>
      <c r="J5000" s="26">
        <v>56</v>
      </c>
      <c r="K5000" t="inlineStr">
        <is>
          <t>Non</t>
        </is>
      </c>
      <c r="L5000">
        <f>SUBTOTAL(103,A5000)</f>
        <v>1</v>
      </c>
    </row>
    <row r="5001">
      <c r="A5001" t="inlineStr">
        <is>
          <t>SOCIETE C1526</t>
        </is>
      </c>
      <c r="B5001" t="inlineStr">
        <is>
          <t>C1526</t>
        </is>
      </c>
      <c r="C5001" t="inlineStr">
        <is>
          <t>CORPORATE BANKING</t>
        </is>
      </c>
      <c r="D5001" t="inlineStr">
        <is>
          <t>IV</t>
        </is>
      </c>
      <c r="E5001" t="inlineStr">
        <is>
          <t>Stage 3</t>
        </is>
      </c>
      <c r="F5001" t="inlineStr">
        <is>
          <t>N/A</t>
        </is>
      </c>
      <c r="G5001" s="26">
        <v>315235768</v>
      </c>
      <c r="H5001" s="26">
        <v>173379672</v>
      </c>
      <c r="I5001" s="26">
        <v>0</v>
      </c>
      <c r="J5001" s="26">
        <v>8</v>
      </c>
      <c r="K5001" t="inlineStr">
        <is>
          <t>Oui</t>
        </is>
      </c>
      <c r="L5001">
        <f>SUBTOTAL(103,A5001)</f>
        <v>1</v>
      </c>
    </row>
    <row r="5002">
      <c r="A5002" t="inlineStr">
        <is>
          <t>SOCIETE C1198</t>
        </is>
      </c>
      <c r="B5002" t="inlineStr">
        <is>
          <t>C1198</t>
        </is>
      </c>
      <c r="C5002" t="inlineStr">
        <is>
          <t>CORPORATE BANKING</t>
        </is>
      </c>
      <c r="D5002" t="inlineStr">
        <is>
          <t>IV</t>
        </is>
      </c>
      <c r="E5002" t="inlineStr">
        <is>
          <t>Stage 3</t>
        </is>
      </c>
      <c r="F5002" t="inlineStr">
        <is>
          <t>N/A</t>
        </is>
      </c>
      <c r="G5002" s="26">
        <v>2957557823</v>
      </c>
      <c r="H5002" s="26">
        <v>1626656803</v>
      </c>
      <c r="I5002" s="26">
        <v>0</v>
      </c>
      <c r="J5002" s="26">
        <v>171</v>
      </c>
      <c r="K5002" t="inlineStr">
        <is>
          <t>Oui</t>
        </is>
      </c>
      <c r="L5002">
        <f>SUBTOTAL(103,A5002)</f>
        <v>1</v>
      </c>
    </row>
    <row r="5003">
      <c r="A5003" t="inlineStr">
        <is>
          <t>SOCIETE C252</t>
        </is>
      </c>
      <c r="B5003" t="inlineStr">
        <is>
          <t>C252</t>
        </is>
      </c>
      <c r="C5003" t="inlineStr">
        <is>
          <t>COMMERCIAL BANKING</t>
        </is>
      </c>
      <c r="D5003" t="inlineStr">
        <is>
          <t>I</t>
        </is>
      </c>
      <c r="E5003" t="inlineStr">
        <is>
          <t>Stage 1</t>
        </is>
      </c>
      <c r="F5003" t="inlineStr">
        <is>
          <t>N/A</t>
        </is>
      </c>
      <c r="G5003" s="26">
        <v>776868328</v>
      </c>
      <c r="H5003" s="26">
        <v>7768683</v>
      </c>
      <c r="I5003" s="26">
        <v>151026680</v>
      </c>
      <c r="J5003" s="26">
        <v>217</v>
      </c>
      <c r="K5003" t="inlineStr">
        <is>
          <t>Non</t>
        </is>
      </c>
      <c r="L5003">
        <f>SUBTOTAL(103,A5003)</f>
        <v>1</v>
      </c>
    </row>
    <row r="5004">
      <c r="A5004" t="inlineStr">
        <is>
          <t>SOCIETE C1382</t>
        </is>
      </c>
      <c r="B5004" t="inlineStr">
        <is>
          <t>C1382</t>
        </is>
      </c>
      <c r="C5004" t="inlineStr">
        <is>
          <t>COMMERCIAL BANKING</t>
        </is>
      </c>
      <c r="D5004" t="inlineStr">
        <is>
          <t>I</t>
        </is>
      </c>
      <c r="E5004" t="inlineStr">
        <is>
          <t>Stage 1</t>
        </is>
      </c>
      <c r="F5004" t="inlineStr">
        <is>
          <t>N/A</t>
        </is>
      </c>
      <c r="G5004" s="26">
        <v>966704911</v>
      </c>
      <c r="H5004" s="26">
        <v>9667049</v>
      </c>
      <c r="I5004" s="26">
        <v>0</v>
      </c>
      <c r="J5004" s="26">
        <v>37</v>
      </c>
      <c r="K5004" t="inlineStr">
        <is>
          <t>Non</t>
        </is>
      </c>
      <c r="L5004">
        <f>SUBTOTAL(103,A5004)</f>
        <v>1</v>
      </c>
    </row>
    <row r="5005">
      <c r="A5005" t="inlineStr">
        <is>
          <t>SOCIETE C2168</t>
        </is>
      </c>
      <c r="B5005" t="inlineStr">
        <is>
          <t>C2168</t>
        </is>
      </c>
      <c r="C5005" t="inlineStr">
        <is>
          <t>CORPORATE BANKING</t>
        </is>
      </c>
      <c r="D5005" t="inlineStr">
        <is>
          <t>III</t>
        </is>
      </c>
      <c r="E5005" t="inlineStr">
        <is>
          <t>Stage 3</t>
        </is>
      </c>
      <c r="F5005" t="inlineStr">
        <is>
          <t>N/A</t>
        </is>
      </c>
      <c r="G5005" s="26">
        <v>249240157</v>
      </c>
      <c r="H5005" s="26">
        <v>137082086</v>
      </c>
      <c r="I5005" s="26">
        <v>49452089</v>
      </c>
      <c r="J5005" s="26">
        <v>83</v>
      </c>
      <c r="K5005" t="inlineStr">
        <is>
          <t>Oui</t>
        </is>
      </c>
      <c r="L5005">
        <f>SUBTOTAL(103,A5005)</f>
        <v>1</v>
      </c>
    </row>
    <row r="5006">
      <c r="A5006" t="inlineStr">
        <is>
          <t>SOCIETE C779</t>
        </is>
      </c>
      <c r="B5006" t="inlineStr">
        <is>
          <t>C779</t>
        </is>
      </c>
      <c r="C5006" t="inlineStr">
        <is>
          <t>CORPORATE BANKING</t>
        </is>
      </c>
      <c r="D5006" t="inlineStr">
        <is>
          <t>IA</t>
        </is>
      </c>
      <c r="E5006" t="inlineStr">
        <is>
          <t>Stage 2</t>
        </is>
      </c>
      <c r="F5006" t="inlineStr">
        <is>
          <t>N/A</t>
        </is>
      </c>
      <c r="G5006" s="26">
        <v>1544796809</v>
      </c>
      <c r="H5006" s="26">
        <v>92687809</v>
      </c>
      <c r="I5006" s="26">
        <v>90932476</v>
      </c>
      <c r="J5006" s="26">
        <v>153</v>
      </c>
      <c r="K5006" t="inlineStr">
        <is>
          <t>Non</t>
        </is>
      </c>
      <c r="L5006">
        <f>SUBTOTAL(103,A5006)</f>
        <v>1</v>
      </c>
    </row>
    <row r="5007">
      <c r="A5007" t="inlineStr">
        <is>
          <t>SOCIETE C578</t>
        </is>
      </c>
      <c r="B5007" t="inlineStr">
        <is>
          <t>C578</t>
        </is>
      </c>
      <c r="C5007" t="inlineStr">
        <is>
          <t>COMMERCIAL BANKING</t>
        </is>
      </c>
      <c r="D5007" t="inlineStr">
        <is>
          <t>I</t>
        </is>
      </c>
      <c r="E5007" t="inlineStr">
        <is>
          <t>Stage 1</t>
        </is>
      </c>
      <c r="F5007" t="inlineStr">
        <is>
          <t>N/A</t>
        </is>
      </c>
      <c r="G5007" s="26">
        <v>2592787105</v>
      </c>
      <c r="H5007" s="26">
        <v>25927871</v>
      </c>
      <c r="I5007" s="26">
        <v>0</v>
      </c>
      <c r="J5007" s="26">
        <v>133</v>
      </c>
      <c r="K5007" t="inlineStr">
        <is>
          <t>Non</t>
        </is>
      </c>
      <c r="L5007">
        <f>SUBTOTAL(103,A5007)</f>
        <v>1</v>
      </c>
    </row>
    <row r="5008">
      <c r="A5008" t="inlineStr">
        <is>
          <t>SOCIETE C1</t>
        </is>
      </c>
      <c r="B5008" t="inlineStr">
        <is>
          <t>C1</t>
        </is>
      </c>
      <c r="C5008" t="inlineStr">
        <is>
          <t>CONSUMER BANKING</t>
        </is>
      </c>
      <c r="D5008" t="inlineStr">
        <is>
          <t>I</t>
        </is>
      </c>
      <c r="E5008" t="inlineStr">
        <is>
          <t>Stage 1</t>
        </is>
      </c>
      <c r="F5008" t="inlineStr">
        <is>
          <t>N/A</t>
        </is>
      </c>
      <c r="G5008" s="26">
        <v>1846491527</v>
      </c>
      <c r="H5008" s="26">
        <v>18464915</v>
      </c>
      <c r="I5008" s="26">
        <v>0</v>
      </c>
      <c r="J5008" s="26">
        <v>197</v>
      </c>
      <c r="K5008" t="inlineStr">
        <is>
          <t>Non</t>
        </is>
      </c>
      <c r="L5008">
        <f>SUBTOTAL(103,A5008)</f>
        <v>1</v>
      </c>
    </row>
    <row r="5009">
      <c r="A5009" t="inlineStr">
        <is>
          <t>SOCIETE C1846</t>
        </is>
      </c>
      <c r="B5009" t="inlineStr">
        <is>
          <t>C1846</t>
        </is>
      </c>
      <c r="C5009" t="inlineStr">
        <is>
          <t>COMMERCIAL BANKING</t>
        </is>
      </c>
      <c r="D5009" t="inlineStr">
        <is>
          <t>III</t>
        </is>
      </c>
      <c r="E5009" t="inlineStr">
        <is>
          <t>Stage 3</t>
        </is>
      </c>
      <c r="F5009" t="inlineStr">
        <is>
          <t>N/A</t>
        </is>
      </c>
      <c r="G5009" s="26">
        <v>228672505</v>
      </c>
      <c r="H5009" s="26">
        <v>125769878</v>
      </c>
      <c r="I5009" s="26">
        <v>0</v>
      </c>
      <c r="J5009" s="26">
        <v>204</v>
      </c>
      <c r="K5009" t="inlineStr">
        <is>
          <t>Oui</t>
        </is>
      </c>
      <c r="L5009">
        <f>SUBTOTAL(103,A5009)</f>
        <v>1</v>
      </c>
    </row>
    <row r="5010">
      <c r="A5010" t="inlineStr">
        <is>
          <t>SOCIETE C1373</t>
        </is>
      </c>
      <c r="B5010" t="inlineStr">
        <is>
          <t>C1373</t>
        </is>
      </c>
      <c r="C5010" t="inlineStr">
        <is>
          <t>CONSUMER BANKING</t>
        </is>
      </c>
      <c r="D5010" t="inlineStr">
        <is>
          <t>I</t>
        </is>
      </c>
      <c r="E5010" t="inlineStr">
        <is>
          <t>Stage 1</t>
        </is>
      </c>
      <c r="F5010" t="inlineStr">
        <is>
          <t>N/A</t>
        </is>
      </c>
      <c r="G5010" s="26">
        <v>1239797737</v>
      </c>
      <c r="H5010" s="26">
        <v>12397977</v>
      </c>
      <c r="I5010" s="26">
        <v>0</v>
      </c>
      <c r="J5010" s="26">
        <v>87</v>
      </c>
      <c r="K5010" t="inlineStr">
        <is>
          <t>Non</t>
        </is>
      </c>
      <c r="L5010">
        <f>SUBTOTAL(103,A5010)</f>
        <v>1</v>
      </c>
    </row>
    <row r="5011">
      <c r="A5011" t="inlineStr">
        <is>
          <t>SOCIETE C1728</t>
        </is>
      </c>
      <c r="B5011" t="inlineStr">
        <is>
          <t>C1728</t>
        </is>
      </c>
      <c r="C5011" t="inlineStr">
        <is>
          <t>COMMERCIAL BANKING</t>
        </is>
      </c>
      <c r="D5011" t="inlineStr">
        <is>
          <t>II</t>
        </is>
      </c>
      <c r="E5011" t="inlineStr">
        <is>
          <t>Stage 2</t>
        </is>
      </c>
      <c r="F5011" t="inlineStr">
        <is>
          <t>N/A</t>
        </is>
      </c>
      <c r="G5011" s="26">
        <v>924120477</v>
      </c>
      <c r="H5011" s="26">
        <v>55447229</v>
      </c>
      <c r="I5011" s="26">
        <v>0</v>
      </c>
      <c r="J5011" s="26">
        <v>85</v>
      </c>
      <c r="K5011" t="inlineStr">
        <is>
          <t>Non</t>
        </is>
      </c>
      <c r="L5011">
        <f>SUBTOTAL(103,A5011)</f>
        <v>1</v>
      </c>
    </row>
    <row r="5012">
      <c r="A5012" t="inlineStr">
        <is>
          <t>SOCIETE C1179</t>
        </is>
      </c>
      <c r="B5012" t="inlineStr">
        <is>
          <t>C1179</t>
        </is>
      </c>
      <c r="C5012" t="inlineStr">
        <is>
          <t>CORPORATE BANKING</t>
        </is>
      </c>
      <c r="D5012" t="inlineStr">
        <is>
          <t>I</t>
        </is>
      </c>
      <c r="E5012" t="inlineStr">
        <is>
          <t>Stage 1</t>
        </is>
      </c>
      <c r="F5012" t="inlineStr">
        <is>
          <t>N/A</t>
        </is>
      </c>
      <c r="G5012" s="26">
        <v>763334157</v>
      </c>
      <c r="H5012" s="26">
        <v>7633342</v>
      </c>
      <c r="I5012" s="26">
        <v>0</v>
      </c>
      <c r="J5012" s="26">
        <v>244</v>
      </c>
      <c r="K5012" t="inlineStr">
        <is>
          <t>Non</t>
        </is>
      </c>
      <c r="L5012">
        <f>SUBTOTAL(103,A5012)</f>
        <v>1</v>
      </c>
    </row>
    <row r="5013">
      <c r="A5013" t="inlineStr">
        <is>
          <t>SOCIETE C514</t>
        </is>
      </c>
      <c r="B5013" t="inlineStr">
        <is>
          <t>C514</t>
        </is>
      </c>
      <c r="C5013" t="inlineStr">
        <is>
          <t>CORPORATE BANKING</t>
        </is>
      </c>
      <c r="D5013" t="inlineStr">
        <is>
          <t>II</t>
        </is>
      </c>
      <c r="E5013" t="inlineStr">
        <is>
          <t>Stage 2</t>
        </is>
      </c>
      <c r="F5013" t="inlineStr">
        <is>
          <t>N/A</t>
        </is>
      </c>
      <c r="G5013" s="26">
        <v>245128450</v>
      </c>
      <c r="H5013" s="26">
        <v>14707707</v>
      </c>
      <c r="I5013" s="26">
        <v>0</v>
      </c>
      <c r="J5013" s="26">
        <v>94</v>
      </c>
      <c r="K5013" t="inlineStr">
        <is>
          <t>Non</t>
        </is>
      </c>
      <c r="L5013">
        <f>SUBTOTAL(103,A5013)</f>
        <v>1</v>
      </c>
    </row>
    <row r="5014">
      <c r="A5014" t="inlineStr">
        <is>
          <t>SOCIETE C506</t>
        </is>
      </c>
      <c r="B5014" t="inlineStr">
        <is>
          <t>C506</t>
        </is>
      </c>
      <c r="C5014" t="inlineStr">
        <is>
          <t>CORPORATE BANKING</t>
        </is>
      </c>
      <c r="D5014" t="inlineStr">
        <is>
          <t>IV</t>
        </is>
      </c>
      <c r="E5014" t="inlineStr">
        <is>
          <t>Stage 3</t>
        </is>
      </c>
      <c r="F5014" t="inlineStr">
        <is>
          <t>N/A</t>
        </is>
      </c>
      <c r="G5014" s="26">
        <v>22061570</v>
      </c>
      <c r="H5014" s="26">
        <v>12133863</v>
      </c>
      <c r="I5014" s="26">
        <v>0</v>
      </c>
      <c r="J5014" s="26">
        <v>0</v>
      </c>
      <c r="K5014" t="inlineStr">
        <is>
          <t>Oui</t>
        </is>
      </c>
      <c r="L5014">
        <f>SUBTOTAL(103,A5014)</f>
        <v>1</v>
      </c>
    </row>
    <row r="5015">
      <c r="A5015" t="inlineStr">
        <is>
          <t>SOCIETE C1443</t>
        </is>
      </c>
      <c r="B5015" t="inlineStr">
        <is>
          <t>C1443</t>
        </is>
      </c>
      <c r="C5015" t="inlineStr">
        <is>
          <t>CORPORATE BANKING</t>
        </is>
      </c>
      <c r="D5015" t="inlineStr">
        <is>
          <t>III</t>
        </is>
      </c>
      <c r="E5015" t="inlineStr">
        <is>
          <t>Stage 3</t>
        </is>
      </c>
      <c r="F5015" t="inlineStr">
        <is>
          <t>N/A</t>
        </is>
      </c>
      <c r="G5015" s="26">
        <v>1473954</v>
      </c>
      <c r="H5015" s="26">
        <v>810675</v>
      </c>
      <c r="I5015" s="26">
        <v>0</v>
      </c>
      <c r="J5015" s="26">
        <v>33</v>
      </c>
      <c r="K5015" t="inlineStr">
        <is>
          <t>Oui</t>
        </is>
      </c>
      <c r="L5015">
        <f>SUBTOTAL(103,A5015)</f>
        <v>1</v>
      </c>
    </row>
    <row r="5016">
      <c r="A5016" t="inlineStr">
        <is>
          <t>SOCIETE C1924</t>
        </is>
      </c>
      <c r="B5016" t="inlineStr">
        <is>
          <t>C1924</t>
        </is>
      </c>
      <c r="C5016" t="inlineStr">
        <is>
          <t>INSTITUTIONAL</t>
        </is>
      </c>
      <c r="D5016" t="inlineStr">
        <is>
          <t>V</t>
        </is>
      </c>
      <c r="E5016" t="inlineStr">
        <is>
          <t>Stage 3</t>
        </is>
      </c>
      <c r="F5016" t="inlineStr">
        <is>
          <t>N/A</t>
        </is>
      </c>
      <c r="G5016" s="26">
        <v>33945114</v>
      </c>
      <c r="H5016" s="26">
        <v>18669813</v>
      </c>
      <c r="I5016" s="26">
        <v>0</v>
      </c>
      <c r="J5016" s="26">
        <v>71</v>
      </c>
      <c r="K5016" t="inlineStr">
        <is>
          <t>Oui</t>
        </is>
      </c>
      <c r="L5016">
        <f>SUBTOTAL(103,A5016)</f>
        <v>1</v>
      </c>
    </row>
    <row r="5017">
      <c r="A5017" t="inlineStr">
        <is>
          <t>SOCIETE C954</t>
        </is>
      </c>
      <c r="B5017" t="inlineStr">
        <is>
          <t>C954</t>
        </is>
      </c>
      <c r="C5017" t="inlineStr">
        <is>
          <t>CORPORATE BANKING</t>
        </is>
      </c>
      <c r="D5017" t="inlineStr">
        <is>
          <t>I</t>
        </is>
      </c>
      <c r="E5017" t="inlineStr">
        <is>
          <t>Stage 1</t>
        </is>
      </c>
      <c r="F5017" t="inlineStr">
        <is>
          <t>N/A</t>
        </is>
      </c>
      <c r="G5017" s="26">
        <v>1456797115</v>
      </c>
      <c r="H5017" s="26">
        <v>14567971</v>
      </c>
      <c r="I5017" s="26">
        <v>0</v>
      </c>
      <c r="J5017" s="26">
        <v>144</v>
      </c>
      <c r="K5017" t="inlineStr">
        <is>
          <t>Non</t>
        </is>
      </c>
      <c r="L5017">
        <f>SUBTOTAL(103,A5017)</f>
        <v>1</v>
      </c>
    </row>
    <row r="5018">
      <c r="A5018" t="inlineStr">
        <is>
          <t>SOCIETE C87</t>
        </is>
      </c>
      <c r="B5018" t="inlineStr">
        <is>
          <t>C87</t>
        </is>
      </c>
      <c r="C5018" t="inlineStr">
        <is>
          <t>CORPORATE BANKING</t>
        </is>
      </c>
      <c r="D5018" t="inlineStr">
        <is>
          <t>I</t>
        </is>
      </c>
      <c r="E5018" t="inlineStr">
        <is>
          <t>Stage 1</t>
        </is>
      </c>
      <c r="F5018" t="inlineStr">
        <is>
          <t>N/A</t>
        </is>
      </c>
      <c r="G5018" s="26">
        <v>1201445246</v>
      </c>
      <c r="H5018" s="26">
        <v>12014452</v>
      </c>
      <c r="I5018" s="26">
        <v>0</v>
      </c>
      <c r="J5018" s="26">
        <v>84</v>
      </c>
      <c r="K5018" t="inlineStr">
        <is>
          <t>Non</t>
        </is>
      </c>
      <c r="L5018">
        <f>SUBTOTAL(103,A5018)</f>
        <v>1</v>
      </c>
    </row>
    <row r="5019">
      <c r="A5019" t="inlineStr">
        <is>
          <t>SOCIETE C1000</t>
        </is>
      </c>
      <c r="B5019" t="inlineStr">
        <is>
          <t>C1000</t>
        </is>
      </c>
      <c r="C5019" t="inlineStr">
        <is>
          <t>PUBLIC SECTOR</t>
        </is>
      </c>
      <c r="D5019" t="inlineStr">
        <is>
          <t>I</t>
        </is>
      </c>
      <c r="E5019" t="inlineStr">
        <is>
          <t>Stage 1</t>
        </is>
      </c>
      <c r="F5019" t="inlineStr">
        <is>
          <t>N/A</t>
        </is>
      </c>
      <c r="G5019" s="26">
        <v>113549217</v>
      </c>
      <c r="H5019" s="26">
        <v>1135492</v>
      </c>
      <c r="I5019" s="26">
        <v>0</v>
      </c>
      <c r="J5019" s="26">
        <v>186</v>
      </c>
      <c r="K5019" t="inlineStr">
        <is>
          <t>Non</t>
        </is>
      </c>
      <c r="L5019">
        <f>SUBTOTAL(103,A5019)</f>
        <v>1</v>
      </c>
    </row>
    <row r="5020">
      <c r="A5020" t="inlineStr">
        <is>
          <t>SOCIETE C2277</t>
        </is>
      </c>
      <c r="B5020" t="inlineStr">
        <is>
          <t>C2277</t>
        </is>
      </c>
      <c r="C5020" t="inlineStr">
        <is>
          <t>COMMERCIAL BANKING</t>
        </is>
      </c>
      <c r="D5020" t="inlineStr">
        <is>
          <t>V</t>
        </is>
      </c>
      <c r="E5020" t="inlineStr">
        <is>
          <t>Stage 3</t>
        </is>
      </c>
      <c r="F5020" t="inlineStr">
        <is>
          <t>N/A</t>
        </is>
      </c>
      <c r="G5020" s="26">
        <v>244194998</v>
      </c>
      <c r="H5020" s="26">
        <v>134307249</v>
      </c>
      <c r="I5020" s="26">
        <v>0</v>
      </c>
      <c r="J5020" s="26">
        <v>130</v>
      </c>
      <c r="K5020" t="inlineStr">
        <is>
          <t>Oui</t>
        </is>
      </c>
      <c r="L5020">
        <f>SUBTOTAL(103,A5020)</f>
        <v>1</v>
      </c>
    </row>
    <row r="5021">
      <c r="A5021" t="inlineStr">
        <is>
          <t>SOCIETE C2071</t>
        </is>
      </c>
      <c r="B5021" t="inlineStr">
        <is>
          <t>C2071</t>
        </is>
      </c>
      <c r="C5021" t="inlineStr">
        <is>
          <t>CONSUMER BANKING</t>
        </is>
      </c>
      <c r="D5021" t="inlineStr">
        <is>
          <t>IV</t>
        </is>
      </c>
      <c r="E5021" t="inlineStr">
        <is>
          <t>Stage 3</t>
        </is>
      </c>
      <c r="F5021" t="inlineStr">
        <is>
          <t>N/A</t>
        </is>
      </c>
      <c r="G5021" s="26">
        <v>354641581</v>
      </c>
      <c r="H5021" s="26">
        <v>195052869</v>
      </c>
      <c r="I5021" s="26">
        <v>0</v>
      </c>
      <c r="J5021" s="26">
        <v>16</v>
      </c>
      <c r="K5021" t="inlineStr">
        <is>
          <t>Oui</t>
        </is>
      </c>
      <c r="L5021">
        <f>SUBTOTAL(103,A5021)</f>
        <v>1</v>
      </c>
    </row>
    <row r="5022">
      <c r="A5022" t="inlineStr">
        <is>
          <t>SOCIETE C1947</t>
        </is>
      </c>
      <c r="B5022" t="inlineStr">
        <is>
          <t>C1947</t>
        </is>
      </c>
      <c r="C5022" t="inlineStr">
        <is>
          <t>COMMERCIAL BANKING</t>
        </is>
      </c>
      <c r="D5022" t="inlineStr">
        <is>
          <t>II</t>
        </is>
      </c>
      <c r="E5022" t="inlineStr">
        <is>
          <t>Stage 2</t>
        </is>
      </c>
      <c r="F5022" t="inlineStr">
        <is>
          <t>N/A</t>
        </is>
      </c>
      <c r="G5022" s="26">
        <v>2518008547</v>
      </c>
      <c r="H5022" s="26">
        <v>151080513</v>
      </c>
      <c r="I5022" s="26">
        <v>0</v>
      </c>
      <c r="J5022" s="26">
        <v>95</v>
      </c>
      <c r="K5022" t="inlineStr">
        <is>
          <t>Non</t>
        </is>
      </c>
      <c r="L5022">
        <f>SUBTOTAL(103,A5022)</f>
        <v>1</v>
      </c>
    </row>
    <row r="5023">
      <c r="A5023" t="inlineStr">
        <is>
          <t>SOCIETE C1983</t>
        </is>
      </c>
      <c r="B5023" t="inlineStr">
        <is>
          <t>C1983</t>
        </is>
      </c>
      <c r="C5023" t="inlineStr">
        <is>
          <t>CONSUMER BANKING</t>
        </is>
      </c>
      <c r="D5023" t="inlineStr">
        <is>
          <t>I</t>
        </is>
      </c>
      <c r="E5023" t="inlineStr">
        <is>
          <t>Stage 1</t>
        </is>
      </c>
      <c r="F5023" t="inlineStr">
        <is>
          <t>N/A</t>
        </is>
      </c>
      <c r="G5023" s="26">
        <v>6538423</v>
      </c>
      <c r="H5023" s="26">
        <v>65384</v>
      </c>
      <c r="I5023" s="26">
        <v>0</v>
      </c>
      <c r="J5023" s="26">
        <v>228</v>
      </c>
      <c r="K5023" t="inlineStr">
        <is>
          <t>Non</t>
        </is>
      </c>
      <c r="L5023">
        <f>SUBTOTAL(103,A5023)</f>
        <v>1</v>
      </c>
    </row>
    <row r="5024">
      <c r="A5024" t="inlineStr">
        <is>
          <t>SOCIETE C366</t>
        </is>
      </c>
      <c r="B5024" t="inlineStr">
        <is>
          <t>C366</t>
        </is>
      </c>
      <c r="C5024" t="inlineStr">
        <is>
          <t>PUBLIC SECTOR</t>
        </is>
      </c>
      <c r="D5024" t="inlineStr">
        <is>
          <t>I</t>
        </is>
      </c>
      <c r="E5024" t="inlineStr">
        <is>
          <t>Stage 1</t>
        </is>
      </c>
      <c r="F5024" t="inlineStr">
        <is>
          <t>N/A</t>
        </is>
      </c>
      <c r="G5024" s="26">
        <v>6194080</v>
      </c>
      <c r="H5024" s="26">
        <v>61941</v>
      </c>
      <c r="I5024" s="26">
        <v>0</v>
      </c>
      <c r="J5024" s="26">
        <v>15</v>
      </c>
      <c r="K5024" t="inlineStr">
        <is>
          <t>Non</t>
        </is>
      </c>
      <c r="L5024">
        <f>SUBTOTAL(103,A5024)</f>
        <v>1</v>
      </c>
    </row>
    <row r="5025">
      <c r="A5025" t="inlineStr">
        <is>
          <t>SOCIETE C496</t>
        </is>
      </c>
      <c r="B5025" t="inlineStr">
        <is>
          <t>C496</t>
        </is>
      </c>
      <c r="C5025" t="inlineStr">
        <is>
          <t>CORPORATE BANKING</t>
        </is>
      </c>
      <c r="D5025" t="inlineStr">
        <is>
          <t>I</t>
        </is>
      </c>
      <c r="E5025" t="inlineStr">
        <is>
          <t>Stage 1</t>
        </is>
      </c>
      <c r="F5025" t="inlineStr">
        <is>
          <t>N/A</t>
        </is>
      </c>
      <c r="G5025" s="26">
        <v>1214333046</v>
      </c>
      <c r="H5025" s="26">
        <v>12143330</v>
      </c>
      <c r="I5025" s="26">
        <v>0</v>
      </c>
      <c r="J5025" s="26">
        <v>211</v>
      </c>
      <c r="K5025" t="inlineStr">
        <is>
          <t>Non</t>
        </is>
      </c>
      <c r="L5025">
        <f>SUBTOTAL(103,A5025)</f>
        <v>1</v>
      </c>
    </row>
    <row r="5026">
      <c r="A5026" t="inlineStr">
        <is>
          <t>SOCIETE C1875</t>
        </is>
      </c>
      <c r="B5026" t="inlineStr">
        <is>
          <t>C1875</t>
        </is>
      </c>
      <c r="C5026" t="inlineStr">
        <is>
          <t>CONSUMER BANKING</t>
        </is>
      </c>
      <c r="D5026" t="inlineStr">
        <is>
          <t>IA</t>
        </is>
      </c>
      <c r="E5026" t="inlineStr">
        <is>
          <t>Stage 2</t>
        </is>
      </c>
      <c r="F5026" t="inlineStr">
        <is>
          <t>N/A</t>
        </is>
      </c>
      <c r="G5026" s="26">
        <v>1012740333</v>
      </c>
      <c r="H5026" s="26">
        <v>60764420</v>
      </c>
      <c r="I5026" s="26">
        <v>0</v>
      </c>
      <c r="J5026" s="26">
        <v>143</v>
      </c>
      <c r="K5026" t="inlineStr">
        <is>
          <t>Non</t>
        </is>
      </c>
      <c r="L5026">
        <f>SUBTOTAL(103,A5026)</f>
        <v>1</v>
      </c>
    </row>
    <row r="5027">
      <c r="A5027" t="inlineStr">
        <is>
          <t>SOCIETE C551</t>
        </is>
      </c>
      <c r="B5027" t="inlineStr">
        <is>
          <t>C551</t>
        </is>
      </c>
      <c r="C5027" t="inlineStr">
        <is>
          <t>PUBLIC SECTOR</t>
        </is>
      </c>
      <c r="D5027" t="inlineStr">
        <is>
          <t>I</t>
        </is>
      </c>
      <c r="E5027" t="inlineStr">
        <is>
          <t>Stage 1</t>
        </is>
      </c>
      <c r="F5027" t="inlineStr">
        <is>
          <t>N/A</t>
        </is>
      </c>
      <c r="G5027" s="26">
        <v>232871765</v>
      </c>
      <c r="H5027" s="26">
        <v>2328718</v>
      </c>
      <c r="I5027" s="26">
        <v>0</v>
      </c>
      <c r="J5027" s="26">
        <v>107</v>
      </c>
      <c r="K5027" t="inlineStr">
        <is>
          <t>Non</t>
        </is>
      </c>
      <c r="L5027">
        <f>SUBTOTAL(103,A5027)</f>
        <v>1</v>
      </c>
    </row>
    <row r="5028">
      <c r="A5028" t="inlineStr">
        <is>
          <t>SOCIETE C2438</t>
        </is>
      </c>
      <c r="B5028" t="inlineStr">
        <is>
          <t>C2438</t>
        </is>
      </c>
      <c r="C5028" t="inlineStr">
        <is>
          <t>CONSUMER BANKING</t>
        </is>
      </c>
      <c r="D5028" t="inlineStr">
        <is>
          <t>IA</t>
        </is>
      </c>
      <c r="E5028" t="inlineStr">
        <is>
          <t>Stage 2</t>
        </is>
      </c>
      <c r="F5028" t="inlineStr">
        <is>
          <t>N/A</t>
        </is>
      </c>
      <c r="G5028" s="26">
        <v>1412478719</v>
      </c>
      <c r="H5028" s="26">
        <v>84748723</v>
      </c>
      <c r="I5028" s="26">
        <v>0</v>
      </c>
      <c r="J5028" s="26">
        <v>116</v>
      </c>
      <c r="K5028" t="inlineStr">
        <is>
          <t>Non</t>
        </is>
      </c>
      <c r="L5028">
        <f>SUBTOTAL(103,A5028)</f>
        <v>1</v>
      </c>
    </row>
    <row r="5029">
      <c r="A5029" t="inlineStr">
        <is>
          <t>SOCIETE C1502</t>
        </is>
      </c>
      <c r="B5029" t="inlineStr">
        <is>
          <t>C1502</t>
        </is>
      </c>
      <c r="C5029" t="inlineStr">
        <is>
          <t>CORPORATE BANKING</t>
        </is>
      </c>
      <c r="D5029" t="inlineStr">
        <is>
          <t>III</t>
        </is>
      </c>
      <c r="E5029" t="inlineStr">
        <is>
          <t>Stage 3</t>
        </is>
      </c>
      <c r="F5029" t="inlineStr">
        <is>
          <t>N/A</t>
        </is>
      </c>
      <c r="G5029" s="26">
        <v>2448741</v>
      </c>
      <c r="H5029" s="26">
        <v>1346807</v>
      </c>
      <c r="I5029" s="26">
        <v>425885</v>
      </c>
      <c r="J5029" s="26">
        <v>141</v>
      </c>
      <c r="K5029" t="inlineStr">
        <is>
          <t>Oui</t>
        </is>
      </c>
      <c r="L5029">
        <f>SUBTOTAL(103,A5029)</f>
        <v>1</v>
      </c>
    </row>
    <row r="5030">
      <c r="A5030" t="inlineStr">
        <is>
          <t>SOCIETE C245</t>
        </is>
      </c>
      <c r="B5030" t="inlineStr">
        <is>
          <t>C245</t>
        </is>
      </c>
      <c r="C5030" t="inlineStr">
        <is>
          <t>CORPORATE BANKING</t>
        </is>
      </c>
      <c r="D5030" t="inlineStr">
        <is>
          <t>I</t>
        </is>
      </c>
      <c r="E5030" t="inlineStr">
        <is>
          <t>Stage 1</t>
        </is>
      </c>
      <c r="F5030" t="inlineStr">
        <is>
          <t>N/A</t>
        </is>
      </c>
      <c r="G5030" s="26">
        <v>2524358441</v>
      </c>
      <c r="H5030" s="26">
        <v>25243584</v>
      </c>
      <c r="I5030" s="26">
        <v>329918718</v>
      </c>
      <c r="J5030" s="26">
        <v>260</v>
      </c>
      <c r="K5030" t="inlineStr">
        <is>
          <t>Non</t>
        </is>
      </c>
      <c r="L5030">
        <f>SUBTOTAL(103,A5030)</f>
        <v>1</v>
      </c>
    </row>
    <row r="5031">
      <c r="A5031" t="inlineStr">
        <is>
          <t>SOCIETE C1678</t>
        </is>
      </c>
      <c r="B5031" t="inlineStr">
        <is>
          <t>C1678</t>
        </is>
      </c>
      <c r="C5031" t="inlineStr">
        <is>
          <t>CONSUMER BANKING</t>
        </is>
      </c>
      <c r="D5031" t="inlineStr">
        <is>
          <t>V</t>
        </is>
      </c>
      <c r="E5031" t="inlineStr">
        <is>
          <t>Stage 3</t>
        </is>
      </c>
      <c r="F5031" t="inlineStr">
        <is>
          <t>N/A</t>
        </is>
      </c>
      <c r="G5031" s="26">
        <v>102542973</v>
      </c>
      <c r="H5031" s="26">
        <v>56398635</v>
      </c>
      <c r="I5031" s="26">
        <v>0</v>
      </c>
      <c r="J5031" s="26">
        <v>25</v>
      </c>
      <c r="K5031" t="inlineStr">
        <is>
          <t>Oui</t>
        </is>
      </c>
      <c r="L5031">
        <f>SUBTOTAL(103,A5031)</f>
        <v>1</v>
      </c>
    </row>
    <row r="5032">
      <c r="A5032" t="inlineStr">
        <is>
          <t>SOCIETE C2438</t>
        </is>
      </c>
      <c r="B5032" t="inlineStr">
        <is>
          <t>C2438</t>
        </is>
      </c>
      <c r="C5032" t="inlineStr">
        <is>
          <t>CORPORATE BANKING</t>
        </is>
      </c>
      <c r="D5032" t="inlineStr">
        <is>
          <t>III</t>
        </is>
      </c>
      <c r="E5032" t="inlineStr">
        <is>
          <t>Stage 3</t>
        </is>
      </c>
      <c r="F5032" t="inlineStr">
        <is>
          <t>N/A</t>
        </is>
      </c>
      <c r="G5032" s="26">
        <v>675330362</v>
      </c>
      <c r="H5032" s="26">
        <v>371431699</v>
      </c>
      <c r="I5032" s="26">
        <v>0</v>
      </c>
      <c r="J5032" s="26">
        <v>3</v>
      </c>
      <c r="K5032" t="inlineStr">
        <is>
          <t>Oui</t>
        </is>
      </c>
      <c r="L5032">
        <f>SUBTOTAL(103,A5032)</f>
        <v>1</v>
      </c>
    </row>
    <row r="5033">
      <c r="A5033" t="inlineStr">
        <is>
          <t>SOCIETE C425</t>
        </is>
      </c>
      <c r="B5033" t="inlineStr">
        <is>
          <t>C425</t>
        </is>
      </c>
      <c r="C5033" t="inlineStr">
        <is>
          <t>COMMERCIAL BANKING</t>
        </is>
      </c>
      <c r="D5033" t="inlineStr">
        <is>
          <t>IV</t>
        </is>
      </c>
      <c r="E5033" t="inlineStr">
        <is>
          <t>Stage 3</t>
        </is>
      </c>
      <c r="F5033" t="inlineStr">
        <is>
          <t>N/A</t>
        </is>
      </c>
      <c r="G5033" s="26">
        <v>985339426</v>
      </c>
      <c r="H5033" s="26">
        <v>541936684</v>
      </c>
      <c r="I5033" s="26">
        <v>0</v>
      </c>
      <c r="J5033" s="26">
        <v>184</v>
      </c>
      <c r="K5033" t="inlineStr">
        <is>
          <t>Oui</t>
        </is>
      </c>
      <c r="L5033">
        <f>SUBTOTAL(103,A5033)</f>
        <v>1</v>
      </c>
    </row>
    <row r="5034">
      <c r="A5034" t="inlineStr">
        <is>
          <t>SOCIETE C581</t>
        </is>
      </c>
      <c r="B5034" t="inlineStr">
        <is>
          <t>C581</t>
        </is>
      </c>
      <c r="C5034" t="inlineStr">
        <is>
          <t>CORPORATE BANKING</t>
        </is>
      </c>
      <c r="D5034" t="inlineStr">
        <is>
          <t>V</t>
        </is>
      </c>
      <c r="E5034" t="inlineStr">
        <is>
          <t>Stage 3</t>
        </is>
      </c>
      <c r="F5034" t="inlineStr">
        <is>
          <t>N/A</t>
        </is>
      </c>
      <c r="G5034" s="26">
        <v>32729175</v>
      </c>
      <c r="H5034" s="26">
        <v>18001046</v>
      </c>
      <c r="I5034" s="26">
        <v>5926189</v>
      </c>
      <c r="J5034" s="26">
        <v>1</v>
      </c>
      <c r="K5034" t="inlineStr">
        <is>
          <t>Oui</t>
        </is>
      </c>
      <c r="L5034">
        <f>SUBTOTAL(103,A5034)</f>
        <v>1</v>
      </c>
    </row>
    <row r="5035">
      <c r="A5035" t="inlineStr">
        <is>
          <t>SOCIETE C862</t>
        </is>
      </c>
      <c r="B5035" t="inlineStr">
        <is>
          <t>C862</t>
        </is>
      </c>
      <c r="C5035" t="inlineStr">
        <is>
          <t>SME</t>
        </is>
      </c>
      <c r="D5035" t="inlineStr">
        <is>
          <t>I</t>
        </is>
      </c>
      <c r="E5035" t="inlineStr">
        <is>
          <t>Stage 1</t>
        </is>
      </c>
      <c r="F5035" t="inlineStr">
        <is>
          <t>N/A</t>
        </is>
      </c>
      <c r="G5035" s="26">
        <v>2217209691</v>
      </c>
      <c r="H5035" s="26">
        <v>22172097</v>
      </c>
      <c r="I5035" s="26">
        <v>0</v>
      </c>
      <c r="J5035" s="26">
        <v>150</v>
      </c>
      <c r="K5035" t="inlineStr">
        <is>
          <t>Non</t>
        </is>
      </c>
      <c r="L5035">
        <f>SUBTOTAL(103,A5035)</f>
        <v>1</v>
      </c>
    </row>
    <row r="5036">
      <c r="A5036" t="inlineStr">
        <is>
          <t>SOCIETE C209</t>
        </is>
      </c>
      <c r="B5036" t="inlineStr">
        <is>
          <t>C209</t>
        </is>
      </c>
      <c r="C5036" t="inlineStr">
        <is>
          <t>COMMERCIAL BANKING</t>
        </is>
      </c>
      <c r="D5036" t="inlineStr">
        <is>
          <t>IA</t>
        </is>
      </c>
      <c r="E5036" t="inlineStr">
        <is>
          <t>Stage 2</t>
        </is>
      </c>
      <c r="F5036" t="inlineStr">
        <is>
          <t>N/A</t>
        </is>
      </c>
      <c r="G5036" s="26">
        <v>376078153</v>
      </c>
      <c r="H5036" s="26">
        <v>22564689</v>
      </c>
      <c r="I5036" s="26">
        <v>18319011</v>
      </c>
      <c r="J5036" s="26">
        <v>142</v>
      </c>
      <c r="K5036" t="inlineStr">
        <is>
          <t>Non</t>
        </is>
      </c>
      <c r="L5036">
        <f>SUBTOTAL(103,A5036)</f>
        <v>1</v>
      </c>
    </row>
    <row r="5037">
      <c r="A5037" t="inlineStr">
        <is>
          <t>SOCIETE C2429</t>
        </is>
      </c>
      <c r="B5037" t="inlineStr">
        <is>
          <t>C2429</t>
        </is>
      </c>
      <c r="C5037" t="inlineStr">
        <is>
          <t>CORPORATE BANKING</t>
        </is>
      </c>
      <c r="D5037" t="inlineStr">
        <is>
          <t>I</t>
        </is>
      </c>
      <c r="E5037" t="inlineStr">
        <is>
          <t>Stage 1</t>
        </is>
      </c>
      <c r="F5037" t="inlineStr">
        <is>
          <t>N/A</t>
        </is>
      </c>
      <c r="G5037" s="26">
        <v>1787851300</v>
      </c>
      <c r="H5037" s="26">
        <v>17878513</v>
      </c>
      <c r="I5037" s="26">
        <v>0</v>
      </c>
      <c r="J5037" s="26">
        <v>3</v>
      </c>
      <c r="K5037" t="inlineStr">
        <is>
          <t>Non</t>
        </is>
      </c>
      <c r="L5037">
        <f>SUBTOTAL(103,A5037)</f>
        <v>1</v>
      </c>
    </row>
    <row r="5038">
      <c r="A5038" t="inlineStr">
        <is>
          <t>SOCIETE C1701</t>
        </is>
      </c>
      <c r="B5038" t="inlineStr">
        <is>
          <t>C1701</t>
        </is>
      </c>
      <c r="C5038" t="inlineStr">
        <is>
          <t>CONSUMER BANKING</t>
        </is>
      </c>
      <c r="D5038" t="inlineStr">
        <is>
          <t>V</t>
        </is>
      </c>
      <c r="E5038" t="inlineStr">
        <is>
          <t>Stage 3</t>
        </is>
      </c>
      <c r="F5038" t="inlineStr">
        <is>
          <t>N/A</t>
        </is>
      </c>
      <c r="G5038" s="26">
        <v>19547327</v>
      </c>
      <c r="H5038" s="26">
        <v>10751030</v>
      </c>
      <c r="I5038" s="26">
        <v>0</v>
      </c>
      <c r="J5038" s="26">
        <v>39</v>
      </c>
      <c r="K5038" t="inlineStr">
        <is>
          <t>Oui</t>
        </is>
      </c>
      <c r="L5038">
        <f>SUBTOTAL(103,A5038)</f>
        <v>1</v>
      </c>
    </row>
    <row r="5039">
      <c r="A5039" t="inlineStr">
        <is>
          <t>SOCIETE C683</t>
        </is>
      </c>
      <c r="B5039" t="inlineStr">
        <is>
          <t>C683</t>
        </is>
      </c>
      <c r="C5039" t="inlineStr">
        <is>
          <t>CONSUMER BANKING</t>
        </is>
      </c>
      <c r="D5039" t="inlineStr">
        <is>
          <t>IA</t>
        </is>
      </c>
      <c r="E5039" t="inlineStr">
        <is>
          <t>Stage 2</t>
        </is>
      </c>
      <c r="F5039" t="inlineStr">
        <is>
          <t>N/A</t>
        </is>
      </c>
      <c r="G5039" s="26">
        <v>739693700</v>
      </c>
      <c r="H5039" s="26">
        <v>44381622</v>
      </c>
      <c r="I5039" s="26">
        <v>0</v>
      </c>
      <c r="J5039" s="26">
        <v>49</v>
      </c>
      <c r="K5039" t="inlineStr">
        <is>
          <t>Non</t>
        </is>
      </c>
      <c r="L5039">
        <f>SUBTOTAL(103,A5039)</f>
        <v>1</v>
      </c>
    </row>
    <row r="5040">
      <c r="A5040" t="inlineStr">
        <is>
          <t>SOCIETE C1779</t>
        </is>
      </c>
      <c r="B5040" t="inlineStr">
        <is>
          <t>C1779</t>
        </is>
      </c>
      <c r="C5040" t="inlineStr">
        <is>
          <t>COMMERCIAL BANKING</t>
        </is>
      </c>
      <c r="D5040" t="inlineStr">
        <is>
          <t>II</t>
        </is>
      </c>
      <c r="E5040" t="inlineStr">
        <is>
          <t>Stage 2</t>
        </is>
      </c>
      <c r="F5040" t="inlineStr">
        <is>
          <t>N/A</t>
        </is>
      </c>
      <c r="G5040" s="26">
        <v>274761429</v>
      </c>
      <c r="H5040" s="26">
        <v>16485686</v>
      </c>
      <c r="I5040" s="26">
        <v>0</v>
      </c>
      <c r="J5040" s="26">
        <v>104</v>
      </c>
      <c r="K5040" t="inlineStr">
        <is>
          <t>Non</t>
        </is>
      </c>
      <c r="L5040">
        <f>SUBTOTAL(103,A5040)</f>
        <v>1</v>
      </c>
    </row>
    <row r="5041">
      <c r="A5041" t="inlineStr">
        <is>
          <t>SOCIETE C2467</t>
        </is>
      </c>
      <c r="B5041" t="inlineStr">
        <is>
          <t>C2467</t>
        </is>
      </c>
      <c r="C5041" t="inlineStr">
        <is>
          <t>CORPORATE BANKING</t>
        </is>
      </c>
      <c r="D5041" t="inlineStr">
        <is>
          <t>IV</t>
        </is>
      </c>
      <c r="E5041" t="inlineStr">
        <is>
          <t>Stage 3</t>
        </is>
      </c>
      <c r="F5041" t="inlineStr">
        <is>
          <t>N/A</t>
        </is>
      </c>
      <c r="G5041" s="26">
        <v>57361992</v>
      </c>
      <c r="H5041" s="26">
        <v>31549096</v>
      </c>
      <c r="I5041" s="26">
        <v>0</v>
      </c>
      <c r="J5041" s="26">
        <v>149</v>
      </c>
      <c r="K5041" t="inlineStr">
        <is>
          <t>Oui</t>
        </is>
      </c>
      <c r="L5041">
        <f>SUBTOTAL(103,A5041)</f>
        <v>1</v>
      </c>
    </row>
    <row r="5042">
      <c r="A5042" t="inlineStr">
        <is>
          <t>SOCIETE C101</t>
        </is>
      </c>
      <c r="B5042" t="inlineStr">
        <is>
          <t>C101</t>
        </is>
      </c>
      <c r="C5042" t="inlineStr">
        <is>
          <t>PUBLIC SECTOR</t>
        </is>
      </c>
      <c r="D5042" t="inlineStr">
        <is>
          <t>I</t>
        </is>
      </c>
      <c r="E5042" t="inlineStr">
        <is>
          <t>Stage 1</t>
        </is>
      </c>
      <c r="F5042" t="inlineStr">
        <is>
          <t>N/A</t>
        </is>
      </c>
      <c r="G5042" s="26">
        <v>746820087</v>
      </c>
      <c r="H5042" s="26">
        <v>7468201</v>
      </c>
      <c r="I5042" s="26">
        <v>0</v>
      </c>
      <c r="J5042" s="26">
        <v>217</v>
      </c>
      <c r="K5042" t="inlineStr">
        <is>
          <t>Non</t>
        </is>
      </c>
      <c r="L5042">
        <f>SUBTOTAL(103,A5042)</f>
        <v>1</v>
      </c>
    </row>
    <row r="5043">
      <c r="A5043" t="inlineStr">
        <is>
          <t>SOCIETE C1230</t>
        </is>
      </c>
      <c r="B5043" t="inlineStr">
        <is>
          <t>C1230</t>
        </is>
      </c>
      <c r="C5043" t="inlineStr">
        <is>
          <t>CORPORATE BANKING</t>
        </is>
      </c>
      <c r="D5043" t="inlineStr">
        <is>
          <t>IA</t>
        </is>
      </c>
      <c r="E5043" t="inlineStr">
        <is>
          <t>Stage 2</t>
        </is>
      </c>
      <c r="F5043" t="inlineStr">
        <is>
          <t>N/A</t>
        </is>
      </c>
      <c r="G5043" s="26">
        <v>952175035</v>
      </c>
      <c r="H5043" s="26">
        <v>57130502</v>
      </c>
      <c r="I5043" s="26">
        <v>0</v>
      </c>
      <c r="J5043" s="26">
        <v>73</v>
      </c>
      <c r="K5043" t="inlineStr">
        <is>
          <t>Non</t>
        </is>
      </c>
      <c r="L5043">
        <f>SUBTOTAL(103,A5043)</f>
        <v>1</v>
      </c>
    </row>
    <row r="5044">
      <c r="A5044" t="inlineStr">
        <is>
          <t>SOCIETE C2361</t>
        </is>
      </c>
      <c r="B5044" t="inlineStr">
        <is>
          <t>C2361</t>
        </is>
      </c>
      <c r="C5044" t="inlineStr">
        <is>
          <t>COMMERCIAL BANKING</t>
        </is>
      </c>
      <c r="D5044" t="inlineStr">
        <is>
          <t>I</t>
        </is>
      </c>
      <c r="E5044" t="inlineStr">
        <is>
          <t>Stage 1</t>
        </is>
      </c>
      <c r="F5044" t="inlineStr">
        <is>
          <t>N/A</t>
        </is>
      </c>
      <c r="G5044" s="26">
        <v>1704559</v>
      </c>
      <c r="H5044" s="26">
        <v>17046</v>
      </c>
      <c r="I5044" s="26">
        <v>0</v>
      </c>
      <c r="J5044" s="26">
        <v>43</v>
      </c>
      <c r="K5044" t="inlineStr">
        <is>
          <t>Non</t>
        </is>
      </c>
      <c r="L5044">
        <f>SUBTOTAL(103,A5044)</f>
        <v>1</v>
      </c>
    </row>
    <row r="5045">
      <c r="A5045" t="inlineStr">
        <is>
          <t>SOCIETE C1411</t>
        </is>
      </c>
      <c r="B5045" t="inlineStr">
        <is>
          <t>C1411</t>
        </is>
      </c>
      <c r="C5045" t="inlineStr">
        <is>
          <t>CORPORATE BANKING</t>
        </is>
      </c>
      <c r="D5045" t="inlineStr">
        <is>
          <t>I</t>
        </is>
      </c>
      <c r="E5045" t="inlineStr">
        <is>
          <t>Stage 1</t>
        </is>
      </c>
      <c r="F5045" t="inlineStr">
        <is>
          <t>N/A</t>
        </is>
      </c>
      <c r="G5045" s="26">
        <v>365006419</v>
      </c>
      <c r="H5045" s="26">
        <v>3650064</v>
      </c>
      <c r="I5045" s="26">
        <v>68631326</v>
      </c>
      <c r="J5045" s="26">
        <v>342</v>
      </c>
      <c r="K5045" t="inlineStr">
        <is>
          <t>Non</t>
        </is>
      </c>
      <c r="L5045">
        <f>SUBTOTAL(103,A5045)</f>
        <v>1</v>
      </c>
    </row>
    <row r="5046">
      <c r="A5046" t="inlineStr">
        <is>
          <t>SOCIETE C474</t>
        </is>
      </c>
      <c r="B5046" t="inlineStr">
        <is>
          <t>C474</t>
        </is>
      </c>
      <c r="C5046" t="inlineStr">
        <is>
          <t>CONSUMER BANKING</t>
        </is>
      </c>
      <c r="D5046" t="inlineStr">
        <is>
          <t>IA</t>
        </is>
      </c>
      <c r="E5046" t="inlineStr">
        <is>
          <t>Stage 2</t>
        </is>
      </c>
      <c r="F5046" t="inlineStr">
        <is>
          <t>N/A</t>
        </is>
      </c>
      <c r="G5046" s="26">
        <v>357010653</v>
      </c>
      <c r="H5046" s="26">
        <v>21420639</v>
      </c>
      <c r="I5046" s="26">
        <v>6656341</v>
      </c>
      <c r="J5046" s="26">
        <v>212</v>
      </c>
      <c r="K5046" t="inlineStr">
        <is>
          <t>Non</t>
        </is>
      </c>
      <c r="L5046">
        <f>SUBTOTAL(103,A5046)</f>
        <v>1</v>
      </c>
    </row>
    <row r="5047">
      <c r="A5047" t="inlineStr">
        <is>
          <t>SOCIETE C2076</t>
        </is>
      </c>
      <c r="B5047" t="inlineStr">
        <is>
          <t>C2076</t>
        </is>
      </c>
      <c r="C5047" t="inlineStr">
        <is>
          <t>CORPORATE BANKING</t>
        </is>
      </c>
      <c r="D5047" t="inlineStr">
        <is>
          <t>IV</t>
        </is>
      </c>
      <c r="E5047" t="inlineStr">
        <is>
          <t>Stage 3</t>
        </is>
      </c>
      <c r="F5047" t="inlineStr">
        <is>
          <t>N/A</t>
        </is>
      </c>
      <c r="G5047" s="26">
        <v>244086618</v>
      </c>
      <c r="H5047" s="26">
        <v>134247640</v>
      </c>
      <c r="I5047" s="26">
        <v>0</v>
      </c>
      <c r="J5047" s="26">
        <v>313</v>
      </c>
      <c r="K5047" t="inlineStr">
        <is>
          <t>Oui</t>
        </is>
      </c>
      <c r="L5047">
        <f>SUBTOTAL(103,A5047)</f>
        <v>1</v>
      </c>
    </row>
    <row r="5048">
      <c r="A5048" t="inlineStr">
        <is>
          <t>SOCIETE C2159</t>
        </is>
      </c>
      <c r="B5048" t="inlineStr">
        <is>
          <t>C2159</t>
        </is>
      </c>
      <c r="C5048" t="inlineStr">
        <is>
          <t>PUBLIC SECTOR</t>
        </is>
      </c>
      <c r="D5048" t="inlineStr">
        <is>
          <t>III</t>
        </is>
      </c>
      <c r="E5048" t="inlineStr">
        <is>
          <t>Stage 3</t>
        </is>
      </c>
      <c r="F5048" t="inlineStr">
        <is>
          <t>N/A</t>
        </is>
      </c>
      <c r="G5048" s="26">
        <v>8341367</v>
      </c>
      <c r="H5048" s="26">
        <v>4587752</v>
      </c>
      <c r="I5048" s="26">
        <v>0</v>
      </c>
      <c r="J5048" s="26">
        <v>11</v>
      </c>
      <c r="K5048" t="inlineStr">
        <is>
          <t>Oui</t>
        </is>
      </c>
      <c r="L5048">
        <f>SUBTOTAL(103,A5048)</f>
        <v>1</v>
      </c>
    </row>
    <row r="5049">
      <c r="A5049" t="inlineStr">
        <is>
          <t>SOCIETE C1968</t>
        </is>
      </c>
      <c r="B5049" t="inlineStr">
        <is>
          <t>C1968</t>
        </is>
      </c>
      <c r="C5049" t="inlineStr">
        <is>
          <t>CONSUMER BANKING</t>
        </is>
      </c>
      <c r="D5049" t="inlineStr">
        <is>
          <t>IA</t>
        </is>
      </c>
      <c r="E5049" t="inlineStr">
        <is>
          <t>Stage 2</t>
        </is>
      </c>
      <c r="F5049" t="inlineStr">
        <is>
          <t>N/A</t>
        </is>
      </c>
      <c r="G5049" s="26">
        <v>1665223490</v>
      </c>
      <c r="H5049" s="26">
        <v>99913409</v>
      </c>
      <c r="I5049" s="26">
        <v>0</v>
      </c>
      <c r="J5049" s="26">
        <v>29</v>
      </c>
      <c r="K5049" t="inlineStr">
        <is>
          <t>Non</t>
        </is>
      </c>
      <c r="L5049">
        <f>SUBTOTAL(103,A5049)</f>
        <v>1</v>
      </c>
    </row>
    <row r="5050">
      <c r="A5050" t="inlineStr">
        <is>
          <t>SOCIETE C1711</t>
        </is>
      </c>
      <c r="B5050" t="inlineStr">
        <is>
          <t>C1711</t>
        </is>
      </c>
      <c r="C5050" t="inlineStr">
        <is>
          <t>CORPORATE BANKING</t>
        </is>
      </c>
      <c r="D5050" t="inlineStr">
        <is>
          <t>I</t>
        </is>
      </c>
      <c r="E5050" t="inlineStr">
        <is>
          <t>Stage 1</t>
        </is>
      </c>
      <c r="F5050" t="inlineStr">
        <is>
          <t>N/A</t>
        </is>
      </c>
      <c r="G5050" s="26">
        <v>1166788576</v>
      </c>
      <c r="H5050" s="26">
        <v>11667886</v>
      </c>
      <c r="I5050" s="26">
        <v>0</v>
      </c>
      <c r="J5050" s="26">
        <v>16</v>
      </c>
      <c r="K5050" t="inlineStr">
        <is>
          <t>Non</t>
        </is>
      </c>
      <c r="L5050">
        <f>SUBTOTAL(103,A5050)</f>
        <v>1</v>
      </c>
    </row>
    <row r="5051">
      <c r="A5051" t="inlineStr">
        <is>
          <t>SOCIETE C339</t>
        </is>
      </c>
      <c r="B5051" t="inlineStr">
        <is>
          <t>C339</t>
        </is>
      </c>
      <c r="C5051" t="inlineStr">
        <is>
          <t>CORPORATE BANKING</t>
        </is>
      </c>
      <c r="D5051" t="inlineStr">
        <is>
          <t>II</t>
        </is>
      </c>
      <c r="E5051" t="inlineStr">
        <is>
          <t>Stage 2</t>
        </is>
      </c>
      <c r="F5051" t="inlineStr">
        <is>
          <t>N/A</t>
        </is>
      </c>
      <c r="G5051" s="26">
        <v>1072598</v>
      </c>
      <c r="H5051" s="26">
        <v>64356</v>
      </c>
      <c r="I5051" s="26">
        <v>0</v>
      </c>
      <c r="J5051" s="26">
        <v>54</v>
      </c>
      <c r="K5051" t="inlineStr">
        <is>
          <t>Non</t>
        </is>
      </c>
      <c r="L5051">
        <f>SUBTOTAL(103,A5051)</f>
        <v>1</v>
      </c>
    </row>
    <row r="5052">
      <c r="A5052" t="inlineStr">
        <is>
          <t>SOCIETE C1815</t>
        </is>
      </c>
      <c r="B5052" t="inlineStr">
        <is>
          <t>C1815</t>
        </is>
      </c>
      <c r="C5052" t="inlineStr">
        <is>
          <t>COMMERCIAL BANKING</t>
        </is>
      </c>
      <c r="D5052" t="inlineStr">
        <is>
          <t>IV</t>
        </is>
      </c>
      <c r="E5052" t="inlineStr">
        <is>
          <t>Stage 3</t>
        </is>
      </c>
      <c r="F5052" t="inlineStr">
        <is>
          <t>N/A</t>
        </is>
      </c>
      <c r="G5052" s="26">
        <v>95167826</v>
      </c>
      <c r="H5052" s="26">
        <v>52342305</v>
      </c>
      <c r="I5052" s="26">
        <v>0</v>
      </c>
      <c r="J5052" s="26">
        <v>192</v>
      </c>
      <c r="K5052" t="inlineStr">
        <is>
          <t>Oui</t>
        </is>
      </c>
      <c r="L5052">
        <f>SUBTOTAL(103,A5052)</f>
        <v>1</v>
      </c>
    </row>
    <row r="5053">
      <c r="A5053" t="inlineStr">
        <is>
          <t>SOCIETE C1291</t>
        </is>
      </c>
      <c r="B5053" t="inlineStr">
        <is>
          <t>C1291</t>
        </is>
      </c>
      <c r="C5053" t="inlineStr">
        <is>
          <t>CORPORATE BANKING</t>
        </is>
      </c>
      <c r="D5053" t="inlineStr">
        <is>
          <t>III</t>
        </is>
      </c>
      <c r="E5053" t="inlineStr">
        <is>
          <t>Stage 3</t>
        </is>
      </c>
      <c r="F5053" t="inlineStr">
        <is>
          <t>N/A</t>
        </is>
      </c>
      <c r="G5053" s="26">
        <v>341005311</v>
      </c>
      <c r="H5053" s="26">
        <v>187552921</v>
      </c>
      <c r="I5053" s="26">
        <v>0</v>
      </c>
      <c r="J5053" s="26">
        <v>22</v>
      </c>
      <c r="K5053" t="inlineStr">
        <is>
          <t>Oui</t>
        </is>
      </c>
      <c r="L5053">
        <f>SUBTOTAL(103,A5053)</f>
        <v>1</v>
      </c>
    </row>
    <row r="5054">
      <c r="A5054" t="inlineStr">
        <is>
          <t>SOCIETE C1013</t>
        </is>
      </c>
      <c r="B5054" t="inlineStr">
        <is>
          <t>C1013</t>
        </is>
      </c>
      <c r="C5054" t="inlineStr">
        <is>
          <t>PUBLIC SECTOR</t>
        </is>
      </c>
      <c r="D5054" t="inlineStr">
        <is>
          <t>I</t>
        </is>
      </c>
      <c r="E5054" t="inlineStr">
        <is>
          <t>Stage 1</t>
        </is>
      </c>
      <c r="F5054" t="inlineStr">
        <is>
          <t>N/A</t>
        </is>
      </c>
      <c r="G5054" s="26">
        <v>1173279643</v>
      </c>
      <c r="H5054" s="26">
        <v>11732796</v>
      </c>
      <c r="I5054" s="26">
        <v>0</v>
      </c>
      <c r="J5054" s="26">
        <v>235</v>
      </c>
      <c r="K5054" t="inlineStr">
        <is>
          <t>Non</t>
        </is>
      </c>
      <c r="L5054">
        <f>SUBTOTAL(103,A5054)</f>
        <v>1</v>
      </c>
    </row>
    <row r="5055">
      <c r="A5055" t="inlineStr">
        <is>
          <t>SOCIETE C1021</t>
        </is>
      </c>
      <c r="B5055" t="inlineStr">
        <is>
          <t>C1021</t>
        </is>
      </c>
      <c r="C5055" t="inlineStr">
        <is>
          <t>COMMERCIAL BANKING</t>
        </is>
      </c>
      <c r="D5055" t="inlineStr">
        <is>
          <t>IV</t>
        </is>
      </c>
      <c r="E5055" t="inlineStr">
        <is>
          <t>Stage 3</t>
        </is>
      </c>
      <c r="F5055" t="inlineStr">
        <is>
          <t>N/A</t>
        </is>
      </c>
      <c r="G5055" s="26">
        <v>211160505</v>
      </c>
      <c r="H5055" s="26">
        <v>116138278</v>
      </c>
      <c r="I5055" s="26">
        <v>0</v>
      </c>
      <c r="J5055" s="26">
        <v>221</v>
      </c>
      <c r="K5055" t="inlineStr">
        <is>
          <t>Oui</t>
        </is>
      </c>
      <c r="L5055">
        <f>SUBTOTAL(103,A5055)</f>
        <v>1</v>
      </c>
    </row>
    <row r="5056">
      <c r="A5056" t="inlineStr">
        <is>
          <t>SOCIETE C706</t>
        </is>
      </c>
      <c r="B5056" t="inlineStr">
        <is>
          <t>C706</t>
        </is>
      </c>
      <c r="C5056" t="inlineStr">
        <is>
          <t>CONSUMER BANKING</t>
        </is>
      </c>
      <c r="D5056" t="inlineStr">
        <is>
          <t>I</t>
        </is>
      </c>
      <c r="E5056" t="inlineStr">
        <is>
          <t>Stage 1</t>
        </is>
      </c>
      <c r="F5056" t="inlineStr">
        <is>
          <t>N/A</t>
        </is>
      </c>
      <c r="G5056" s="26">
        <v>64587074</v>
      </c>
      <c r="H5056" s="26">
        <v>645871</v>
      </c>
      <c r="I5056" s="26">
        <v>0</v>
      </c>
      <c r="J5056" s="26">
        <v>24</v>
      </c>
      <c r="K5056" t="inlineStr">
        <is>
          <t>Non</t>
        </is>
      </c>
      <c r="L5056">
        <f>SUBTOTAL(103,A5056)</f>
        <v>1</v>
      </c>
    </row>
    <row r="5057">
      <c r="A5057" t="inlineStr">
        <is>
          <t>SOCIETE C1231</t>
        </is>
      </c>
      <c r="B5057" t="inlineStr">
        <is>
          <t>C1231</t>
        </is>
      </c>
      <c r="C5057" t="inlineStr">
        <is>
          <t>CONSUMER BANKING</t>
        </is>
      </c>
      <c r="D5057" t="inlineStr">
        <is>
          <t>IA</t>
        </is>
      </c>
      <c r="E5057" t="inlineStr">
        <is>
          <t>Stage 2</t>
        </is>
      </c>
      <c r="F5057" t="inlineStr">
        <is>
          <t>N/A</t>
        </is>
      </c>
      <c r="G5057" s="26">
        <v>1549678355</v>
      </c>
      <c r="H5057" s="26">
        <v>92980701</v>
      </c>
      <c r="I5057" s="26">
        <v>0</v>
      </c>
      <c r="J5057" s="26">
        <v>168</v>
      </c>
      <c r="K5057" t="inlineStr">
        <is>
          <t>Non</t>
        </is>
      </c>
      <c r="L5057">
        <f>SUBTOTAL(103,A5057)</f>
        <v>1</v>
      </c>
    </row>
    <row r="5058">
      <c r="A5058" t="inlineStr">
        <is>
          <t>SOCIETE C420</t>
        </is>
      </c>
      <c r="B5058" t="inlineStr">
        <is>
          <t>C420</t>
        </is>
      </c>
      <c r="C5058" t="inlineStr">
        <is>
          <t>CORPORATE BANKING</t>
        </is>
      </c>
      <c r="D5058" t="inlineStr">
        <is>
          <t>I</t>
        </is>
      </c>
      <c r="E5058" t="inlineStr">
        <is>
          <t>Stage 1</t>
        </is>
      </c>
      <c r="F5058" t="inlineStr">
        <is>
          <t>N/A</t>
        </is>
      </c>
      <c r="G5058" s="26">
        <v>40008294</v>
      </c>
      <c r="H5058" s="26">
        <v>400083</v>
      </c>
      <c r="I5058" s="26">
        <v>5400125</v>
      </c>
      <c r="J5058" s="26">
        <v>185</v>
      </c>
      <c r="K5058" t="inlineStr">
        <is>
          <t>Non</t>
        </is>
      </c>
      <c r="L5058">
        <f>SUBTOTAL(103,A5058)</f>
        <v>1</v>
      </c>
    </row>
    <row r="5059">
      <c r="A5059" t="inlineStr">
        <is>
          <t>SOCIETE C1457</t>
        </is>
      </c>
      <c r="B5059" t="inlineStr">
        <is>
          <t>C1457</t>
        </is>
      </c>
      <c r="C5059" t="inlineStr">
        <is>
          <t>CORPORATE BANKING</t>
        </is>
      </c>
      <c r="D5059" t="inlineStr">
        <is>
          <t>IA</t>
        </is>
      </c>
      <c r="E5059" t="inlineStr">
        <is>
          <t>Stage 2</t>
        </is>
      </c>
      <c r="F5059" t="inlineStr">
        <is>
          <t>N/A</t>
        </is>
      </c>
      <c r="G5059" s="26">
        <v>35226339</v>
      </c>
      <c r="H5059" s="26">
        <v>2113580</v>
      </c>
      <c r="I5059" s="26">
        <v>3067932</v>
      </c>
      <c r="J5059" s="26">
        <v>145</v>
      </c>
      <c r="K5059" t="inlineStr">
        <is>
          <t>Non</t>
        </is>
      </c>
      <c r="L5059">
        <f>SUBTOTAL(103,A5059)</f>
        <v>1</v>
      </c>
    </row>
    <row r="5060">
      <c r="A5060" t="inlineStr">
        <is>
          <t>SOCIETE C302</t>
        </is>
      </c>
      <c r="B5060" t="inlineStr">
        <is>
          <t>C302</t>
        </is>
      </c>
      <c r="C5060" t="inlineStr">
        <is>
          <t>CORPORATE BANKING</t>
        </is>
      </c>
      <c r="D5060" t="inlineStr">
        <is>
          <t>IA</t>
        </is>
      </c>
      <c r="E5060" t="inlineStr">
        <is>
          <t>Stage 2</t>
        </is>
      </c>
      <c r="F5060" t="inlineStr">
        <is>
          <t>N/A</t>
        </is>
      </c>
      <c r="G5060" s="26">
        <v>2765470426</v>
      </c>
      <c r="H5060" s="26">
        <v>165928226</v>
      </c>
      <c r="I5060" s="26">
        <v>467142095</v>
      </c>
      <c r="J5060" s="26">
        <v>5</v>
      </c>
      <c r="K5060" t="inlineStr">
        <is>
          <t>Non</t>
        </is>
      </c>
      <c r="L5060">
        <f>SUBTOTAL(103,A5060)</f>
        <v>1</v>
      </c>
    </row>
    <row r="5061">
      <c r="A5061" t="inlineStr">
        <is>
          <t>SOCIETE C945</t>
        </is>
      </c>
      <c r="B5061" t="inlineStr">
        <is>
          <t>C945</t>
        </is>
      </c>
      <c r="C5061" t="inlineStr">
        <is>
          <t>CORPORATE BANKING</t>
        </is>
      </c>
      <c r="D5061" t="inlineStr">
        <is>
          <t>I</t>
        </is>
      </c>
      <c r="E5061" t="inlineStr">
        <is>
          <t>Stage 1</t>
        </is>
      </c>
      <c r="F5061" t="inlineStr">
        <is>
          <t>N/A</t>
        </is>
      </c>
      <c r="G5061" s="26">
        <v>12764520</v>
      </c>
      <c r="H5061" s="26">
        <v>127645</v>
      </c>
      <c r="I5061" s="26">
        <v>0</v>
      </c>
      <c r="J5061" s="26">
        <v>64</v>
      </c>
      <c r="K5061" t="inlineStr">
        <is>
          <t>Non</t>
        </is>
      </c>
      <c r="L5061">
        <f>SUBTOTAL(103,A5061)</f>
        <v>1</v>
      </c>
    </row>
    <row r="5062">
      <c r="A5062" t="inlineStr">
        <is>
          <t>SOCIETE C369</t>
        </is>
      </c>
      <c r="B5062" t="inlineStr">
        <is>
          <t>C369</t>
        </is>
      </c>
      <c r="C5062" t="inlineStr">
        <is>
          <t>CORPORATE BANKING</t>
        </is>
      </c>
      <c r="D5062" t="inlineStr">
        <is>
          <t>IV</t>
        </is>
      </c>
      <c r="E5062" t="inlineStr">
        <is>
          <t>Stage 3</t>
        </is>
      </c>
      <c r="F5062" t="inlineStr">
        <is>
          <t>N/A</t>
        </is>
      </c>
      <c r="G5062" s="26">
        <v>2014877561</v>
      </c>
      <c r="H5062" s="26">
        <v>1108182658</v>
      </c>
      <c r="I5062" s="26">
        <v>78196518</v>
      </c>
      <c r="J5062" s="26">
        <v>66</v>
      </c>
      <c r="K5062" t="inlineStr">
        <is>
          <t>Oui</t>
        </is>
      </c>
      <c r="L5062">
        <f>SUBTOTAL(103,A5062)</f>
        <v>1</v>
      </c>
    </row>
    <row r="5063">
      <c r="A5063" t="inlineStr">
        <is>
          <t>SOCIETE C1033</t>
        </is>
      </c>
      <c r="B5063" t="inlineStr">
        <is>
          <t>C1033</t>
        </is>
      </c>
      <c r="C5063" t="inlineStr">
        <is>
          <t>CONSUMER BANKING</t>
        </is>
      </c>
      <c r="D5063" t="inlineStr">
        <is>
          <t>II</t>
        </is>
      </c>
      <c r="E5063" t="inlineStr">
        <is>
          <t>Stage 2</t>
        </is>
      </c>
      <c r="F5063" t="inlineStr">
        <is>
          <t>N/A</t>
        </is>
      </c>
      <c r="G5063" s="26">
        <v>1658228924</v>
      </c>
      <c r="H5063" s="26">
        <v>99493735</v>
      </c>
      <c r="I5063" s="26">
        <v>0</v>
      </c>
      <c r="J5063" s="26">
        <v>216</v>
      </c>
      <c r="K5063" t="inlineStr">
        <is>
          <t>Non</t>
        </is>
      </c>
      <c r="L5063">
        <f>SUBTOTAL(103,A5063)</f>
        <v>1</v>
      </c>
    </row>
    <row r="5064">
      <c r="A5064" t="inlineStr">
        <is>
          <t>SOCIETE C890</t>
        </is>
      </c>
      <c r="B5064" t="inlineStr">
        <is>
          <t>C890</t>
        </is>
      </c>
      <c r="C5064" t="inlineStr">
        <is>
          <t>CORPORATE BANKING</t>
        </is>
      </c>
      <c r="D5064" t="inlineStr">
        <is>
          <t>IV</t>
        </is>
      </c>
      <c r="E5064" t="inlineStr">
        <is>
          <t>Stage 3</t>
        </is>
      </c>
      <c r="F5064" t="inlineStr">
        <is>
          <t>N/A</t>
        </is>
      </c>
      <c r="G5064" s="26">
        <v>1373671</v>
      </c>
      <c r="H5064" s="26">
        <v>755519</v>
      </c>
      <c r="I5064" s="26">
        <v>0</v>
      </c>
      <c r="J5064" s="26">
        <v>150</v>
      </c>
      <c r="K5064" t="inlineStr">
        <is>
          <t>Oui</t>
        </is>
      </c>
      <c r="L5064">
        <f>SUBTOTAL(103,A5064)</f>
        <v>1</v>
      </c>
    </row>
    <row r="5065">
      <c r="A5065" t="inlineStr">
        <is>
          <t>SOCIETE C2370</t>
        </is>
      </c>
      <c r="B5065" t="inlineStr">
        <is>
          <t>C2370</t>
        </is>
      </c>
      <c r="C5065" t="inlineStr">
        <is>
          <t>CORPORATE BANKING</t>
        </is>
      </c>
      <c r="D5065" t="inlineStr">
        <is>
          <t>IA</t>
        </is>
      </c>
      <c r="E5065" t="inlineStr">
        <is>
          <t>Stage 2</t>
        </is>
      </c>
      <c r="F5065" t="inlineStr">
        <is>
          <t>N/A</t>
        </is>
      </c>
      <c r="G5065" s="26">
        <v>428249173</v>
      </c>
      <c r="H5065" s="26">
        <v>25694950</v>
      </c>
      <c r="I5065" s="26">
        <v>0</v>
      </c>
      <c r="J5065" s="26">
        <v>100</v>
      </c>
      <c r="K5065" t="inlineStr">
        <is>
          <t>Non</t>
        </is>
      </c>
      <c r="L5065">
        <f>SUBTOTAL(103,A5065)</f>
        <v>1</v>
      </c>
    </row>
    <row r="5066">
      <c r="A5066" t="inlineStr">
        <is>
          <t>SOCIETE C2036</t>
        </is>
      </c>
      <c r="B5066" t="inlineStr">
        <is>
          <t>C2036</t>
        </is>
      </c>
      <c r="C5066" t="inlineStr">
        <is>
          <t>CONSUMER BANKING</t>
        </is>
      </c>
      <c r="D5066" t="inlineStr">
        <is>
          <t>III</t>
        </is>
      </c>
      <c r="E5066" t="inlineStr">
        <is>
          <t>Stage 3</t>
        </is>
      </c>
      <c r="F5066" t="inlineStr">
        <is>
          <t>N/A</t>
        </is>
      </c>
      <c r="G5066" s="26">
        <v>555852853</v>
      </c>
      <c r="H5066" s="26">
        <v>305719069</v>
      </c>
      <c r="I5066" s="26">
        <v>0</v>
      </c>
      <c r="J5066" s="26">
        <v>214</v>
      </c>
      <c r="K5066" t="inlineStr">
        <is>
          <t>Oui</t>
        </is>
      </c>
      <c r="L5066">
        <f>SUBTOTAL(103,A5066)</f>
        <v>1</v>
      </c>
    </row>
    <row r="5067">
      <c r="A5067" t="inlineStr">
        <is>
          <t>SOCIETE C887</t>
        </is>
      </c>
      <c r="B5067" t="inlineStr">
        <is>
          <t>C887</t>
        </is>
      </c>
      <c r="C5067" t="inlineStr">
        <is>
          <t>CORPORATE BANKING</t>
        </is>
      </c>
      <c r="D5067" t="inlineStr">
        <is>
          <t>III</t>
        </is>
      </c>
      <c r="E5067" t="inlineStr">
        <is>
          <t>Stage 3</t>
        </is>
      </c>
      <c r="F5067" t="inlineStr">
        <is>
          <t>N/A</t>
        </is>
      </c>
      <c r="G5067" s="26">
        <v>1023832</v>
      </c>
      <c r="H5067" s="26">
        <v>563108</v>
      </c>
      <c r="I5067" s="26">
        <v>0</v>
      </c>
      <c r="J5067" s="26">
        <v>0</v>
      </c>
      <c r="K5067" t="inlineStr">
        <is>
          <t>Oui</t>
        </is>
      </c>
      <c r="L5067">
        <f>SUBTOTAL(103,A5067)</f>
        <v>1</v>
      </c>
    </row>
    <row r="5068">
      <c r="A5068" t="inlineStr">
        <is>
          <t>SOCIETE C600</t>
        </is>
      </c>
      <c r="B5068" t="inlineStr">
        <is>
          <t>C600</t>
        </is>
      </c>
      <c r="C5068" t="inlineStr">
        <is>
          <t>COMMERCIAL BANKING</t>
        </is>
      </c>
      <c r="D5068" t="inlineStr">
        <is>
          <t>II</t>
        </is>
      </c>
      <c r="E5068" t="inlineStr">
        <is>
          <t>Stage 2</t>
        </is>
      </c>
      <c r="F5068" t="inlineStr">
        <is>
          <t>N/A</t>
        </is>
      </c>
      <c r="G5068" s="26">
        <v>803721592</v>
      </c>
      <c r="H5068" s="26">
        <v>48223296</v>
      </c>
      <c r="I5068" s="26">
        <v>42290761</v>
      </c>
      <c r="J5068" s="26">
        <v>274</v>
      </c>
      <c r="K5068" t="inlineStr">
        <is>
          <t>Non</t>
        </is>
      </c>
      <c r="L5068">
        <f>SUBTOTAL(103,A5068)</f>
        <v>1</v>
      </c>
    </row>
    <row r="5069">
      <c r="A5069" t="inlineStr">
        <is>
          <t>SOCIETE C2212</t>
        </is>
      </c>
      <c r="B5069" t="inlineStr">
        <is>
          <t>C2212</t>
        </is>
      </c>
      <c r="C5069" t="inlineStr">
        <is>
          <t>CORPORATE BANKING</t>
        </is>
      </c>
      <c r="D5069" t="inlineStr">
        <is>
          <t>I</t>
        </is>
      </c>
      <c r="E5069" t="inlineStr">
        <is>
          <t>Stage 1</t>
        </is>
      </c>
      <c r="F5069" t="inlineStr">
        <is>
          <t>N/A</t>
        </is>
      </c>
      <c r="G5069" s="26">
        <v>1081472675</v>
      </c>
      <c r="H5069" s="26">
        <v>10814727</v>
      </c>
      <c r="I5069" s="26">
        <v>45415561</v>
      </c>
      <c r="J5069" s="26">
        <v>76</v>
      </c>
      <c r="K5069" t="inlineStr">
        <is>
          <t>Non</t>
        </is>
      </c>
      <c r="L5069">
        <f>SUBTOTAL(103,A5069)</f>
        <v>1</v>
      </c>
    </row>
    <row r="5070">
      <c r="A5070" t="inlineStr">
        <is>
          <t>SOCIETE C1655</t>
        </is>
      </c>
      <c r="B5070" t="inlineStr">
        <is>
          <t>C1655</t>
        </is>
      </c>
      <c r="C5070" t="inlineStr">
        <is>
          <t>CONSUMER BANKING</t>
        </is>
      </c>
      <c r="D5070" t="inlineStr">
        <is>
          <t>IV</t>
        </is>
      </c>
      <c r="E5070" t="inlineStr">
        <is>
          <t>Stage 3</t>
        </is>
      </c>
      <c r="F5070" t="inlineStr">
        <is>
          <t>N/A</t>
        </is>
      </c>
      <c r="G5070" s="26">
        <v>1129557</v>
      </c>
      <c r="H5070" s="26">
        <v>621256</v>
      </c>
      <c r="I5070" s="26">
        <v>159540</v>
      </c>
      <c r="J5070" s="26">
        <v>12</v>
      </c>
      <c r="K5070" t="inlineStr">
        <is>
          <t>Oui</t>
        </is>
      </c>
      <c r="L5070">
        <f>SUBTOTAL(103,A5070)</f>
        <v>1</v>
      </c>
    </row>
    <row r="5071">
      <c r="A5071" t="inlineStr">
        <is>
          <t>SOCIETE C953</t>
        </is>
      </c>
      <c r="B5071" t="inlineStr">
        <is>
          <t>C953</t>
        </is>
      </c>
      <c r="C5071" t="inlineStr">
        <is>
          <t>PUBLIC SECTOR</t>
        </is>
      </c>
      <c r="D5071" t="inlineStr">
        <is>
          <t>V</t>
        </is>
      </c>
      <c r="E5071" t="inlineStr">
        <is>
          <t>Stage 3</t>
        </is>
      </c>
      <c r="F5071" t="inlineStr">
        <is>
          <t>N/A</t>
        </is>
      </c>
      <c r="G5071" s="26">
        <v>905620626</v>
      </c>
      <c r="H5071" s="26">
        <v>498091344</v>
      </c>
      <c r="I5071" s="26">
        <v>0</v>
      </c>
      <c r="J5071" s="26">
        <v>53</v>
      </c>
      <c r="K5071" t="inlineStr">
        <is>
          <t>Oui</t>
        </is>
      </c>
      <c r="L5071">
        <f>SUBTOTAL(103,A5071)</f>
        <v>1</v>
      </c>
    </row>
    <row r="5072">
      <c r="A5072" t="inlineStr">
        <is>
          <t>SOCIETE C955</t>
        </is>
      </c>
      <c r="B5072" t="inlineStr">
        <is>
          <t>C955</t>
        </is>
      </c>
      <c r="C5072" t="inlineStr">
        <is>
          <t>CORPORATE BANKING</t>
        </is>
      </c>
      <c r="D5072" t="inlineStr">
        <is>
          <t>IA</t>
        </is>
      </c>
      <c r="E5072" t="inlineStr">
        <is>
          <t>Stage 2</t>
        </is>
      </c>
      <c r="F5072" t="inlineStr">
        <is>
          <t>N/A</t>
        </is>
      </c>
      <c r="G5072" s="26">
        <v>925021556</v>
      </c>
      <c r="H5072" s="26">
        <v>55501293</v>
      </c>
      <c r="I5072" s="26">
        <v>0</v>
      </c>
      <c r="J5072" s="26">
        <v>191</v>
      </c>
      <c r="K5072" t="inlineStr">
        <is>
          <t>Non</t>
        </is>
      </c>
      <c r="L5072">
        <f>SUBTOTAL(103,A5072)</f>
        <v>1</v>
      </c>
    </row>
    <row r="5073">
      <c r="A5073" t="inlineStr">
        <is>
          <t>SOCIETE C1685</t>
        </is>
      </c>
      <c r="B5073" t="inlineStr">
        <is>
          <t>C1685</t>
        </is>
      </c>
      <c r="C5073" t="inlineStr">
        <is>
          <t>CORPORATE BANKING</t>
        </is>
      </c>
      <c r="D5073" t="inlineStr">
        <is>
          <t>I</t>
        </is>
      </c>
      <c r="E5073" t="inlineStr">
        <is>
          <t>Stage 1</t>
        </is>
      </c>
      <c r="F5073" t="inlineStr">
        <is>
          <t>N/A</t>
        </is>
      </c>
      <c r="G5073" s="26">
        <v>55110198</v>
      </c>
      <c r="H5073" s="26">
        <v>551102</v>
      </c>
      <c r="I5073" s="26">
        <v>3832530</v>
      </c>
      <c r="J5073" s="26">
        <v>15</v>
      </c>
      <c r="K5073" t="inlineStr">
        <is>
          <t>Non</t>
        </is>
      </c>
      <c r="L5073">
        <f>SUBTOTAL(103,A5073)</f>
        <v>1</v>
      </c>
    </row>
    <row r="5074">
      <c r="A5074" t="inlineStr">
        <is>
          <t>SOCIETE C1354</t>
        </is>
      </c>
      <c r="B5074" t="inlineStr">
        <is>
          <t>C1354</t>
        </is>
      </c>
      <c r="C5074" t="inlineStr">
        <is>
          <t>CONSUMER BANKING</t>
        </is>
      </c>
      <c r="D5074" t="inlineStr">
        <is>
          <t>IV</t>
        </is>
      </c>
      <c r="E5074" t="inlineStr">
        <is>
          <t>Stage 3</t>
        </is>
      </c>
      <c r="F5074" t="inlineStr">
        <is>
          <t>N/A</t>
        </is>
      </c>
      <c r="G5074" s="26">
        <v>325693540</v>
      </c>
      <c r="H5074" s="26">
        <v>179131447</v>
      </c>
      <c r="I5074" s="26">
        <v>52761872</v>
      </c>
      <c r="J5074" s="26">
        <v>170</v>
      </c>
      <c r="K5074" t="inlineStr">
        <is>
          <t>Oui</t>
        </is>
      </c>
      <c r="L5074">
        <f>SUBTOTAL(103,A5074)</f>
        <v>1</v>
      </c>
    </row>
    <row r="5075">
      <c r="A5075" t="inlineStr">
        <is>
          <t>SOCIETE C1620</t>
        </is>
      </c>
      <c r="B5075" t="inlineStr">
        <is>
          <t>C1620</t>
        </is>
      </c>
      <c r="C5075" t="inlineStr">
        <is>
          <t>SME</t>
        </is>
      </c>
      <c r="D5075" t="inlineStr">
        <is>
          <t>I</t>
        </is>
      </c>
      <c r="E5075" t="inlineStr">
        <is>
          <t>Stage 1</t>
        </is>
      </c>
      <c r="F5075" t="inlineStr">
        <is>
          <t>N/A</t>
        </is>
      </c>
      <c r="G5075" s="26">
        <v>1504687969</v>
      </c>
      <c r="H5075" s="26">
        <v>15046880</v>
      </c>
      <c r="I5075" s="26">
        <v>0</v>
      </c>
      <c r="J5075" s="26">
        <v>37</v>
      </c>
      <c r="K5075" t="inlineStr">
        <is>
          <t>Non</t>
        </is>
      </c>
      <c r="L5075">
        <f>SUBTOTAL(103,A5075)</f>
        <v>1</v>
      </c>
    </row>
    <row r="5076">
      <c r="A5076" t="inlineStr">
        <is>
          <t>SOCIETE C1372</t>
        </is>
      </c>
      <c r="B5076" t="inlineStr">
        <is>
          <t>C1372</t>
        </is>
      </c>
      <c r="C5076" t="inlineStr">
        <is>
          <t>COMMERCIAL BANKING</t>
        </is>
      </c>
      <c r="D5076" t="inlineStr">
        <is>
          <t>I</t>
        </is>
      </c>
      <c r="E5076" t="inlineStr">
        <is>
          <t>Stage 1</t>
        </is>
      </c>
      <c r="F5076" t="inlineStr">
        <is>
          <t>N/A</t>
        </is>
      </c>
      <c r="G5076" s="26">
        <v>2318579496</v>
      </c>
      <c r="H5076" s="26">
        <v>23185795</v>
      </c>
      <c r="I5076" s="26">
        <v>0</v>
      </c>
      <c r="J5076" s="26">
        <v>79</v>
      </c>
      <c r="K5076" t="inlineStr">
        <is>
          <t>Non</t>
        </is>
      </c>
      <c r="L5076">
        <f>SUBTOTAL(103,A5076)</f>
        <v>1</v>
      </c>
    </row>
    <row r="5077">
      <c r="A5077" t="inlineStr">
        <is>
          <t>SOCIETE C1614</t>
        </is>
      </c>
      <c r="B5077" t="inlineStr">
        <is>
          <t>C1614</t>
        </is>
      </c>
      <c r="C5077" t="inlineStr">
        <is>
          <t>COMMERCIAL BANKING</t>
        </is>
      </c>
      <c r="D5077" t="inlineStr">
        <is>
          <t>IA</t>
        </is>
      </c>
      <c r="E5077" t="inlineStr">
        <is>
          <t>Stage 2</t>
        </is>
      </c>
      <c r="F5077" t="inlineStr">
        <is>
          <t>N/A</t>
        </is>
      </c>
      <c r="G5077" s="26">
        <v>1160799554</v>
      </c>
      <c r="H5077" s="26">
        <v>69647973</v>
      </c>
      <c r="I5077" s="26">
        <v>77475308</v>
      </c>
      <c r="J5077" s="26">
        <v>127</v>
      </c>
      <c r="K5077" t="inlineStr">
        <is>
          <t>Non</t>
        </is>
      </c>
      <c r="L5077">
        <f>SUBTOTAL(103,A5077)</f>
        <v>1</v>
      </c>
    </row>
    <row r="5078">
      <c r="A5078" t="inlineStr">
        <is>
          <t>SOCIETE C333</t>
        </is>
      </c>
      <c r="B5078" t="inlineStr">
        <is>
          <t>C333</t>
        </is>
      </c>
      <c r="C5078" t="inlineStr">
        <is>
          <t>COMMERCIAL BANKING</t>
        </is>
      </c>
      <c r="D5078" t="inlineStr">
        <is>
          <t>II</t>
        </is>
      </c>
      <c r="E5078" t="inlineStr">
        <is>
          <t>Stage 2</t>
        </is>
      </c>
      <c r="F5078" t="inlineStr">
        <is>
          <t>N/A</t>
        </is>
      </c>
      <c r="G5078" s="26">
        <v>2202278</v>
      </c>
      <c r="H5078" s="26">
        <v>132137</v>
      </c>
      <c r="I5078" s="26">
        <v>101538</v>
      </c>
      <c r="J5078" s="26">
        <v>17</v>
      </c>
      <c r="K5078" t="inlineStr">
        <is>
          <t>Non</t>
        </is>
      </c>
      <c r="L5078">
        <f>SUBTOTAL(103,A5078)</f>
        <v>1</v>
      </c>
    </row>
    <row r="5079">
      <c r="A5079" t="inlineStr">
        <is>
          <t>SOCIETE C1744</t>
        </is>
      </c>
      <c r="B5079" t="inlineStr">
        <is>
          <t>C1744</t>
        </is>
      </c>
      <c r="C5079" t="inlineStr">
        <is>
          <t>COMMERCIAL BANKING</t>
        </is>
      </c>
      <c r="D5079" t="inlineStr">
        <is>
          <t>I</t>
        </is>
      </c>
      <c r="E5079" t="inlineStr">
        <is>
          <t>Stage 1</t>
        </is>
      </c>
      <c r="F5079" t="inlineStr">
        <is>
          <t>N/A</t>
        </is>
      </c>
      <c r="G5079" s="26">
        <v>1038366045</v>
      </c>
      <c r="H5079" s="26">
        <v>10383660</v>
      </c>
      <c r="I5079" s="26">
        <v>0</v>
      </c>
      <c r="J5079" s="26">
        <v>63</v>
      </c>
      <c r="K5079" t="inlineStr">
        <is>
          <t>Non</t>
        </is>
      </c>
      <c r="L5079">
        <f>SUBTOTAL(103,A5079)</f>
        <v>1</v>
      </c>
    </row>
    <row r="5080">
      <c r="A5080" t="inlineStr">
        <is>
          <t>SOCIETE C1104</t>
        </is>
      </c>
      <c r="B5080" t="inlineStr">
        <is>
          <t>C1104</t>
        </is>
      </c>
      <c r="C5080" t="inlineStr">
        <is>
          <t>INSTITUTIONAL</t>
        </is>
      </c>
      <c r="D5080" t="inlineStr">
        <is>
          <t>I</t>
        </is>
      </c>
      <c r="E5080" t="inlineStr">
        <is>
          <t>Stage 1</t>
        </is>
      </c>
      <c r="F5080" t="inlineStr">
        <is>
          <t>N/A</t>
        </is>
      </c>
      <c r="G5080" s="26">
        <v>1044012</v>
      </c>
      <c r="H5080" s="26">
        <v>10440</v>
      </c>
      <c r="I5080" s="26">
        <v>78543</v>
      </c>
      <c r="J5080" s="26">
        <v>6</v>
      </c>
      <c r="K5080" t="inlineStr">
        <is>
          <t>Non</t>
        </is>
      </c>
      <c r="L5080">
        <f>SUBTOTAL(103,A5080)</f>
        <v>1</v>
      </c>
    </row>
    <row r="5081">
      <c r="A5081" t="inlineStr">
        <is>
          <t>SOCIETE C1019</t>
        </is>
      </c>
      <c r="B5081" t="inlineStr">
        <is>
          <t>C1019</t>
        </is>
      </c>
      <c r="C5081" t="inlineStr">
        <is>
          <t>CORPORATE BANKING</t>
        </is>
      </c>
      <c r="D5081" t="inlineStr">
        <is>
          <t>I</t>
        </is>
      </c>
      <c r="E5081" t="inlineStr">
        <is>
          <t>Stage 1</t>
        </is>
      </c>
      <c r="F5081" t="inlineStr">
        <is>
          <t>N/A</t>
        </is>
      </c>
      <c r="G5081" s="26">
        <v>504276464</v>
      </c>
      <c r="H5081" s="26">
        <v>5042765</v>
      </c>
      <c r="I5081" s="26">
        <v>0</v>
      </c>
      <c r="J5081" s="26">
        <v>81</v>
      </c>
      <c r="K5081" t="inlineStr">
        <is>
          <t>Non</t>
        </is>
      </c>
      <c r="L5081">
        <f>SUBTOTAL(103,A5081)</f>
        <v>1</v>
      </c>
    </row>
    <row r="5082">
      <c r="A5082" t="inlineStr">
        <is>
          <t>SOCIETE C236</t>
        </is>
      </c>
      <c r="B5082" t="inlineStr">
        <is>
          <t>C236</t>
        </is>
      </c>
      <c r="C5082" t="inlineStr">
        <is>
          <t>CORPORATE BANKING</t>
        </is>
      </c>
      <c r="D5082" t="inlineStr">
        <is>
          <t>I</t>
        </is>
      </c>
      <c r="E5082" t="inlineStr">
        <is>
          <t>Stage 1</t>
        </is>
      </c>
      <c r="F5082" t="inlineStr">
        <is>
          <t>N/A</t>
        </is>
      </c>
      <c r="G5082" s="26">
        <v>720264740</v>
      </c>
      <c r="H5082" s="26">
        <v>7202647</v>
      </c>
      <c r="I5082" s="26">
        <v>0</v>
      </c>
      <c r="J5082" s="26">
        <v>50</v>
      </c>
      <c r="K5082" t="inlineStr">
        <is>
          <t>Non</t>
        </is>
      </c>
      <c r="L5082">
        <f>SUBTOTAL(103,A5082)</f>
        <v>1</v>
      </c>
    </row>
    <row r="5083">
      <c r="A5083" t="inlineStr">
        <is>
          <t>SOCIETE C948</t>
        </is>
      </c>
      <c r="B5083" t="inlineStr">
        <is>
          <t>C948</t>
        </is>
      </c>
      <c r="C5083" t="inlineStr">
        <is>
          <t>CORPORATE BANKING</t>
        </is>
      </c>
      <c r="D5083" t="inlineStr">
        <is>
          <t>I</t>
        </is>
      </c>
      <c r="E5083" t="inlineStr">
        <is>
          <t>Stage 1</t>
        </is>
      </c>
      <c r="F5083" t="inlineStr">
        <is>
          <t>N/A</t>
        </is>
      </c>
      <c r="G5083" s="26">
        <v>947672314</v>
      </c>
      <c r="H5083" s="26">
        <v>9476723</v>
      </c>
      <c r="I5083" s="26">
        <v>0</v>
      </c>
      <c r="J5083" s="26">
        <v>8</v>
      </c>
      <c r="K5083" t="inlineStr">
        <is>
          <t>Non</t>
        </is>
      </c>
      <c r="L5083">
        <f>SUBTOTAL(103,A5083)</f>
        <v>1</v>
      </c>
    </row>
    <row r="5084">
      <c r="A5084" t="inlineStr">
        <is>
          <t>SOCIETE C1811</t>
        </is>
      </c>
      <c r="B5084" t="inlineStr">
        <is>
          <t>C1811</t>
        </is>
      </c>
      <c r="C5084" t="inlineStr">
        <is>
          <t>CORPORATE BANKING</t>
        </is>
      </c>
      <c r="D5084" t="inlineStr">
        <is>
          <t>I</t>
        </is>
      </c>
      <c r="E5084" t="inlineStr">
        <is>
          <t>Stage 1</t>
        </is>
      </c>
      <c r="F5084" t="inlineStr">
        <is>
          <t>N/A</t>
        </is>
      </c>
      <c r="G5084" s="26">
        <v>2237567493</v>
      </c>
      <c r="H5084" s="26">
        <v>22375675</v>
      </c>
      <c r="I5084" s="26">
        <v>0</v>
      </c>
      <c r="J5084" s="26">
        <v>52</v>
      </c>
      <c r="K5084" t="inlineStr">
        <is>
          <t>Non</t>
        </is>
      </c>
      <c r="L5084">
        <f>SUBTOTAL(103,A5084)</f>
        <v>1</v>
      </c>
    </row>
    <row r="5085">
      <c r="A5085" t="inlineStr">
        <is>
          <t>SOCIETE C338</t>
        </is>
      </c>
      <c r="B5085" t="inlineStr">
        <is>
          <t>C338</t>
        </is>
      </c>
      <c r="C5085" t="inlineStr">
        <is>
          <t>PUBLIC SECTOR</t>
        </is>
      </c>
      <c r="D5085" t="inlineStr">
        <is>
          <t>I</t>
        </is>
      </c>
      <c r="E5085" t="inlineStr">
        <is>
          <t>Stage 1</t>
        </is>
      </c>
      <c r="F5085" t="inlineStr">
        <is>
          <t>N/A</t>
        </is>
      </c>
      <c r="G5085" s="26">
        <v>111505453</v>
      </c>
      <c r="H5085" s="26">
        <v>1115055</v>
      </c>
      <c r="I5085" s="26">
        <v>0</v>
      </c>
      <c r="J5085" s="26">
        <v>3</v>
      </c>
      <c r="K5085" t="inlineStr">
        <is>
          <t>Non</t>
        </is>
      </c>
      <c r="L5085">
        <f>SUBTOTAL(103,A5085)</f>
        <v>1</v>
      </c>
    </row>
    <row r="5086">
      <c r="A5086" t="inlineStr">
        <is>
          <t>SOCIETE C179</t>
        </is>
      </c>
      <c r="B5086" t="inlineStr">
        <is>
          <t>C179</t>
        </is>
      </c>
      <c r="C5086" t="inlineStr">
        <is>
          <t>CORPORATE BANKING</t>
        </is>
      </c>
      <c r="D5086" t="inlineStr">
        <is>
          <t>I</t>
        </is>
      </c>
      <c r="E5086" t="inlineStr">
        <is>
          <t>Stage 1</t>
        </is>
      </c>
      <c r="F5086" t="inlineStr">
        <is>
          <t>N/A</t>
        </is>
      </c>
      <c r="G5086" s="26">
        <v>550526023</v>
      </c>
      <c r="H5086" s="26">
        <v>5505260</v>
      </c>
      <c r="I5086" s="26">
        <v>0</v>
      </c>
      <c r="J5086" s="26">
        <v>282</v>
      </c>
      <c r="K5086" t="inlineStr">
        <is>
          <t>Non</t>
        </is>
      </c>
      <c r="L5086">
        <f>SUBTOTAL(103,A5086)</f>
        <v>1</v>
      </c>
    </row>
    <row r="5087">
      <c r="A5087" t="inlineStr">
        <is>
          <t>SOCIETE C760</t>
        </is>
      </c>
      <c r="B5087" t="inlineStr">
        <is>
          <t>C760</t>
        </is>
      </c>
      <c r="C5087" t="inlineStr">
        <is>
          <t>COMMERCIAL BANKING</t>
        </is>
      </c>
      <c r="D5087" t="inlineStr">
        <is>
          <t>IA</t>
        </is>
      </c>
      <c r="E5087" t="inlineStr">
        <is>
          <t>Stage 2</t>
        </is>
      </c>
      <c r="F5087" t="inlineStr">
        <is>
          <t>N/A</t>
        </is>
      </c>
      <c r="G5087" s="26">
        <v>254713571</v>
      </c>
      <c r="H5087" s="26">
        <v>15282814</v>
      </c>
      <c r="I5087" s="26">
        <v>0</v>
      </c>
      <c r="J5087" s="26">
        <v>8</v>
      </c>
      <c r="K5087" t="inlineStr">
        <is>
          <t>Non</t>
        </is>
      </c>
      <c r="L5087">
        <f>SUBTOTAL(103,A5087)</f>
        <v>1</v>
      </c>
    </row>
    <row r="5088">
      <c r="A5088" t="inlineStr">
        <is>
          <t>SOCIETE C1216</t>
        </is>
      </c>
      <c r="B5088" t="inlineStr">
        <is>
          <t>C1216</t>
        </is>
      </c>
      <c r="C5088" t="inlineStr">
        <is>
          <t>SME</t>
        </is>
      </c>
      <c r="D5088" t="inlineStr">
        <is>
          <t>I</t>
        </is>
      </c>
      <c r="E5088" t="inlineStr">
        <is>
          <t>Stage 1</t>
        </is>
      </c>
      <c r="F5088" t="inlineStr">
        <is>
          <t>N/A</t>
        </is>
      </c>
      <c r="G5088" s="26">
        <v>18206593</v>
      </c>
      <c r="H5088" s="26">
        <v>182066</v>
      </c>
      <c r="I5088" s="26">
        <v>0</v>
      </c>
      <c r="J5088" s="26">
        <v>3</v>
      </c>
      <c r="K5088" t="inlineStr">
        <is>
          <t>Non</t>
        </is>
      </c>
      <c r="L5088">
        <f>SUBTOTAL(103,A5088)</f>
        <v>1</v>
      </c>
    </row>
    <row r="5089">
      <c r="A5089" t="inlineStr">
        <is>
          <t>SOCIETE C1314</t>
        </is>
      </c>
      <c r="B5089" t="inlineStr">
        <is>
          <t>C1314</t>
        </is>
      </c>
      <c r="C5089" t="inlineStr">
        <is>
          <t>CORPORATE BANKING</t>
        </is>
      </c>
      <c r="D5089" t="inlineStr">
        <is>
          <t>I</t>
        </is>
      </c>
      <c r="E5089" t="inlineStr">
        <is>
          <t>Stage 1</t>
        </is>
      </c>
      <c r="F5089" t="inlineStr">
        <is>
          <t>N/A</t>
        </is>
      </c>
      <c r="G5089" s="26">
        <v>711093174</v>
      </c>
      <c r="H5089" s="26">
        <v>7110932</v>
      </c>
      <c r="I5089" s="26">
        <v>0</v>
      </c>
      <c r="J5089" s="26">
        <v>21</v>
      </c>
      <c r="K5089" t="inlineStr">
        <is>
          <t>Non</t>
        </is>
      </c>
      <c r="L5089">
        <f>SUBTOTAL(103,A5089)</f>
        <v>1</v>
      </c>
    </row>
    <row r="5090">
      <c r="A5090" t="inlineStr">
        <is>
          <t>SOCIETE C2223</t>
        </is>
      </c>
      <c r="B5090" t="inlineStr">
        <is>
          <t>C2223</t>
        </is>
      </c>
      <c r="C5090" t="inlineStr">
        <is>
          <t>CORPORATE BANKING</t>
        </is>
      </c>
      <c r="D5090" t="inlineStr">
        <is>
          <t>I</t>
        </is>
      </c>
      <c r="E5090" t="inlineStr">
        <is>
          <t>Stage 1</t>
        </is>
      </c>
      <c r="F5090" t="inlineStr">
        <is>
          <t>N/A</t>
        </is>
      </c>
      <c r="G5090" s="26">
        <v>499807471</v>
      </c>
      <c r="H5090" s="26">
        <v>4998075</v>
      </c>
      <c r="I5090" s="26">
        <v>0</v>
      </c>
      <c r="J5090" s="26">
        <v>83</v>
      </c>
      <c r="K5090" t="inlineStr">
        <is>
          <t>Non</t>
        </is>
      </c>
      <c r="L5090">
        <f>SUBTOTAL(103,A5090)</f>
        <v>1</v>
      </c>
    </row>
    <row r="5091">
      <c r="A5091" t="inlineStr">
        <is>
          <t>SOCIETE C1135</t>
        </is>
      </c>
      <c r="B5091" t="inlineStr">
        <is>
          <t>C1135</t>
        </is>
      </c>
      <c r="C5091" t="inlineStr">
        <is>
          <t>COMMERCIAL BANKING</t>
        </is>
      </c>
      <c r="D5091" t="inlineStr">
        <is>
          <t>III</t>
        </is>
      </c>
      <c r="E5091" t="inlineStr">
        <is>
          <t>Stage 3</t>
        </is>
      </c>
      <c r="F5091" t="inlineStr">
        <is>
          <t>N/A</t>
        </is>
      </c>
      <c r="G5091" s="26">
        <v>1840476451</v>
      </c>
      <c r="H5091" s="26">
        <v>1012262048</v>
      </c>
      <c r="I5091" s="26">
        <v>286758294</v>
      </c>
      <c r="J5091" s="26">
        <v>65</v>
      </c>
      <c r="K5091" t="inlineStr">
        <is>
          <t>Oui</t>
        </is>
      </c>
      <c r="L5091">
        <f>SUBTOTAL(103,A5091)</f>
        <v>1</v>
      </c>
    </row>
    <row r="5092">
      <c r="A5092" t="inlineStr">
        <is>
          <t>SOCIETE C1061</t>
        </is>
      </c>
      <c r="B5092" t="inlineStr">
        <is>
          <t>C1061</t>
        </is>
      </c>
      <c r="C5092" t="inlineStr">
        <is>
          <t>CONSUMER BANKING</t>
        </is>
      </c>
      <c r="D5092" t="inlineStr">
        <is>
          <t>IV</t>
        </is>
      </c>
      <c r="E5092" t="inlineStr">
        <is>
          <t>Stage 3</t>
        </is>
      </c>
      <c r="F5092" t="inlineStr">
        <is>
          <t>N/A</t>
        </is>
      </c>
      <c r="G5092" s="26">
        <v>717443314</v>
      </c>
      <c r="H5092" s="26">
        <v>394593823</v>
      </c>
      <c r="I5092" s="26">
        <v>0</v>
      </c>
      <c r="J5092" s="26">
        <v>122</v>
      </c>
      <c r="K5092" t="inlineStr">
        <is>
          <t>Oui</t>
        </is>
      </c>
      <c r="L5092">
        <f>SUBTOTAL(103,A5092)</f>
        <v>1</v>
      </c>
    </row>
    <row r="5093">
      <c r="A5093" t="inlineStr">
        <is>
          <t>SOCIETE C1531</t>
        </is>
      </c>
      <c r="B5093" t="inlineStr">
        <is>
          <t>C1531</t>
        </is>
      </c>
      <c r="C5093" t="inlineStr">
        <is>
          <t>CORPORATE BANKING</t>
        </is>
      </c>
      <c r="D5093" t="inlineStr">
        <is>
          <t>I</t>
        </is>
      </c>
      <c r="E5093" t="inlineStr">
        <is>
          <t>Stage 1</t>
        </is>
      </c>
      <c r="F5093" t="inlineStr">
        <is>
          <t>N/A</t>
        </is>
      </c>
      <c r="G5093" s="26">
        <v>2461199765</v>
      </c>
      <c r="H5093" s="26">
        <v>24611998</v>
      </c>
      <c r="I5093" s="26">
        <v>0</v>
      </c>
      <c r="J5093" s="26">
        <v>49</v>
      </c>
      <c r="K5093" t="inlineStr">
        <is>
          <t>Non</t>
        </is>
      </c>
      <c r="L5093">
        <f>SUBTOTAL(103,A5093)</f>
        <v>1</v>
      </c>
    </row>
    <row r="5094">
      <c r="A5094" t="inlineStr">
        <is>
          <t>SOCIETE C473</t>
        </is>
      </c>
      <c r="B5094" t="inlineStr">
        <is>
          <t>C473</t>
        </is>
      </c>
      <c r="C5094" t="inlineStr">
        <is>
          <t>PUBLIC SECTOR</t>
        </is>
      </c>
      <c r="D5094" t="inlineStr">
        <is>
          <t>IV</t>
        </is>
      </c>
      <c r="E5094" t="inlineStr">
        <is>
          <t>Stage 3</t>
        </is>
      </c>
      <c r="F5094" t="inlineStr">
        <is>
          <t>N/A</t>
        </is>
      </c>
      <c r="G5094" s="26">
        <v>1042193795</v>
      </c>
      <c r="H5094" s="26">
        <v>573206587</v>
      </c>
      <c r="I5094" s="26">
        <v>0</v>
      </c>
      <c r="J5094" s="26">
        <v>133</v>
      </c>
      <c r="K5094" t="inlineStr">
        <is>
          <t>Oui</t>
        </is>
      </c>
      <c r="L5094">
        <f>SUBTOTAL(103,A5094)</f>
        <v>1</v>
      </c>
    </row>
    <row r="5095">
      <c r="A5095" t="inlineStr">
        <is>
          <t>SOCIETE C493</t>
        </is>
      </c>
      <c r="B5095" t="inlineStr">
        <is>
          <t>C493</t>
        </is>
      </c>
      <c r="C5095" t="inlineStr">
        <is>
          <t>COMMERCIAL BANKING</t>
        </is>
      </c>
      <c r="D5095" t="inlineStr">
        <is>
          <t>I</t>
        </is>
      </c>
      <c r="E5095" t="inlineStr">
        <is>
          <t>Stage 1</t>
        </is>
      </c>
      <c r="F5095" t="inlineStr">
        <is>
          <t>N/A</t>
        </is>
      </c>
      <c r="G5095" s="26">
        <v>268138819</v>
      </c>
      <c r="H5095" s="26">
        <v>2681388</v>
      </c>
      <c r="I5095" s="26">
        <v>0</v>
      </c>
      <c r="J5095" s="26">
        <v>74</v>
      </c>
      <c r="K5095" t="inlineStr">
        <is>
          <t>Non</t>
        </is>
      </c>
      <c r="L5095">
        <f>SUBTOTAL(103,A5095)</f>
        <v>1</v>
      </c>
    </row>
    <row r="5096">
      <c r="A5096" t="inlineStr">
        <is>
          <t>SOCIETE C1936</t>
        </is>
      </c>
      <c r="B5096" t="inlineStr">
        <is>
          <t>C1936</t>
        </is>
      </c>
      <c r="C5096" t="inlineStr">
        <is>
          <t>CORPORATE BANKING</t>
        </is>
      </c>
      <c r="D5096" t="inlineStr">
        <is>
          <t>II</t>
        </is>
      </c>
      <c r="E5096" t="inlineStr">
        <is>
          <t>Stage 2</t>
        </is>
      </c>
      <c r="F5096" t="inlineStr">
        <is>
          <t>N/A</t>
        </is>
      </c>
      <c r="G5096" s="26">
        <v>189760440</v>
      </c>
      <c r="H5096" s="26">
        <v>11385626</v>
      </c>
      <c r="I5096" s="26">
        <v>30879938</v>
      </c>
      <c r="J5096" s="26">
        <v>3</v>
      </c>
      <c r="K5096" t="inlineStr">
        <is>
          <t>Non</t>
        </is>
      </c>
      <c r="L5096">
        <f>SUBTOTAL(103,A5096)</f>
        <v>1</v>
      </c>
    </row>
    <row r="5097">
      <c r="A5097" t="inlineStr">
        <is>
          <t>SOCIETE C1666</t>
        </is>
      </c>
      <c r="B5097" t="inlineStr">
        <is>
          <t>C1666</t>
        </is>
      </c>
      <c r="C5097" t="inlineStr">
        <is>
          <t>CORPORATE BANKING</t>
        </is>
      </c>
      <c r="D5097" t="inlineStr">
        <is>
          <t>I</t>
        </is>
      </c>
      <c r="E5097" t="inlineStr">
        <is>
          <t>Stage 1</t>
        </is>
      </c>
      <c r="F5097" t="inlineStr">
        <is>
          <t>N/A</t>
        </is>
      </c>
      <c r="G5097" s="26">
        <v>890841151</v>
      </c>
      <c r="H5097" s="26">
        <v>8908412</v>
      </c>
      <c r="I5097" s="26">
        <v>0</v>
      </c>
      <c r="J5097" s="26">
        <v>63</v>
      </c>
      <c r="K5097" t="inlineStr">
        <is>
          <t>Non</t>
        </is>
      </c>
      <c r="L5097">
        <f>SUBTOTAL(103,A5097)</f>
        <v>1</v>
      </c>
    </row>
    <row r="5098">
      <c r="A5098" t="inlineStr">
        <is>
          <t>SOCIETE C254</t>
        </is>
      </c>
      <c r="B5098" t="inlineStr">
        <is>
          <t>C254</t>
        </is>
      </c>
      <c r="C5098" t="inlineStr">
        <is>
          <t>CORPORATE BANKING</t>
        </is>
      </c>
      <c r="D5098" t="inlineStr">
        <is>
          <t>IA</t>
        </is>
      </c>
      <c r="E5098" t="inlineStr">
        <is>
          <t>Stage 2</t>
        </is>
      </c>
      <c r="F5098" t="inlineStr">
        <is>
          <t>N/A</t>
        </is>
      </c>
      <c r="G5098" s="26">
        <v>338950899</v>
      </c>
      <c r="H5098" s="26">
        <v>20337054</v>
      </c>
      <c r="I5098" s="26">
        <v>0</v>
      </c>
      <c r="J5098" s="26">
        <v>174</v>
      </c>
      <c r="K5098" t="inlineStr">
        <is>
          <t>Non</t>
        </is>
      </c>
      <c r="L5098">
        <f>SUBTOTAL(103,A5098)</f>
        <v>1</v>
      </c>
    </row>
    <row r="5099">
      <c r="A5099" t="inlineStr">
        <is>
          <t>SOCIETE C2058</t>
        </is>
      </c>
      <c r="B5099" t="inlineStr">
        <is>
          <t>C2058</t>
        </is>
      </c>
      <c r="C5099" t="inlineStr">
        <is>
          <t>SME</t>
        </is>
      </c>
      <c r="D5099" t="inlineStr">
        <is>
          <t>I</t>
        </is>
      </c>
      <c r="E5099" t="inlineStr">
        <is>
          <t>Stage 1</t>
        </is>
      </c>
      <c r="F5099" t="inlineStr">
        <is>
          <t>N/A</t>
        </is>
      </c>
      <c r="G5099" s="26">
        <v>530691700</v>
      </c>
      <c r="H5099" s="26">
        <v>5306917</v>
      </c>
      <c r="I5099" s="26">
        <v>11015294</v>
      </c>
      <c r="J5099" s="26">
        <v>1</v>
      </c>
      <c r="K5099" t="inlineStr">
        <is>
          <t>Non</t>
        </is>
      </c>
      <c r="L5099">
        <f>SUBTOTAL(103,A5099)</f>
        <v>1</v>
      </c>
    </row>
    <row r="5100">
      <c r="A5100" t="inlineStr">
        <is>
          <t>SOCIETE C2174</t>
        </is>
      </c>
      <c r="B5100" t="inlineStr">
        <is>
          <t>C2174</t>
        </is>
      </c>
      <c r="C5100" t="inlineStr">
        <is>
          <t>COMMERCIAL BANKING</t>
        </is>
      </c>
      <c r="D5100" t="inlineStr">
        <is>
          <t>IA</t>
        </is>
      </c>
      <c r="E5100" t="inlineStr">
        <is>
          <t>Stage 2</t>
        </is>
      </c>
      <c r="F5100" t="inlineStr">
        <is>
          <t>N/A</t>
        </is>
      </c>
      <c r="G5100" s="26">
        <v>11875611</v>
      </c>
      <c r="H5100" s="26">
        <v>712537</v>
      </c>
      <c r="I5100" s="26">
        <v>0</v>
      </c>
      <c r="J5100" s="26">
        <v>165</v>
      </c>
      <c r="K5100" t="inlineStr">
        <is>
          <t>Non</t>
        </is>
      </c>
      <c r="L5100">
        <f>SUBTOTAL(103,A5100)</f>
        <v>1</v>
      </c>
    </row>
    <row r="5101">
      <c r="A5101" t="inlineStr">
        <is>
          <t>SOCIETE C2123</t>
        </is>
      </c>
      <c r="B5101" t="inlineStr">
        <is>
          <t>C2123</t>
        </is>
      </c>
      <c r="C5101" t="inlineStr">
        <is>
          <t>CORPORATE BANKING</t>
        </is>
      </c>
      <c r="D5101" t="inlineStr">
        <is>
          <t>III</t>
        </is>
      </c>
      <c r="E5101" t="inlineStr">
        <is>
          <t>Stage 3</t>
        </is>
      </c>
      <c r="F5101" t="inlineStr">
        <is>
          <t>N/A</t>
        </is>
      </c>
      <c r="G5101" s="26">
        <v>172609322</v>
      </c>
      <c r="H5101" s="26">
        <v>94935127</v>
      </c>
      <c r="I5101" s="26">
        <v>0</v>
      </c>
      <c r="J5101" s="26">
        <v>110</v>
      </c>
      <c r="K5101" t="inlineStr">
        <is>
          <t>Oui</t>
        </is>
      </c>
      <c r="L5101">
        <f>SUBTOTAL(103,A5101)</f>
        <v>1</v>
      </c>
    </row>
    <row r="5102">
      <c r="A5102" t="inlineStr">
        <is>
          <t>SOCIETE C2068</t>
        </is>
      </c>
      <c r="B5102" t="inlineStr">
        <is>
          <t>C2068</t>
        </is>
      </c>
      <c r="C5102" t="inlineStr">
        <is>
          <t>CORPORATE BANKING</t>
        </is>
      </c>
      <c r="D5102" t="inlineStr">
        <is>
          <t>III</t>
        </is>
      </c>
      <c r="E5102" t="inlineStr">
        <is>
          <t>Stage 3</t>
        </is>
      </c>
      <c r="F5102" t="inlineStr">
        <is>
          <t>N/A</t>
        </is>
      </c>
      <c r="G5102" s="26">
        <v>23192998</v>
      </c>
      <c r="H5102" s="26">
        <v>12756149</v>
      </c>
      <c r="I5102" s="26">
        <v>0</v>
      </c>
      <c r="J5102" s="26">
        <v>8</v>
      </c>
      <c r="K5102" t="inlineStr">
        <is>
          <t>Oui</t>
        </is>
      </c>
      <c r="L5102">
        <f>SUBTOTAL(103,A5102)</f>
        <v>1</v>
      </c>
    </row>
    <row r="5103">
      <c r="A5103" t="inlineStr">
        <is>
          <t>SOCIETE C1971</t>
        </is>
      </c>
      <c r="B5103" t="inlineStr">
        <is>
          <t>C1971</t>
        </is>
      </c>
      <c r="C5103" t="inlineStr">
        <is>
          <t>CONSUMER BANKING</t>
        </is>
      </c>
      <c r="D5103" t="inlineStr">
        <is>
          <t>IA</t>
        </is>
      </c>
      <c r="E5103" t="inlineStr">
        <is>
          <t>Stage 2</t>
        </is>
      </c>
      <c r="F5103" t="inlineStr">
        <is>
          <t>N/A</t>
        </is>
      </c>
      <c r="G5103" s="26">
        <v>2771391085</v>
      </c>
      <c r="H5103" s="26">
        <v>166283465</v>
      </c>
      <c r="I5103" s="26">
        <v>0</v>
      </c>
      <c r="J5103" s="26">
        <v>57</v>
      </c>
      <c r="K5103" t="inlineStr">
        <is>
          <t>Non</t>
        </is>
      </c>
      <c r="L5103">
        <f>SUBTOTAL(103,A5103)</f>
        <v>1</v>
      </c>
    </row>
    <row r="5104">
      <c r="A5104" t="inlineStr">
        <is>
          <t>SOCIETE C2391</t>
        </is>
      </c>
      <c r="B5104" t="inlineStr">
        <is>
          <t>C2391</t>
        </is>
      </c>
      <c r="C5104" t="inlineStr">
        <is>
          <t>COMMERCIAL BANKING</t>
        </is>
      </c>
      <c r="D5104" t="inlineStr">
        <is>
          <t>I</t>
        </is>
      </c>
      <c r="E5104" t="inlineStr">
        <is>
          <t>Stage 1</t>
        </is>
      </c>
      <c r="F5104" t="inlineStr">
        <is>
          <t>N/A</t>
        </is>
      </c>
      <c r="G5104" s="26">
        <v>47547999</v>
      </c>
      <c r="H5104" s="26">
        <v>475480</v>
      </c>
      <c r="I5104" s="26">
        <v>7616295</v>
      </c>
      <c r="J5104" s="26">
        <v>31</v>
      </c>
      <c r="K5104" t="inlineStr">
        <is>
          <t>Non</t>
        </is>
      </c>
      <c r="L5104">
        <f>SUBTOTAL(103,A5104)</f>
        <v>1</v>
      </c>
    </row>
    <row r="5105">
      <c r="A5105" t="inlineStr">
        <is>
          <t>SOCIETE C874</t>
        </is>
      </c>
      <c r="B5105" t="inlineStr">
        <is>
          <t>C874</t>
        </is>
      </c>
      <c r="C5105" t="inlineStr">
        <is>
          <t>CORPORATE BANKING</t>
        </is>
      </c>
      <c r="D5105" t="inlineStr">
        <is>
          <t>V</t>
        </is>
      </c>
      <c r="E5105" t="inlineStr">
        <is>
          <t>Stage 3</t>
        </is>
      </c>
      <c r="F5105" t="inlineStr">
        <is>
          <t>N/A</t>
        </is>
      </c>
      <c r="G5105" s="26">
        <v>646910594</v>
      </c>
      <c r="H5105" s="26">
        <v>355800826</v>
      </c>
      <c r="I5105" s="26">
        <v>0</v>
      </c>
      <c r="J5105" s="26">
        <v>67</v>
      </c>
      <c r="K5105" t="inlineStr">
        <is>
          <t>Oui</t>
        </is>
      </c>
      <c r="L5105">
        <f>SUBTOTAL(103,A5105)</f>
        <v>1</v>
      </c>
    </row>
    <row r="5106">
      <c r="A5106" t="inlineStr">
        <is>
          <t>SOCIETE C842</t>
        </is>
      </c>
      <c r="B5106" t="inlineStr">
        <is>
          <t>C842</t>
        </is>
      </c>
      <c r="C5106" t="inlineStr">
        <is>
          <t>CORPORATE BANKING</t>
        </is>
      </c>
      <c r="D5106" t="inlineStr">
        <is>
          <t>III</t>
        </is>
      </c>
      <c r="E5106" t="inlineStr">
        <is>
          <t>Stage 3</t>
        </is>
      </c>
      <c r="F5106" t="inlineStr">
        <is>
          <t>N/A</t>
        </is>
      </c>
      <c r="G5106" s="26">
        <v>1606827589</v>
      </c>
      <c r="H5106" s="26">
        <v>883755174</v>
      </c>
      <c r="I5106" s="26">
        <v>0</v>
      </c>
      <c r="J5106" s="26">
        <v>148</v>
      </c>
      <c r="K5106" t="inlineStr">
        <is>
          <t>Oui</t>
        </is>
      </c>
      <c r="L5106">
        <f>SUBTOTAL(103,A5106)</f>
        <v>1</v>
      </c>
    </row>
    <row r="5107">
      <c r="A5107" t="inlineStr">
        <is>
          <t>SOCIETE C1047</t>
        </is>
      </c>
      <c r="B5107" t="inlineStr">
        <is>
          <t>C1047</t>
        </is>
      </c>
      <c r="C5107" t="inlineStr">
        <is>
          <t>INSTITUTIONAL</t>
        </is>
      </c>
      <c r="D5107" t="inlineStr">
        <is>
          <t>I</t>
        </is>
      </c>
      <c r="E5107" t="inlineStr">
        <is>
          <t>Stage 1</t>
        </is>
      </c>
      <c r="F5107" t="inlineStr">
        <is>
          <t>N/A</t>
        </is>
      </c>
      <c r="G5107" s="26">
        <v>6600103</v>
      </c>
      <c r="H5107" s="26">
        <v>66001</v>
      </c>
      <c r="I5107" s="26">
        <v>0</v>
      </c>
      <c r="J5107" s="26">
        <v>4</v>
      </c>
      <c r="K5107" t="inlineStr">
        <is>
          <t>Non</t>
        </is>
      </c>
      <c r="L5107">
        <f>SUBTOTAL(103,A5107)</f>
        <v>1</v>
      </c>
    </row>
    <row r="5108">
      <c r="A5108" t="inlineStr">
        <is>
          <t>SOCIETE C1097</t>
        </is>
      </c>
      <c r="B5108" t="inlineStr">
        <is>
          <t>C1097</t>
        </is>
      </c>
      <c r="C5108" t="inlineStr">
        <is>
          <t>CORPORATE BANKING</t>
        </is>
      </c>
      <c r="D5108" t="inlineStr">
        <is>
          <t>I</t>
        </is>
      </c>
      <c r="E5108" t="inlineStr">
        <is>
          <t>Stage 1</t>
        </is>
      </c>
      <c r="F5108" t="inlineStr">
        <is>
          <t>N/A</t>
        </is>
      </c>
      <c r="G5108" s="26">
        <v>1952028147</v>
      </c>
      <c r="H5108" s="26">
        <v>19520281</v>
      </c>
      <c r="I5108" s="26">
        <v>0</v>
      </c>
      <c r="J5108" s="26">
        <v>132</v>
      </c>
      <c r="K5108" t="inlineStr">
        <is>
          <t>Non</t>
        </is>
      </c>
      <c r="L5108">
        <f>SUBTOTAL(103,A5108)</f>
        <v>1</v>
      </c>
    </row>
    <row r="5109">
      <c r="A5109" t="inlineStr">
        <is>
          <t>SOCIETE C1506</t>
        </is>
      </c>
      <c r="B5109" t="inlineStr">
        <is>
          <t>C1506</t>
        </is>
      </c>
      <c r="C5109" t="inlineStr">
        <is>
          <t>COMMERCIAL BANKING</t>
        </is>
      </c>
      <c r="D5109" t="inlineStr">
        <is>
          <t>I</t>
        </is>
      </c>
      <c r="E5109" t="inlineStr">
        <is>
          <t>Stage 1</t>
        </is>
      </c>
      <c r="F5109" t="inlineStr">
        <is>
          <t>N/A</t>
        </is>
      </c>
      <c r="G5109" s="26">
        <v>1908210740</v>
      </c>
      <c r="H5109" s="26">
        <v>19082107</v>
      </c>
      <c r="I5109" s="26">
        <v>0</v>
      </c>
      <c r="J5109" s="26">
        <v>40</v>
      </c>
      <c r="K5109" t="inlineStr">
        <is>
          <t>Non</t>
        </is>
      </c>
      <c r="L5109">
        <f>SUBTOTAL(103,A5109)</f>
        <v>1</v>
      </c>
    </row>
    <row r="5110">
      <c r="A5110" t="inlineStr">
        <is>
          <t>SOCIETE C155</t>
        </is>
      </c>
      <c r="B5110" t="inlineStr">
        <is>
          <t>C155</t>
        </is>
      </c>
      <c r="C5110" t="inlineStr">
        <is>
          <t>COMMERCIAL BANKING</t>
        </is>
      </c>
      <c r="D5110" t="inlineStr">
        <is>
          <t>IA</t>
        </is>
      </c>
      <c r="E5110" t="inlineStr">
        <is>
          <t>Stage 2</t>
        </is>
      </c>
      <c r="F5110" t="inlineStr">
        <is>
          <t>N/A</t>
        </is>
      </c>
      <c r="G5110" s="26">
        <v>1045071839</v>
      </c>
      <c r="H5110" s="26">
        <v>62704310</v>
      </c>
      <c r="I5110" s="26">
        <v>0</v>
      </c>
      <c r="J5110" s="26">
        <v>85</v>
      </c>
      <c r="K5110" t="inlineStr">
        <is>
          <t>Non</t>
        </is>
      </c>
      <c r="L5110">
        <f>SUBTOTAL(103,A5110)</f>
        <v>1</v>
      </c>
    </row>
    <row r="5111">
      <c r="A5111" t="inlineStr">
        <is>
          <t>SOCIETE C2435</t>
        </is>
      </c>
      <c r="B5111" t="inlineStr">
        <is>
          <t>C2435</t>
        </is>
      </c>
      <c r="C5111" t="inlineStr">
        <is>
          <t>CORPORATE BANKING</t>
        </is>
      </c>
      <c r="D5111" t="inlineStr">
        <is>
          <t>IA</t>
        </is>
      </c>
      <c r="E5111" t="inlineStr">
        <is>
          <t>Stage 2</t>
        </is>
      </c>
      <c r="F5111" t="inlineStr">
        <is>
          <t>N/A</t>
        </is>
      </c>
      <c r="G5111" s="26">
        <v>381444515</v>
      </c>
      <c r="H5111" s="26">
        <v>22886671</v>
      </c>
      <c r="I5111" s="26">
        <v>0</v>
      </c>
      <c r="J5111" s="26">
        <v>64</v>
      </c>
      <c r="K5111" t="inlineStr">
        <is>
          <t>Non</t>
        </is>
      </c>
      <c r="L5111">
        <f>SUBTOTAL(103,A5111)</f>
        <v>1</v>
      </c>
    </row>
    <row r="5112">
      <c r="A5112" t="inlineStr">
        <is>
          <t>SOCIETE C1307</t>
        </is>
      </c>
      <c r="B5112" t="inlineStr">
        <is>
          <t>C1307</t>
        </is>
      </c>
      <c r="C5112" t="inlineStr">
        <is>
          <t>COMMERCIAL BANKING</t>
        </is>
      </c>
      <c r="D5112" t="inlineStr">
        <is>
          <t>I</t>
        </is>
      </c>
      <c r="E5112" t="inlineStr">
        <is>
          <t>Stage 1</t>
        </is>
      </c>
      <c r="F5112" t="inlineStr">
        <is>
          <t>N/A</t>
        </is>
      </c>
      <c r="G5112" s="26">
        <v>483573880</v>
      </c>
      <c r="H5112" s="26">
        <v>4835739</v>
      </c>
      <c r="I5112" s="26">
        <v>84329233</v>
      </c>
      <c r="J5112" s="26">
        <v>83</v>
      </c>
      <c r="K5112" t="inlineStr">
        <is>
          <t>Non</t>
        </is>
      </c>
      <c r="L5112">
        <f>SUBTOTAL(103,A5112)</f>
        <v>1</v>
      </c>
    </row>
    <row r="5113">
      <c r="A5113" t="inlineStr">
        <is>
          <t>SOCIETE C1665</t>
        </is>
      </c>
      <c r="B5113" t="inlineStr">
        <is>
          <t>C1665</t>
        </is>
      </c>
      <c r="C5113" t="inlineStr">
        <is>
          <t>PUBLIC SECTOR</t>
        </is>
      </c>
      <c r="D5113" t="inlineStr">
        <is>
          <t>III</t>
        </is>
      </c>
      <c r="E5113" t="inlineStr">
        <is>
          <t>Stage 3</t>
        </is>
      </c>
      <c r="F5113" t="inlineStr">
        <is>
          <t>N/A</t>
        </is>
      </c>
      <c r="G5113" s="26">
        <v>26536757</v>
      </c>
      <c r="H5113" s="26">
        <v>14595216</v>
      </c>
      <c r="I5113" s="26">
        <v>1266259</v>
      </c>
      <c r="J5113" s="26">
        <v>134</v>
      </c>
      <c r="K5113" t="inlineStr">
        <is>
          <t>Oui</t>
        </is>
      </c>
      <c r="L5113">
        <f>SUBTOTAL(103,A5113)</f>
        <v>1</v>
      </c>
    </row>
    <row r="5114">
      <c r="A5114" t="inlineStr">
        <is>
          <t>SOCIETE C245</t>
        </is>
      </c>
      <c r="B5114" t="inlineStr">
        <is>
          <t>C245</t>
        </is>
      </c>
      <c r="C5114" t="inlineStr">
        <is>
          <t>CONSUMER BANKING</t>
        </is>
      </c>
      <c r="D5114" t="inlineStr">
        <is>
          <t>IA</t>
        </is>
      </c>
      <c r="E5114" t="inlineStr">
        <is>
          <t>Stage 2</t>
        </is>
      </c>
      <c r="F5114" t="inlineStr">
        <is>
          <t>N/A</t>
        </is>
      </c>
      <c r="G5114" s="26">
        <v>28351399</v>
      </c>
      <c r="H5114" s="26">
        <v>1701084</v>
      </c>
      <c r="I5114" s="26">
        <v>0</v>
      </c>
      <c r="J5114" s="26">
        <v>85</v>
      </c>
      <c r="K5114" t="inlineStr">
        <is>
          <t>Non</t>
        </is>
      </c>
      <c r="L5114">
        <f>SUBTOTAL(103,A5114)</f>
        <v>1</v>
      </c>
    </row>
    <row r="5115">
      <c r="A5115" t="inlineStr">
        <is>
          <t>SOCIETE C1003</t>
        </is>
      </c>
      <c r="B5115" t="inlineStr">
        <is>
          <t>C1003</t>
        </is>
      </c>
      <c r="C5115" t="inlineStr">
        <is>
          <t>CORPORATE BANKING</t>
        </is>
      </c>
      <c r="D5115" t="inlineStr">
        <is>
          <t>V</t>
        </is>
      </c>
      <c r="E5115" t="inlineStr">
        <is>
          <t>Stage 3</t>
        </is>
      </c>
      <c r="F5115" t="inlineStr">
        <is>
          <t>N/A</t>
        </is>
      </c>
      <c r="G5115" s="26">
        <v>93772051</v>
      </c>
      <c r="H5115" s="26">
        <v>51574628</v>
      </c>
      <c r="I5115" s="26">
        <v>0</v>
      </c>
      <c r="J5115" s="26">
        <v>244</v>
      </c>
      <c r="K5115" t="inlineStr">
        <is>
          <t>Oui</t>
        </is>
      </c>
      <c r="L5115">
        <f>SUBTOTAL(103,A5115)</f>
        <v>1</v>
      </c>
    </row>
    <row r="5116">
      <c r="A5116" t="inlineStr">
        <is>
          <t>SOCIETE C2151</t>
        </is>
      </c>
      <c r="B5116" t="inlineStr">
        <is>
          <t>C2151</t>
        </is>
      </c>
      <c r="C5116" t="inlineStr">
        <is>
          <t>CORPORATE BANKING</t>
        </is>
      </c>
      <c r="D5116" t="inlineStr">
        <is>
          <t>IA</t>
        </is>
      </c>
      <c r="E5116" t="inlineStr">
        <is>
          <t>Stage 2</t>
        </is>
      </c>
      <c r="F5116" t="inlineStr">
        <is>
          <t>N/A</t>
        </is>
      </c>
      <c r="G5116" s="26">
        <v>1950188401</v>
      </c>
      <c r="H5116" s="26">
        <v>117011304</v>
      </c>
      <c r="I5116" s="26">
        <v>0</v>
      </c>
      <c r="J5116" s="26">
        <v>238</v>
      </c>
      <c r="K5116" t="inlineStr">
        <is>
          <t>Non</t>
        </is>
      </c>
      <c r="L5116">
        <f>SUBTOTAL(103,A5116)</f>
        <v>1</v>
      </c>
    </row>
    <row r="5117">
      <c r="A5117" t="inlineStr">
        <is>
          <t>SOCIETE C607</t>
        </is>
      </c>
      <c r="B5117" t="inlineStr">
        <is>
          <t>C607</t>
        </is>
      </c>
      <c r="C5117" t="inlineStr">
        <is>
          <t>CORPORATE BANKING</t>
        </is>
      </c>
      <c r="D5117" t="inlineStr">
        <is>
          <t>IA</t>
        </is>
      </c>
      <c r="E5117" t="inlineStr">
        <is>
          <t>Stage 2</t>
        </is>
      </c>
      <c r="F5117" t="inlineStr">
        <is>
          <t>N/A</t>
        </is>
      </c>
      <c r="G5117" s="26">
        <v>1152976</v>
      </c>
      <c r="H5117" s="26">
        <v>69179</v>
      </c>
      <c r="I5117" s="26">
        <v>0</v>
      </c>
      <c r="J5117" s="26">
        <v>36</v>
      </c>
      <c r="K5117" t="inlineStr">
        <is>
          <t>Non</t>
        </is>
      </c>
      <c r="L5117">
        <f>SUBTOTAL(103,A5117)</f>
        <v>1</v>
      </c>
    </row>
    <row r="5118">
      <c r="A5118" t="inlineStr">
        <is>
          <t>SOCIETE C1715</t>
        </is>
      </c>
      <c r="B5118" t="inlineStr">
        <is>
          <t>C1715</t>
        </is>
      </c>
      <c r="C5118" t="inlineStr">
        <is>
          <t>CORPORATE BANKING</t>
        </is>
      </c>
      <c r="D5118" t="inlineStr">
        <is>
          <t>II</t>
        </is>
      </c>
      <c r="E5118" t="inlineStr">
        <is>
          <t>Stage 2</t>
        </is>
      </c>
      <c r="F5118" t="inlineStr">
        <is>
          <t>N/A</t>
        </is>
      </c>
      <c r="G5118" s="26">
        <v>941803771</v>
      </c>
      <c r="H5118" s="26">
        <v>56508226</v>
      </c>
      <c r="I5118" s="26">
        <v>0</v>
      </c>
      <c r="J5118" s="26">
        <v>83</v>
      </c>
      <c r="K5118" t="inlineStr">
        <is>
          <t>Non</t>
        </is>
      </c>
      <c r="L5118">
        <f>SUBTOTAL(103,A5118)</f>
        <v>1</v>
      </c>
    </row>
    <row r="5119">
      <c r="A5119" t="inlineStr">
        <is>
          <t>SOCIETE C2204</t>
        </is>
      </c>
      <c r="B5119" t="inlineStr">
        <is>
          <t>C2204</t>
        </is>
      </c>
      <c r="C5119" t="inlineStr">
        <is>
          <t>COMMERCIAL BANKING</t>
        </is>
      </c>
      <c r="D5119" t="inlineStr">
        <is>
          <t>IV</t>
        </is>
      </c>
      <c r="E5119" t="inlineStr">
        <is>
          <t>Stage 3</t>
        </is>
      </c>
      <c r="F5119" t="inlineStr">
        <is>
          <t>N/A</t>
        </is>
      </c>
      <c r="G5119" s="26">
        <v>2527119034</v>
      </c>
      <c r="H5119" s="26">
        <v>1389915469</v>
      </c>
      <c r="I5119" s="26">
        <v>63750955</v>
      </c>
      <c r="J5119" s="26">
        <v>94</v>
      </c>
      <c r="K5119" t="inlineStr">
        <is>
          <t>Oui</t>
        </is>
      </c>
      <c r="L5119">
        <f>SUBTOTAL(103,A5119)</f>
        <v>1</v>
      </c>
    </row>
    <row r="5120">
      <c r="A5120" t="inlineStr">
        <is>
          <t>SOCIETE C1864</t>
        </is>
      </c>
      <c r="B5120" t="inlineStr">
        <is>
          <t>C1864</t>
        </is>
      </c>
      <c r="C5120" t="inlineStr">
        <is>
          <t>CORPORATE BANKING</t>
        </is>
      </c>
      <c r="D5120" t="inlineStr">
        <is>
          <t>V</t>
        </is>
      </c>
      <c r="E5120" t="inlineStr">
        <is>
          <t>Stage 3</t>
        </is>
      </c>
      <c r="F5120" t="inlineStr">
        <is>
          <t>N/A</t>
        </is>
      </c>
      <c r="G5120" s="26">
        <v>89683964</v>
      </c>
      <c r="H5120" s="26">
        <v>49326180</v>
      </c>
      <c r="I5120" s="26">
        <v>14120858</v>
      </c>
      <c r="J5120" s="26">
        <v>127</v>
      </c>
      <c r="K5120" t="inlineStr">
        <is>
          <t>Oui</t>
        </is>
      </c>
      <c r="L5120">
        <f>SUBTOTAL(103,A5120)</f>
        <v>1</v>
      </c>
    </row>
    <row r="5121">
      <c r="A5121" t="inlineStr">
        <is>
          <t>SOCIETE C1699</t>
        </is>
      </c>
      <c r="B5121" t="inlineStr">
        <is>
          <t>C1699</t>
        </is>
      </c>
      <c r="C5121" t="inlineStr">
        <is>
          <t>CONSUMER BANKING</t>
        </is>
      </c>
      <c r="D5121" t="inlineStr">
        <is>
          <t>I</t>
        </is>
      </c>
      <c r="E5121" t="inlineStr">
        <is>
          <t>Stage 1</t>
        </is>
      </c>
      <c r="F5121" t="inlineStr">
        <is>
          <t>N/A</t>
        </is>
      </c>
      <c r="G5121" s="26">
        <v>1014019808</v>
      </c>
      <c r="H5121" s="26">
        <v>10140198</v>
      </c>
      <c r="I5121" s="26">
        <v>101170919</v>
      </c>
      <c r="J5121" s="26">
        <v>19</v>
      </c>
      <c r="K5121" t="inlineStr">
        <is>
          <t>Non</t>
        </is>
      </c>
      <c r="L5121">
        <f>SUBTOTAL(103,A5121)</f>
        <v>1</v>
      </c>
    </row>
    <row r="5122">
      <c r="A5122" t="inlineStr">
        <is>
          <t>SOCIETE C2343</t>
        </is>
      </c>
      <c r="B5122" t="inlineStr">
        <is>
          <t>C2343</t>
        </is>
      </c>
      <c r="C5122" t="inlineStr">
        <is>
          <t>CORPORATE BANKING</t>
        </is>
      </c>
      <c r="D5122" t="inlineStr">
        <is>
          <t>I</t>
        </is>
      </c>
      <c r="E5122" t="inlineStr">
        <is>
          <t>Stage 1</t>
        </is>
      </c>
      <c r="F5122" t="inlineStr">
        <is>
          <t>N/A</t>
        </is>
      </c>
      <c r="G5122" s="26">
        <v>1221592431</v>
      </c>
      <c r="H5122" s="26">
        <v>12215924</v>
      </c>
      <c r="I5122" s="26">
        <v>138873785</v>
      </c>
      <c r="J5122" s="26">
        <v>123</v>
      </c>
      <c r="K5122" t="inlineStr">
        <is>
          <t>Non</t>
        </is>
      </c>
      <c r="L5122">
        <f>SUBTOTAL(103,A5122)</f>
        <v>1</v>
      </c>
    </row>
    <row r="5123">
      <c r="A5123" t="inlineStr">
        <is>
          <t>SOCIETE C601</t>
        </is>
      </c>
      <c r="B5123" t="inlineStr">
        <is>
          <t>C601</t>
        </is>
      </c>
      <c r="C5123" t="inlineStr">
        <is>
          <t>COMMERCIAL BANKING</t>
        </is>
      </c>
      <c r="D5123" t="inlineStr">
        <is>
          <t>II</t>
        </is>
      </c>
      <c r="E5123" t="inlineStr">
        <is>
          <t>Stage 2</t>
        </is>
      </c>
      <c r="F5123" t="inlineStr">
        <is>
          <t>N/A</t>
        </is>
      </c>
      <c r="G5123" s="26">
        <v>1860563893</v>
      </c>
      <c r="H5123" s="26">
        <v>111633834</v>
      </c>
      <c r="I5123" s="26">
        <v>0</v>
      </c>
      <c r="J5123" s="26">
        <v>70</v>
      </c>
      <c r="K5123" t="inlineStr">
        <is>
          <t>Non</t>
        </is>
      </c>
      <c r="L5123">
        <f>SUBTOTAL(103,A5123)</f>
        <v>1</v>
      </c>
    </row>
    <row r="5124">
      <c r="A5124" t="inlineStr">
        <is>
          <t>SOCIETE C2287</t>
        </is>
      </c>
      <c r="B5124" t="inlineStr">
        <is>
          <t>C2287</t>
        </is>
      </c>
      <c r="C5124" t="inlineStr">
        <is>
          <t>CORPORATE BANKING</t>
        </is>
      </c>
      <c r="D5124" t="inlineStr">
        <is>
          <t>I</t>
        </is>
      </c>
      <c r="E5124" t="inlineStr">
        <is>
          <t>Stage 1</t>
        </is>
      </c>
      <c r="F5124" t="inlineStr">
        <is>
          <t>N/A</t>
        </is>
      </c>
      <c r="G5124" s="26">
        <v>901661352</v>
      </c>
      <c r="H5124" s="26">
        <v>9016614</v>
      </c>
      <c r="I5124" s="26">
        <v>0</v>
      </c>
      <c r="J5124" s="26">
        <v>204</v>
      </c>
      <c r="K5124" t="inlineStr">
        <is>
          <t>Non</t>
        </is>
      </c>
      <c r="L5124">
        <f>SUBTOTAL(103,A5124)</f>
        <v>1</v>
      </c>
    </row>
    <row r="5125">
      <c r="A5125" t="inlineStr">
        <is>
          <t>SOCIETE C118</t>
        </is>
      </c>
      <c r="B5125" t="inlineStr">
        <is>
          <t>C118</t>
        </is>
      </c>
      <c r="C5125" t="inlineStr">
        <is>
          <t>INSTITUTIONAL</t>
        </is>
      </c>
      <c r="D5125" t="inlineStr">
        <is>
          <t>II</t>
        </is>
      </c>
      <c r="E5125" t="inlineStr">
        <is>
          <t>Stage 2</t>
        </is>
      </c>
      <c r="F5125" t="inlineStr">
        <is>
          <t>N/A</t>
        </is>
      </c>
      <c r="G5125" s="26">
        <v>661386383</v>
      </c>
      <c r="H5125" s="26">
        <v>39683183</v>
      </c>
      <c r="I5125" s="26">
        <v>0</v>
      </c>
      <c r="J5125" s="26">
        <v>198</v>
      </c>
      <c r="K5125" t="inlineStr">
        <is>
          <t>Non</t>
        </is>
      </c>
      <c r="L5125">
        <f>SUBTOTAL(103,A5125)</f>
        <v>1</v>
      </c>
    </row>
    <row r="5126">
      <c r="A5126" t="inlineStr">
        <is>
          <t>SOCIETE C1194</t>
        </is>
      </c>
      <c r="B5126" t="inlineStr">
        <is>
          <t>C1194</t>
        </is>
      </c>
      <c r="C5126" t="inlineStr">
        <is>
          <t>COMMERCIAL BANKING</t>
        </is>
      </c>
      <c r="D5126" t="inlineStr">
        <is>
          <t>I</t>
        </is>
      </c>
      <c r="E5126" t="inlineStr">
        <is>
          <t>Stage 1</t>
        </is>
      </c>
      <c r="F5126" t="inlineStr">
        <is>
          <t>N/A</t>
        </is>
      </c>
      <c r="G5126" s="26">
        <v>1361440058</v>
      </c>
      <c r="H5126" s="26">
        <v>13614401</v>
      </c>
      <c r="I5126" s="26">
        <v>0</v>
      </c>
      <c r="J5126" s="26">
        <v>261</v>
      </c>
      <c r="K5126" t="inlineStr">
        <is>
          <t>Non</t>
        </is>
      </c>
      <c r="L5126">
        <f>SUBTOTAL(103,A5126)</f>
        <v>1</v>
      </c>
    </row>
    <row r="5127">
      <c r="A5127" t="inlineStr">
        <is>
          <t>SOCIETE C1617</t>
        </is>
      </c>
      <c r="B5127" t="inlineStr">
        <is>
          <t>C1617</t>
        </is>
      </c>
      <c r="C5127" t="inlineStr">
        <is>
          <t>CORPORATE BANKING</t>
        </is>
      </c>
      <c r="D5127" t="inlineStr">
        <is>
          <t>I</t>
        </is>
      </c>
      <c r="E5127" t="inlineStr">
        <is>
          <t>Stage 1</t>
        </is>
      </c>
      <c r="F5127" t="inlineStr">
        <is>
          <t>N/A</t>
        </is>
      </c>
      <c r="G5127" s="26">
        <v>1254434150</v>
      </c>
      <c r="H5127" s="26">
        <v>12544342</v>
      </c>
      <c r="I5127" s="26">
        <v>0</v>
      </c>
      <c r="J5127" s="26">
        <v>132</v>
      </c>
      <c r="K5127" t="inlineStr">
        <is>
          <t>Non</t>
        </is>
      </c>
      <c r="L5127">
        <f>SUBTOTAL(103,A5127)</f>
        <v>1</v>
      </c>
    </row>
    <row r="5128">
      <c r="A5128" t="inlineStr">
        <is>
          <t>SOCIETE C1385</t>
        </is>
      </c>
      <c r="B5128" t="inlineStr">
        <is>
          <t>C1385</t>
        </is>
      </c>
      <c r="C5128" t="inlineStr">
        <is>
          <t>CORPORATE BANKING</t>
        </is>
      </c>
      <c r="D5128" t="inlineStr">
        <is>
          <t>I</t>
        </is>
      </c>
      <c r="E5128" t="inlineStr">
        <is>
          <t>Stage 1</t>
        </is>
      </c>
      <c r="F5128" t="inlineStr">
        <is>
          <t>N/A</t>
        </is>
      </c>
      <c r="G5128" s="26">
        <v>191185422</v>
      </c>
      <c r="H5128" s="26">
        <v>1911854</v>
      </c>
      <c r="I5128" s="26">
        <v>0</v>
      </c>
      <c r="J5128" s="26">
        <v>0</v>
      </c>
      <c r="K5128" t="inlineStr">
        <is>
          <t>Non</t>
        </is>
      </c>
      <c r="L5128">
        <f>SUBTOTAL(103,A5128)</f>
        <v>1</v>
      </c>
    </row>
    <row r="5129">
      <c r="A5129" t="inlineStr">
        <is>
          <t>SOCIETE C395</t>
        </is>
      </c>
      <c r="B5129" t="inlineStr">
        <is>
          <t>C395</t>
        </is>
      </c>
      <c r="C5129" t="inlineStr">
        <is>
          <t>COMMERCIAL BANKING</t>
        </is>
      </c>
      <c r="D5129" t="inlineStr">
        <is>
          <t>I</t>
        </is>
      </c>
      <c r="E5129" t="inlineStr">
        <is>
          <t>Stage 1</t>
        </is>
      </c>
      <c r="F5129" t="inlineStr">
        <is>
          <t>N/A</t>
        </is>
      </c>
      <c r="G5129" s="26">
        <v>1356320</v>
      </c>
      <c r="H5129" s="26">
        <v>13563</v>
      </c>
      <c r="I5129" s="26">
        <v>0</v>
      </c>
      <c r="J5129" s="26">
        <v>18</v>
      </c>
      <c r="K5129" t="inlineStr">
        <is>
          <t>Non</t>
        </is>
      </c>
      <c r="L5129">
        <f>SUBTOTAL(103,A5129)</f>
        <v>1</v>
      </c>
    </row>
    <row r="5130">
      <c r="A5130" t="inlineStr">
        <is>
          <t>SOCIETE C478</t>
        </is>
      </c>
      <c r="B5130" t="inlineStr">
        <is>
          <t>C478</t>
        </is>
      </c>
      <c r="C5130" t="inlineStr">
        <is>
          <t>CORPORATE BANKING</t>
        </is>
      </c>
      <c r="D5130" t="inlineStr">
        <is>
          <t>I</t>
        </is>
      </c>
      <c r="E5130" t="inlineStr">
        <is>
          <t>Stage 1</t>
        </is>
      </c>
      <c r="F5130" t="inlineStr">
        <is>
          <t>N/A</t>
        </is>
      </c>
      <c r="G5130" s="26">
        <v>1170930255</v>
      </c>
      <c r="H5130" s="26">
        <v>11709303</v>
      </c>
      <c r="I5130" s="26">
        <v>0</v>
      </c>
      <c r="J5130" s="26">
        <v>257</v>
      </c>
      <c r="K5130" t="inlineStr">
        <is>
          <t>Non</t>
        </is>
      </c>
      <c r="L5130">
        <f>SUBTOTAL(103,A5130)</f>
        <v>1</v>
      </c>
    </row>
    <row r="5131">
      <c r="A5131" t="inlineStr">
        <is>
          <t>SOCIETE C1318</t>
        </is>
      </c>
      <c r="B5131" t="inlineStr">
        <is>
          <t>C1318</t>
        </is>
      </c>
      <c r="C5131" t="inlineStr">
        <is>
          <t>CORPORATE BANKING</t>
        </is>
      </c>
      <c r="D5131" t="inlineStr">
        <is>
          <t>IA</t>
        </is>
      </c>
      <c r="E5131" t="inlineStr">
        <is>
          <t>Stage 2</t>
        </is>
      </c>
      <c r="F5131" t="inlineStr">
        <is>
          <t>N/A</t>
        </is>
      </c>
      <c r="G5131" s="26">
        <v>646175578</v>
      </c>
      <c r="H5131" s="26">
        <v>38770535</v>
      </c>
      <c r="I5131" s="26">
        <v>0</v>
      </c>
      <c r="J5131" s="26">
        <v>135</v>
      </c>
      <c r="K5131" t="inlineStr">
        <is>
          <t>Non</t>
        </is>
      </c>
      <c r="L5131">
        <f>SUBTOTAL(103,A5131)</f>
        <v>1</v>
      </c>
    </row>
    <row r="5132">
      <c r="A5132" t="inlineStr">
        <is>
          <t>SOCIETE C82</t>
        </is>
      </c>
      <c r="B5132" t="inlineStr">
        <is>
          <t>C82</t>
        </is>
      </c>
      <c r="C5132" t="inlineStr">
        <is>
          <t>CORPORATE BANKING</t>
        </is>
      </c>
      <c r="D5132" t="inlineStr">
        <is>
          <t>I</t>
        </is>
      </c>
      <c r="E5132" t="inlineStr">
        <is>
          <t>Stage 1</t>
        </is>
      </c>
      <c r="F5132" t="inlineStr">
        <is>
          <t>N/A</t>
        </is>
      </c>
      <c r="G5132" s="26">
        <v>153578789</v>
      </c>
      <c r="H5132" s="26">
        <v>1535788</v>
      </c>
      <c r="I5132" s="26">
        <v>0</v>
      </c>
      <c r="J5132" s="26">
        <v>35</v>
      </c>
      <c r="K5132" t="inlineStr">
        <is>
          <t>Non</t>
        </is>
      </c>
      <c r="L5132">
        <f>SUBTOTAL(103,A5132)</f>
        <v>1</v>
      </c>
    </row>
    <row r="5133">
      <c r="A5133" t="inlineStr">
        <is>
          <t>SOCIETE C1131</t>
        </is>
      </c>
      <c r="B5133" t="inlineStr">
        <is>
          <t>C1131</t>
        </is>
      </c>
      <c r="C5133" t="inlineStr">
        <is>
          <t>CORPORATE BANKING</t>
        </is>
      </c>
      <c r="D5133" t="inlineStr">
        <is>
          <t>II</t>
        </is>
      </c>
      <c r="E5133" t="inlineStr">
        <is>
          <t>Stage 2</t>
        </is>
      </c>
      <c r="F5133" t="inlineStr">
        <is>
          <t>N/A</t>
        </is>
      </c>
      <c r="G5133" s="26">
        <v>3977313</v>
      </c>
      <c r="H5133" s="26">
        <v>238639</v>
      </c>
      <c r="I5133" s="26">
        <v>0</v>
      </c>
      <c r="J5133" s="26">
        <v>85</v>
      </c>
      <c r="K5133" t="inlineStr">
        <is>
          <t>Non</t>
        </is>
      </c>
      <c r="L5133">
        <f>SUBTOTAL(103,A5133)</f>
        <v>1</v>
      </c>
    </row>
    <row r="5134">
      <c r="A5134" t="inlineStr">
        <is>
          <t>SOCIETE C2464</t>
        </is>
      </c>
      <c r="B5134" t="inlineStr">
        <is>
          <t>C2464</t>
        </is>
      </c>
      <c r="C5134" t="inlineStr">
        <is>
          <t>CONSUMER BANKING</t>
        </is>
      </c>
      <c r="D5134" t="inlineStr">
        <is>
          <t>I</t>
        </is>
      </c>
      <c r="E5134" t="inlineStr">
        <is>
          <t>Stage 1</t>
        </is>
      </c>
      <c r="F5134" t="inlineStr">
        <is>
          <t>N/A</t>
        </is>
      </c>
      <c r="G5134" s="26">
        <v>1339280671</v>
      </c>
      <c r="H5134" s="26">
        <v>13392807</v>
      </c>
      <c r="I5134" s="26">
        <v>0</v>
      </c>
      <c r="J5134" s="26">
        <v>306</v>
      </c>
      <c r="K5134" t="inlineStr">
        <is>
          <t>Non</t>
        </is>
      </c>
      <c r="L5134">
        <f>SUBTOTAL(103,A5134)</f>
        <v>1</v>
      </c>
    </row>
    <row r="5135">
      <c r="A5135" t="inlineStr">
        <is>
          <t>SOCIETE C1970</t>
        </is>
      </c>
      <c r="B5135" t="inlineStr">
        <is>
          <t>C1970</t>
        </is>
      </c>
      <c r="C5135" t="inlineStr">
        <is>
          <t>CORPORATE BANKING</t>
        </is>
      </c>
      <c r="D5135" t="inlineStr">
        <is>
          <t>V</t>
        </is>
      </c>
      <c r="E5135" t="inlineStr">
        <is>
          <t>Stage 3</t>
        </is>
      </c>
      <c r="F5135" t="inlineStr">
        <is>
          <t>N/A</t>
        </is>
      </c>
      <c r="G5135" s="26">
        <v>4432024</v>
      </c>
      <c r="H5135" s="26">
        <v>2437613</v>
      </c>
      <c r="I5135" s="26">
        <v>0</v>
      </c>
      <c r="J5135" s="26">
        <v>69</v>
      </c>
      <c r="K5135" t="inlineStr">
        <is>
          <t>Oui</t>
        </is>
      </c>
      <c r="L5135">
        <f>SUBTOTAL(103,A5135)</f>
        <v>1</v>
      </c>
    </row>
    <row r="5136">
      <c r="A5136" t="inlineStr">
        <is>
          <t>SOCIETE C1975</t>
        </is>
      </c>
      <c r="B5136" t="inlineStr">
        <is>
          <t>C1975</t>
        </is>
      </c>
      <c r="C5136" t="inlineStr">
        <is>
          <t>CORPORATE BANKING</t>
        </is>
      </c>
      <c r="D5136" t="inlineStr">
        <is>
          <t>I</t>
        </is>
      </c>
      <c r="E5136" t="inlineStr">
        <is>
          <t>Stage 1</t>
        </is>
      </c>
      <c r="F5136" t="inlineStr">
        <is>
          <t>N/A</t>
        </is>
      </c>
      <c r="G5136" s="26">
        <v>38737896</v>
      </c>
      <c r="H5136" s="26">
        <v>387379</v>
      </c>
      <c r="I5136" s="26">
        <v>0</v>
      </c>
      <c r="J5136" s="26">
        <v>2</v>
      </c>
      <c r="K5136" t="inlineStr">
        <is>
          <t>Non</t>
        </is>
      </c>
      <c r="L5136">
        <f>SUBTOTAL(103,A5136)</f>
        <v>1</v>
      </c>
    </row>
    <row r="5137">
      <c r="A5137" t="inlineStr">
        <is>
          <t>SOCIETE C1285</t>
        </is>
      </c>
      <c r="B5137" t="inlineStr">
        <is>
          <t>C1285</t>
        </is>
      </c>
      <c r="C5137" t="inlineStr">
        <is>
          <t>CORPORATE BANKING</t>
        </is>
      </c>
      <c r="D5137" t="inlineStr">
        <is>
          <t>I</t>
        </is>
      </c>
      <c r="E5137" t="inlineStr">
        <is>
          <t>Stage 1</t>
        </is>
      </c>
      <c r="F5137" t="inlineStr">
        <is>
          <t>N/A</t>
        </is>
      </c>
      <c r="G5137" s="26">
        <v>236416096</v>
      </c>
      <c r="H5137" s="26">
        <v>2364161</v>
      </c>
      <c r="I5137" s="26">
        <v>41312382</v>
      </c>
      <c r="J5137" s="26">
        <v>58</v>
      </c>
      <c r="K5137" t="inlineStr">
        <is>
          <t>Non</t>
        </is>
      </c>
      <c r="L5137">
        <f>SUBTOTAL(103,A5137)</f>
        <v>1</v>
      </c>
    </row>
    <row r="5138">
      <c r="A5138" t="inlineStr">
        <is>
          <t>SOCIETE C1223</t>
        </is>
      </c>
      <c r="B5138" t="inlineStr">
        <is>
          <t>C1223</t>
        </is>
      </c>
      <c r="C5138" t="inlineStr">
        <is>
          <t>CORPORATE BANKING</t>
        </is>
      </c>
      <c r="D5138" t="inlineStr">
        <is>
          <t>I</t>
        </is>
      </c>
      <c r="E5138" t="inlineStr">
        <is>
          <t>Stage 1</t>
        </is>
      </c>
      <c r="F5138" t="inlineStr">
        <is>
          <t>N/A</t>
        </is>
      </c>
      <c r="G5138" s="26">
        <v>64636577</v>
      </c>
      <c r="H5138" s="26">
        <v>646366</v>
      </c>
      <c r="I5138" s="26">
        <v>9666500</v>
      </c>
      <c r="J5138" s="26">
        <v>8</v>
      </c>
      <c r="K5138" t="inlineStr">
        <is>
          <t>Non</t>
        </is>
      </c>
      <c r="L5138">
        <f>SUBTOTAL(103,A5138)</f>
        <v>1</v>
      </c>
    </row>
    <row r="5139">
      <c r="A5139" t="inlineStr">
        <is>
          <t>SOCIETE C202</t>
        </is>
      </c>
      <c r="B5139" t="inlineStr">
        <is>
          <t>C202</t>
        </is>
      </c>
      <c r="C5139" t="inlineStr">
        <is>
          <t>CORPORATE BANKING</t>
        </is>
      </c>
      <c r="D5139" t="inlineStr">
        <is>
          <t>I</t>
        </is>
      </c>
      <c r="E5139" t="inlineStr">
        <is>
          <t>Stage 1</t>
        </is>
      </c>
      <c r="F5139" t="inlineStr">
        <is>
          <t>N/A</t>
        </is>
      </c>
      <c r="G5139" s="26">
        <v>350186989</v>
      </c>
      <c r="H5139" s="26">
        <v>3501870</v>
      </c>
      <c r="I5139" s="26">
        <v>0</v>
      </c>
      <c r="J5139" s="26">
        <v>8</v>
      </c>
      <c r="K5139" t="inlineStr">
        <is>
          <t>Non</t>
        </is>
      </c>
      <c r="L5139">
        <f>SUBTOTAL(103,A5139)</f>
        <v>1</v>
      </c>
    </row>
    <row r="5140">
      <c r="A5140" t="inlineStr">
        <is>
          <t>SOCIETE C543</t>
        </is>
      </c>
      <c r="B5140" t="inlineStr">
        <is>
          <t>C543</t>
        </is>
      </c>
      <c r="C5140" t="inlineStr">
        <is>
          <t>CONSUMER BANKING</t>
        </is>
      </c>
      <c r="D5140" t="inlineStr">
        <is>
          <t>IA</t>
        </is>
      </c>
      <c r="E5140" t="inlineStr">
        <is>
          <t>Stage 2</t>
        </is>
      </c>
      <c r="F5140" t="inlineStr">
        <is>
          <t>N/A</t>
        </is>
      </c>
      <c r="G5140" s="26">
        <v>1001154</v>
      </c>
      <c r="H5140" s="26">
        <v>60069</v>
      </c>
      <c r="I5140" s="26">
        <v>74813</v>
      </c>
      <c r="J5140" s="26">
        <v>203</v>
      </c>
      <c r="K5140" t="inlineStr">
        <is>
          <t>Non</t>
        </is>
      </c>
      <c r="L5140">
        <f>SUBTOTAL(103,A5140)</f>
        <v>1</v>
      </c>
    </row>
    <row r="5141">
      <c r="A5141" t="inlineStr">
        <is>
          <t>SOCIETE C2198</t>
        </is>
      </c>
      <c r="B5141" t="inlineStr">
        <is>
          <t>C2198</t>
        </is>
      </c>
      <c r="C5141" t="inlineStr">
        <is>
          <t>CONSUMER BANKING</t>
        </is>
      </c>
      <c r="D5141" t="inlineStr">
        <is>
          <t>II</t>
        </is>
      </c>
      <c r="E5141" t="inlineStr">
        <is>
          <t>Stage 2</t>
        </is>
      </c>
      <c r="F5141" t="inlineStr">
        <is>
          <t>N/A</t>
        </is>
      </c>
      <c r="G5141" s="26">
        <v>1917441275</v>
      </c>
      <c r="H5141" s="26">
        <v>115046476</v>
      </c>
      <c r="I5141" s="26">
        <v>0</v>
      </c>
      <c r="J5141" s="26">
        <v>102</v>
      </c>
      <c r="K5141" t="inlineStr">
        <is>
          <t>Non</t>
        </is>
      </c>
      <c r="L5141">
        <f>SUBTOTAL(103,A5141)</f>
        <v>1</v>
      </c>
    </row>
    <row r="5142">
      <c r="A5142" t="inlineStr">
        <is>
          <t>SOCIETE C1263</t>
        </is>
      </c>
      <c r="B5142" t="inlineStr">
        <is>
          <t>C1263</t>
        </is>
      </c>
      <c r="C5142" t="inlineStr">
        <is>
          <t>CORPORATE BANKING</t>
        </is>
      </c>
      <c r="D5142" t="inlineStr">
        <is>
          <t>IA</t>
        </is>
      </c>
      <c r="E5142" t="inlineStr">
        <is>
          <t>Stage 2</t>
        </is>
      </c>
      <c r="F5142" t="inlineStr">
        <is>
          <t>N/A</t>
        </is>
      </c>
      <c r="G5142" s="26">
        <v>41275390</v>
      </c>
      <c r="H5142" s="26">
        <v>2476523</v>
      </c>
      <c r="I5142" s="26">
        <v>5035538</v>
      </c>
      <c r="J5142" s="26">
        <v>32</v>
      </c>
      <c r="K5142" t="inlineStr">
        <is>
          <t>Non</t>
        </is>
      </c>
      <c r="L5142">
        <f>SUBTOTAL(103,A5142)</f>
        <v>1</v>
      </c>
    </row>
    <row r="5143">
      <c r="A5143" t="inlineStr">
        <is>
          <t>SOCIETE C1723</t>
        </is>
      </c>
      <c r="B5143" t="inlineStr">
        <is>
          <t>C1723</t>
        </is>
      </c>
      <c r="C5143" t="inlineStr">
        <is>
          <t>SME</t>
        </is>
      </c>
      <c r="D5143" t="inlineStr">
        <is>
          <t>V</t>
        </is>
      </c>
      <c r="E5143" t="inlineStr">
        <is>
          <t>Stage 3</t>
        </is>
      </c>
      <c r="F5143" t="inlineStr">
        <is>
          <t>N/A</t>
        </is>
      </c>
      <c r="G5143" s="26">
        <v>2399824602</v>
      </c>
      <c r="H5143" s="26">
        <v>1319903531</v>
      </c>
      <c r="I5143" s="26">
        <v>0</v>
      </c>
      <c r="J5143" s="26">
        <v>152</v>
      </c>
      <c r="K5143" t="inlineStr">
        <is>
          <t>Oui</t>
        </is>
      </c>
      <c r="L5143">
        <f>SUBTOTAL(103,A5143)</f>
        <v>1</v>
      </c>
    </row>
    <row r="5144">
      <c r="A5144" t="inlineStr">
        <is>
          <t>SOCIETE C371</t>
        </is>
      </c>
      <c r="B5144" t="inlineStr">
        <is>
          <t>C371</t>
        </is>
      </c>
      <c r="C5144" t="inlineStr">
        <is>
          <t>CORPORATE BANKING</t>
        </is>
      </c>
      <c r="D5144" t="inlineStr">
        <is>
          <t>I</t>
        </is>
      </c>
      <c r="E5144" t="inlineStr">
        <is>
          <t>Stage 1</t>
        </is>
      </c>
      <c r="F5144" t="inlineStr">
        <is>
          <t>N/A</t>
        </is>
      </c>
      <c r="G5144" s="26">
        <v>98424280</v>
      </c>
      <c r="H5144" s="26">
        <v>984243</v>
      </c>
      <c r="I5144" s="26">
        <v>0</v>
      </c>
      <c r="J5144" s="26">
        <v>228</v>
      </c>
      <c r="K5144" t="inlineStr">
        <is>
          <t>Non</t>
        </is>
      </c>
      <c r="L5144">
        <f>SUBTOTAL(103,A5144)</f>
        <v>1</v>
      </c>
    </row>
    <row r="5145">
      <c r="A5145" t="inlineStr">
        <is>
          <t>SOCIETE C979</t>
        </is>
      </c>
      <c r="B5145" t="inlineStr">
        <is>
          <t>C979</t>
        </is>
      </c>
      <c r="C5145" t="inlineStr">
        <is>
          <t>CONSUMER BANKING</t>
        </is>
      </c>
      <c r="D5145" t="inlineStr">
        <is>
          <t>I</t>
        </is>
      </c>
      <c r="E5145" t="inlineStr">
        <is>
          <t>Stage 1</t>
        </is>
      </c>
      <c r="F5145" t="inlineStr">
        <is>
          <t>N/A</t>
        </is>
      </c>
      <c r="G5145" s="26">
        <v>535351524</v>
      </c>
      <c r="H5145" s="26">
        <v>5353515</v>
      </c>
      <c r="I5145" s="26">
        <v>0</v>
      </c>
      <c r="J5145" s="26">
        <v>219</v>
      </c>
      <c r="K5145" t="inlineStr">
        <is>
          <t>Non</t>
        </is>
      </c>
      <c r="L5145">
        <f>SUBTOTAL(103,A5145)</f>
        <v>1</v>
      </c>
    </row>
    <row r="5146">
      <c r="A5146" t="inlineStr">
        <is>
          <t>SOCIETE C728</t>
        </is>
      </c>
      <c r="B5146" t="inlineStr">
        <is>
          <t>C728</t>
        </is>
      </c>
      <c r="C5146" t="inlineStr">
        <is>
          <t>CORPORATE BANKING</t>
        </is>
      </c>
      <c r="D5146" t="inlineStr">
        <is>
          <t>IA</t>
        </is>
      </c>
      <c r="E5146" t="inlineStr">
        <is>
          <t>Stage 2</t>
        </is>
      </c>
      <c r="F5146" t="inlineStr">
        <is>
          <t>N/A</t>
        </is>
      </c>
      <c r="G5146" s="26">
        <v>3484346</v>
      </c>
      <c r="H5146" s="26">
        <v>209061</v>
      </c>
      <c r="I5146" s="26">
        <v>0</v>
      </c>
      <c r="J5146" s="26">
        <v>50</v>
      </c>
      <c r="K5146" t="inlineStr">
        <is>
          <t>Non</t>
        </is>
      </c>
      <c r="L5146">
        <f>SUBTOTAL(103,A5146)</f>
        <v>1</v>
      </c>
    </row>
    <row r="5147">
      <c r="A5147" t="inlineStr">
        <is>
          <t>SOCIETE C1250</t>
        </is>
      </c>
      <c r="B5147" t="inlineStr">
        <is>
          <t>C1250</t>
        </is>
      </c>
      <c r="C5147" t="inlineStr">
        <is>
          <t>INSTITUTIONAL</t>
        </is>
      </c>
      <c r="D5147" t="inlineStr">
        <is>
          <t>I</t>
        </is>
      </c>
      <c r="E5147" t="inlineStr">
        <is>
          <t>Stage 1</t>
        </is>
      </c>
      <c r="F5147" t="inlineStr">
        <is>
          <t>N/A</t>
        </is>
      </c>
      <c r="G5147" s="26">
        <v>992062105</v>
      </c>
      <c r="H5147" s="26">
        <v>9920621</v>
      </c>
      <c r="I5147" s="26">
        <v>189226208</v>
      </c>
      <c r="J5147" s="26">
        <v>49</v>
      </c>
      <c r="K5147" t="inlineStr">
        <is>
          <t>Non</t>
        </is>
      </c>
      <c r="L5147">
        <f>SUBTOTAL(103,A5147)</f>
        <v>1</v>
      </c>
    </row>
    <row r="5148">
      <c r="A5148" t="inlineStr">
        <is>
          <t>SOCIETE C1011</t>
        </is>
      </c>
      <c r="B5148" t="inlineStr">
        <is>
          <t>C1011</t>
        </is>
      </c>
      <c r="C5148" t="inlineStr">
        <is>
          <t>COMMERCIAL BANKING</t>
        </is>
      </c>
      <c r="D5148" t="inlineStr">
        <is>
          <t>I</t>
        </is>
      </c>
      <c r="E5148" t="inlineStr">
        <is>
          <t>Stage 1</t>
        </is>
      </c>
      <c r="F5148" t="inlineStr">
        <is>
          <t>N/A</t>
        </is>
      </c>
      <c r="G5148" s="26">
        <v>277122666</v>
      </c>
      <c r="H5148" s="26">
        <v>2771227</v>
      </c>
      <c r="I5148" s="26">
        <v>0</v>
      </c>
      <c r="J5148" s="26">
        <v>277</v>
      </c>
      <c r="K5148" t="inlineStr">
        <is>
          <t>Non</t>
        </is>
      </c>
      <c r="L5148">
        <f>SUBTOTAL(103,A5148)</f>
        <v>1</v>
      </c>
    </row>
    <row r="5149">
      <c r="A5149" t="inlineStr">
        <is>
          <t>SOCIETE C862</t>
        </is>
      </c>
      <c r="B5149" t="inlineStr">
        <is>
          <t>C862</t>
        </is>
      </c>
      <c r="C5149" t="inlineStr">
        <is>
          <t>CORPORATE BANKING</t>
        </is>
      </c>
      <c r="D5149" t="inlineStr">
        <is>
          <t>I</t>
        </is>
      </c>
      <c r="E5149" t="inlineStr">
        <is>
          <t>Stage 1</t>
        </is>
      </c>
      <c r="F5149" t="inlineStr">
        <is>
          <t>N/A</t>
        </is>
      </c>
      <c r="G5149" s="26">
        <v>4541871</v>
      </c>
      <c r="H5149" s="26">
        <v>45419</v>
      </c>
      <c r="I5149" s="26">
        <v>0</v>
      </c>
      <c r="J5149" s="26">
        <v>28</v>
      </c>
      <c r="K5149" t="inlineStr">
        <is>
          <t>Non</t>
        </is>
      </c>
      <c r="L5149">
        <f>SUBTOTAL(103,A5149)</f>
        <v>1</v>
      </c>
    </row>
    <row r="5150">
      <c r="A5150" t="inlineStr">
        <is>
          <t>SOCIETE C1643</t>
        </is>
      </c>
      <c r="B5150" t="inlineStr">
        <is>
          <t>C1643</t>
        </is>
      </c>
      <c r="C5150" t="inlineStr">
        <is>
          <t>CORPORATE BANKING</t>
        </is>
      </c>
      <c r="D5150" t="inlineStr">
        <is>
          <t>V</t>
        </is>
      </c>
      <c r="E5150" t="inlineStr">
        <is>
          <t>Stage 3</t>
        </is>
      </c>
      <c r="F5150" t="inlineStr">
        <is>
          <t>N/A</t>
        </is>
      </c>
      <c r="G5150" s="26">
        <v>348221759</v>
      </c>
      <c r="H5150" s="26">
        <v>191521967</v>
      </c>
      <c r="I5150" s="26">
        <v>58380331</v>
      </c>
      <c r="J5150" s="26">
        <v>150</v>
      </c>
      <c r="K5150" t="inlineStr">
        <is>
          <t>Oui</t>
        </is>
      </c>
      <c r="L5150">
        <f>SUBTOTAL(103,A5150)</f>
        <v>1</v>
      </c>
    </row>
    <row r="5151">
      <c r="A5151" t="inlineStr">
        <is>
          <t>SOCIETE C861</t>
        </is>
      </c>
      <c r="B5151" t="inlineStr">
        <is>
          <t>C861</t>
        </is>
      </c>
      <c r="C5151" t="inlineStr">
        <is>
          <t>SME</t>
        </is>
      </c>
      <c r="D5151" t="inlineStr">
        <is>
          <t>II</t>
        </is>
      </c>
      <c r="E5151" t="inlineStr">
        <is>
          <t>Stage 2</t>
        </is>
      </c>
      <c r="F5151" t="inlineStr">
        <is>
          <t>N/A</t>
        </is>
      </c>
      <c r="G5151" s="26">
        <v>7424409</v>
      </c>
      <c r="H5151" s="26">
        <v>445465</v>
      </c>
      <c r="I5151" s="26">
        <v>0</v>
      </c>
      <c r="J5151" s="26">
        <v>107</v>
      </c>
      <c r="K5151" t="inlineStr">
        <is>
          <t>Non</t>
        </is>
      </c>
      <c r="L5151">
        <f>SUBTOTAL(103,A5151)</f>
        <v>1</v>
      </c>
    </row>
    <row r="5152">
      <c r="A5152" t="inlineStr">
        <is>
          <t>SOCIETE C2219</t>
        </is>
      </c>
      <c r="B5152" t="inlineStr">
        <is>
          <t>C2219</t>
        </is>
      </c>
      <c r="C5152" t="inlineStr">
        <is>
          <t>COMMERCIAL BANKING</t>
        </is>
      </c>
      <c r="D5152" t="inlineStr">
        <is>
          <t>I</t>
        </is>
      </c>
      <c r="E5152" t="inlineStr">
        <is>
          <t>Stage 1</t>
        </is>
      </c>
      <c r="F5152" t="inlineStr">
        <is>
          <t>N/A</t>
        </is>
      </c>
      <c r="G5152" s="26">
        <v>2678397</v>
      </c>
      <c r="H5152" s="26">
        <v>26784</v>
      </c>
      <c r="I5152" s="26">
        <v>0</v>
      </c>
      <c r="J5152" s="26">
        <v>40</v>
      </c>
      <c r="K5152" t="inlineStr">
        <is>
          <t>Non</t>
        </is>
      </c>
      <c r="L5152">
        <f>SUBTOTAL(103,A5152)</f>
        <v>1</v>
      </c>
    </row>
    <row r="5153">
      <c r="A5153" t="inlineStr">
        <is>
          <t>SOCIETE C1547</t>
        </is>
      </c>
      <c r="B5153" t="inlineStr">
        <is>
          <t>C1547</t>
        </is>
      </c>
      <c r="C5153" t="inlineStr">
        <is>
          <t>COMMERCIAL BANKING</t>
        </is>
      </c>
      <c r="D5153" t="inlineStr">
        <is>
          <t>II</t>
        </is>
      </c>
      <c r="E5153" t="inlineStr">
        <is>
          <t>Stage 2</t>
        </is>
      </c>
      <c r="F5153" t="inlineStr">
        <is>
          <t>N/A</t>
        </is>
      </c>
      <c r="G5153" s="26">
        <v>640634869</v>
      </c>
      <c r="H5153" s="26">
        <v>38438092</v>
      </c>
      <c r="I5153" s="26">
        <v>0</v>
      </c>
      <c r="J5153" s="26">
        <v>13</v>
      </c>
      <c r="K5153" t="inlineStr">
        <is>
          <t>Non</t>
        </is>
      </c>
      <c r="L5153">
        <f>SUBTOTAL(103,A5153)</f>
        <v>1</v>
      </c>
    </row>
    <row r="5154">
      <c r="A5154" t="inlineStr">
        <is>
          <t>SOCIETE C1716</t>
        </is>
      </c>
      <c r="B5154" t="inlineStr">
        <is>
          <t>C1716</t>
        </is>
      </c>
      <c r="C5154" t="inlineStr">
        <is>
          <t>CONSUMER BANKING</t>
        </is>
      </c>
      <c r="D5154" t="inlineStr">
        <is>
          <t>V</t>
        </is>
      </c>
      <c r="E5154" t="inlineStr">
        <is>
          <t>Stage 3</t>
        </is>
      </c>
      <c r="F5154" t="inlineStr">
        <is>
          <t>N/A</t>
        </is>
      </c>
      <c r="G5154" s="26">
        <v>455647172</v>
      </c>
      <c r="H5154" s="26">
        <v>250605945</v>
      </c>
      <c r="I5154" s="26">
        <v>0</v>
      </c>
      <c r="J5154" s="26">
        <v>49</v>
      </c>
      <c r="K5154" t="inlineStr">
        <is>
          <t>Oui</t>
        </is>
      </c>
      <c r="L5154">
        <f>SUBTOTAL(103,A5154)</f>
        <v>1</v>
      </c>
    </row>
    <row r="5155">
      <c r="A5155" t="inlineStr">
        <is>
          <t>SOCIETE C1315</t>
        </is>
      </c>
      <c r="B5155" t="inlineStr">
        <is>
          <t>C1315</t>
        </is>
      </c>
      <c r="C5155" t="inlineStr">
        <is>
          <t>COMMERCIAL BANKING</t>
        </is>
      </c>
      <c r="D5155" t="inlineStr">
        <is>
          <t>III</t>
        </is>
      </c>
      <c r="E5155" t="inlineStr">
        <is>
          <t>Stage 3</t>
        </is>
      </c>
      <c r="F5155" t="inlineStr">
        <is>
          <t>N/A</t>
        </is>
      </c>
      <c r="G5155" s="26">
        <v>611449897</v>
      </c>
      <c r="H5155" s="26">
        <v>336297443</v>
      </c>
      <c r="I5155" s="26">
        <v>1198407</v>
      </c>
      <c r="J5155" s="26">
        <v>29</v>
      </c>
      <c r="K5155" t="inlineStr">
        <is>
          <t>Oui</t>
        </is>
      </c>
      <c r="L5155">
        <f>SUBTOTAL(103,A5155)</f>
        <v>1</v>
      </c>
    </row>
    <row r="5156">
      <c r="A5156" t="inlineStr">
        <is>
          <t>SOCIETE C328</t>
        </is>
      </c>
      <c r="B5156" t="inlineStr">
        <is>
          <t>C328</t>
        </is>
      </c>
      <c r="C5156" t="inlineStr">
        <is>
          <t>CORPORATE BANKING</t>
        </is>
      </c>
      <c r="D5156" t="inlineStr">
        <is>
          <t>I</t>
        </is>
      </c>
      <c r="E5156" t="inlineStr">
        <is>
          <t>Stage 1</t>
        </is>
      </c>
      <c r="F5156" t="inlineStr">
        <is>
          <t>N/A</t>
        </is>
      </c>
      <c r="G5156" s="26">
        <v>1178360397</v>
      </c>
      <c r="H5156" s="26">
        <v>11783604</v>
      </c>
      <c r="I5156" s="26">
        <v>0</v>
      </c>
      <c r="J5156" s="26">
        <v>213</v>
      </c>
      <c r="K5156" t="inlineStr">
        <is>
          <t>Non</t>
        </is>
      </c>
      <c r="L5156">
        <f>SUBTOTAL(103,A5156)</f>
        <v>1</v>
      </c>
    </row>
    <row r="5157">
      <c r="A5157" t="inlineStr">
        <is>
          <t>SOCIETE C1293</t>
        </is>
      </c>
      <c r="B5157" t="inlineStr">
        <is>
          <t>C1293</t>
        </is>
      </c>
      <c r="C5157" t="inlineStr">
        <is>
          <t>CONSUMER BANKING</t>
        </is>
      </c>
      <c r="D5157" t="inlineStr">
        <is>
          <t>I</t>
        </is>
      </c>
      <c r="E5157" t="inlineStr">
        <is>
          <t>Stage 1</t>
        </is>
      </c>
      <c r="F5157" t="inlineStr">
        <is>
          <t>N/A</t>
        </is>
      </c>
      <c r="G5157" s="26">
        <v>1470774901</v>
      </c>
      <c r="H5157" s="26">
        <v>14707749</v>
      </c>
      <c r="I5157" s="26">
        <v>266628686</v>
      </c>
      <c r="J5157" s="26">
        <v>45</v>
      </c>
      <c r="K5157" t="inlineStr">
        <is>
          <t>Non</t>
        </is>
      </c>
      <c r="L5157">
        <f>SUBTOTAL(103,A5157)</f>
        <v>1</v>
      </c>
    </row>
    <row r="5158">
      <c r="A5158" t="inlineStr">
        <is>
          <t>SOCIETE C1540</t>
        </is>
      </c>
      <c r="B5158" t="inlineStr">
        <is>
          <t>C1540</t>
        </is>
      </c>
      <c r="C5158" t="inlineStr">
        <is>
          <t>SME</t>
        </is>
      </c>
      <c r="D5158" t="inlineStr">
        <is>
          <t>III</t>
        </is>
      </c>
      <c r="E5158" t="inlineStr">
        <is>
          <t>Stage 3</t>
        </is>
      </c>
      <c r="F5158" t="inlineStr">
        <is>
          <t>N/A</t>
        </is>
      </c>
      <c r="G5158" s="26">
        <v>22824806</v>
      </c>
      <c r="H5158" s="26">
        <v>12553644</v>
      </c>
      <c r="I5158" s="26">
        <v>0</v>
      </c>
      <c r="J5158" s="26">
        <v>26</v>
      </c>
      <c r="K5158" t="inlineStr">
        <is>
          <t>Oui</t>
        </is>
      </c>
      <c r="L5158">
        <f>SUBTOTAL(103,A5158)</f>
        <v>1</v>
      </c>
    </row>
    <row r="5159">
      <c r="A5159" t="inlineStr">
        <is>
          <t>SOCIETE C518</t>
        </is>
      </c>
      <c r="B5159" t="inlineStr">
        <is>
          <t>C518</t>
        </is>
      </c>
      <c r="C5159" t="inlineStr">
        <is>
          <t>CORPORATE BANKING</t>
        </is>
      </c>
      <c r="D5159" t="inlineStr">
        <is>
          <t>I</t>
        </is>
      </c>
      <c r="E5159" t="inlineStr">
        <is>
          <t>Stage 1</t>
        </is>
      </c>
      <c r="F5159" t="inlineStr">
        <is>
          <t>N/A</t>
        </is>
      </c>
      <c r="G5159" s="26">
        <v>984839558</v>
      </c>
      <c r="H5159" s="26">
        <v>9848396</v>
      </c>
      <c r="I5159" s="26">
        <v>0</v>
      </c>
      <c r="J5159" s="26">
        <v>45</v>
      </c>
      <c r="K5159" t="inlineStr">
        <is>
          <t>Non</t>
        </is>
      </c>
      <c r="L5159">
        <f>SUBTOTAL(103,A5159)</f>
        <v>1</v>
      </c>
    </row>
    <row r="5160">
      <c r="A5160" t="inlineStr">
        <is>
          <t>SOCIETE C1173</t>
        </is>
      </c>
      <c r="B5160" t="inlineStr">
        <is>
          <t>C1173</t>
        </is>
      </c>
      <c r="C5160" t="inlineStr">
        <is>
          <t>COMMERCIAL BANKING</t>
        </is>
      </c>
      <c r="D5160" t="inlineStr">
        <is>
          <t>IV</t>
        </is>
      </c>
      <c r="E5160" t="inlineStr">
        <is>
          <t>Stage 3</t>
        </is>
      </c>
      <c r="F5160" t="inlineStr">
        <is>
          <t>N/A</t>
        </is>
      </c>
      <c r="G5160" s="26">
        <v>1069208556</v>
      </c>
      <c r="H5160" s="26">
        <v>588064706</v>
      </c>
      <c r="I5160" s="26">
        <v>0</v>
      </c>
      <c r="J5160" s="26">
        <v>186</v>
      </c>
      <c r="K5160" t="inlineStr">
        <is>
          <t>Oui</t>
        </is>
      </c>
      <c r="L5160">
        <f>SUBTOTAL(103,A5160)</f>
        <v>1</v>
      </c>
    </row>
    <row r="5161">
      <c r="A5161" t="inlineStr">
        <is>
          <t>SOCIETE C321</t>
        </is>
      </c>
      <c r="B5161" t="inlineStr">
        <is>
          <t>C321</t>
        </is>
      </c>
      <c r="C5161" t="inlineStr">
        <is>
          <t>CONSUMER BANKING</t>
        </is>
      </c>
      <c r="D5161" t="inlineStr">
        <is>
          <t>IA</t>
        </is>
      </c>
      <c r="E5161" t="inlineStr">
        <is>
          <t>Stage 2</t>
        </is>
      </c>
      <c r="F5161" t="inlineStr">
        <is>
          <t>N/A</t>
        </is>
      </c>
      <c r="G5161" s="26">
        <v>2609287280</v>
      </c>
      <c r="H5161" s="26">
        <v>156557237</v>
      </c>
      <c r="I5161" s="26">
        <v>54115824</v>
      </c>
      <c r="J5161" s="26">
        <v>57</v>
      </c>
      <c r="K5161" t="inlineStr">
        <is>
          <t>Non</t>
        </is>
      </c>
      <c r="L5161">
        <f>SUBTOTAL(103,A5161)</f>
        <v>1</v>
      </c>
    </row>
    <row r="5162">
      <c r="A5162" t="inlineStr">
        <is>
          <t>SOCIETE C1972</t>
        </is>
      </c>
      <c r="B5162" t="inlineStr">
        <is>
          <t>C1972</t>
        </is>
      </c>
      <c r="C5162" t="inlineStr">
        <is>
          <t>CONSUMER BANKING</t>
        </is>
      </c>
      <c r="D5162" t="inlineStr">
        <is>
          <t>IA</t>
        </is>
      </c>
      <c r="E5162" t="inlineStr">
        <is>
          <t>Stage 2</t>
        </is>
      </c>
      <c r="F5162" t="inlineStr">
        <is>
          <t>N/A</t>
        </is>
      </c>
      <c r="G5162" s="26">
        <v>292506192</v>
      </c>
      <c r="H5162" s="26">
        <v>17550372</v>
      </c>
      <c r="I5162" s="26">
        <v>10772263</v>
      </c>
      <c r="J5162" s="26">
        <v>96</v>
      </c>
      <c r="K5162" t="inlineStr">
        <is>
          <t>Non</t>
        </is>
      </c>
      <c r="L5162">
        <f>SUBTOTAL(103,A5162)</f>
        <v>1</v>
      </c>
    </row>
    <row r="5163">
      <c r="A5163" t="inlineStr">
        <is>
          <t>SOCIETE C994</t>
        </is>
      </c>
      <c r="B5163" t="inlineStr">
        <is>
          <t>C994</t>
        </is>
      </c>
      <c r="C5163" t="inlineStr">
        <is>
          <t>CORPORATE BANKING</t>
        </is>
      </c>
      <c r="D5163" t="inlineStr">
        <is>
          <t>I</t>
        </is>
      </c>
      <c r="E5163" t="inlineStr">
        <is>
          <t>Stage 1</t>
        </is>
      </c>
      <c r="F5163" t="inlineStr">
        <is>
          <t>N/A</t>
        </is>
      </c>
      <c r="G5163" s="26">
        <v>196759683</v>
      </c>
      <c r="H5163" s="26">
        <v>1967597</v>
      </c>
      <c r="I5163" s="26">
        <v>0</v>
      </c>
      <c r="J5163" s="26">
        <v>42</v>
      </c>
      <c r="K5163" t="inlineStr">
        <is>
          <t>Non</t>
        </is>
      </c>
      <c r="L5163">
        <f>SUBTOTAL(103,A5163)</f>
        <v>1</v>
      </c>
    </row>
    <row r="5164">
      <c r="A5164" t="inlineStr">
        <is>
          <t>SOCIETE C1863</t>
        </is>
      </c>
      <c r="B5164" t="inlineStr">
        <is>
          <t>C1863</t>
        </is>
      </c>
      <c r="C5164" t="inlineStr">
        <is>
          <t>COMMERCIAL BANKING</t>
        </is>
      </c>
      <c r="D5164" t="inlineStr">
        <is>
          <t>I</t>
        </is>
      </c>
      <c r="E5164" t="inlineStr">
        <is>
          <t>Stage 1</t>
        </is>
      </c>
      <c r="F5164" t="inlineStr">
        <is>
          <t>N/A</t>
        </is>
      </c>
      <c r="G5164" s="26">
        <v>2663619034</v>
      </c>
      <c r="H5164" s="26">
        <v>26636190</v>
      </c>
      <c r="I5164" s="26">
        <v>315812419</v>
      </c>
      <c r="J5164" s="26">
        <v>96</v>
      </c>
      <c r="K5164" t="inlineStr">
        <is>
          <t>Non</t>
        </is>
      </c>
      <c r="L5164">
        <f>SUBTOTAL(103,A5164)</f>
        <v>1</v>
      </c>
    </row>
    <row r="5165">
      <c r="A5165" t="inlineStr">
        <is>
          <t>SOCIETE C1083</t>
        </is>
      </c>
      <c r="B5165" t="inlineStr">
        <is>
          <t>C1083</t>
        </is>
      </c>
      <c r="C5165" t="inlineStr">
        <is>
          <t>CORPORATE BANKING</t>
        </is>
      </c>
      <c r="D5165" t="inlineStr">
        <is>
          <t>V</t>
        </is>
      </c>
      <c r="E5165" t="inlineStr">
        <is>
          <t>Stage 3</t>
        </is>
      </c>
      <c r="F5165" t="inlineStr">
        <is>
          <t>N/A</t>
        </is>
      </c>
      <c r="G5165" s="26">
        <v>28900373</v>
      </c>
      <c r="H5165" s="26">
        <v>15895205</v>
      </c>
      <c r="I5165" s="26">
        <v>0</v>
      </c>
      <c r="J5165" s="26">
        <v>58</v>
      </c>
      <c r="K5165" t="inlineStr">
        <is>
          <t>Oui</t>
        </is>
      </c>
      <c r="L5165">
        <f>SUBTOTAL(103,A5165)</f>
        <v>1</v>
      </c>
    </row>
    <row r="5166">
      <c r="A5166" t="inlineStr">
        <is>
          <t>SOCIETE C894</t>
        </is>
      </c>
      <c r="B5166" t="inlineStr">
        <is>
          <t>C894</t>
        </is>
      </c>
      <c r="C5166" t="inlineStr">
        <is>
          <t>CORPORATE BANKING</t>
        </is>
      </c>
      <c r="D5166" t="inlineStr">
        <is>
          <t>II</t>
        </is>
      </c>
      <c r="E5166" t="inlineStr">
        <is>
          <t>Stage 2</t>
        </is>
      </c>
      <c r="F5166" t="inlineStr">
        <is>
          <t>N/A</t>
        </is>
      </c>
      <c r="G5166" s="26">
        <v>9652251</v>
      </c>
      <c r="H5166" s="26">
        <v>579135</v>
      </c>
      <c r="I5166" s="26">
        <v>0</v>
      </c>
      <c r="J5166" s="26">
        <v>44</v>
      </c>
      <c r="K5166" t="inlineStr">
        <is>
          <t>Non</t>
        </is>
      </c>
      <c r="L5166">
        <f>SUBTOTAL(103,A5166)</f>
        <v>1</v>
      </c>
    </row>
    <row r="5167">
      <c r="A5167" t="inlineStr">
        <is>
          <t>SOCIETE C1438</t>
        </is>
      </c>
      <c r="B5167" t="inlineStr">
        <is>
          <t>C1438</t>
        </is>
      </c>
      <c r="C5167" t="inlineStr">
        <is>
          <t>CORPORATE BANKING</t>
        </is>
      </c>
      <c r="D5167" t="inlineStr">
        <is>
          <t>I</t>
        </is>
      </c>
      <c r="E5167" t="inlineStr">
        <is>
          <t>Stage 1</t>
        </is>
      </c>
      <c r="F5167" t="inlineStr">
        <is>
          <t>N/A</t>
        </is>
      </c>
      <c r="G5167" s="26">
        <v>53466193</v>
      </c>
      <c r="H5167" s="26">
        <v>534662</v>
      </c>
      <c r="I5167" s="26">
        <v>183421</v>
      </c>
      <c r="J5167" s="26">
        <v>5</v>
      </c>
      <c r="K5167" t="inlineStr">
        <is>
          <t>Non</t>
        </is>
      </c>
      <c r="L5167">
        <f>SUBTOTAL(103,A5167)</f>
        <v>1</v>
      </c>
    </row>
    <row r="5168">
      <c r="A5168" t="inlineStr">
        <is>
          <t>SOCIETE C1973</t>
        </is>
      </c>
      <c r="B5168" t="inlineStr">
        <is>
          <t>C1973</t>
        </is>
      </c>
      <c r="C5168" t="inlineStr">
        <is>
          <t>CORPORATE BANKING</t>
        </is>
      </c>
      <c r="D5168" t="inlineStr">
        <is>
          <t>V</t>
        </is>
      </c>
      <c r="E5168" t="inlineStr">
        <is>
          <t>Stage 3</t>
        </is>
      </c>
      <c r="F5168" t="inlineStr">
        <is>
          <t>N/A</t>
        </is>
      </c>
      <c r="G5168" s="26">
        <v>12492473</v>
      </c>
      <c r="H5168" s="26">
        <v>6870860</v>
      </c>
      <c r="I5168" s="26">
        <v>0</v>
      </c>
      <c r="J5168" s="26">
        <v>172</v>
      </c>
      <c r="K5168" t="inlineStr">
        <is>
          <t>Oui</t>
        </is>
      </c>
      <c r="L5168">
        <f>SUBTOTAL(103,A5168)</f>
        <v>1</v>
      </c>
    </row>
    <row r="5169">
      <c r="A5169" t="inlineStr">
        <is>
          <t>SOCIETE C275</t>
        </is>
      </c>
      <c r="B5169" t="inlineStr">
        <is>
          <t>C275</t>
        </is>
      </c>
      <c r="C5169" t="inlineStr">
        <is>
          <t>COMMERCIAL BANKING</t>
        </is>
      </c>
      <c r="D5169" t="inlineStr">
        <is>
          <t>I</t>
        </is>
      </c>
      <c r="E5169" t="inlineStr">
        <is>
          <t>Stage 1</t>
        </is>
      </c>
      <c r="F5169" t="inlineStr">
        <is>
          <t>N/A</t>
        </is>
      </c>
      <c r="G5169" s="26">
        <v>361154418</v>
      </c>
      <c r="H5169" s="26">
        <v>3611544</v>
      </c>
      <c r="I5169" s="26">
        <v>0</v>
      </c>
      <c r="J5169" s="26">
        <v>228</v>
      </c>
      <c r="K5169" t="inlineStr">
        <is>
          <t>Non</t>
        </is>
      </c>
      <c r="L5169">
        <f>SUBTOTAL(103,A5169)</f>
        <v>1</v>
      </c>
    </row>
    <row r="5170">
      <c r="A5170" t="inlineStr">
        <is>
          <t>SOCIETE C892</t>
        </is>
      </c>
      <c r="B5170" t="inlineStr">
        <is>
          <t>C892</t>
        </is>
      </c>
      <c r="C5170" t="inlineStr">
        <is>
          <t>CONSUMER BANKING</t>
        </is>
      </c>
      <c r="D5170" t="inlineStr">
        <is>
          <t>IA</t>
        </is>
      </c>
      <c r="E5170" t="inlineStr">
        <is>
          <t>Stage 2</t>
        </is>
      </c>
      <c r="F5170" t="inlineStr">
        <is>
          <t>N/A</t>
        </is>
      </c>
      <c r="G5170" s="26">
        <v>2176913</v>
      </c>
      <c r="H5170" s="26">
        <v>130615</v>
      </c>
      <c r="I5170" s="26">
        <v>0</v>
      </c>
      <c r="J5170" s="26">
        <v>147</v>
      </c>
      <c r="K5170" t="inlineStr">
        <is>
          <t>Non</t>
        </is>
      </c>
      <c r="L5170">
        <f>SUBTOTAL(103,A5170)</f>
        <v>1</v>
      </c>
    </row>
    <row r="5171">
      <c r="A5171" t="inlineStr">
        <is>
          <t>SOCIETE C1642</t>
        </is>
      </c>
      <c r="B5171" t="inlineStr">
        <is>
          <t>C1642</t>
        </is>
      </c>
      <c r="C5171" t="inlineStr">
        <is>
          <t>PUBLIC SECTOR</t>
        </is>
      </c>
      <c r="D5171" t="inlineStr">
        <is>
          <t>I</t>
        </is>
      </c>
      <c r="E5171" t="inlineStr">
        <is>
          <t>Stage 1</t>
        </is>
      </c>
      <c r="F5171" t="inlineStr">
        <is>
          <t>N/A</t>
        </is>
      </c>
      <c r="G5171" s="26">
        <v>75372700</v>
      </c>
      <c r="H5171" s="26">
        <v>753727</v>
      </c>
      <c r="I5171" s="26">
        <v>0</v>
      </c>
      <c r="J5171" s="26">
        <v>225</v>
      </c>
      <c r="K5171" t="inlineStr">
        <is>
          <t>Non</t>
        </is>
      </c>
      <c r="L5171">
        <f>SUBTOTAL(103,A5171)</f>
        <v>1</v>
      </c>
    </row>
    <row r="5172">
      <c r="A5172" t="inlineStr">
        <is>
          <t>SOCIETE C2176</t>
        </is>
      </c>
      <c r="B5172" t="inlineStr">
        <is>
          <t>C2176</t>
        </is>
      </c>
      <c r="C5172" t="inlineStr">
        <is>
          <t>CORPORATE BANKING</t>
        </is>
      </c>
      <c r="D5172" t="inlineStr">
        <is>
          <t>I</t>
        </is>
      </c>
      <c r="E5172" t="inlineStr">
        <is>
          <t>Stage 1</t>
        </is>
      </c>
      <c r="F5172" t="inlineStr">
        <is>
          <t>N/A</t>
        </is>
      </c>
      <c r="G5172" s="26">
        <v>7053893</v>
      </c>
      <c r="H5172" s="26">
        <v>70539</v>
      </c>
      <c r="I5172" s="26">
        <v>0</v>
      </c>
      <c r="J5172" s="26">
        <v>138</v>
      </c>
      <c r="K5172" t="inlineStr">
        <is>
          <t>Non</t>
        </is>
      </c>
      <c r="L5172">
        <f>SUBTOTAL(103,A5172)</f>
        <v>1</v>
      </c>
    </row>
    <row r="5173">
      <c r="A5173" t="inlineStr">
        <is>
          <t>SOCIETE C493</t>
        </is>
      </c>
      <c r="B5173" t="inlineStr">
        <is>
          <t>C493</t>
        </is>
      </c>
      <c r="C5173" t="inlineStr">
        <is>
          <t>CORPORATE BANKING</t>
        </is>
      </c>
      <c r="D5173" t="inlineStr">
        <is>
          <t>II</t>
        </is>
      </c>
      <c r="E5173" t="inlineStr">
        <is>
          <t>Stage 2</t>
        </is>
      </c>
      <c r="F5173" t="inlineStr">
        <is>
          <t>N/A</t>
        </is>
      </c>
      <c r="G5173" s="26">
        <v>19251584</v>
      </c>
      <c r="H5173" s="26">
        <v>1155095</v>
      </c>
      <c r="I5173" s="26">
        <v>0</v>
      </c>
      <c r="J5173" s="26">
        <v>25</v>
      </c>
      <c r="K5173" t="inlineStr">
        <is>
          <t>Non</t>
        </is>
      </c>
      <c r="L5173">
        <f>SUBTOTAL(103,A5173)</f>
        <v>1</v>
      </c>
    </row>
    <row r="5174">
      <c r="A5174" t="inlineStr">
        <is>
          <t>SOCIETE C231</t>
        </is>
      </c>
      <c r="B5174" t="inlineStr">
        <is>
          <t>C231</t>
        </is>
      </c>
      <c r="C5174" t="inlineStr">
        <is>
          <t>CORPORATE BANKING</t>
        </is>
      </c>
      <c r="D5174" t="inlineStr">
        <is>
          <t>IA</t>
        </is>
      </c>
      <c r="E5174" t="inlineStr">
        <is>
          <t>Stage 2</t>
        </is>
      </c>
      <c r="F5174" t="inlineStr">
        <is>
          <t>N/A</t>
        </is>
      </c>
      <c r="G5174" s="26">
        <v>781440215</v>
      </c>
      <c r="H5174" s="26">
        <v>46886413</v>
      </c>
      <c r="I5174" s="26">
        <v>0</v>
      </c>
      <c r="J5174" s="26">
        <v>160</v>
      </c>
      <c r="K5174" t="inlineStr">
        <is>
          <t>Non</t>
        </is>
      </c>
      <c r="L5174">
        <f>SUBTOTAL(103,A5174)</f>
        <v>1</v>
      </c>
    </row>
    <row r="5175">
      <c r="A5175" t="inlineStr">
        <is>
          <t>SOCIETE C504</t>
        </is>
      </c>
      <c r="B5175" t="inlineStr">
        <is>
          <t>C504</t>
        </is>
      </c>
      <c r="C5175" t="inlineStr">
        <is>
          <t>CONSUMER BANKING</t>
        </is>
      </c>
      <c r="D5175" t="inlineStr">
        <is>
          <t>II</t>
        </is>
      </c>
      <c r="E5175" t="inlineStr">
        <is>
          <t>Stage 2</t>
        </is>
      </c>
      <c r="F5175" t="inlineStr">
        <is>
          <t>N/A</t>
        </is>
      </c>
      <c r="G5175" s="26">
        <v>1213234</v>
      </c>
      <c r="H5175" s="26">
        <v>72794</v>
      </c>
      <c r="I5175" s="26">
        <v>0</v>
      </c>
      <c r="J5175" s="26">
        <v>66</v>
      </c>
      <c r="K5175" t="inlineStr">
        <is>
          <t>Non</t>
        </is>
      </c>
      <c r="L5175">
        <f>SUBTOTAL(103,A5175)</f>
        <v>1</v>
      </c>
    </row>
    <row r="5176">
      <c r="A5176" t="inlineStr">
        <is>
          <t>SOCIETE C515</t>
        </is>
      </c>
      <c r="B5176" t="inlineStr">
        <is>
          <t>C515</t>
        </is>
      </c>
      <c r="C5176" t="inlineStr">
        <is>
          <t>COMMERCIAL BANKING</t>
        </is>
      </c>
      <c r="D5176" t="inlineStr">
        <is>
          <t>II</t>
        </is>
      </c>
      <c r="E5176" t="inlineStr">
        <is>
          <t>Stage 2</t>
        </is>
      </c>
      <c r="F5176" t="inlineStr">
        <is>
          <t>N/A</t>
        </is>
      </c>
      <c r="G5176" s="26">
        <v>2277195963</v>
      </c>
      <c r="H5176" s="26">
        <v>136631758</v>
      </c>
      <c r="I5176" s="26">
        <v>0</v>
      </c>
      <c r="J5176" s="26">
        <v>110</v>
      </c>
      <c r="K5176" t="inlineStr">
        <is>
          <t>Non</t>
        </is>
      </c>
      <c r="L5176">
        <f>SUBTOTAL(103,A5176)</f>
        <v>1</v>
      </c>
    </row>
    <row r="5177">
      <c r="A5177" t="inlineStr">
        <is>
          <t>SOCIETE C1316</t>
        </is>
      </c>
      <c r="B5177" t="inlineStr">
        <is>
          <t>C1316</t>
        </is>
      </c>
      <c r="C5177" t="inlineStr">
        <is>
          <t>CONSUMER BANKING</t>
        </is>
      </c>
      <c r="D5177" t="inlineStr">
        <is>
          <t>II</t>
        </is>
      </c>
      <c r="E5177" t="inlineStr">
        <is>
          <t>Stage 2</t>
        </is>
      </c>
      <c r="F5177" t="inlineStr">
        <is>
          <t>N/A</t>
        </is>
      </c>
      <c r="G5177" s="26">
        <v>733035294</v>
      </c>
      <c r="H5177" s="26">
        <v>43982118</v>
      </c>
      <c r="I5177" s="26">
        <v>12326763</v>
      </c>
      <c r="J5177" s="26">
        <v>54</v>
      </c>
      <c r="K5177" t="inlineStr">
        <is>
          <t>Non</t>
        </is>
      </c>
      <c r="L5177">
        <f>SUBTOTAL(103,A5177)</f>
        <v>1</v>
      </c>
    </row>
    <row r="5178">
      <c r="A5178" t="inlineStr">
        <is>
          <t>SOCIETE C15</t>
        </is>
      </c>
      <c r="B5178" t="inlineStr">
        <is>
          <t>C15</t>
        </is>
      </c>
      <c r="C5178" t="inlineStr">
        <is>
          <t>CORPORATE BANKING</t>
        </is>
      </c>
      <c r="D5178" t="inlineStr">
        <is>
          <t>I</t>
        </is>
      </c>
      <c r="E5178" t="inlineStr">
        <is>
          <t>Stage 1</t>
        </is>
      </c>
      <c r="F5178" t="inlineStr">
        <is>
          <t>N/A</t>
        </is>
      </c>
      <c r="G5178" s="26">
        <v>186076951</v>
      </c>
      <c r="H5178" s="26">
        <v>1860770</v>
      </c>
      <c r="I5178" s="26">
        <v>0</v>
      </c>
      <c r="J5178" s="26">
        <v>113</v>
      </c>
      <c r="K5178" t="inlineStr">
        <is>
          <t>Non</t>
        </is>
      </c>
      <c r="L5178">
        <f>SUBTOTAL(103,A5178)</f>
        <v>1</v>
      </c>
    </row>
    <row r="5179">
      <c r="A5179" t="inlineStr">
        <is>
          <t>SOCIETE C1161</t>
        </is>
      </c>
      <c r="B5179" t="inlineStr">
        <is>
          <t>C1161</t>
        </is>
      </c>
      <c r="C5179" t="inlineStr">
        <is>
          <t>PUBLIC SECTOR</t>
        </is>
      </c>
      <c r="D5179" t="inlineStr">
        <is>
          <t>IA</t>
        </is>
      </c>
      <c r="E5179" t="inlineStr">
        <is>
          <t>Stage 2</t>
        </is>
      </c>
      <c r="F5179" t="inlineStr">
        <is>
          <t>N/A</t>
        </is>
      </c>
      <c r="G5179" s="26">
        <v>1707662</v>
      </c>
      <c r="H5179" s="26">
        <v>102460</v>
      </c>
      <c r="I5179" s="26">
        <v>0</v>
      </c>
      <c r="J5179" s="26">
        <v>62</v>
      </c>
      <c r="K5179" t="inlineStr">
        <is>
          <t>Non</t>
        </is>
      </c>
      <c r="L5179">
        <f>SUBTOTAL(103,A5179)</f>
        <v>1</v>
      </c>
    </row>
    <row r="5180">
      <c r="A5180" t="inlineStr">
        <is>
          <t>SOCIETE C2221</t>
        </is>
      </c>
      <c r="B5180" t="inlineStr">
        <is>
          <t>C2221</t>
        </is>
      </c>
      <c r="C5180" t="inlineStr">
        <is>
          <t>PUBLIC SECTOR</t>
        </is>
      </c>
      <c r="D5180" t="inlineStr">
        <is>
          <t>I</t>
        </is>
      </c>
      <c r="E5180" t="inlineStr">
        <is>
          <t>Stage 1</t>
        </is>
      </c>
      <c r="F5180" t="inlineStr">
        <is>
          <t>N/A</t>
        </is>
      </c>
      <c r="G5180" s="26">
        <v>2881019895</v>
      </c>
      <c r="H5180" s="26">
        <v>28810199</v>
      </c>
      <c r="I5180" s="26">
        <v>528642720</v>
      </c>
      <c r="J5180" s="26">
        <v>8</v>
      </c>
      <c r="K5180" t="inlineStr">
        <is>
          <t>Non</t>
        </is>
      </c>
      <c r="L5180">
        <f>SUBTOTAL(103,A5180)</f>
        <v>1</v>
      </c>
    </row>
    <row r="5181">
      <c r="A5181" t="inlineStr">
        <is>
          <t>SOCIETE C386</t>
        </is>
      </c>
      <c r="B5181" t="inlineStr">
        <is>
          <t>C386</t>
        </is>
      </c>
      <c r="C5181" t="inlineStr">
        <is>
          <t>CORPORATE BANKING</t>
        </is>
      </c>
      <c r="D5181" t="inlineStr">
        <is>
          <t>III</t>
        </is>
      </c>
      <c r="E5181" t="inlineStr">
        <is>
          <t>Stage 3</t>
        </is>
      </c>
      <c r="F5181" t="inlineStr">
        <is>
          <t>N/A</t>
        </is>
      </c>
      <c r="G5181" s="26">
        <v>979488022</v>
      </c>
      <c r="H5181" s="26">
        <v>538718412</v>
      </c>
      <c r="I5181" s="26">
        <v>0</v>
      </c>
      <c r="J5181" s="26">
        <v>35</v>
      </c>
      <c r="K5181" t="inlineStr">
        <is>
          <t>Oui</t>
        </is>
      </c>
      <c r="L5181">
        <f>SUBTOTAL(103,A5181)</f>
        <v>1</v>
      </c>
    </row>
    <row r="5182">
      <c r="A5182" t="inlineStr">
        <is>
          <t>SOCIETE C1051</t>
        </is>
      </c>
      <c r="B5182" t="inlineStr">
        <is>
          <t>C1051</t>
        </is>
      </c>
      <c r="C5182" t="inlineStr">
        <is>
          <t>CORPORATE BANKING</t>
        </is>
      </c>
      <c r="D5182" t="inlineStr">
        <is>
          <t>II</t>
        </is>
      </c>
      <c r="E5182" t="inlineStr">
        <is>
          <t>Stage 2</t>
        </is>
      </c>
      <c r="F5182" t="inlineStr">
        <is>
          <t>N/A</t>
        </is>
      </c>
      <c r="G5182" s="26">
        <v>2224251838</v>
      </c>
      <c r="H5182" s="26">
        <v>133455110</v>
      </c>
      <c r="I5182" s="26">
        <v>0</v>
      </c>
      <c r="J5182" s="26">
        <v>128</v>
      </c>
      <c r="K5182" t="inlineStr">
        <is>
          <t>Non</t>
        </is>
      </c>
      <c r="L5182">
        <f>SUBTOTAL(103,A5182)</f>
        <v>1</v>
      </c>
    </row>
    <row r="5183">
      <c r="A5183" t="inlineStr">
        <is>
          <t>SOCIETE C1502</t>
        </is>
      </c>
      <c r="B5183" t="inlineStr">
        <is>
          <t>C1502</t>
        </is>
      </c>
      <c r="C5183" t="inlineStr">
        <is>
          <t>PUBLIC SECTOR</t>
        </is>
      </c>
      <c r="D5183" t="inlineStr">
        <is>
          <t>IA</t>
        </is>
      </c>
      <c r="E5183" t="inlineStr">
        <is>
          <t>Stage 2</t>
        </is>
      </c>
      <c r="F5183" t="inlineStr">
        <is>
          <t>N/A</t>
        </is>
      </c>
      <c r="G5183" s="26">
        <v>95267756</v>
      </c>
      <c r="H5183" s="26">
        <v>5716065</v>
      </c>
      <c r="I5183" s="26">
        <v>0</v>
      </c>
      <c r="J5183" s="26">
        <v>33</v>
      </c>
      <c r="K5183" t="inlineStr">
        <is>
          <t>Non</t>
        </is>
      </c>
      <c r="L5183">
        <f>SUBTOTAL(103,A5183)</f>
        <v>1</v>
      </c>
    </row>
    <row r="5184">
      <c r="A5184" t="inlineStr">
        <is>
          <t>SOCIETE C349</t>
        </is>
      </c>
      <c r="B5184" t="inlineStr">
        <is>
          <t>C349</t>
        </is>
      </c>
      <c r="C5184" t="inlineStr">
        <is>
          <t>COMMERCIAL BANKING</t>
        </is>
      </c>
      <c r="D5184" t="inlineStr">
        <is>
          <t>II</t>
        </is>
      </c>
      <c r="E5184" t="inlineStr">
        <is>
          <t>Stage 2</t>
        </is>
      </c>
      <c r="F5184" t="inlineStr">
        <is>
          <t>N/A</t>
        </is>
      </c>
      <c r="G5184" s="26">
        <v>1037163978</v>
      </c>
      <c r="H5184" s="26">
        <v>62229839</v>
      </c>
      <c r="I5184" s="26">
        <v>0</v>
      </c>
      <c r="J5184" s="26">
        <v>25</v>
      </c>
      <c r="K5184" t="inlineStr">
        <is>
          <t>Non</t>
        </is>
      </c>
      <c r="L5184">
        <f>SUBTOTAL(103,A5184)</f>
        <v>1</v>
      </c>
    </row>
    <row r="5185">
      <c r="A5185" t="inlineStr">
        <is>
          <t>SOCIETE C1288</t>
        </is>
      </c>
      <c r="B5185" t="inlineStr">
        <is>
          <t>C1288</t>
        </is>
      </c>
      <c r="C5185" t="inlineStr">
        <is>
          <t>CORPORATE BANKING</t>
        </is>
      </c>
      <c r="D5185" t="inlineStr">
        <is>
          <t>I</t>
        </is>
      </c>
      <c r="E5185" t="inlineStr">
        <is>
          <t>Stage 1</t>
        </is>
      </c>
      <c r="F5185" t="inlineStr">
        <is>
          <t>N/A</t>
        </is>
      </c>
      <c r="G5185" s="26">
        <v>438340901</v>
      </c>
      <c r="H5185" s="26">
        <v>4383409</v>
      </c>
      <c r="I5185" s="26">
        <v>5311566</v>
      </c>
      <c r="J5185" s="26">
        <v>68</v>
      </c>
      <c r="K5185" t="inlineStr">
        <is>
          <t>Non</t>
        </is>
      </c>
      <c r="L5185">
        <f>SUBTOTAL(103,A5185)</f>
        <v>1</v>
      </c>
    </row>
    <row r="5186">
      <c r="A5186" t="inlineStr">
        <is>
          <t>SOCIETE C1234</t>
        </is>
      </c>
      <c r="B5186" t="inlineStr">
        <is>
          <t>C1234</t>
        </is>
      </c>
      <c r="C5186" t="inlineStr">
        <is>
          <t>CORPORATE BANKING</t>
        </is>
      </c>
      <c r="D5186" t="inlineStr">
        <is>
          <t>V</t>
        </is>
      </c>
      <c r="E5186" t="inlineStr">
        <is>
          <t>Stage 3</t>
        </is>
      </c>
      <c r="F5186" t="inlineStr">
        <is>
          <t>N/A</t>
        </is>
      </c>
      <c r="G5186" s="26">
        <v>344021160</v>
      </c>
      <c r="H5186" s="26">
        <v>189211638</v>
      </c>
      <c r="I5186" s="26">
        <v>0</v>
      </c>
      <c r="J5186" s="26">
        <v>90</v>
      </c>
      <c r="K5186" t="inlineStr">
        <is>
          <t>Oui</t>
        </is>
      </c>
      <c r="L5186">
        <f>SUBTOTAL(103,A5186)</f>
        <v>1</v>
      </c>
    </row>
    <row r="5187">
      <c r="A5187" t="inlineStr">
        <is>
          <t>SOCIETE C1675</t>
        </is>
      </c>
      <c r="B5187" t="inlineStr">
        <is>
          <t>C1675</t>
        </is>
      </c>
      <c r="C5187" t="inlineStr">
        <is>
          <t>CORPORATE BANKING</t>
        </is>
      </c>
      <c r="D5187" t="inlineStr">
        <is>
          <t>V</t>
        </is>
      </c>
      <c r="E5187" t="inlineStr">
        <is>
          <t>Stage 3</t>
        </is>
      </c>
      <c r="F5187" t="inlineStr">
        <is>
          <t>N/A</t>
        </is>
      </c>
      <c r="G5187" s="26">
        <v>267442433</v>
      </c>
      <c r="H5187" s="26">
        <v>147093338</v>
      </c>
      <c r="I5187" s="26">
        <v>0</v>
      </c>
      <c r="J5187" s="26">
        <v>22</v>
      </c>
      <c r="K5187" t="inlineStr">
        <is>
          <t>Oui</t>
        </is>
      </c>
      <c r="L5187">
        <f>SUBTOTAL(103,A5187)</f>
        <v>1</v>
      </c>
    </row>
    <row r="5188">
      <c r="A5188" t="inlineStr">
        <is>
          <t>SOCIETE C2359</t>
        </is>
      </c>
      <c r="B5188" t="inlineStr">
        <is>
          <t>C2359</t>
        </is>
      </c>
      <c r="C5188" t="inlineStr">
        <is>
          <t>CONSUMER BANKING</t>
        </is>
      </c>
      <c r="D5188" t="inlineStr">
        <is>
          <t>I</t>
        </is>
      </c>
      <c r="E5188" t="inlineStr">
        <is>
          <t>Stage 1</t>
        </is>
      </c>
      <c r="F5188" t="inlineStr">
        <is>
          <t>N/A</t>
        </is>
      </c>
      <c r="G5188" s="26">
        <v>78525208</v>
      </c>
      <c r="H5188" s="26">
        <v>785252</v>
      </c>
      <c r="I5188" s="26">
        <v>0</v>
      </c>
      <c r="J5188" s="26">
        <v>391</v>
      </c>
      <c r="K5188" t="inlineStr">
        <is>
          <t>Non</t>
        </is>
      </c>
      <c r="L5188">
        <f>SUBTOTAL(103,A5188)</f>
        <v>1</v>
      </c>
    </row>
    <row r="5189">
      <c r="A5189" t="inlineStr">
        <is>
          <t>SOCIETE C1192</t>
        </is>
      </c>
      <c r="B5189" t="inlineStr">
        <is>
          <t>C1192</t>
        </is>
      </c>
      <c r="C5189" t="inlineStr">
        <is>
          <t>CORPORATE BANKING</t>
        </is>
      </c>
      <c r="D5189" t="inlineStr">
        <is>
          <t>I</t>
        </is>
      </c>
      <c r="E5189" t="inlineStr">
        <is>
          <t>Stage 1</t>
        </is>
      </c>
      <c r="F5189" t="inlineStr">
        <is>
          <t>N/A</t>
        </is>
      </c>
      <c r="G5189" s="26">
        <v>9143077</v>
      </c>
      <c r="H5189" s="26">
        <v>91431</v>
      </c>
      <c r="I5189" s="26">
        <v>614594</v>
      </c>
      <c r="J5189" s="26">
        <v>213</v>
      </c>
      <c r="K5189" t="inlineStr">
        <is>
          <t>Non</t>
        </is>
      </c>
      <c r="L5189">
        <f>SUBTOTAL(103,A5189)</f>
        <v>1</v>
      </c>
    </row>
    <row r="5190">
      <c r="A5190" t="inlineStr">
        <is>
          <t>SOCIETE C1991</t>
        </is>
      </c>
      <c r="B5190" t="inlineStr">
        <is>
          <t>C1991</t>
        </is>
      </c>
      <c r="C5190" t="inlineStr">
        <is>
          <t>CONSUMER BANKING</t>
        </is>
      </c>
      <c r="D5190" t="inlineStr">
        <is>
          <t>III</t>
        </is>
      </c>
      <c r="E5190" t="inlineStr">
        <is>
          <t>Stage 3</t>
        </is>
      </c>
      <c r="F5190" t="inlineStr">
        <is>
          <t>N/A</t>
        </is>
      </c>
      <c r="G5190" s="26">
        <v>1019154</v>
      </c>
      <c r="H5190" s="26">
        <v>560535</v>
      </c>
      <c r="I5190" s="26">
        <v>75044</v>
      </c>
      <c r="J5190" s="26">
        <v>254</v>
      </c>
      <c r="K5190" t="inlineStr">
        <is>
          <t>Oui</t>
        </is>
      </c>
      <c r="L5190">
        <f>SUBTOTAL(103,A5190)</f>
        <v>1</v>
      </c>
    </row>
    <row r="5191">
      <c r="A5191" t="inlineStr">
        <is>
          <t>SOCIETE C1355</t>
        </is>
      </c>
      <c r="B5191" t="inlineStr">
        <is>
          <t>C1355</t>
        </is>
      </c>
      <c r="C5191" t="inlineStr">
        <is>
          <t>CORPORATE BANKING</t>
        </is>
      </c>
      <c r="D5191" t="inlineStr">
        <is>
          <t>I</t>
        </is>
      </c>
      <c r="E5191" t="inlineStr">
        <is>
          <t>Stage 1</t>
        </is>
      </c>
      <c r="F5191" t="inlineStr">
        <is>
          <t>N/A</t>
        </is>
      </c>
      <c r="G5191" s="26">
        <v>34071538</v>
      </c>
      <c r="H5191" s="26">
        <v>340715</v>
      </c>
      <c r="I5191" s="26">
        <v>0</v>
      </c>
      <c r="J5191" s="26">
        <v>247</v>
      </c>
      <c r="K5191" t="inlineStr">
        <is>
          <t>Non</t>
        </is>
      </c>
      <c r="L5191">
        <f>SUBTOTAL(103,A5191)</f>
        <v>1</v>
      </c>
    </row>
    <row r="5192">
      <c r="A5192" t="inlineStr">
        <is>
          <t>SOCIETE C2239</t>
        </is>
      </c>
      <c r="B5192" t="inlineStr">
        <is>
          <t>C2239</t>
        </is>
      </c>
      <c r="C5192" t="inlineStr">
        <is>
          <t>CORPORATE BANKING</t>
        </is>
      </c>
      <c r="D5192" t="inlineStr">
        <is>
          <t>II</t>
        </is>
      </c>
      <c r="E5192" t="inlineStr">
        <is>
          <t>Stage 2</t>
        </is>
      </c>
      <c r="F5192" t="inlineStr">
        <is>
          <t>N/A</t>
        </is>
      </c>
      <c r="G5192" s="26">
        <v>1624155</v>
      </c>
      <c r="H5192" s="26">
        <v>97449</v>
      </c>
      <c r="I5192" s="26">
        <v>0</v>
      </c>
      <c r="J5192" s="26">
        <v>100</v>
      </c>
      <c r="K5192" t="inlineStr">
        <is>
          <t>Non</t>
        </is>
      </c>
      <c r="L5192">
        <f>SUBTOTAL(103,A5192)</f>
        <v>1</v>
      </c>
    </row>
    <row r="5193">
      <c r="A5193" t="inlineStr">
        <is>
          <t>SOCIETE C1400</t>
        </is>
      </c>
      <c r="B5193" t="inlineStr">
        <is>
          <t>C1400</t>
        </is>
      </c>
      <c r="C5193" t="inlineStr">
        <is>
          <t>CORPORATE BANKING</t>
        </is>
      </c>
      <c r="D5193" t="inlineStr">
        <is>
          <t>III</t>
        </is>
      </c>
      <c r="E5193" t="inlineStr">
        <is>
          <t>Stage 3</t>
        </is>
      </c>
      <c r="F5193" t="inlineStr">
        <is>
          <t>N/A</t>
        </is>
      </c>
      <c r="G5193" s="26">
        <v>932656979</v>
      </c>
      <c r="H5193" s="26">
        <v>512961338</v>
      </c>
      <c r="I5193" s="26">
        <v>0</v>
      </c>
      <c r="J5193" s="26">
        <v>30</v>
      </c>
      <c r="K5193" t="inlineStr">
        <is>
          <t>Oui</t>
        </is>
      </c>
      <c r="L5193">
        <f>SUBTOTAL(103,A5193)</f>
        <v>1</v>
      </c>
    </row>
    <row r="5194">
      <c r="A5194" t="inlineStr">
        <is>
          <t>SOCIETE C501</t>
        </is>
      </c>
      <c r="B5194" t="inlineStr">
        <is>
          <t>C501</t>
        </is>
      </c>
      <c r="C5194" t="inlineStr">
        <is>
          <t>COMMERCIAL BANKING</t>
        </is>
      </c>
      <c r="D5194" t="inlineStr">
        <is>
          <t>I</t>
        </is>
      </c>
      <c r="E5194" t="inlineStr">
        <is>
          <t>Stage 1</t>
        </is>
      </c>
      <c r="F5194" t="inlineStr">
        <is>
          <t>N/A</t>
        </is>
      </c>
      <c r="G5194" s="26">
        <v>1853049</v>
      </c>
      <c r="H5194" s="26">
        <v>18530</v>
      </c>
      <c r="I5194" s="26">
        <v>0</v>
      </c>
      <c r="J5194" s="26">
        <v>62</v>
      </c>
      <c r="K5194" t="inlineStr">
        <is>
          <t>Non</t>
        </is>
      </c>
      <c r="L5194">
        <f>SUBTOTAL(103,A5194)</f>
        <v>1</v>
      </c>
    </row>
    <row r="5195">
      <c r="A5195" t="inlineStr">
        <is>
          <t>SOCIETE C412</t>
        </is>
      </c>
      <c r="B5195" t="inlineStr">
        <is>
          <t>C412</t>
        </is>
      </c>
      <c r="C5195" t="inlineStr">
        <is>
          <t>CORPORATE BANKING</t>
        </is>
      </c>
      <c r="D5195" t="inlineStr">
        <is>
          <t>IA</t>
        </is>
      </c>
      <c r="E5195" t="inlineStr">
        <is>
          <t>Stage 2</t>
        </is>
      </c>
      <c r="F5195" t="inlineStr">
        <is>
          <t>N/A</t>
        </is>
      </c>
      <c r="G5195" s="26">
        <v>3116357</v>
      </c>
      <c r="H5195" s="26">
        <v>186981</v>
      </c>
      <c r="I5195" s="26">
        <v>0</v>
      </c>
      <c r="J5195" s="26">
        <v>32</v>
      </c>
      <c r="K5195" t="inlineStr">
        <is>
          <t>Non</t>
        </is>
      </c>
      <c r="L5195">
        <f>SUBTOTAL(103,A5195)</f>
        <v>1</v>
      </c>
    </row>
    <row r="5196">
      <c r="A5196" t="inlineStr">
        <is>
          <t>SOCIETE C337</t>
        </is>
      </c>
      <c r="B5196" t="inlineStr">
        <is>
          <t>C337</t>
        </is>
      </c>
      <c r="C5196" t="inlineStr">
        <is>
          <t>PUBLIC SECTOR</t>
        </is>
      </c>
      <c r="D5196" t="inlineStr">
        <is>
          <t>IA</t>
        </is>
      </c>
      <c r="E5196" t="inlineStr">
        <is>
          <t>Stage 2</t>
        </is>
      </c>
      <c r="F5196" t="inlineStr">
        <is>
          <t>N/A</t>
        </is>
      </c>
      <c r="G5196" s="26">
        <v>61713538</v>
      </c>
      <c r="H5196" s="26">
        <v>3702812</v>
      </c>
      <c r="I5196" s="26">
        <v>0</v>
      </c>
      <c r="J5196" s="26">
        <v>74</v>
      </c>
      <c r="K5196" t="inlineStr">
        <is>
          <t>Non</t>
        </is>
      </c>
      <c r="L5196">
        <f>SUBTOTAL(103,A5196)</f>
        <v>1</v>
      </c>
    </row>
    <row r="5197">
      <c r="A5197" t="inlineStr">
        <is>
          <t>SOCIETE C503</t>
        </is>
      </c>
      <c r="B5197" t="inlineStr">
        <is>
          <t>C503</t>
        </is>
      </c>
      <c r="C5197" t="inlineStr">
        <is>
          <t>CORPORATE BANKING</t>
        </is>
      </c>
      <c r="D5197" t="inlineStr">
        <is>
          <t>I</t>
        </is>
      </c>
      <c r="E5197" t="inlineStr">
        <is>
          <t>Stage 1</t>
        </is>
      </c>
      <c r="F5197" t="inlineStr">
        <is>
          <t>N/A</t>
        </is>
      </c>
      <c r="G5197" s="26">
        <v>2055401813</v>
      </c>
      <c r="H5197" s="26">
        <v>20554018</v>
      </c>
      <c r="I5197" s="26">
        <v>0</v>
      </c>
      <c r="J5197" s="26">
        <v>44</v>
      </c>
      <c r="K5197" t="inlineStr">
        <is>
          <t>Non</t>
        </is>
      </c>
      <c r="L5197">
        <f>SUBTOTAL(103,A5197)</f>
        <v>1</v>
      </c>
    </row>
    <row r="5198">
      <c r="A5198" t="inlineStr">
        <is>
          <t>SOCIETE C752</t>
        </is>
      </c>
      <c r="B5198" t="inlineStr">
        <is>
          <t>C752</t>
        </is>
      </c>
      <c r="C5198" t="inlineStr">
        <is>
          <t>CORPORATE BANKING</t>
        </is>
      </c>
      <c r="D5198" t="inlineStr">
        <is>
          <t>II</t>
        </is>
      </c>
      <c r="E5198" t="inlineStr">
        <is>
          <t>Stage 2</t>
        </is>
      </c>
      <c r="F5198" t="inlineStr">
        <is>
          <t>N/A</t>
        </is>
      </c>
      <c r="G5198" s="26">
        <v>710432673</v>
      </c>
      <c r="H5198" s="26">
        <v>42625960</v>
      </c>
      <c r="I5198" s="26">
        <v>127505196</v>
      </c>
      <c r="J5198" s="26">
        <v>48</v>
      </c>
      <c r="K5198" t="inlineStr">
        <is>
          <t>Non</t>
        </is>
      </c>
      <c r="L5198">
        <f>SUBTOTAL(103,A5198)</f>
        <v>1</v>
      </c>
    </row>
    <row r="5199">
      <c r="A5199" t="inlineStr">
        <is>
          <t>SOCIETE C437</t>
        </is>
      </c>
      <c r="B5199" t="inlineStr">
        <is>
          <t>C437</t>
        </is>
      </c>
      <c r="C5199" t="inlineStr">
        <is>
          <t>CONSUMER BANKING</t>
        </is>
      </c>
      <c r="D5199" t="inlineStr">
        <is>
          <t>V</t>
        </is>
      </c>
      <c r="E5199" t="inlineStr">
        <is>
          <t>Stage 3</t>
        </is>
      </c>
      <c r="F5199" t="inlineStr">
        <is>
          <t>N/A</t>
        </is>
      </c>
      <c r="G5199" s="26">
        <v>210139936</v>
      </c>
      <c r="H5199" s="26">
        <v>115576965</v>
      </c>
      <c r="I5199" s="26">
        <v>0</v>
      </c>
      <c r="J5199" s="26">
        <v>147</v>
      </c>
      <c r="K5199" t="inlineStr">
        <is>
          <t>Oui</t>
        </is>
      </c>
      <c r="L5199">
        <f>SUBTOTAL(103,A5199)</f>
        <v>1</v>
      </c>
    </row>
    <row r="5200">
      <c r="A5200" t="inlineStr">
        <is>
          <t>SOCIETE C2404</t>
        </is>
      </c>
      <c r="B5200" t="inlineStr">
        <is>
          <t>C2404</t>
        </is>
      </c>
      <c r="C5200" t="inlineStr">
        <is>
          <t>CORPORATE BANKING</t>
        </is>
      </c>
      <c r="D5200" t="inlineStr">
        <is>
          <t>I</t>
        </is>
      </c>
      <c r="E5200" t="inlineStr">
        <is>
          <t>Stage 1</t>
        </is>
      </c>
      <c r="F5200" t="inlineStr">
        <is>
          <t>N/A</t>
        </is>
      </c>
      <c r="G5200" s="26">
        <v>543970096</v>
      </c>
      <c r="H5200" s="26">
        <v>5439701</v>
      </c>
      <c r="I5200" s="26">
        <v>0</v>
      </c>
      <c r="J5200" s="26">
        <v>48</v>
      </c>
      <c r="K5200" t="inlineStr">
        <is>
          <t>Non</t>
        </is>
      </c>
      <c r="L5200">
        <f>SUBTOTAL(103,A5200)</f>
        <v>1</v>
      </c>
    </row>
    <row r="5201">
      <c r="A5201" t="inlineStr">
        <is>
          <t>SOCIETE C1786</t>
        </is>
      </c>
      <c r="B5201" t="inlineStr">
        <is>
          <t>C1786</t>
        </is>
      </c>
      <c r="C5201" t="inlineStr">
        <is>
          <t>CORPORATE BANKING</t>
        </is>
      </c>
      <c r="D5201" t="inlineStr">
        <is>
          <t>I</t>
        </is>
      </c>
      <c r="E5201" t="inlineStr">
        <is>
          <t>Stage 1</t>
        </is>
      </c>
      <c r="F5201" t="inlineStr">
        <is>
          <t>N/A</t>
        </is>
      </c>
      <c r="G5201" s="26">
        <v>15531438</v>
      </c>
      <c r="H5201" s="26">
        <v>155314</v>
      </c>
      <c r="I5201" s="26">
        <v>0</v>
      </c>
      <c r="J5201" s="26">
        <v>132</v>
      </c>
      <c r="K5201" t="inlineStr">
        <is>
          <t>Non</t>
        </is>
      </c>
      <c r="L5201">
        <f>SUBTOTAL(103,A5201)</f>
        <v>1</v>
      </c>
    </row>
    <row r="5202">
      <c r="A5202" t="inlineStr">
        <is>
          <t>SOCIETE C344</t>
        </is>
      </c>
      <c r="B5202" t="inlineStr">
        <is>
          <t>C344</t>
        </is>
      </c>
      <c r="C5202" t="inlineStr">
        <is>
          <t>CORPORATE BANKING</t>
        </is>
      </c>
      <c r="D5202" t="inlineStr">
        <is>
          <t>I</t>
        </is>
      </c>
      <c r="E5202" t="inlineStr">
        <is>
          <t>Stage 1</t>
        </is>
      </c>
      <c r="F5202" t="inlineStr">
        <is>
          <t>N/A</t>
        </is>
      </c>
      <c r="G5202" s="26">
        <v>1412207392</v>
      </c>
      <c r="H5202" s="26">
        <v>14122074</v>
      </c>
      <c r="I5202" s="26">
        <v>0</v>
      </c>
      <c r="J5202" s="26">
        <v>57</v>
      </c>
      <c r="K5202" t="inlineStr">
        <is>
          <t>Non</t>
        </is>
      </c>
      <c r="L5202">
        <f>SUBTOTAL(103,A5202)</f>
        <v>1</v>
      </c>
    </row>
    <row r="5203">
      <c r="A5203" t="inlineStr">
        <is>
          <t>SOCIETE C1266</t>
        </is>
      </c>
      <c r="B5203" t="inlineStr">
        <is>
          <t>C1266</t>
        </is>
      </c>
      <c r="C5203" t="inlineStr">
        <is>
          <t>CORPORATE BANKING</t>
        </is>
      </c>
      <c r="D5203" t="inlineStr">
        <is>
          <t>IA</t>
        </is>
      </c>
      <c r="E5203" t="inlineStr">
        <is>
          <t>Stage 2</t>
        </is>
      </c>
      <c r="F5203" t="inlineStr">
        <is>
          <t>N/A</t>
        </is>
      </c>
      <c r="G5203" s="26">
        <v>20873334</v>
      </c>
      <c r="H5203" s="26">
        <v>1252400</v>
      </c>
      <c r="I5203" s="26">
        <v>0</v>
      </c>
      <c r="J5203" s="26">
        <v>30</v>
      </c>
      <c r="K5203" t="inlineStr">
        <is>
          <t>Non</t>
        </is>
      </c>
      <c r="L5203">
        <f>SUBTOTAL(103,A5203)</f>
        <v>1</v>
      </c>
    </row>
    <row r="5204">
      <c r="A5204" t="inlineStr">
        <is>
          <t>SOCIETE C1884</t>
        </is>
      </c>
      <c r="B5204" t="inlineStr">
        <is>
          <t>C1884</t>
        </is>
      </c>
      <c r="C5204" t="inlineStr">
        <is>
          <t>CORPORATE BANKING</t>
        </is>
      </c>
      <c r="D5204" t="inlineStr">
        <is>
          <t>III</t>
        </is>
      </c>
      <c r="E5204" t="inlineStr">
        <is>
          <t>Stage 3</t>
        </is>
      </c>
      <c r="F5204" t="inlineStr">
        <is>
          <t>N/A</t>
        </is>
      </c>
      <c r="G5204" s="26">
        <v>6627220</v>
      </c>
      <c r="H5204" s="26">
        <v>3644971</v>
      </c>
      <c r="I5204" s="26">
        <v>1275930</v>
      </c>
      <c r="J5204" s="26">
        <v>25</v>
      </c>
      <c r="K5204" t="inlineStr">
        <is>
          <t>Oui</t>
        </is>
      </c>
      <c r="L5204">
        <f>SUBTOTAL(103,A5204)</f>
        <v>1</v>
      </c>
    </row>
    <row r="5205">
      <c r="A5205" t="inlineStr">
        <is>
          <t>SOCIETE C1202</t>
        </is>
      </c>
      <c r="B5205" t="inlineStr">
        <is>
          <t>C1202</t>
        </is>
      </c>
      <c r="C5205" t="inlineStr">
        <is>
          <t>CORPORATE BANKING</t>
        </is>
      </c>
      <c r="D5205" t="inlineStr">
        <is>
          <t>IV</t>
        </is>
      </c>
      <c r="E5205" t="inlineStr">
        <is>
          <t>Stage 3</t>
        </is>
      </c>
      <c r="F5205" t="inlineStr">
        <is>
          <t>N/A</t>
        </is>
      </c>
      <c r="G5205" s="26">
        <v>182461761</v>
      </c>
      <c r="H5205" s="26">
        <v>100353969</v>
      </c>
      <c r="I5205" s="26">
        <v>28796844</v>
      </c>
      <c r="J5205" s="26">
        <v>242</v>
      </c>
      <c r="K5205" t="inlineStr">
        <is>
          <t>Oui</t>
        </is>
      </c>
      <c r="L5205">
        <f>SUBTOTAL(103,A5205)</f>
        <v>1</v>
      </c>
    </row>
    <row r="5206">
      <c r="A5206" t="inlineStr">
        <is>
          <t>SOCIETE C1680</t>
        </is>
      </c>
      <c r="B5206" t="inlineStr">
        <is>
          <t>C1680</t>
        </is>
      </c>
      <c r="C5206" t="inlineStr">
        <is>
          <t>CORPORATE BANKING</t>
        </is>
      </c>
      <c r="D5206" t="inlineStr">
        <is>
          <t>I</t>
        </is>
      </c>
      <c r="E5206" t="inlineStr">
        <is>
          <t>Stage 1</t>
        </is>
      </c>
      <c r="F5206" t="inlineStr">
        <is>
          <t>N/A</t>
        </is>
      </c>
      <c r="G5206" s="26">
        <v>947248671</v>
      </c>
      <c r="H5206" s="26">
        <v>9472487</v>
      </c>
      <c r="I5206" s="26">
        <v>0</v>
      </c>
      <c r="J5206" s="26">
        <v>54</v>
      </c>
      <c r="K5206" t="inlineStr">
        <is>
          <t>Non</t>
        </is>
      </c>
      <c r="L5206">
        <f>SUBTOTAL(103,A5206)</f>
        <v>1</v>
      </c>
    </row>
    <row r="5207">
      <c r="A5207" t="inlineStr">
        <is>
          <t>SOCIETE C584</t>
        </is>
      </c>
      <c r="B5207" t="inlineStr">
        <is>
          <t>C584</t>
        </is>
      </c>
      <c r="C5207" t="inlineStr">
        <is>
          <t>PUBLIC SECTOR</t>
        </is>
      </c>
      <c r="D5207" t="inlineStr">
        <is>
          <t>II</t>
        </is>
      </c>
      <c r="E5207" t="inlineStr">
        <is>
          <t>Stage 2</t>
        </is>
      </c>
      <c r="F5207" t="inlineStr">
        <is>
          <t>N/A</t>
        </is>
      </c>
      <c r="G5207" s="26">
        <v>577227887</v>
      </c>
      <c r="H5207" s="26">
        <v>34633673</v>
      </c>
      <c r="I5207" s="26">
        <v>0</v>
      </c>
      <c r="J5207" s="26">
        <v>91</v>
      </c>
      <c r="K5207" t="inlineStr">
        <is>
          <t>Non</t>
        </is>
      </c>
      <c r="L5207">
        <f>SUBTOTAL(103,A5207)</f>
        <v>1</v>
      </c>
    </row>
    <row r="5208">
      <c r="A5208" t="inlineStr">
        <is>
          <t>SOCIETE C1723</t>
        </is>
      </c>
      <c r="B5208" t="inlineStr">
        <is>
          <t>C1723</t>
        </is>
      </c>
      <c r="C5208" t="inlineStr">
        <is>
          <t>COMMERCIAL BANKING</t>
        </is>
      </c>
      <c r="D5208" t="inlineStr">
        <is>
          <t>I</t>
        </is>
      </c>
      <c r="E5208" t="inlineStr">
        <is>
          <t>Stage 1</t>
        </is>
      </c>
      <c r="F5208" t="inlineStr">
        <is>
          <t>N/A</t>
        </is>
      </c>
      <c r="G5208" s="26">
        <v>1908603</v>
      </c>
      <c r="H5208" s="26">
        <v>19086</v>
      </c>
      <c r="I5208" s="26">
        <v>67362</v>
      </c>
      <c r="J5208" s="26">
        <v>189</v>
      </c>
      <c r="K5208" t="inlineStr">
        <is>
          <t>Non</t>
        </is>
      </c>
      <c r="L5208">
        <f>SUBTOTAL(103,A5208)</f>
        <v>1</v>
      </c>
    </row>
    <row r="5209">
      <c r="A5209" t="inlineStr">
        <is>
          <t>SOCIETE C508</t>
        </is>
      </c>
      <c r="B5209" t="inlineStr">
        <is>
          <t>C508</t>
        </is>
      </c>
      <c r="C5209" t="inlineStr">
        <is>
          <t>COMMERCIAL BANKING</t>
        </is>
      </c>
      <c r="D5209" t="inlineStr">
        <is>
          <t>IV</t>
        </is>
      </c>
      <c r="E5209" t="inlineStr">
        <is>
          <t>Stage 3</t>
        </is>
      </c>
      <c r="F5209" t="inlineStr">
        <is>
          <t>N/A</t>
        </is>
      </c>
      <c r="G5209" s="26">
        <v>288048804</v>
      </c>
      <c r="H5209" s="26">
        <v>158426842</v>
      </c>
      <c r="I5209" s="26">
        <v>39486800</v>
      </c>
      <c r="J5209" s="26">
        <v>206</v>
      </c>
      <c r="K5209" t="inlineStr">
        <is>
          <t>Oui</t>
        </is>
      </c>
      <c r="L5209">
        <f>SUBTOTAL(103,A5209)</f>
        <v>1</v>
      </c>
    </row>
    <row r="5210">
      <c r="A5210" t="inlineStr">
        <is>
          <t>SOCIETE C896</t>
        </is>
      </c>
      <c r="B5210" t="inlineStr">
        <is>
          <t>C896</t>
        </is>
      </c>
      <c r="C5210" t="inlineStr">
        <is>
          <t>COMMERCIAL BANKING</t>
        </is>
      </c>
      <c r="D5210" t="inlineStr">
        <is>
          <t>II</t>
        </is>
      </c>
      <c r="E5210" t="inlineStr">
        <is>
          <t>Stage 2</t>
        </is>
      </c>
      <c r="F5210" t="inlineStr">
        <is>
          <t>N/A</t>
        </is>
      </c>
      <c r="G5210" s="26">
        <v>269118286</v>
      </c>
      <c r="H5210" s="26">
        <v>16147097</v>
      </c>
      <c r="I5210" s="26">
        <v>6120010</v>
      </c>
      <c r="J5210" s="26">
        <v>12</v>
      </c>
      <c r="K5210" t="inlineStr">
        <is>
          <t>Non</t>
        </is>
      </c>
      <c r="L5210">
        <f>SUBTOTAL(103,A5210)</f>
        <v>1</v>
      </c>
    </row>
    <row r="5211">
      <c r="A5211" t="inlineStr">
        <is>
          <t>SOCIETE C114</t>
        </is>
      </c>
      <c r="B5211" t="inlineStr">
        <is>
          <t>C114</t>
        </is>
      </c>
      <c r="C5211" t="inlineStr">
        <is>
          <t>SME</t>
        </is>
      </c>
      <c r="D5211" t="inlineStr">
        <is>
          <t>IA</t>
        </is>
      </c>
      <c r="E5211" t="inlineStr">
        <is>
          <t>Stage 2</t>
        </is>
      </c>
      <c r="F5211" t="inlineStr">
        <is>
          <t>N/A</t>
        </is>
      </c>
      <c r="G5211" s="26">
        <v>335210695</v>
      </c>
      <c r="H5211" s="26">
        <v>20112642</v>
      </c>
      <c r="I5211" s="26">
        <v>0</v>
      </c>
      <c r="J5211" s="26">
        <v>7</v>
      </c>
      <c r="K5211" t="inlineStr">
        <is>
          <t>Non</t>
        </is>
      </c>
      <c r="L5211">
        <f>SUBTOTAL(103,A5211)</f>
        <v>1</v>
      </c>
    </row>
    <row r="5212">
      <c r="A5212" t="inlineStr">
        <is>
          <t>SOCIETE C2367</t>
        </is>
      </c>
      <c r="B5212" t="inlineStr">
        <is>
          <t>C2367</t>
        </is>
      </c>
      <c r="C5212" t="inlineStr">
        <is>
          <t>PUBLIC SECTOR</t>
        </is>
      </c>
      <c r="D5212" t="inlineStr">
        <is>
          <t>IA</t>
        </is>
      </c>
      <c r="E5212" t="inlineStr">
        <is>
          <t>Stage 2</t>
        </is>
      </c>
      <c r="F5212" t="inlineStr">
        <is>
          <t>N/A</t>
        </is>
      </c>
      <c r="G5212" s="26">
        <v>419834820</v>
      </c>
      <c r="H5212" s="26">
        <v>25190089</v>
      </c>
      <c r="I5212" s="26">
        <v>0</v>
      </c>
      <c r="J5212" s="26">
        <v>61</v>
      </c>
      <c r="K5212" t="inlineStr">
        <is>
          <t>Non</t>
        </is>
      </c>
      <c r="L5212">
        <f>SUBTOTAL(103,A5212)</f>
        <v>1</v>
      </c>
    </row>
    <row r="5213">
      <c r="A5213" t="inlineStr">
        <is>
          <t>SOCIETE C199</t>
        </is>
      </c>
      <c r="B5213" t="inlineStr">
        <is>
          <t>C199</t>
        </is>
      </c>
      <c r="C5213" t="inlineStr">
        <is>
          <t>CORPORATE BANKING</t>
        </is>
      </c>
      <c r="D5213" t="inlineStr">
        <is>
          <t>IA</t>
        </is>
      </c>
      <c r="E5213" t="inlineStr">
        <is>
          <t>Stage 2</t>
        </is>
      </c>
      <c r="F5213" t="inlineStr">
        <is>
          <t>N/A</t>
        </is>
      </c>
      <c r="G5213" s="26">
        <v>264194939</v>
      </c>
      <c r="H5213" s="26">
        <v>15851696</v>
      </c>
      <c r="I5213" s="26">
        <v>0</v>
      </c>
      <c r="J5213" s="26">
        <v>65</v>
      </c>
      <c r="K5213" t="inlineStr">
        <is>
          <t>Non</t>
        </is>
      </c>
      <c r="L5213">
        <f>SUBTOTAL(103,A5213)</f>
        <v>1</v>
      </c>
    </row>
    <row r="5214">
      <c r="A5214" t="inlineStr">
        <is>
          <t>SOCIETE C1917</t>
        </is>
      </c>
      <c r="B5214" t="inlineStr">
        <is>
          <t>C1917</t>
        </is>
      </c>
      <c r="C5214" t="inlineStr">
        <is>
          <t>CORPORATE BANKING</t>
        </is>
      </c>
      <c r="D5214" t="inlineStr">
        <is>
          <t>I</t>
        </is>
      </c>
      <c r="E5214" t="inlineStr">
        <is>
          <t>Stage 1</t>
        </is>
      </c>
      <c r="F5214" t="inlineStr">
        <is>
          <t>N/A</t>
        </is>
      </c>
      <c r="G5214" s="26">
        <v>215961215</v>
      </c>
      <c r="H5214" s="26">
        <v>2159612</v>
      </c>
      <c r="I5214" s="26">
        <v>28548137</v>
      </c>
      <c r="J5214" s="26">
        <v>88</v>
      </c>
      <c r="K5214" t="inlineStr">
        <is>
          <t>Non</t>
        </is>
      </c>
      <c r="L5214">
        <f>SUBTOTAL(103,A5214)</f>
        <v>1</v>
      </c>
    </row>
    <row r="5215">
      <c r="A5215" t="inlineStr">
        <is>
          <t>SOCIETE C273</t>
        </is>
      </c>
      <c r="B5215" t="inlineStr">
        <is>
          <t>C273</t>
        </is>
      </c>
      <c r="C5215" t="inlineStr">
        <is>
          <t>CORPORATE BANKING</t>
        </is>
      </c>
      <c r="D5215" t="inlineStr">
        <is>
          <t>II</t>
        </is>
      </c>
      <c r="E5215" t="inlineStr">
        <is>
          <t>Stage 2</t>
        </is>
      </c>
      <c r="F5215" t="inlineStr">
        <is>
          <t>N/A</t>
        </is>
      </c>
      <c r="G5215" s="26">
        <v>996575126</v>
      </c>
      <c r="H5215" s="26">
        <v>59794508</v>
      </c>
      <c r="I5215" s="26">
        <v>0</v>
      </c>
      <c r="J5215" s="26">
        <v>213</v>
      </c>
      <c r="K5215" t="inlineStr">
        <is>
          <t>Non</t>
        </is>
      </c>
      <c r="L5215">
        <f>SUBTOTAL(103,A5215)</f>
        <v>1</v>
      </c>
    </row>
    <row r="5216">
      <c r="A5216" t="inlineStr">
        <is>
          <t>SOCIETE C1662</t>
        </is>
      </c>
      <c r="B5216" t="inlineStr">
        <is>
          <t>C1662</t>
        </is>
      </c>
      <c r="C5216" t="inlineStr">
        <is>
          <t>CORPORATE BANKING</t>
        </is>
      </c>
      <c r="D5216" t="inlineStr">
        <is>
          <t>I</t>
        </is>
      </c>
      <c r="E5216" t="inlineStr">
        <is>
          <t>Stage 1</t>
        </is>
      </c>
      <c r="F5216" t="inlineStr">
        <is>
          <t>N/A</t>
        </is>
      </c>
      <c r="G5216" s="26">
        <v>1112564</v>
      </c>
      <c r="H5216" s="26">
        <v>11126</v>
      </c>
      <c r="I5216" s="26">
        <v>0</v>
      </c>
      <c r="J5216" s="26">
        <v>48</v>
      </c>
      <c r="K5216" t="inlineStr">
        <is>
          <t>Non</t>
        </is>
      </c>
      <c r="L5216">
        <f>SUBTOTAL(103,A5216)</f>
        <v>1</v>
      </c>
    </row>
    <row r="5217">
      <c r="A5217" t="inlineStr">
        <is>
          <t>SOCIETE C1891</t>
        </is>
      </c>
      <c r="B5217" t="inlineStr">
        <is>
          <t>C1891</t>
        </is>
      </c>
      <c r="C5217" t="inlineStr">
        <is>
          <t>CORPORATE BANKING</t>
        </is>
      </c>
      <c r="D5217" t="inlineStr">
        <is>
          <t>IV</t>
        </is>
      </c>
      <c r="E5217" t="inlineStr">
        <is>
          <t>Stage 3</t>
        </is>
      </c>
      <c r="F5217" t="inlineStr">
        <is>
          <t>N/A</t>
        </is>
      </c>
      <c r="G5217" s="26">
        <v>7269202</v>
      </c>
      <c r="H5217" s="26">
        <v>3998061</v>
      </c>
      <c r="I5217" s="26">
        <v>0</v>
      </c>
      <c r="J5217" s="26">
        <v>327</v>
      </c>
      <c r="K5217" t="inlineStr">
        <is>
          <t>Oui</t>
        </is>
      </c>
      <c r="L5217">
        <f>SUBTOTAL(103,A5217)</f>
        <v>1</v>
      </c>
    </row>
    <row r="5218">
      <c r="A5218" t="inlineStr">
        <is>
          <t>SOCIETE C2221</t>
        </is>
      </c>
      <c r="B5218" t="inlineStr">
        <is>
          <t>C2221</t>
        </is>
      </c>
      <c r="C5218" t="inlineStr">
        <is>
          <t>CORPORATE BANKING</t>
        </is>
      </c>
      <c r="D5218" t="inlineStr">
        <is>
          <t>III</t>
        </is>
      </c>
      <c r="E5218" t="inlineStr">
        <is>
          <t>Stage 3</t>
        </is>
      </c>
      <c r="F5218" t="inlineStr">
        <is>
          <t>N/A</t>
        </is>
      </c>
      <c r="G5218" s="26">
        <v>25376548</v>
      </c>
      <c r="H5218" s="26">
        <v>13957101</v>
      </c>
      <c r="I5218" s="26">
        <v>4147809</v>
      </c>
      <c r="J5218" s="26">
        <v>73</v>
      </c>
      <c r="K5218" t="inlineStr">
        <is>
          <t>Oui</t>
        </is>
      </c>
      <c r="L5218">
        <f>SUBTOTAL(103,A5218)</f>
        <v>1</v>
      </c>
    </row>
    <row r="5219">
      <c r="A5219" t="inlineStr">
        <is>
          <t>SOCIETE C1091</t>
        </is>
      </c>
      <c r="B5219" t="inlineStr">
        <is>
          <t>C1091</t>
        </is>
      </c>
      <c r="C5219" t="inlineStr">
        <is>
          <t>COMMERCIAL BANKING</t>
        </is>
      </c>
      <c r="D5219" t="inlineStr">
        <is>
          <t>IA</t>
        </is>
      </c>
      <c r="E5219" t="inlineStr">
        <is>
          <t>Stage 2</t>
        </is>
      </c>
      <c r="F5219" t="inlineStr">
        <is>
          <t>N/A</t>
        </is>
      </c>
      <c r="G5219" s="26">
        <v>5208424</v>
      </c>
      <c r="H5219" s="26">
        <v>312505</v>
      </c>
      <c r="I5219" s="26">
        <v>0</v>
      </c>
      <c r="J5219" s="26">
        <v>14</v>
      </c>
      <c r="K5219" t="inlineStr">
        <is>
          <t>Non</t>
        </is>
      </c>
      <c r="L5219">
        <f>SUBTOTAL(103,A5219)</f>
        <v>1</v>
      </c>
    </row>
    <row r="5220">
      <c r="A5220" t="inlineStr">
        <is>
          <t>SOCIETE C1947</t>
        </is>
      </c>
      <c r="B5220" t="inlineStr">
        <is>
          <t>C1947</t>
        </is>
      </c>
      <c r="C5220" t="inlineStr">
        <is>
          <t>COMMERCIAL BANKING</t>
        </is>
      </c>
      <c r="D5220" t="inlineStr">
        <is>
          <t>V</t>
        </is>
      </c>
      <c r="E5220" t="inlineStr">
        <is>
          <t>Stage 3</t>
        </is>
      </c>
      <c r="F5220" t="inlineStr">
        <is>
          <t>N/A</t>
        </is>
      </c>
      <c r="G5220" s="26">
        <v>2891919857</v>
      </c>
      <c r="H5220" s="26">
        <v>1590555921</v>
      </c>
      <c r="I5220" s="26">
        <v>0</v>
      </c>
      <c r="J5220" s="26">
        <v>63</v>
      </c>
      <c r="K5220" t="inlineStr">
        <is>
          <t>Oui</t>
        </is>
      </c>
      <c r="L5220">
        <f>SUBTOTAL(103,A5220)</f>
        <v>1</v>
      </c>
    </row>
    <row r="5221">
      <c r="A5221" t="inlineStr">
        <is>
          <t>SOCIETE C222</t>
        </is>
      </c>
      <c r="B5221" t="inlineStr">
        <is>
          <t>C222</t>
        </is>
      </c>
      <c r="C5221" t="inlineStr">
        <is>
          <t>INSTITUTIONAL</t>
        </is>
      </c>
      <c r="D5221" t="inlineStr">
        <is>
          <t>IV</t>
        </is>
      </c>
      <c r="E5221" t="inlineStr">
        <is>
          <t>Stage 3</t>
        </is>
      </c>
      <c r="F5221" t="inlineStr">
        <is>
          <t>N/A</t>
        </is>
      </c>
      <c r="G5221" s="26">
        <v>2092604443</v>
      </c>
      <c r="H5221" s="26">
        <v>1150932444</v>
      </c>
      <c r="I5221" s="26">
        <v>0</v>
      </c>
      <c r="J5221" s="26">
        <v>29</v>
      </c>
      <c r="K5221" t="inlineStr">
        <is>
          <t>Oui</t>
        </is>
      </c>
      <c r="L5221">
        <f>SUBTOTAL(103,A5221)</f>
        <v>1</v>
      </c>
    </row>
    <row r="5222">
      <c r="A5222" t="inlineStr">
        <is>
          <t>SOCIETE C273</t>
        </is>
      </c>
      <c r="B5222" t="inlineStr">
        <is>
          <t>C273</t>
        </is>
      </c>
      <c r="C5222" t="inlineStr">
        <is>
          <t>CORPORATE BANKING</t>
        </is>
      </c>
      <c r="D5222" t="inlineStr">
        <is>
          <t>I</t>
        </is>
      </c>
      <c r="E5222" t="inlineStr">
        <is>
          <t>Stage 1</t>
        </is>
      </c>
      <c r="F5222" t="inlineStr">
        <is>
          <t>N/A</t>
        </is>
      </c>
      <c r="G5222" s="26">
        <v>1261769478</v>
      </c>
      <c r="H5222" s="26">
        <v>12617695</v>
      </c>
      <c r="I5222" s="26">
        <v>178333294</v>
      </c>
      <c r="J5222" s="26">
        <v>47</v>
      </c>
      <c r="K5222" t="inlineStr">
        <is>
          <t>Non</t>
        </is>
      </c>
      <c r="L5222">
        <f>SUBTOTAL(103,A5222)</f>
        <v>1</v>
      </c>
    </row>
    <row r="5223">
      <c r="A5223" t="inlineStr">
        <is>
          <t>SOCIETE C2310</t>
        </is>
      </c>
      <c r="B5223" t="inlineStr">
        <is>
          <t>C2310</t>
        </is>
      </c>
      <c r="C5223" t="inlineStr">
        <is>
          <t>COMMERCIAL BANKING</t>
        </is>
      </c>
      <c r="D5223" t="inlineStr">
        <is>
          <t>I</t>
        </is>
      </c>
      <c r="E5223" t="inlineStr">
        <is>
          <t>Stage 1</t>
        </is>
      </c>
      <c r="F5223" t="inlineStr">
        <is>
          <t>N/A</t>
        </is>
      </c>
      <c r="G5223" s="26">
        <v>1533002078</v>
      </c>
      <c r="H5223" s="26">
        <v>15330021</v>
      </c>
      <c r="I5223" s="26">
        <v>183373274</v>
      </c>
      <c r="J5223" s="26">
        <v>6</v>
      </c>
      <c r="K5223" t="inlineStr">
        <is>
          <t>Non</t>
        </is>
      </c>
      <c r="L5223">
        <f>SUBTOTAL(103,A5223)</f>
        <v>1</v>
      </c>
    </row>
    <row r="5224">
      <c r="A5224" t="inlineStr">
        <is>
          <t>SOCIETE C1514</t>
        </is>
      </c>
      <c r="B5224" t="inlineStr">
        <is>
          <t>C1514</t>
        </is>
      </c>
      <c r="C5224" t="inlineStr">
        <is>
          <t>PUBLIC SECTOR</t>
        </is>
      </c>
      <c r="D5224" t="inlineStr">
        <is>
          <t>IA</t>
        </is>
      </c>
      <c r="E5224" t="inlineStr">
        <is>
          <t>Stage 2</t>
        </is>
      </c>
      <c r="F5224" t="inlineStr">
        <is>
          <t>N/A</t>
        </is>
      </c>
      <c r="G5224" s="26">
        <v>629422714</v>
      </c>
      <c r="H5224" s="26">
        <v>37765363</v>
      </c>
      <c r="I5224" s="26">
        <v>0</v>
      </c>
      <c r="J5224" s="26">
        <v>1</v>
      </c>
      <c r="K5224" t="inlineStr">
        <is>
          <t>Non</t>
        </is>
      </c>
      <c r="L5224">
        <f>SUBTOTAL(103,A5224)</f>
        <v>1</v>
      </c>
    </row>
    <row r="5225">
      <c r="A5225" t="inlineStr">
        <is>
          <t>SOCIETE C2064</t>
        </is>
      </c>
      <c r="B5225" t="inlineStr">
        <is>
          <t>C2064</t>
        </is>
      </c>
      <c r="C5225" t="inlineStr">
        <is>
          <t>COMMERCIAL BANKING</t>
        </is>
      </c>
      <c r="D5225" t="inlineStr">
        <is>
          <t>IA</t>
        </is>
      </c>
      <c r="E5225" t="inlineStr">
        <is>
          <t>Stage 2</t>
        </is>
      </c>
      <c r="F5225" t="inlineStr">
        <is>
          <t>N/A</t>
        </is>
      </c>
      <c r="G5225" s="26">
        <v>1286784601</v>
      </c>
      <c r="H5225" s="26">
        <v>77207076</v>
      </c>
      <c r="I5225" s="26">
        <v>0</v>
      </c>
      <c r="J5225" s="26">
        <v>10</v>
      </c>
      <c r="K5225" t="inlineStr">
        <is>
          <t>Non</t>
        </is>
      </c>
      <c r="L5225">
        <f>SUBTOTAL(103,A5225)</f>
        <v>1</v>
      </c>
    </row>
    <row r="5226">
      <c r="A5226" t="inlineStr">
        <is>
          <t>SOCIETE C2448</t>
        </is>
      </c>
      <c r="B5226" t="inlineStr">
        <is>
          <t>C2448</t>
        </is>
      </c>
      <c r="C5226" t="inlineStr">
        <is>
          <t>CORPORATE BANKING</t>
        </is>
      </c>
      <c r="D5226" t="inlineStr">
        <is>
          <t>IV</t>
        </is>
      </c>
      <c r="E5226" t="inlineStr">
        <is>
          <t>Stage 3</t>
        </is>
      </c>
      <c r="F5226" t="inlineStr">
        <is>
          <t>N/A</t>
        </is>
      </c>
      <c r="G5226" s="26">
        <v>1101718</v>
      </c>
      <c r="H5226" s="26">
        <v>605945</v>
      </c>
      <c r="I5226" s="26">
        <v>180055</v>
      </c>
      <c r="J5226" s="26">
        <v>366</v>
      </c>
      <c r="K5226" t="inlineStr">
        <is>
          <t>Oui</t>
        </is>
      </c>
      <c r="L5226">
        <f>SUBTOTAL(103,A5226)</f>
        <v>1</v>
      </c>
    </row>
    <row r="5227">
      <c r="A5227" t="inlineStr">
        <is>
          <t>SOCIETE C2481</t>
        </is>
      </c>
      <c r="B5227" t="inlineStr">
        <is>
          <t>C2481</t>
        </is>
      </c>
      <c r="C5227" t="inlineStr">
        <is>
          <t>COMMERCIAL BANKING</t>
        </is>
      </c>
      <c r="D5227" t="inlineStr">
        <is>
          <t>III</t>
        </is>
      </c>
      <c r="E5227" t="inlineStr">
        <is>
          <t>Stage 3</t>
        </is>
      </c>
      <c r="F5227" t="inlineStr">
        <is>
          <t>N/A</t>
        </is>
      </c>
      <c r="G5227" s="26">
        <v>948321092</v>
      </c>
      <c r="H5227" s="26">
        <v>521576601</v>
      </c>
      <c r="I5227" s="26">
        <v>0</v>
      </c>
      <c r="J5227" s="26">
        <v>13</v>
      </c>
      <c r="K5227" t="inlineStr">
        <is>
          <t>Oui</t>
        </is>
      </c>
      <c r="L5227">
        <f>SUBTOTAL(103,A5227)</f>
        <v>1</v>
      </c>
    </row>
    <row r="5228">
      <c r="A5228" t="inlineStr">
        <is>
          <t>SOCIETE C2365</t>
        </is>
      </c>
      <c r="B5228" t="inlineStr">
        <is>
          <t>C2365</t>
        </is>
      </c>
      <c r="C5228" t="inlineStr">
        <is>
          <t>CORPORATE BANKING</t>
        </is>
      </c>
      <c r="D5228" t="inlineStr">
        <is>
          <t>V</t>
        </is>
      </c>
      <c r="E5228" t="inlineStr">
        <is>
          <t>Stage 3</t>
        </is>
      </c>
      <c r="F5228" t="inlineStr">
        <is>
          <t>N/A</t>
        </is>
      </c>
      <c r="G5228" s="26">
        <v>2842658712</v>
      </c>
      <c r="H5228" s="26">
        <v>1563462291</v>
      </c>
      <c r="I5228" s="26">
        <v>376813481</v>
      </c>
      <c r="J5228" s="26">
        <v>108</v>
      </c>
      <c r="K5228" t="inlineStr">
        <is>
          <t>Oui</t>
        </is>
      </c>
      <c r="L5228">
        <f>SUBTOTAL(103,A5228)</f>
        <v>1</v>
      </c>
    </row>
    <row r="5229">
      <c r="A5229" t="inlineStr">
        <is>
          <t>SOCIETE C1224</t>
        </is>
      </c>
      <c r="B5229" t="inlineStr">
        <is>
          <t>C1224</t>
        </is>
      </c>
      <c r="C5229" t="inlineStr">
        <is>
          <t>COMMERCIAL BANKING</t>
        </is>
      </c>
      <c r="D5229" t="inlineStr">
        <is>
          <t>IA</t>
        </is>
      </c>
      <c r="E5229" t="inlineStr">
        <is>
          <t>Stage 2</t>
        </is>
      </c>
      <c r="F5229" t="inlineStr">
        <is>
          <t>N/A</t>
        </is>
      </c>
      <c r="G5229" s="26">
        <v>2727296132</v>
      </c>
      <c r="H5229" s="26">
        <v>163637768</v>
      </c>
      <c r="I5229" s="26">
        <v>0</v>
      </c>
      <c r="J5229" s="26">
        <v>208</v>
      </c>
      <c r="K5229" t="inlineStr">
        <is>
          <t>Non</t>
        </is>
      </c>
      <c r="L5229">
        <f>SUBTOTAL(103,A5229)</f>
        <v>1</v>
      </c>
    </row>
    <row r="5230">
      <c r="A5230" t="inlineStr">
        <is>
          <t>SOCIETE C2010</t>
        </is>
      </c>
      <c r="B5230" t="inlineStr">
        <is>
          <t>C2010</t>
        </is>
      </c>
      <c r="C5230" t="inlineStr">
        <is>
          <t>CORPORATE BANKING</t>
        </is>
      </c>
      <c r="D5230" t="inlineStr">
        <is>
          <t>IA</t>
        </is>
      </c>
      <c r="E5230" t="inlineStr">
        <is>
          <t>Stage 2</t>
        </is>
      </c>
      <c r="F5230" t="inlineStr">
        <is>
          <t>N/A</t>
        </is>
      </c>
      <c r="G5230" s="26">
        <v>130305396</v>
      </c>
      <c r="H5230" s="26">
        <v>7818324</v>
      </c>
      <c r="I5230" s="26">
        <v>19129672</v>
      </c>
      <c r="J5230" s="26">
        <v>300</v>
      </c>
      <c r="K5230" t="inlineStr">
        <is>
          <t>Non</t>
        </is>
      </c>
      <c r="L5230">
        <f>SUBTOTAL(103,A5230)</f>
        <v>1</v>
      </c>
    </row>
    <row r="5231">
      <c r="A5231" t="inlineStr">
        <is>
          <t>SOCIETE C1482</t>
        </is>
      </c>
      <c r="B5231" t="inlineStr">
        <is>
          <t>C1482</t>
        </is>
      </c>
      <c r="C5231" t="inlineStr">
        <is>
          <t>CORPORATE BANKING</t>
        </is>
      </c>
      <c r="D5231" t="inlineStr">
        <is>
          <t>II</t>
        </is>
      </c>
      <c r="E5231" t="inlineStr">
        <is>
          <t>Stage 2</t>
        </is>
      </c>
      <c r="F5231" t="inlineStr">
        <is>
          <t>N/A</t>
        </is>
      </c>
      <c r="G5231" s="26">
        <v>769823521</v>
      </c>
      <c r="H5231" s="26">
        <v>46189411</v>
      </c>
      <c r="I5231" s="26">
        <v>73272681</v>
      </c>
      <c r="J5231" s="26">
        <v>67</v>
      </c>
      <c r="K5231" t="inlineStr">
        <is>
          <t>Non</t>
        </is>
      </c>
      <c r="L5231">
        <f>SUBTOTAL(103,A5231)</f>
        <v>1</v>
      </c>
    </row>
    <row r="5232">
      <c r="A5232" t="inlineStr">
        <is>
          <t>SOCIETE C310</t>
        </is>
      </c>
      <c r="B5232" t="inlineStr">
        <is>
          <t>C310</t>
        </is>
      </c>
      <c r="C5232" t="inlineStr">
        <is>
          <t>COMMERCIAL BANKING</t>
        </is>
      </c>
      <c r="D5232" t="inlineStr">
        <is>
          <t>IA</t>
        </is>
      </c>
      <c r="E5232" t="inlineStr">
        <is>
          <t>Stage 2</t>
        </is>
      </c>
      <c r="F5232" t="inlineStr">
        <is>
          <t>N/A</t>
        </is>
      </c>
      <c r="G5232" s="26">
        <v>1016734334</v>
      </c>
      <c r="H5232" s="26">
        <v>61004060</v>
      </c>
      <c r="I5232" s="26">
        <v>0</v>
      </c>
      <c r="J5232" s="26">
        <v>234</v>
      </c>
      <c r="K5232" t="inlineStr">
        <is>
          <t>Non</t>
        </is>
      </c>
      <c r="L5232">
        <f>SUBTOTAL(103,A5232)</f>
        <v>1</v>
      </c>
    </row>
    <row r="5233">
      <c r="A5233" t="inlineStr">
        <is>
          <t>SOCIETE C528</t>
        </is>
      </c>
      <c r="B5233" t="inlineStr">
        <is>
          <t>C528</t>
        </is>
      </c>
      <c r="C5233" t="inlineStr">
        <is>
          <t>CORPORATE BANKING</t>
        </is>
      </c>
      <c r="D5233" t="inlineStr">
        <is>
          <t>III</t>
        </is>
      </c>
      <c r="E5233" t="inlineStr">
        <is>
          <t>Stage 3</t>
        </is>
      </c>
      <c r="F5233" t="inlineStr">
        <is>
          <t>N/A</t>
        </is>
      </c>
      <c r="G5233" s="26">
        <v>213792466</v>
      </c>
      <c r="H5233" s="26">
        <v>117585856</v>
      </c>
      <c r="I5233" s="26">
        <v>0</v>
      </c>
      <c r="J5233" s="26">
        <v>73</v>
      </c>
      <c r="K5233" t="inlineStr">
        <is>
          <t>Oui</t>
        </is>
      </c>
      <c r="L5233">
        <f>SUBTOTAL(103,A5233)</f>
        <v>1</v>
      </c>
    </row>
    <row r="5234">
      <c r="A5234" t="inlineStr">
        <is>
          <t>SOCIETE C218</t>
        </is>
      </c>
      <c r="B5234" t="inlineStr">
        <is>
          <t>C218</t>
        </is>
      </c>
      <c r="C5234" t="inlineStr">
        <is>
          <t>CORPORATE BANKING</t>
        </is>
      </c>
      <c r="D5234" t="inlineStr">
        <is>
          <t>II</t>
        </is>
      </c>
      <c r="E5234" t="inlineStr">
        <is>
          <t>Stage 2</t>
        </is>
      </c>
      <c r="F5234" t="inlineStr">
        <is>
          <t>N/A</t>
        </is>
      </c>
      <c r="G5234" s="26">
        <v>143731949</v>
      </c>
      <c r="H5234" s="26">
        <v>8623917</v>
      </c>
      <c r="I5234" s="26">
        <v>0</v>
      </c>
      <c r="J5234" s="26">
        <v>127</v>
      </c>
      <c r="K5234" t="inlineStr">
        <is>
          <t>Non</t>
        </is>
      </c>
      <c r="L5234">
        <f>SUBTOTAL(103,A5234)</f>
        <v>1</v>
      </c>
    </row>
    <row r="5235">
      <c r="A5235" t="inlineStr">
        <is>
          <t>SOCIETE C754</t>
        </is>
      </c>
      <c r="B5235" t="inlineStr">
        <is>
          <t>C754</t>
        </is>
      </c>
      <c r="C5235" t="inlineStr">
        <is>
          <t>COMMERCIAL BANKING</t>
        </is>
      </c>
      <c r="D5235" t="inlineStr">
        <is>
          <t>I</t>
        </is>
      </c>
      <c r="E5235" t="inlineStr">
        <is>
          <t>Stage 1</t>
        </is>
      </c>
      <c r="F5235" t="inlineStr">
        <is>
          <t>N/A</t>
        </is>
      </c>
      <c r="G5235" s="26">
        <v>793770664</v>
      </c>
      <c r="H5235" s="26">
        <v>7937707</v>
      </c>
      <c r="I5235" s="26">
        <v>0</v>
      </c>
      <c r="J5235" s="26">
        <v>133</v>
      </c>
      <c r="K5235" t="inlineStr">
        <is>
          <t>Non</t>
        </is>
      </c>
      <c r="L5235">
        <f>SUBTOTAL(103,A5235)</f>
        <v>1</v>
      </c>
    </row>
    <row r="5236">
      <c r="A5236" t="inlineStr">
        <is>
          <t>SOCIETE C1013</t>
        </is>
      </c>
      <c r="B5236" t="inlineStr">
        <is>
          <t>C1013</t>
        </is>
      </c>
      <c r="C5236" t="inlineStr">
        <is>
          <t>COMMERCIAL BANKING</t>
        </is>
      </c>
      <c r="D5236" t="inlineStr">
        <is>
          <t>II</t>
        </is>
      </c>
      <c r="E5236" t="inlineStr">
        <is>
          <t>Stage 2</t>
        </is>
      </c>
      <c r="F5236" t="inlineStr">
        <is>
          <t>N/A</t>
        </is>
      </c>
      <c r="G5236" s="26">
        <v>1782335229</v>
      </c>
      <c r="H5236" s="26">
        <v>106940114</v>
      </c>
      <c r="I5236" s="26">
        <v>52733230</v>
      </c>
      <c r="J5236" s="26">
        <v>106</v>
      </c>
      <c r="K5236" t="inlineStr">
        <is>
          <t>Non</t>
        </is>
      </c>
      <c r="L5236">
        <f>SUBTOTAL(103,A5236)</f>
        <v>1</v>
      </c>
    </row>
    <row r="5237">
      <c r="A5237" t="inlineStr">
        <is>
          <t>SOCIETE C962</t>
        </is>
      </c>
      <c r="B5237" t="inlineStr">
        <is>
          <t>C962</t>
        </is>
      </c>
      <c r="C5237" t="inlineStr">
        <is>
          <t>CORPORATE BANKING</t>
        </is>
      </c>
      <c r="D5237" t="inlineStr">
        <is>
          <t>I</t>
        </is>
      </c>
      <c r="E5237" t="inlineStr">
        <is>
          <t>Stage 1</t>
        </is>
      </c>
      <c r="F5237" t="inlineStr">
        <is>
          <t>N/A</t>
        </is>
      </c>
      <c r="G5237" s="26">
        <v>37750136</v>
      </c>
      <c r="H5237" s="26">
        <v>377501</v>
      </c>
      <c r="I5237" s="26">
        <v>4245213</v>
      </c>
      <c r="J5237" s="26">
        <v>37</v>
      </c>
      <c r="K5237" t="inlineStr">
        <is>
          <t>Non</t>
        </is>
      </c>
      <c r="L5237">
        <f>SUBTOTAL(103,A5237)</f>
        <v>1</v>
      </c>
    </row>
    <row r="5238">
      <c r="A5238" t="inlineStr">
        <is>
          <t>SOCIETE C132</t>
        </is>
      </c>
      <c r="B5238" t="inlineStr">
        <is>
          <t>C132</t>
        </is>
      </c>
      <c r="C5238" t="inlineStr">
        <is>
          <t>CORPORATE BANKING</t>
        </is>
      </c>
      <c r="D5238" t="inlineStr">
        <is>
          <t>IV</t>
        </is>
      </c>
      <c r="E5238" t="inlineStr">
        <is>
          <t>Stage 3</t>
        </is>
      </c>
      <c r="F5238" t="inlineStr">
        <is>
          <t>N/A</t>
        </is>
      </c>
      <c r="G5238" s="26">
        <v>21804456</v>
      </c>
      <c r="H5238" s="26">
        <v>11992451</v>
      </c>
      <c r="I5238" s="26">
        <v>3696936</v>
      </c>
      <c r="J5238" s="26">
        <v>23</v>
      </c>
      <c r="K5238" t="inlineStr">
        <is>
          <t>Oui</t>
        </is>
      </c>
      <c r="L5238">
        <f>SUBTOTAL(103,A5238)</f>
        <v>1</v>
      </c>
    </row>
    <row r="5239">
      <c r="A5239" t="inlineStr">
        <is>
          <t>SOCIETE C334</t>
        </is>
      </c>
      <c r="B5239" t="inlineStr">
        <is>
          <t>C334</t>
        </is>
      </c>
      <c r="C5239" t="inlineStr">
        <is>
          <t>CORPORATE BANKING</t>
        </is>
      </c>
      <c r="D5239" t="inlineStr">
        <is>
          <t>II</t>
        </is>
      </c>
      <c r="E5239" t="inlineStr">
        <is>
          <t>Stage 2</t>
        </is>
      </c>
      <c r="F5239" t="inlineStr">
        <is>
          <t>N/A</t>
        </is>
      </c>
      <c r="G5239" s="26">
        <v>1925497389</v>
      </c>
      <c r="H5239" s="26">
        <v>115529843</v>
      </c>
      <c r="I5239" s="26">
        <v>237191762</v>
      </c>
      <c r="J5239" s="26">
        <v>193</v>
      </c>
      <c r="K5239" t="inlineStr">
        <is>
          <t>Non</t>
        </is>
      </c>
      <c r="L5239">
        <f>SUBTOTAL(103,A5239)</f>
        <v>1</v>
      </c>
    </row>
    <row r="5240">
      <c r="A5240" t="inlineStr">
        <is>
          <t>SOCIETE C525</t>
        </is>
      </c>
      <c r="B5240" t="inlineStr">
        <is>
          <t>C525</t>
        </is>
      </c>
      <c r="C5240" t="inlineStr">
        <is>
          <t>CORPORATE BANKING</t>
        </is>
      </c>
      <c r="D5240" t="inlineStr">
        <is>
          <t>IA</t>
        </is>
      </c>
      <c r="E5240" t="inlineStr">
        <is>
          <t>Stage 2</t>
        </is>
      </c>
      <c r="F5240" t="inlineStr">
        <is>
          <t>N/A</t>
        </is>
      </c>
      <c r="G5240" s="26">
        <v>2796052708</v>
      </c>
      <c r="H5240" s="26">
        <v>167763163</v>
      </c>
      <c r="I5240" s="26">
        <v>0</v>
      </c>
      <c r="J5240" s="26">
        <v>340</v>
      </c>
      <c r="K5240" t="inlineStr">
        <is>
          <t>Non</t>
        </is>
      </c>
      <c r="L5240">
        <f>SUBTOTAL(103,A5240)</f>
        <v>1</v>
      </c>
    </row>
    <row r="5241">
      <c r="A5241" t="inlineStr">
        <is>
          <t>SOCIETE C1196</t>
        </is>
      </c>
      <c r="B5241" t="inlineStr">
        <is>
          <t>C1196</t>
        </is>
      </c>
      <c r="C5241" t="inlineStr">
        <is>
          <t>PUBLIC SECTOR</t>
        </is>
      </c>
      <c r="D5241" t="inlineStr">
        <is>
          <t>I</t>
        </is>
      </c>
      <c r="E5241" t="inlineStr">
        <is>
          <t>Stage 1</t>
        </is>
      </c>
      <c r="F5241" t="inlineStr">
        <is>
          <t>N/A</t>
        </is>
      </c>
      <c r="G5241" s="26">
        <v>2362555085</v>
      </c>
      <c r="H5241" s="26">
        <v>23625551</v>
      </c>
      <c r="I5241" s="26">
        <v>454195940</v>
      </c>
      <c r="J5241" s="26">
        <v>170</v>
      </c>
      <c r="K5241" t="inlineStr">
        <is>
          <t>Non</t>
        </is>
      </c>
      <c r="L5241">
        <f>SUBTOTAL(103,A5241)</f>
        <v>1</v>
      </c>
    </row>
    <row r="5242">
      <c r="A5242" t="inlineStr">
        <is>
          <t>SOCIETE C261</t>
        </is>
      </c>
      <c r="B5242" t="inlineStr">
        <is>
          <t>C261</t>
        </is>
      </c>
      <c r="C5242" t="inlineStr">
        <is>
          <t>CORPORATE BANKING</t>
        </is>
      </c>
      <c r="D5242" t="inlineStr">
        <is>
          <t>III</t>
        </is>
      </c>
      <c r="E5242" t="inlineStr">
        <is>
          <t>Stage 3</t>
        </is>
      </c>
      <c r="F5242" t="inlineStr">
        <is>
          <t>N/A</t>
        </is>
      </c>
      <c r="G5242" s="26">
        <v>18562789</v>
      </c>
      <c r="H5242" s="26">
        <v>10209534</v>
      </c>
      <c r="I5242" s="26">
        <v>3449846</v>
      </c>
      <c r="J5242" s="26">
        <v>103</v>
      </c>
      <c r="K5242" t="inlineStr">
        <is>
          <t>Oui</t>
        </is>
      </c>
      <c r="L5242">
        <f>SUBTOTAL(103,A5242)</f>
        <v>1</v>
      </c>
    </row>
    <row r="5243">
      <c r="A5243" t="inlineStr">
        <is>
          <t>SOCIETE C841</t>
        </is>
      </c>
      <c r="B5243" t="inlineStr">
        <is>
          <t>C841</t>
        </is>
      </c>
      <c r="C5243" t="inlineStr">
        <is>
          <t>PUBLIC SECTOR</t>
        </is>
      </c>
      <c r="D5243" t="inlineStr">
        <is>
          <t>I</t>
        </is>
      </c>
      <c r="E5243" t="inlineStr">
        <is>
          <t>Stage 1</t>
        </is>
      </c>
      <c r="F5243" t="inlineStr">
        <is>
          <t>N/A</t>
        </is>
      </c>
      <c r="G5243" s="26">
        <v>311883406</v>
      </c>
      <c r="H5243" s="26">
        <v>3118834</v>
      </c>
      <c r="I5243" s="26">
        <v>0</v>
      </c>
      <c r="J5243" s="26">
        <v>171</v>
      </c>
      <c r="K5243" t="inlineStr">
        <is>
          <t>Non</t>
        </is>
      </c>
      <c r="L5243">
        <f>SUBTOTAL(103,A5243)</f>
        <v>1</v>
      </c>
    </row>
    <row r="5244">
      <c r="A5244" t="inlineStr">
        <is>
          <t>SOCIETE C2299</t>
        </is>
      </c>
      <c r="B5244" t="inlineStr">
        <is>
          <t>C2299</t>
        </is>
      </c>
      <c r="C5244" t="inlineStr">
        <is>
          <t>CORPORATE BANKING</t>
        </is>
      </c>
      <c r="D5244" t="inlineStr">
        <is>
          <t>I</t>
        </is>
      </c>
      <c r="E5244" t="inlineStr">
        <is>
          <t>Stage 1</t>
        </is>
      </c>
      <c r="F5244" t="inlineStr">
        <is>
          <t>N/A</t>
        </is>
      </c>
      <c r="G5244" s="26">
        <v>1000012</v>
      </c>
      <c r="H5244" s="26">
        <v>10000</v>
      </c>
      <c r="I5244" s="26">
        <v>0</v>
      </c>
      <c r="J5244" s="26">
        <v>139</v>
      </c>
      <c r="K5244" t="inlineStr">
        <is>
          <t>Non</t>
        </is>
      </c>
      <c r="L5244">
        <f>SUBTOTAL(103,A5244)</f>
        <v>1</v>
      </c>
    </row>
    <row r="5245">
      <c r="A5245" t="inlineStr">
        <is>
          <t>SOCIETE C879</t>
        </is>
      </c>
      <c r="B5245" t="inlineStr">
        <is>
          <t>C879</t>
        </is>
      </c>
      <c r="C5245" t="inlineStr">
        <is>
          <t>CORPORATE BANKING</t>
        </is>
      </c>
      <c r="D5245" t="inlineStr">
        <is>
          <t>I</t>
        </is>
      </c>
      <c r="E5245" t="inlineStr">
        <is>
          <t>Stage 1</t>
        </is>
      </c>
      <c r="F5245" t="inlineStr">
        <is>
          <t>N/A</t>
        </is>
      </c>
      <c r="G5245" s="26">
        <v>401434825</v>
      </c>
      <c r="H5245" s="26">
        <v>4014348</v>
      </c>
      <c r="I5245" s="26">
        <v>0</v>
      </c>
      <c r="J5245" s="26">
        <v>10</v>
      </c>
      <c r="K5245" t="inlineStr">
        <is>
          <t>Non</t>
        </is>
      </c>
      <c r="L5245">
        <f>SUBTOTAL(103,A5245)</f>
        <v>1</v>
      </c>
    </row>
    <row r="5246">
      <c r="A5246" t="inlineStr">
        <is>
          <t>SOCIETE C1976</t>
        </is>
      </c>
      <c r="B5246" t="inlineStr">
        <is>
          <t>C1976</t>
        </is>
      </c>
      <c r="C5246" t="inlineStr">
        <is>
          <t>CONSUMER BANKING</t>
        </is>
      </c>
      <c r="D5246" t="inlineStr">
        <is>
          <t>I</t>
        </is>
      </c>
      <c r="E5246" t="inlineStr">
        <is>
          <t>Stage 1</t>
        </is>
      </c>
      <c r="F5246" t="inlineStr">
        <is>
          <t>N/A</t>
        </is>
      </c>
      <c r="G5246" s="26">
        <v>1034617</v>
      </c>
      <c r="H5246" s="26">
        <v>10346</v>
      </c>
      <c r="I5246" s="26">
        <v>20203</v>
      </c>
      <c r="J5246" s="26">
        <v>282</v>
      </c>
      <c r="K5246" t="inlineStr">
        <is>
          <t>Non</t>
        </is>
      </c>
      <c r="L5246">
        <f>SUBTOTAL(103,A5246)</f>
        <v>1</v>
      </c>
    </row>
    <row r="5247">
      <c r="A5247" t="inlineStr">
        <is>
          <t>SOCIETE C1097</t>
        </is>
      </c>
      <c r="B5247" t="inlineStr">
        <is>
          <t>C1097</t>
        </is>
      </c>
      <c r="C5247" t="inlineStr">
        <is>
          <t>CORPORATE BANKING</t>
        </is>
      </c>
      <c r="D5247" t="inlineStr">
        <is>
          <t>IV</t>
        </is>
      </c>
      <c r="E5247" t="inlineStr">
        <is>
          <t>Stage 3</t>
        </is>
      </c>
      <c r="F5247" t="inlineStr">
        <is>
          <t>N/A</t>
        </is>
      </c>
      <c r="G5247" s="26">
        <v>201664064</v>
      </c>
      <c r="H5247" s="26">
        <v>110915235</v>
      </c>
      <c r="I5247" s="26">
        <v>0</v>
      </c>
      <c r="J5247" s="26">
        <v>252</v>
      </c>
      <c r="K5247" t="inlineStr">
        <is>
          <t>Oui</t>
        </is>
      </c>
      <c r="L5247">
        <f>SUBTOTAL(103,A5247)</f>
        <v>1</v>
      </c>
    </row>
    <row r="5248">
      <c r="A5248" t="inlineStr">
        <is>
          <t>SOCIETE C802</t>
        </is>
      </c>
      <c r="B5248" t="inlineStr">
        <is>
          <t>C802</t>
        </is>
      </c>
      <c r="C5248" t="inlineStr">
        <is>
          <t>CORPORATE BANKING</t>
        </is>
      </c>
      <c r="D5248" t="inlineStr">
        <is>
          <t>IA</t>
        </is>
      </c>
      <c r="E5248" t="inlineStr">
        <is>
          <t>Stage 2</t>
        </is>
      </c>
      <c r="F5248" t="inlineStr">
        <is>
          <t>N/A</t>
        </is>
      </c>
      <c r="G5248" s="26">
        <v>217958522</v>
      </c>
      <c r="H5248" s="26">
        <v>13077511</v>
      </c>
      <c r="I5248" s="26">
        <v>0</v>
      </c>
      <c r="J5248" s="26">
        <v>26</v>
      </c>
      <c r="K5248" t="inlineStr">
        <is>
          <t>Non</t>
        </is>
      </c>
      <c r="L5248">
        <f>SUBTOTAL(103,A5248)</f>
        <v>1</v>
      </c>
    </row>
    <row r="5249">
      <c r="A5249" t="inlineStr">
        <is>
          <t>SOCIETE C405</t>
        </is>
      </c>
      <c r="B5249" t="inlineStr">
        <is>
          <t>C405</t>
        </is>
      </c>
      <c r="C5249" t="inlineStr">
        <is>
          <t>CORPORATE BANKING</t>
        </is>
      </c>
      <c r="D5249" t="inlineStr">
        <is>
          <t>III</t>
        </is>
      </c>
      <c r="E5249" t="inlineStr">
        <is>
          <t>Stage 3</t>
        </is>
      </c>
      <c r="F5249" t="inlineStr">
        <is>
          <t>N/A</t>
        </is>
      </c>
      <c r="G5249" s="26">
        <v>170023792</v>
      </c>
      <c r="H5249" s="26">
        <v>93513086</v>
      </c>
      <c r="I5249" s="26">
        <v>0</v>
      </c>
      <c r="J5249" s="26">
        <v>213</v>
      </c>
      <c r="K5249" t="inlineStr">
        <is>
          <t>Oui</t>
        </is>
      </c>
      <c r="L5249">
        <f>SUBTOTAL(103,A5249)</f>
        <v>1</v>
      </c>
    </row>
    <row r="5250">
      <c r="A5250" t="inlineStr">
        <is>
          <t>SOCIETE C1861</t>
        </is>
      </c>
      <c r="B5250" t="inlineStr">
        <is>
          <t>C1861</t>
        </is>
      </c>
      <c r="C5250" t="inlineStr">
        <is>
          <t>COMMERCIAL BANKING</t>
        </is>
      </c>
      <c r="D5250" t="inlineStr">
        <is>
          <t>IA</t>
        </is>
      </c>
      <c r="E5250" t="inlineStr">
        <is>
          <t>Stage 2</t>
        </is>
      </c>
      <c r="F5250" t="inlineStr">
        <is>
          <t>N/A</t>
        </is>
      </c>
      <c r="G5250" s="26">
        <v>2699780</v>
      </c>
      <c r="H5250" s="26">
        <v>161987</v>
      </c>
      <c r="I5250" s="26">
        <v>531827</v>
      </c>
      <c r="J5250" s="26">
        <v>99</v>
      </c>
      <c r="K5250" t="inlineStr">
        <is>
          <t>Non</t>
        </is>
      </c>
      <c r="L5250">
        <f>SUBTOTAL(103,A5250)</f>
        <v>1</v>
      </c>
    </row>
    <row r="5251">
      <c r="A5251" t="inlineStr">
        <is>
          <t>SOCIETE C1940</t>
        </is>
      </c>
      <c r="B5251" t="inlineStr">
        <is>
          <t>C1940</t>
        </is>
      </c>
      <c r="C5251" t="inlineStr">
        <is>
          <t>COMMERCIAL BANKING</t>
        </is>
      </c>
      <c r="D5251" t="inlineStr">
        <is>
          <t>I</t>
        </is>
      </c>
      <c r="E5251" t="inlineStr">
        <is>
          <t>Stage 1</t>
        </is>
      </c>
      <c r="F5251" t="inlineStr">
        <is>
          <t>N/A</t>
        </is>
      </c>
      <c r="G5251" s="26">
        <v>12716619</v>
      </c>
      <c r="H5251" s="26">
        <v>127166</v>
      </c>
      <c r="I5251" s="26">
        <v>0</v>
      </c>
      <c r="J5251" s="26">
        <v>20</v>
      </c>
      <c r="K5251" t="inlineStr">
        <is>
          <t>Non</t>
        </is>
      </c>
      <c r="L5251">
        <f>SUBTOTAL(103,A5251)</f>
        <v>1</v>
      </c>
    </row>
    <row r="5252">
      <c r="A5252" t="inlineStr">
        <is>
          <t>SOCIETE C933</t>
        </is>
      </c>
      <c r="B5252" t="inlineStr">
        <is>
          <t>C933</t>
        </is>
      </c>
      <c r="C5252" t="inlineStr">
        <is>
          <t>CORPORATE BANKING</t>
        </is>
      </c>
      <c r="D5252" t="inlineStr">
        <is>
          <t>III</t>
        </is>
      </c>
      <c r="E5252" t="inlineStr">
        <is>
          <t>Stage 3</t>
        </is>
      </c>
      <c r="F5252" t="inlineStr">
        <is>
          <t>N/A</t>
        </is>
      </c>
      <c r="G5252" s="26">
        <v>1446567343</v>
      </c>
      <c r="H5252" s="26">
        <v>795612039</v>
      </c>
      <c r="I5252" s="26">
        <v>158638193</v>
      </c>
      <c r="J5252" s="26">
        <v>2</v>
      </c>
      <c r="K5252" t="inlineStr">
        <is>
          <t>Oui</t>
        </is>
      </c>
      <c r="L5252">
        <f>SUBTOTAL(103,A5252)</f>
        <v>1</v>
      </c>
    </row>
    <row r="5253">
      <c r="A5253" t="inlineStr">
        <is>
          <t>SOCIETE C904</t>
        </is>
      </c>
      <c r="B5253" t="inlineStr">
        <is>
          <t>C904</t>
        </is>
      </c>
      <c r="C5253" t="inlineStr">
        <is>
          <t>CONSUMER BANKING</t>
        </is>
      </c>
      <c r="D5253" t="inlineStr">
        <is>
          <t>III</t>
        </is>
      </c>
      <c r="E5253" t="inlineStr">
        <is>
          <t>Stage 3</t>
        </is>
      </c>
      <c r="F5253" t="inlineStr">
        <is>
          <t>N/A</t>
        </is>
      </c>
      <c r="G5253" s="26">
        <v>912374908</v>
      </c>
      <c r="H5253" s="26">
        <v>501806199</v>
      </c>
      <c r="I5253" s="26">
        <v>0</v>
      </c>
      <c r="J5253" s="26">
        <v>115</v>
      </c>
      <c r="K5253" t="inlineStr">
        <is>
          <t>Oui</t>
        </is>
      </c>
      <c r="L5253">
        <f>SUBTOTAL(103,A5253)</f>
        <v>1</v>
      </c>
    </row>
    <row r="5254">
      <c r="A5254" t="inlineStr">
        <is>
          <t>SOCIETE C52</t>
        </is>
      </c>
      <c r="B5254" t="inlineStr">
        <is>
          <t>C52</t>
        </is>
      </c>
      <c r="C5254" t="inlineStr">
        <is>
          <t>COMMERCIAL BANKING</t>
        </is>
      </c>
      <c r="D5254" t="inlineStr">
        <is>
          <t>I</t>
        </is>
      </c>
      <c r="E5254" t="inlineStr">
        <is>
          <t>Stage 1</t>
        </is>
      </c>
      <c r="F5254" t="inlineStr">
        <is>
          <t>N/A</t>
        </is>
      </c>
      <c r="G5254" s="26">
        <v>2734099808</v>
      </c>
      <c r="H5254" s="26">
        <v>27340998</v>
      </c>
      <c r="I5254" s="26">
        <v>515108342</v>
      </c>
      <c r="J5254" s="26">
        <v>91</v>
      </c>
      <c r="K5254" t="inlineStr">
        <is>
          <t>Non</t>
        </is>
      </c>
      <c r="L5254">
        <f>SUBTOTAL(103,A5254)</f>
        <v>1</v>
      </c>
    </row>
    <row r="5255">
      <c r="A5255" t="inlineStr">
        <is>
          <t>SOCIETE C131</t>
        </is>
      </c>
      <c r="B5255" t="inlineStr">
        <is>
          <t>C131</t>
        </is>
      </c>
      <c r="C5255" t="inlineStr">
        <is>
          <t>COMMERCIAL BANKING</t>
        </is>
      </c>
      <c r="D5255" t="inlineStr">
        <is>
          <t>IV</t>
        </is>
      </c>
      <c r="E5255" t="inlineStr">
        <is>
          <t>Stage 3</t>
        </is>
      </c>
      <c r="F5255" t="inlineStr">
        <is>
          <t>N/A</t>
        </is>
      </c>
      <c r="G5255" s="26">
        <v>798134002</v>
      </c>
      <c r="H5255" s="26">
        <v>438973701</v>
      </c>
      <c r="I5255" s="26">
        <v>0</v>
      </c>
      <c r="J5255" s="26">
        <v>85</v>
      </c>
      <c r="K5255" t="inlineStr">
        <is>
          <t>Oui</t>
        </is>
      </c>
      <c r="L5255">
        <f>SUBTOTAL(103,A5255)</f>
        <v>1</v>
      </c>
    </row>
    <row r="5256">
      <c r="A5256" t="inlineStr">
        <is>
          <t>SOCIETE C2373</t>
        </is>
      </c>
      <c r="B5256" t="inlineStr">
        <is>
          <t>C2373</t>
        </is>
      </c>
      <c r="C5256" t="inlineStr">
        <is>
          <t>CORPORATE BANKING</t>
        </is>
      </c>
      <c r="D5256" t="inlineStr">
        <is>
          <t>I</t>
        </is>
      </c>
      <c r="E5256" t="inlineStr">
        <is>
          <t>Stage 1</t>
        </is>
      </c>
      <c r="F5256" t="inlineStr">
        <is>
          <t>N/A</t>
        </is>
      </c>
      <c r="G5256" s="26">
        <v>2638576677</v>
      </c>
      <c r="H5256" s="26">
        <v>26385767</v>
      </c>
      <c r="I5256" s="26">
        <v>0</v>
      </c>
      <c r="J5256" s="26">
        <v>12</v>
      </c>
      <c r="K5256" t="inlineStr">
        <is>
          <t>Non</t>
        </is>
      </c>
      <c r="L5256">
        <f>SUBTOTAL(103,A5256)</f>
        <v>1</v>
      </c>
    </row>
    <row r="5257">
      <c r="A5257" t="inlineStr">
        <is>
          <t>SOCIETE C1621</t>
        </is>
      </c>
      <c r="B5257" t="inlineStr">
        <is>
          <t>C1621</t>
        </is>
      </c>
      <c r="C5257" t="inlineStr">
        <is>
          <t>CORPORATE BANKING</t>
        </is>
      </c>
      <c r="D5257" t="inlineStr">
        <is>
          <t>II</t>
        </is>
      </c>
      <c r="E5257" t="inlineStr">
        <is>
          <t>Stage 2</t>
        </is>
      </c>
      <c r="F5257" t="inlineStr">
        <is>
          <t>N/A</t>
        </is>
      </c>
      <c r="G5257" s="26">
        <v>20781721</v>
      </c>
      <c r="H5257" s="26">
        <v>1246903</v>
      </c>
      <c r="I5257" s="26">
        <v>0</v>
      </c>
      <c r="J5257" s="26">
        <v>21</v>
      </c>
      <c r="K5257" t="inlineStr">
        <is>
          <t>Non</t>
        </is>
      </c>
      <c r="L5257">
        <f>SUBTOTAL(103,A5257)</f>
        <v>1</v>
      </c>
    </row>
    <row r="5258">
      <c r="A5258" t="inlineStr">
        <is>
          <t>SOCIETE C2219</t>
        </is>
      </c>
      <c r="B5258" t="inlineStr">
        <is>
          <t>C2219</t>
        </is>
      </c>
      <c r="C5258" t="inlineStr">
        <is>
          <t>CORPORATE BANKING</t>
        </is>
      </c>
      <c r="D5258" t="inlineStr">
        <is>
          <t>I</t>
        </is>
      </c>
      <c r="E5258" t="inlineStr">
        <is>
          <t>Stage 1</t>
        </is>
      </c>
      <c r="F5258" t="inlineStr">
        <is>
          <t>N/A</t>
        </is>
      </c>
      <c r="G5258" s="26">
        <v>917836919</v>
      </c>
      <c r="H5258" s="26">
        <v>9178369</v>
      </c>
      <c r="I5258" s="26">
        <v>128212174</v>
      </c>
      <c r="J5258" s="26">
        <v>259</v>
      </c>
      <c r="K5258" t="inlineStr">
        <is>
          <t>Non</t>
        </is>
      </c>
      <c r="L5258">
        <f>SUBTOTAL(103,A5258)</f>
        <v>1</v>
      </c>
    </row>
    <row r="5259">
      <c r="A5259" t="inlineStr">
        <is>
          <t>SOCIETE C1768</t>
        </is>
      </c>
      <c r="B5259" t="inlineStr">
        <is>
          <t>C1768</t>
        </is>
      </c>
      <c r="C5259" t="inlineStr">
        <is>
          <t>CORPORATE BANKING</t>
        </is>
      </c>
      <c r="D5259" t="inlineStr">
        <is>
          <t>I</t>
        </is>
      </c>
      <c r="E5259" t="inlineStr">
        <is>
          <t>Stage 1</t>
        </is>
      </c>
      <c r="F5259" t="inlineStr">
        <is>
          <t>N/A</t>
        </is>
      </c>
      <c r="G5259" s="26">
        <v>1796483856</v>
      </c>
      <c r="H5259" s="26">
        <v>17964839</v>
      </c>
      <c r="I5259" s="26">
        <v>151056027</v>
      </c>
      <c r="J5259" s="26">
        <v>0</v>
      </c>
      <c r="K5259" t="inlineStr">
        <is>
          <t>Non</t>
        </is>
      </c>
      <c r="L5259">
        <f>SUBTOTAL(103,A5259)</f>
        <v>1</v>
      </c>
    </row>
    <row r="5260">
      <c r="A5260" t="inlineStr">
        <is>
          <t>SOCIETE C1337</t>
        </is>
      </c>
      <c r="B5260" t="inlineStr">
        <is>
          <t>C1337</t>
        </is>
      </c>
      <c r="C5260" t="inlineStr">
        <is>
          <t>COMMERCIAL BANKING</t>
        </is>
      </c>
      <c r="D5260" t="inlineStr">
        <is>
          <t>IA</t>
        </is>
      </c>
      <c r="E5260" t="inlineStr">
        <is>
          <t>Stage 2</t>
        </is>
      </c>
      <c r="F5260" t="inlineStr">
        <is>
          <t>N/A</t>
        </is>
      </c>
      <c r="G5260" s="26">
        <v>6006361</v>
      </c>
      <c r="H5260" s="26">
        <v>360382</v>
      </c>
      <c r="I5260" s="26">
        <v>0</v>
      </c>
      <c r="J5260" s="26">
        <v>13</v>
      </c>
      <c r="K5260" t="inlineStr">
        <is>
          <t>Non</t>
        </is>
      </c>
      <c r="L5260">
        <f>SUBTOTAL(103,A5260)</f>
        <v>1</v>
      </c>
    </row>
    <row r="5261">
      <c r="A5261" t="inlineStr">
        <is>
          <t>SOCIETE C753</t>
        </is>
      </c>
      <c r="B5261" t="inlineStr">
        <is>
          <t>C753</t>
        </is>
      </c>
      <c r="C5261" t="inlineStr">
        <is>
          <t>COMMERCIAL BANKING</t>
        </is>
      </c>
      <c r="D5261" t="inlineStr">
        <is>
          <t>IA</t>
        </is>
      </c>
      <c r="E5261" t="inlineStr">
        <is>
          <t>Stage 2</t>
        </is>
      </c>
      <c r="F5261" t="inlineStr">
        <is>
          <t>N/A</t>
        </is>
      </c>
      <c r="G5261" s="26">
        <v>151112640</v>
      </c>
      <c r="H5261" s="26">
        <v>9066758</v>
      </c>
      <c r="I5261" s="26">
        <v>14422551</v>
      </c>
      <c r="J5261" s="26">
        <v>76</v>
      </c>
      <c r="K5261" t="inlineStr">
        <is>
          <t>Non</t>
        </is>
      </c>
      <c r="L5261">
        <f>SUBTOTAL(103,A5261)</f>
        <v>1</v>
      </c>
    </row>
    <row r="5262">
      <c r="A5262" t="inlineStr">
        <is>
          <t>SOCIETE C271</t>
        </is>
      </c>
      <c r="B5262" t="inlineStr">
        <is>
          <t>C271</t>
        </is>
      </c>
      <c r="C5262" t="inlineStr">
        <is>
          <t>CORPORATE BANKING</t>
        </is>
      </c>
      <c r="D5262" t="inlineStr">
        <is>
          <t>V</t>
        </is>
      </c>
      <c r="E5262" t="inlineStr">
        <is>
          <t>Stage 3</t>
        </is>
      </c>
      <c r="F5262" t="inlineStr">
        <is>
          <t>N/A</t>
        </is>
      </c>
      <c r="G5262" s="26">
        <v>936973042</v>
      </c>
      <c r="H5262" s="26">
        <v>515335173</v>
      </c>
      <c r="I5262" s="26">
        <v>29038940</v>
      </c>
      <c r="J5262" s="26">
        <v>141</v>
      </c>
      <c r="K5262" t="inlineStr">
        <is>
          <t>Oui</t>
        </is>
      </c>
      <c r="L5262">
        <f>SUBTOTAL(103,A5262)</f>
        <v>1</v>
      </c>
    </row>
    <row r="5263">
      <c r="A5263" t="inlineStr">
        <is>
          <t>SOCIETE C660</t>
        </is>
      </c>
      <c r="B5263" t="inlineStr">
        <is>
          <t>C660</t>
        </is>
      </c>
      <c r="C5263" t="inlineStr">
        <is>
          <t>PUBLIC SECTOR</t>
        </is>
      </c>
      <c r="D5263" t="inlineStr">
        <is>
          <t>I</t>
        </is>
      </c>
      <c r="E5263" t="inlineStr">
        <is>
          <t>Stage 1</t>
        </is>
      </c>
      <c r="F5263" t="inlineStr">
        <is>
          <t>N/A</t>
        </is>
      </c>
      <c r="G5263" s="26">
        <v>7925502</v>
      </c>
      <c r="H5263" s="26">
        <v>79255</v>
      </c>
      <c r="I5263" s="26">
        <v>444706</v>
      </c>
      <c r="J5263" s="26">
        <v>78</v>
      </c>
      <c r="K5263" t="inlineStr">
        <is>
          <t>Non</t>
        </is>
      </c>
      <c r="L5263">
        <f>SUBTOTAL(103,A5263)</f>
        <v>1</v>
      </c>
    </row>
    <row r="5264">
      <c r="A5264" t="inlineStr">
        <is>
          <t>SOCIETE C860</t>
        </is>
      </c>
      <c r="B5264" t="inlineStr">
        <is>
          <t>C860</t>
        </is>
      </c>
      <c r="C5264" t="inlineStr">
        <is>
          <t>INSTITUTIONAL</t>
        </is>
      </c>
      <c r="D5264" t="inlineStr">
        <is>
          <t>V</t>
        </is>
      </c>
      <c r="E5264" t="inlineStr">
        <is>
          <t>Stage 3</t>
        </is>
      </c>
      <c r="F5264" t="inlineStr">
        <is>
          <t>N/A</t>
        </is>
      </c>
      <c r="G5264" s="26">
        <v>1790158</v>
      </c>
      <c r="H5264" s="26">
        <v>984587</v>
      </c>
      <c r="I5264" s="26">
        <v>0</v>
      </c>
      <c r="J5264" s="26">
        <v>236</v>
      </c>
      <c r="K5264" t="inlineStr">
        <is>
          <t>Oui</t>
        </is>
      </c>
      <c r="L5264">
        <f>SUBTOTAL(103,A5264)</f>
        <v>1</v>
      </c>
    </row>
    <row r="5265">
      <c r="A5265" t="inlineStr">
        <is>
          <t>SOCIETE C1149</t>
        </is>
      </c>
      <c r="B5265" t="inlineStr">
        <is>
          <t>C1149</t>
        </is>
      </c>
      <c r="C5265" t="inlineStr">
        <is>
          <t>CORPORATE BANKING</t>
        </is>
      </c>
      <c r="D5265" t="inlineStr">
        <is>
          <t>I</t>
        </is>
      </c>
      <c r="E5265" t="inlineStr">
        <is>
          <t>Stage 1</t>
        </is>
      </c>
      <c r="F5265" t="inlineStr">
        <is>
          <t>N/A</t>
        </is>
      </c>
      <c r="G5265" s="26">
        <v>1015167</v>
      </c>
      <c r="H5265" s="26">
        <v>10152</v>
      </c>
      <c r="I5265" s="26">
        <v>17296</v>
      </c>
      <c r="J5265" s="26">
        <v>76</v>
      </c>
      <c r="K5265" t="inlineStr">
        <is>
          <t>Non</t>
        </is>
      </c>
      <c r="L5265">
        <f>SUBTOTAL(103,A5265)</f>
        <v>1</v>
      </c>
    </row>
    <row r="5266">
      <c r="A5266" t="inlineStr">
        <is>
          <t>SOCIETE C336</t>
        </is>
      </c>
      <c r="B5266" t="inlineStr">
        <is>
          <t>C336</t>
        </is>
      </c>
      <c r="C5266" t="inlineStr">
        <is>
          <t>COMMERCIAL BANKING</t>
        </is>
      </c>
      <c r="D5266" t="inlineStr">
        <is>
          <t>II</t>
        </is>
      </c>
      <c r="E5266" t="inlineStr">
        <is>
          <t>Stage 2</t>
        </is>
      </c>
      <c r="F5266" t="inlineStr">
        <is>
          <t>N/A</t>
        </is>
      </c>
      <c r="G5266" s="26">
        <v>522861957</v>
      </c>
      <c r="H5266" s="26">
        <v>31371717</v>
      </c>
      <c r="I5266" s="26">
        <v>0</v>
      </c>
      <c r="J5266" s="26">
        <v>39</v>
      </c>
      <c r="K5266" t="inlineStr">
        <is>
          <t>Non</t>
        </is>
      </c>
      <c r="L5266">
        <f>SUBTOTAL(103,A5266)</f>
        <v>1</v>
      </c>
    </row>
    <row r="5267">
      <c r="A5267" t="inlineStr">
        <is>
          <t>SOCIETE C962</t>
        </is>
      </c>
      <c r="B5267" t="inlineStr">
        <is>
          <t>C962</t>
        </is>
      </c>
      <c r="C5267" t="inlineStr">
        <is>
          <t>PUBLIC SECTOR</t>
        </is>
      </c>
      <c r="D5267" t="inlineStr">
        <is>
          <t>I</t>
        </is>
      </c>
      <c r="E5267" t="inlineStr">
        <is>
          <t>Stage 1</t>
        </is>
      </c>
      <c r="F5267" t="inlineStr">
        <is>
          <t>N/A</t>
        </is>
      </c>
      <c r="G5267" s="26">
        <v>2456404568</v>
      </c>
      <c r="H5267" s="26">
        <v>24564046</v>
      </c>
      <c r="I5267" s="26">
        <v>0</v>
      </c>
      <c r="J5267" s="26">
        <v>17</v>
      </c>
      <c r="K5267" t="inlineStr">
        <is>
          <t>Non</t>
        </is>
      </c>
      <c r="L5267">
        <f>SUBTOTAL(103,A5267)</f>
        <v>1</v>
      </c>
    </row>
    <row r="5268">
      <c r="A5268" t="inlineStr">
        <is>
          <t>SOCIETE C1521</t>
        </is>
      </c>
      <c r="B5268" t="inlineStr">
        <is>
          <t>C1521</t>
        </is>
      </c>
      <c r="C5268" t="inlineStr">
        <is>
          <t>CORPORATE BANKING</t>
        </is>
      </c>
      <c r="D5268" t="inlineStr">
        <is>
          <t>IV</t>
        </is>
      </c>
      <c r="E5268" t="inlineStr">
        <is>
          <t>Stage 3</t>
        </is>
      </c>
      <c r="F5268" t="inlineStr">
        <is>
          <t>N/A</t>
        </is>
      </c>
      <c r="G5268" s="26">
        <v>50252126</v>
      </c>
      <c r="H5268" s="26">
        <v>27638669</v>
      </c>
      <c r="I5268" s="26">
        <v>0</v>
      </c>
      <c r="J5268" s="26">
        <v>140</v>
      </c>
      <c r="K5268" t="inlineStr">
        <is>
          <t>Oui</t>
        </is>
      </c>
      <c r="L5268">
        <f>SUBTOTAL(103,A5268)</f>
        <v>1</v>
      </c>
    </row>
    <row r="5269">
      <c r="A5269" t="inlineStr">
        <is>
          <t>SOCIETE C421</t>
        </is>
      </c>
      <c r="B5269" t="inlineStr">
        <is>
          <t>C421</t>
        </is>
      </c>
      <c r="C5269" t="inlineStr">
        <is>
          <t>CONSUMER BANKING</t>
        </is>
      </c>
      <c r="D5269" t="inlineStr">
        <is>
          <t>I</t>
        </is>
      </c>
      <c r="E5269" t="inlineStr">
        <is>
          <t>Stage 1</t>
        </is>
      </c>
      <c r="F5269" t="inlineStr">
        <is>
          <t>N/A</t>
        </is>
      </c>
      <c r="G5269" s="26">
        <v>805263140</v>
      </c>
      <c r="H5269" s="26">
        <v>8052631</v>
      </c>
      <c r="I5269" s="26">
        <v>0</v>
      </c>
      <c r="J5269" s="26">
        <v>195</v>
      </c>
      <c r="K5269" t="inlineStr">
        <is>
          <t>Non</t>
        </is>
      </c>
      <c r="L5269">
        <f>SUBTOTAL(103,A5269)</f>
        <v>1</v>
      </c>
    </row>
    <row r="5270">
      <c r="A5270" t="inlineStr">
        <is>
          <t>SOCIETE C1270</t>
        </is>
      </c>
      <c r="B5270" t="inlineStr">
        <is>
          <t>C1270</t>
        </is>
      </c>
      <c r="C5270" t="inlineStr">
        <is>
          <t>COMMERCIAL BANKING</t>
        </is>
      </c>
      <c r="D5270" t="inlineStr">
        <is>
          <t>IA</t>
        </is>
      </c>
      <c r="E5270" t="inlineStr">
        <is>
          <t>Stage 2</t>
        </is>
      </c>
      <c r="F5270" t="inlineStr">
        <is>
          <t>N/A</t>
        </is>
      </c>
      <c r="G5270" s="26">
        <v>1514050</v>
      </c>
      <c r="H5270" s="26">
        <v>90843</v>
      </c>
      <c r="I5270" s="26">
        <v>0</v>
      </c>
      <c r="J5270" s="26">
        <v>39</v>
      </c>
      <c r="K5270" t="inlineStr">
        <is>
          <t>Non</t>
        </is>
      </c>
      <c r="L5270">
        <f>SUBTOTAL(103,A5270)</f>
        <v>1</v>
      </c>
    </row>
    <row r="5271">
      <c r="A5271" t="inlineStr">
        <is>
          <t>SOCIETE C1038</t>
        </is>
      </c>
      <c r="B5271" t="inlineStr">
        <is>
          <t>C1038</t>
        </is>
      </c>
      <c r="C5271" t="inlineStr">
        <is>
          <t>COMMERCIAL BANKING</t>
        </is>
      </c>
      <c r="D5271" t="inlineStr">
        <is>
          <t>II</t>
        </is>
      </c>
      <c r="E5271" t="inlineStr">
        <is>
          <t>Stage 2</t>
        </is>
      </c>
      <c r="F5271" t="inlineStr">
        <is>
          <t>N/A</t>
        </is>
      </c>
      <c r="G5271" s="26">
        <v>1087863522</v>
      </c>
      <c r="H5271" s="26">
        <v>65271811</v>
      </c>
      <c r="I5271" s="26">
        <v>0</v>
      </c>
      <c r="J5271" s="26">
        <v>207</v>
      </c>
      <c r="K5271" t="inlineStr">
        <is>
          <t>Non</t>
        </is>
      </c>
      <c r="L5271">
        <f>SUBTOTAL(103,A5271)</f>
        <v>1</v>
      </c>
    </row>
    <row r="5272">
      <c r="A5272" t="inlineStr">
        <is>
          <t>SOCIETE C1275</t>
        </is>
      </c>
      <c r="B5272" t="inlineStr">
        <is>
          <t>C1275</t>
        </is>
      </c>
      <c r="C5272" t="inlineStr">
        <is>
          <t>CORPORATE BANKING</t>
        </is>
      </c>
      <c r="D5272" t="inlineStr">
        <is>
          <t>IA</t>
        </is>
      </c>
      <c r="E5272" t="inlineStr">
        <is>
          <t>Stage 2</t>
        </is>
      </c>
      <c r="F5272" t="inlineStr">
        <is>
          <t>N/A</t>
        </is>
      </c>
      <c r="G5272" s="26">
        <v>200437541</v>
      </c>
      <c r="H5272" s="26">
        <v>12026252</v>
      </c>
      <c r="I5272" s="26">
        <v>0</v>
      </c>
      <c r="J5272" s="26">
        <v>27</v>
      </c>
      <c r="K5272" t="inlineStr">
        <is>
          <t>Non</t>
        </is>
      </c>
      <c r="L5272">
        <f>SUBTOTAL(103,A5272)</f>
        <v>1</v>
      </c>
    </row>
    <row r="5273">
      <c r="A5273" t="inlineStr">
        <is>
          <t>SOCIETE C700</t>
        </is>
      </c>
      <c r="B5273" t="inlineStr">
        <is>
          <t>C700</t>
        </is>
      </c>
      <c r="C5273" t="inlineStr">
        <is>
          <t>COMMERCIAL BANKING</t>
        </is>
      </c>
      <c r="D5273" t="inlineStr">
        <is>
          <t>I</t>
        </is>
      </c>
      <c r="E5273" t="inlineStr">
        <is>
          <t>Stage 1</t>
        </is>
      </c>
      <c r="F5273" t="inlineStr">
        <is>
          <t>N/A</t>
        </is>
      </c>
      <c r="G5273" s="26">
        <v>865276067</v>
      </c>
      <c r="H5273" s="26">
        <v>8652761</v>
      </c>
      <c r="I5273" s="26">
        <v>99491171</v>
      </c>
      <c r="J5273" s="26">
        <v>36</v>
      </c>
      <c r="K5273" t="inlineStr">
        <is>
          <t>Non</t>
        </is>
      </c>
      <c r="L5273">
        <f>SUBTOTAL(103,A5273)</f>
        <v>1</v>
      </c>
    </row>
    <row r="5274">
      <c r="A5274" t="inlineStr">
        <is>
          <t>SOCIETE C2238</t>
        </is>
      </c>
      <c r="B5274" t="inlineStr">
        <is>
          <t>C2238</t>
        </is>
      </c>
      <c r="C5274" t="inlineStr">
        <is>
          <t>CORPORATE BANKING</t>
        </is>
      </c>
      <c r="D5274" t="inlineStr">
        <is>
          <t>V</t>
        </is>
      </c>
      <c r="E5274" t="inlineStr">
        <is>
          <t>Stage 3</t>
        </is>
      </c>
      <c r="F5274" t="inlineStr">
        <is>
          <t>N/A</t>
        </is>
      </c>
      <c r="G5274" s="26">
        <v>20097696</v>
      </c>
      <c r="H5274" s="26">
        <v>11053733</v>
      </c>
      <c r="I5274" s="26">
        <v>0</v>
      </c>
      <c r="J5274" s="26">
        <v>10</v>
      </c>
      <c r="K5274" t="inlineStr">
        <is>
          <t>Oui</t>
        </is>
      </c>
      <c r="L5274">
        <f>SUBTOTAL(103,A5274)</f>
        <v>1</v>
      </c>
    </row>
    <row r="5275">
      <c r="A5275" t="inlineStr">
        <is>
          <t>SOCIETE C2349</t>
        </is>
      </c>
      <c r="B5275" t="inlineStr">
        <is>
          <t>C2349</t>
        </is>
      </c>
      <c r="C5275" t="inlineStr">
        <is>
          <t>COMMERCIAL BANKING</t>
        </is>
      </c>
      <c r="D5275" t="inlineStr">
        <is>
          <t>IV</t>
        </is>
      </c>
      <c r="E5275" t="inlineStr">
        <is>
          <t>Stage 3</t>
        </is>
      </c>
      <c r="F5275" t="inlineStr">
        <is>
          <t>N/A</t>
        </is>
      </c>
      <c r="G5275" s="26">
        <v>1102769308</v>
      </c>
      <c r="H5275" s="26">
        <v>606523119</v>
      </c>
      <c r="I5275" s="26">
        <v>38503831</v>
      </c>
      <c r="J5275" s="26">
        <v>26</v>
      </c>
      <c r="K5275" t="inlineStr">
        <is>
          <t>Oui</t>
        </is>
      </c>
      <c r="L5275">
        <f>SUBTOTAL(103,A5275)</f>
        <v>1</v>
      </c>
    </row>
    <row r="5276">
      <c r="A5276" t="inlineStr">
        <is>
          <t>SOCIETE C2169</t>
        </is>
      </c>
      <c r="B5276" t="inlineStr">
        <is>
          <t>C2169</t>
        </is>
      </c>
      <c r="C5276" t="inlineStr">
        <is>
          <t>COMMERCIAL BANKING</t>
        </is>
      </c>
      <c r="D5276" t="inlineStr">
        <is>
          <t>II</t>
        </is>
      </c>
      <c r="E5276" t="inlineStr">
        <is>
          <t>Stage 2</t>
        </is>
      </c>
      <c r="F5276" t="inlineStr">
        <is>
          <t>N/A</t>
        </is>
      </c>
      <c r="G5276" s="26">
        <v>125178424</v>
      </c>
      <c r="H5276" s="26">
        <v>7510705</v>
      </c>
      <c r="I5276" s="26">
        <v>0</v>
      </c>
      <c r="J5276" s="26">
        <v>167</v>
      </c>
      <c r="K5276" t="inlineStr">
        <is>
          <t>Non</t>
        </is>
      </c>
      <c r="L5276">
        <f>SUBTOTAL(103,A5276)</f>
        <v>1</v>
      </c>
    </row>
    <row r="5277">
      <c r="A5277" t="inlineStr">
        <is>
          <t>SOCIETE C54</t>
        </is>
      </c>
      <c r="B5277" t="inlineStr">
        <is>
          <t>C54</t>
        </is>
      </c>
      <c r="C5277" t="inlineStr">
        <is>
          <t>COMMERCIAL BANKING</t>
        </is>
      </c>
      <c r="D5277" t="inlineStr">
        <is>
          <t>V</t>
        </is>
      </c>
      <c r="E5277" t="inlineStr">
        <is>
          <t>Stage 3</t>
        </is>
      </c>
      <c r="F5277" t="inlineStr">
        <is>
          <t>N/A</t>
        </is>
      </c>
      <c r="G5277" s="26">
        <v>9107130</v>
      </c>
      <c r="H5277" s="26">
        <v>5008921</v>
      </c>
      <c r="I5277" s="26">
        <v>0</v>
      </c>
      <c r="J5277" s="26">
        <v>21</v>
      </c>
      <c r="K5277" t="inlineStr">
        <is>
          <t>Oui</t>
        </is>
      </c>
      <c r="L5277">
        <f>SUBTOTAL(103,A5277)</f>
        <v>1</v>
      </c>
    </row>
    <row r="5278">
      <c r="A5278" t="inlineStr">
        <is>
          <t>SOCIETE C843</t>
        </is>
      </c>
      <c r="B5278" t="inlineStr">
        <is>
          <t>C843</t>
        </is>
      </c>
      <c r="C5278" t="inlineStr">
        <is>
          <t>CORPORATE BANKING</t>
        </is>
      </c>
      <c r="D5278" t="inlineStr">
        <is>
          <t>I</t>
        </is>
      </c>
      <c r="E5278" t="inlineStr">
        <is>
          <t>Stage 1</t>
        </is>
      </c>
      <c r="F5278" t="inlineStr">
        <is>
          <t>N/A</t>
        </is>
      </c>
      <c r="G5278" s="26">
        <v>720314875</v>
      </c>
      <c r="H5278" s="26">
        <v>7203149</v>
      </c>
      <c r="I5278" s="26">
        <v>117007973</v>
      </c>
      <c r="J5278" s="26">
        <v>95</v>
      </c>
      <c r="K5278" t="inlineStr">
        <is>
          <t>Non</t>
        </is>
      </c>
      <c r="L5278">
        <f>SUBTOTAL(103,A5278)</f>
        <v>1</v>
      </c>
    </row>
    <row r="5279">
      <c r="A5279" t="inlineStr">
        <is>
          <t>SOCIETE C2222</t>
        </is>
      </c>
      <c r="B5279" t="inlineStr">
        <is>
          <t>C2222</t>
        </is>
      </c>
      <c r="C5279" t="inlineStr">
        <is>
          <t>CORPORATE BANKING</t>
        </is>
      </c>
      <c r="D5279" t="inlineStr">
        <is>
          <t>III</t>
        </is>
      </c>
      <c r="E5279" t="inlineStr">
        <is>
          <t>Stage 3</t>
        </is>
      </c>
      <c r="F5279" t="inlineStr">
        <is>
          <t>N/A</t>
        </is>
      </c>
      <c r="G5279" s="26">
        <v>1847997988</v>
      </c>
      <c r="H5279" s="26">
        <v>1016398893</v>
      </c>
      <c r="I5279" s="26">
        <v>0</v>
      </c>
      <c r="J5279" s="26">
        <v>64</v>
      </c>
      <c r="K5279" t="inlineStr">
        <is>
          <t>Oui</t>
        </is>
      </c>
      <c r="L5279">
        <f>SUBTOTAL(103,A5279)</f>
        <v>1</v>
      </c>
    </row>
    <row r="5280">
      <c r="A5280" t="inlineStr">
        <is>
          <t>SOCIETE C1145</t>
        </is>
      </c>
      <c r="B5280" t="inlineStr">
        <is>
          <t>C1145</t>
        </is>
      </c>
      <c r="C5280" t="inlineStr">
        <is>
          <t>COMMERCIAL BANKING</t>
        </is>
      </c>
      <c r="D5280" t="inlineStr">
        <is>
          <t>IA</t>
        </is>
      </c>
      <c r="E5280" t="inlineStr">
        <is>
          <t>Stage 2</t>
        </is>
      </c>
      <c r="F5280" t="inlineStr">
        <is>
          <t>N/A</t>
        </is>
      </c>
      <c r="G5280" s="26">
        <v>906843644</v>
      </c>
      <c r="H5280" s="26">
        <v>54410619</v>
      </c>
      <c r="I5280" s="26">
        <v>0</v>
      </c>
      <c r="J5280" s="26">
        <v>25</v>
      </c>
      <c r="K5280" t="inlineStr">
        <is>
          <t>Non</t>
        </is>
      </c>
      <c r="L5280">
        <f>SUBTOTAL(103,A5280)</f>
        <v>1</v>
      </c>
    </row>
    <row r="5281">
      <c r="A5281" t="inlineStr">
        <is>
          <t>SOCIETE C1643</t>
        </is>
      </c>
      <c r="B5281" t="inlineStr">
        <is>
          <t>C1643</t>
        </is>
      </c>
      <c r="C5281" t="inlineStr">
        <is>
          <t>CORPORATE BANKING</t>
        </is>
      </c>
      <c r="D5281" t="inlineStr">
        <is>
          <t>I</t>
        </is>
      </c>
      <c r="E5281" t="inlineStr">
        <is>
          <t>Stage 1</t>
        </is>
      </c>
      <c r="F5281" t="inlineStr">
        <is>
          <t>N/A</t>
        </is>
      </c>
      <c r="G5281" s="26">
        <v>2370864024</v>
      </c>
      <c r="H5281" s="26">
        <v>23708640</v>
      </c>
      <c r="I5281" s="26">
        <v>0</v>
      </c>
      <c r="J5281" s="26">
        <v>58</v>
      </c>
      <c r="K5281" t="inlineStr">
        <is>
          <t>Non</t>
        </is>
      </c>
      <c r="L5281">
        <f>SUBTOTAL(103,A5281)</f>
        <v>1</v>
      </c>
    </row>
    <row r="5282">
      <c r="A5282" t="inlineStr">
        <is>
          <t>SOCIETE C430</t>
        </is>
      </c>
      <c r="B5282" t="inlineStr">
        <is>
          <t>C430</t>
        </is>
      </c>
      <c r="C5282" t="inlineStr">
        <is>
          <t>CONSUMER BANKING</t>
        </is>
      </c>
      <c r="D5282" t="inlineStr">
        <is>
          <t>II</t>
        </is>
      </c>
      <c r="E5282" t="inlineStr">
        <is>
          <t>Stage 2</t>
        </is>
      </c>
      <c r="F5282" t="inlineStr">
        <is>
          <t>N/A</t>
        </is>
      </c>
      <c r="G5282" s="26">
        <v>1818721</v>
      </c>
      <c r="H5282" s="26">
        <v>109123</v>
      </c>
      <c r="I5282" s="26">
        <v>174482</v>
      </c>
      <c r="J5282" s="26">
        <v>8</v>
      </c>
      <c r="K5282" t="inlineStr">
        <is>
          <t>Non</t>
        </is>
      </c>
      <c r="L5282">
        <f>SUBTOTAL(103,A5282)</f>
        <v>1</v>
      </c>
    </row>
    <row r="5283">
      <c r="A5283" t="inlineStr">
        <is>
          <t>SOCIETE C1483</t>
        </is>
      </c>
      <c r="B5283" t="inlineStr">
        <is>
          <t>C1483</t>
        </is>
      </c>
      <c r="C5283" t="inlineStr">
        <is>
          <t>CORPORATE BANKING</t>
        </is>
      </c>
      <c r="D5283" t="inlineStr">
        <is>
          <t>II</t>
        </is>
      </c>
      <c r="E5283" t="inlineStr">
        <is>
          <t>Stage 2</t>
        </is>
      </c>
      <c r="F5283" t="inlineStr">
        <is>
          <t>N/A</t>
        </is>
      </c>
      <c r="G5283" s="26">
        <v>752668768</v>
      </c>
      <c r="H5283" s="26">
        <v>45160126</v>
      </c>
      <c r="I5283" s="26">
        <v>0</v>
      </c>
      <c r="J5283" s="26">
        <v>105</v>
      </c>
      <c r="K5283" t="inlineStr">
        <is>
          <t>Non</t>
        </is>
      </c>
      <c r="L5283">
        <f>SUBTOTAL(103,A5283)</f>
        <v>1</v>
      </c>
    </row>
    <row r="5284">
      <c r="A5284" t="inlineStr">
        <is>
          <t>SOCIETE C2213</t>
        </is>
      </c>
      <c r="B5284" t="inlineStr">
        <is>
          <t>C2213</t>
        </is>
      </c>
      <c r="C5284" t="inlineStr">
        <is>
          <t>CORPORATE BANKING</t>
        </is>
      </c>
      <c r="D5284" t="inlineStr">
        <is>
          <t>I</t>
        </is>
      </c>
      <c r="E5284" t="inlineStr">
        <is>
          <t>Stage 1</t>
        </is>
      </c>
      <c r="F5284" t="inlineStr">
        <is>
          <t>N/A</t>
        </is>
      </c>
      <c r="G5284" s="26">
        <v>92067143</v>
      </c>
      <c r="H5284" s="26">
        <v>920671</v>
      </c>
      <c r="I5284" s="26">
        <v>0</v>
      </c>
      <c r="J5284" s="26">
        <v>93</v>
      </c>
      <c r="K5284" t="inlineStr">
        <is>
          <t>Non</t>
        </is>
      </c>
      <c r="L5284">
        <f>SUBTOTAL(103,A5284)</f>
        <v>1</v>
      </c>
    </row>
    <row r="5285">
      <c r="A5285" t="inlineStr">
        <is>
          <t>SOCIETE C833</t>
        </is>
      </c>
      <c r="B5285" t="inlineStr">
        <is>
          <t>C833</t>
        </is>
      </c>
      <c r="C5285" t="inlineStr">
        <is>
          <t>CONSUMER BANKING</t>
        </is>
      </c>
      <c r="D5285" t="inlineStr">
        <is>
          <t>IA</t>
        </is>
      </c>
      <c r="E5285" t="inlineStr">
        <is>
          <t>Stage 2</t>
        </is>
      </c>
      <c r="F5285" t="inlineStr">
        <is>
          <t>N/A</t>
        </is>
      </c>
      <c r="G5285" s="26">
        <v>1697441298</v>
      </c>
      <c r="H5285" s="26">
        <v>101846478</v>
      </c>
      <c r="I5285" s="26">
        <v>0</v>
      </c>
      <c r="J5285" s="26">
        <v>273</v>
      </c>
      <c r="K5285" t="inlineStr">
        <is>
          <t>Non</t>
        </is>
      </c>
      <c r="L5285">
        <f>SUBTOTAL(103,A5285)</f>
        <v>1</v>
      </c>
    </row>
    <row r="5286">
      <c r="A5286" t="inlineStr">
        <is>
          <t>SOCIETE C1419</t>
        </is>
      </c>
      <c r="B5286" t="inlineStr">
        <is>
          <t>C1419</t>
        </is>
      </c>
      <c r="C5286" t="inlineStr">
        <is>
          <t>COMMERCIAL BANKING</t>
        </is>
      </c>
      <c r="D5286" t="inlineStr">
        <is>
          <t>V</t>
        </is>
      </c>
      <c r="E5286" t="inlineStr">
        <is>
          <t>Stage 3</t>
        </is>
      </c>
      <c r="F5286" t="inlineStr">
        <is>
          <t>N/A</t>
        </is>
      </c>
      <c r="G5286" s="26">
        <v>570716271</v>
      </c>
      <c r="H5286" s="26">
        <v>313893949</v>
      </c>
      <c r="I5286" s="26">
        <v>0</v>
      </c>
      <c r="J5286" s="26">
        <v>210</v>
      </c>
      <c r="K5286" t="inlineStr">
        <is>
          <t>Oui</t>
        </is>
      </c>
      <c r="L5286">
        <f>SUBTOTAL(103,A5286)</f>
        <v>1</v>
      </c>
    </row>
    <row r="5287">
      <c r="A5287" t="inlineStr">
        <is>
          <t>SOCIETE C1163</t>
        </is>
      </c>
      <c r="B5287" t="inlineStr">
        <is>
          <t>C1163</t>
        </is>
      </c>
      <c r="C5287" t="inlineStr">
        <is>
          <t>COMMERCIAL BANKING</t>
        </is>
      </c>
      <c r="D5287" t="inlineStr">
        <is>
          <t>IV</t>
        </is>
      </c>
      <c r="E5287" t="inlineStr">
        <is>
          <t>Stage 3</t>
        </is>
      </c>
      <c r="F5287" t="inlineStr">
        <is>
          <t>N/A</t>
        </is>
      </c>
      <c r="G5287" s="26">
        <v>66416386</v>
      </c>
      <c r="H5287" s="26">
        <v>36529012</v>
      </c>
      <c r="I5287" s="26">
        <v>2906625</v>
      </c>
      <c r="J5287" s="26">
        <v>6</v>
      </c>
      <c r="K5287" t="inlineStr">
        <is>
          <t>Oui</t>
        </is>
      </c>
      <c r="L5287">
        <f>SUBTOTAL(103,A5287)</f>
        <v>1</v>
      </c>
    </row>
    <row r="5288">
      <c r="A5288" t="inlineStr">
        <is>
          <t>SOCIETE C1676</t>
        </is>
      </c>
      <c r="B5288" t="inlineStr">
        <is>
          <t>C1676</t>
        </is>
      </c>
      <c r="C5288" t="inlineStr">
        <is>
          <t>CONSUMER BANKING</t>
        </is>
      </c>
      <c r="D5288" t="inlineStr">
        <is>
          <t>IV</t>
        </is>
      </c>
      <c r="E5288" t="inlineStr">
        <is>
          <t>Stage 3</t>
        </is>
      </c>
      <c r="F5288" t="inlineStr">
        <is>
          <t>N/A</t>
        </is>
      </c>
      <c r="G5288" s="26">
        <v>455492537</v>
      </c>
      <c r="H5288" s="26">
        <v>250520895</v>
      </c>
      <c r="I5288" s="26">
        <v>0</v>
      </c>
      <c r="J5288" s="26">
        <v>31</v>
      </c>
      <c r="K5288" t="inlineStr">
        <is>
          <t>Oui</t>
        </is>
      </c>
      <c r="L5288">
        <f>SUBTOTAL(103,A5288)</f>
        <v>1</v>
      </c>
    </row>
    <row r="5289">
      <c r="A5289" t="inlineStr">
        <is>
          <t>SOCIETE C666</t>
        </is>
      </c>
      <c r="B5289" t="inlineStr">
        <is>
          <t>C666</t>
        </is>
      </c>
      <c r="C5289" t="inlineStr">
        <is>
          <t>COMMERCIAL BANKING</t>
        </is>
      </c>
      <c r="D5289" t="inlineStr">
        <is>
          <t>I</t>
        </is>
      </c>
      <c r="E5289" t="inlineStr">
        <is>
          <t>Stage 1</t>
        </is>
      </c>
      <c r="F5289" t="inlineStr">
        <is>
          <t>N/A</t>
        </is>
      </c>
      <c r="G5289" s="26">
        <v>153743045</v>
      </c>
      <c r="H5289" s="26">
        <v>1537430</v>
      </c>
      <c r="I5289" s="26">
        <v>0</v>
      </c>
      <c r="J5289" s="26">
        <v>19</v>
      </c>
      <c r="K5289" t="inlineStr">
        <is>
          <t>Non</t>
        </is>
      </c>
      <c r="L5289">
        <f>SUBTOTAL(103,A5289)</f>
        <v>1</v>
      </c>
    </row>
    <row r="5290">
      <c r="A5290" t="inlineStr">
        <is>
          <t>SOCIETE C297</t>
        </is>
      </c>
      <c r="B5290" t="inlineStr">
        <is>
          <t>C297</t>
        </is>
      </c>
      <c r="C5290" t="inlineStr">
        <is>
          <t>PUBLIC SECTOR</t>
        </is>
      </c>
      <c r="D5290" t="inlineStr">
        <is>
          <t>III</t>
        </is>
      </c>
      <c r="E5290" t="inlineStr">
        <is>
          <t>Stage 3</t>
        </is>
      </c>
      <c r="F5290" t="inlineStr">
        <is>
          <t>N/A</t>
        </is>
      </c>
      <c r="G5290" s="26">
        <v>520693080</v>
      </c>
      <c r="H5290" s="26">
        <v>286381194</v>
      </c>
      <c r="I5290" s="26">
        <v>0</v>
      </c>
      <c r="J5290" s="26">
        <v>362</v>
      </c>
      <c r="K5290" t="inlineStr">
        <is>
          <t>Oui</t>
        </is>
      </c>
      <c r="L5290">
        <f>SUBTOTAL(103,A5290)</f>
        <v>1</v>
      </c>
    </row>
    <row r="5291">
      <c r="A5291" t="inlineStr">
        <is>
          <t>SOCIETE C1006</t>
        </is>
      </c>
      <c r="B5291" t="inlineStr">
        <is>
          <t>C1006</t>
        </is>
      </c>
      <c r="C5291" t="inlineStr">
        <is>
          <t>PUBLIC SECTOR</t>
        </is>
      </c>
      <c r="D5291" t="inlineStr">
        <is>
          <t>III</t>
        </is>
      </c>
      <c r="E5291" t="inlineStr">
        <is>
          <t>Stage 3</t>
        </is>
      </c>
      <c r="F5291" t="inlineStr">
        <is>
          <t>N/A</t>
        </is>
      </c>
      <c r="G5291" s="26">
        <v>1052519</v>
      </c>
      <c r="H5291" s="26">
        <v>578885</v>
      </c>
      <c r="I5291" s="26">
        <v>0</v>
      </c>
      <c r="J5291" s="26">
        <v>135</v>
      </c>
      <c r="K5291" t="inlineStr">
        <is>
          <t>Oui</t>
        </is>
      </c>
      <c r="L5291">
        <f>SUBTOTAL(103,A5291)</f>
        <v>1</v>
      </c>
    </row>
    <row r="5292">
      <c r="A5292" t="inlineStr">
        <is>
          <t>SOCIETE C316</t>
        </is>
      </c>
      <c r="B5292" t="inlineStr">
        <is>
          <t>C316</t>
        </is>
      </c>
      <c r="C5292" t="inlineStr">
        <is>
          <t>CORPORATE BANKING</t>
        </is>
      </c>
      <c r="D5292" t="inlineStr">
        <is>
          <t>I</t>
        </is>
      </c>
      <c r="E5292" t="inlineStr">
        <is>
          <t>Stage 1</t>
        </is>
      </c>
      <c r="F5292" t="inlineStr">
        <is>
          <t>N/A</t>
        </is>
      </c>
      <c r="G5292" s="26">
        <v>2299057855</v>
      </c>
      <c r="H5292" s="26">
        <v>22990579</v>
      </c>
      <c r="I5292" s="26">
        <v>0</v>
      </c>
      <c r="J5292" s="26">
        <v>205</v>
      </c>
      <c r="K5292" t="inlineStr">
        <is>
          <t>Non</t>
        </is>
      </c>
      <c r="L5292">
        <f>SUBTOTAL(103,A5292)</f>
        <v>1</v>
      </c>
    </row>
    <row r="5293">
      <c r="A5293" t="inlineStr">
        <is>
          <t>SOCIETE C1903</t>
        </is>
      </c>
      <c r="B5293" t="inlineStr">
        <is>
          <t>C1903</t>
        </is>
      </c>
      <c r="C5293" t="inlineStr">
        <is>
          <t>CORPORATE BANKING</t>
        </is>
      </c>
      <c r="D5293" t="inlineStr">
        <is>
          <t>IV</t>
        </is>
      </c>
      <c r="E5293" t="inlineStr">
        <is>
          <t>Stage 3</t>
        </is>
      </c>
      <c r="F5293" t="inlineStr">
        <is>
          <t>N/A</t>
        </is>
      </c>
      <c r="G5293" s="26">
        <v>2471135291</v>
      </c>
      <c r="H5293" s="26">
        <v>1359124410</v>
      </c>
      <c r="I5293" s="26">
        <v>0</v>
      </c>
      <c r="J5293" s="26">
        <v>0</v>
      </c>
      <c r="K5293" t="inlineStr">
        <is>
          <t>Oui</t>
        </is>
      </c>
      <c r="L5293">
        <f>SUBTOTAL(103,A5293)</f>
        <v>1</v>
      </c>
    </row>
    <row r="5294">
      <c r="A5294" t="inlineStr">
        <is>
          <t>SOCIETE C262</t>
        </is>
      </c>
      <c r="B5294" t="inlineStr">
        <is>
          <t>C262</t>
        </is>
      </c>
      <c r="C5294" t="inlineStr">
        <is>
          <t>CORPORATE BANKING</t>
        </is>
      </c>
      <c r="D5294" t="inlineStr">
        <is>
          <t>I</t>
        </is>
      </c>
      <c r="E5294" t="inlineStr">
        <is>
          <t>Stage 1</t>
        </is>
      </c>
      <c r="F5294" t="inlineStr">
        <is>
          <t>N/A</t>
        </is>
      </c>
      <c r="G5294" s="26">
        <v>1035047452</v>
      </c>
      <c r="H5294" s="26">
        <v>10350475</v>
      </c>
      <c r="I5294" s="26">
        <v>0</v>
      </c>
      <c r="J5294" s="26">
        <v>54</v>
      </c>
      <c r="K5294" t="inlineStr">
        <is>
          <t>Non</t>
        </is>
      </c>
      <c r="L5294">
        <f>SUBTOTAL(103,A5294)</f>
        <v>1</v>
      </c>
    </row>
    <row r="5295">
      <c r="A5295" t="inlineStr">
        <is>
          <t>SOCIETE C1166</t>
        </is>
      </c>
      <c r="B5295" t="inlineStr">
        <is>
          <t>C1166</t>
        </is>
      </c>
      <c r="C5295" t="inlineStr">
        <is>
          <t>CORPORATE BANKING</t>
        </is>
      </c>
      <c r="D5295" t="inlineStr">
        <is>
          <t>I</t>
        </is>
      </c>
      <c r="E5295" t="inlineStr">
        <is>
          <t>Stage 1</t>
        </is>
      </c>
      <c r="F5295" t="inlineStr">
        <is>
          <t>N/A</t>
        </is>
      </c>
      <c r="G5295" s="26">
        <v>825761441</v>
      </c>
      <c r="H5295" s="26">
        <v>8257614</v>
      </c>
      <c r="I5295" s="26">
        <v>61822697</v>
      </c>
      <c r="J5295" s="26">
        <v>151</v>
      </c>
      <c r="K5295" t="inlineStr">
        <is>
          <t>Non</t>
        </is>
      </c>
      <c r="L5295">
        <f>SUBTOTAL(103,A5295)</f>
        <v>1</v>
      </c>
    </row>
    <row r="5296">
      <c r="A5296" t="inlineStr">
        <is>
          <t>SOCIETE C1968</t>
        </is>
      </c>
      <c r="B5296" t="inlineStr">
        <is>
          <t>C1968</t>
        </is>
      </c>
      <c r="C5296" t="inlineStr">
        <is>
          <t>CORPORATE BANKING</t>
        </is>
      </c>
      <c r="D5296" t="inlineStr">
        <is>
          <t>I</t>
        </is>
      </c>
      <c r="E5296" t="inlineStr">
        <is>
          <t>Stage 1</t>
        </is>
      </c>
      <c r="F5296" t="inlineStr">
        <is>
          <t>N/A</t>
        </is>
      </c>
      <c r="G5296" s="26">
        <v>174759816</v>
      </c>
      <c r="H5296" s="26">
        <v>1747598</v>
      </c>
      <c r="I5296" s="26">
        <v>0</v>
      </c>
      <c r="J5296" s="26">
        <v>20</v>
      </c>
      <c r="K5296" t="inlineStr">
        <is>
          <t>Non</t>
        </is>
      </c>
      <c r="L5296">
        <f>SUBTOTAL(103,A5296)</f>
        <v>1</v>
      </c>
    </row>
    <row r="5297">
      <c r="A5297" t="inlineStr">
        <is>
          <t>SOCIETE C892</t>
        </is>
      </c>
      <c r="B5297" t="inlineStr">
        <is>
          <t>C892</t>
        </is>
      </c>
      <c r="C5297" t="inlineStr">
        <is>
          <t>CONSUMER BANKING</t>
        </is>
      </c>
      <c r="D5297" t="inlineStr">
        <is>
          <t>V</t>
        </is>
      </c>
      <c r="E5297" t="inlineStr">
        <is>
          <t>Stage 3</t>
        </is>
      </c>
      <c r="F5297" t="inlineStr">
        <is>
          <t>N/A</t>
        </is>
      </c>
      <c r="G5297" s="26">
        <v>1930769078</v>
      </c>
      <c r="H5297" s="26">
        <v>1061922993</v>
      </c>
      <c r="I5297" s="26">
        <v>291754478</v>
      </c>
      <c r="J5297" s="26">
        <v>127</v>
      </c>
      <c r="K5297" t="inlineStr">
        <is>
          <t>Oui</t>
        </is>
      </c>
      <c r="L5297">
        <f>SUBTOTAL(103,A5297)</f>
        <v>1</v>
      </c>
    </row>
    <row r="5298">
      <c r="A5298" t="inlineStr">
        <is>
          <t>SOCIETE C1443</t>
        </is>
      </c>
      <c r="B5298" t="inlineStr">
        <is>
          <t>C1443</t>
        </is>
      </c>
      <c r="C5298" t="inlineStr">
        <is>
          <t>CORPORATE BANKING</t>
        </is>
      </c>
      <c r="D5298" t="inlineStr">
        <is>
          <t>II</t>
        </is>
      </c>
      <c r="E5298" t="inlineStr">
        <is>
          <t>Stage 2</t>
        </is>
      </c>
      <c r="F5298" t="inlineStr">
        <is>
          <t>N/A</t>
        </is>
      </c>
      <c r="G5298" s="26">
        <v>388188609</v>
      </c>
      <c r="H5298" s="26">
        <v>23291317</v>
      </c>
      <c r="I5298" s="26">
        <v>0</v>
      </c>
      <c r="J5298" s="26">
        <v>53</v>
      </c>
      <c r="K5298" t="inlineStr">
        <is>
          <t>Non</t>
        </is>
      </c>
      <c r="L5298">
        <f>SUBTOTAL(103,A5298)</f>
        <v>1</v>
      </c>
    </row>
    <row r="5299">
      <c r="A5299" t="inlineStr">
        <is>
          <t>SOCIETE C2144</t>
        </is>
      </c>
      <c r="B5299" t="inlineStr">
        <is>
          <t>C2144</t>
        </is>
      </c>
      <c r="C5299" t="inlineStr">
        <is>
          <t>CORPORATE BANKING</t>
        </is>
      </c>
      <c r="D5299" t="inlineStr">
        <is>
          <t>II</t>
        </is>
      </c>
      <c r="E5299" t="inlineStr">
        <is>
          <t>Stage 2</t>
        </is>
      </c>
      <c r="F5299" t="inlineStr">
        <is>
          <t>N/A</t>
        </is>
      </c>
      <c r="G5299" s="26">
        <v>1876029334</v>
      </c>
      <c r="H5299" s="26">
        <v>112561760</v>
      </c>
      <c r="I5299" s="26">
        <v>0</v>
      </c>
      <c r="J5299" s="26">
        <v>206</v>
      </c>
      <c r="K5299" t="inlineStr">
        <is>
          <t>Non</t>
        </is>
      </c>
      <c r="L5299">
        <f>SUBTOTAL(103,A5299)</f>
        <v>1</v>
      </c>
    </row>
    <row r="5300">
      <c r="A5300" t="inlineStr">
        <is>
          <t>SOCIETE C285</t>
        </is>
      </c>
      <c r="B5300" t="inlineStr">
        <is>
          <t>C285</t>
        </is>
      </c>
      <c r="C5300" t="inlineStr">
        <is>
          <t>COMMERCIAL BANKING</t>
        </is>
      </c>
      <c r="D5300" t="inlineStr">
        <is>
          <t>IA</t>
        </is>
      </c>
      <c r="E5300" t="inlineStr">
        <is>
          <t>Stage 2</t>
        </is>
      </c>
      <c r="F5300" t="inlineStr">
        <is>
          <t>N/A</t>
        </is>
      </c>
      <c r="G5300" s="26">
        <v>844155696</v>
      </c>
      <c r="H5300" s="26">
        <v>50649342</v>
      </c>
      <c r="I5300" s="26">
        <v>0</v>
      </c>
      <c r="J5300" s="26">
        <v>9</v>
      </c>
      <c r="K5300" t="inlineStr">
        <is>
          <t>Non</t>
        </is>
      </c>
      <c r="L5300">
        <f>SUBTOTAL(103,A5300)</f>
        <v>1</v>
      </c>
    </row>
    <row r="5301">
      <c r="A5301" t="inlineStr">
        <is>
          <t>SOCIETE C2352</t>
        </is>
      </c>
      <c r="B5301" t="inlineStr">
        <is>
          <t>C2352</t>
        </is>
      </c>
      <c r="C5301" t="inlineStr">
        <is>
          <t>CORPORATE BANKING</t>
        </is>
      </c>
      <c r="D5301" t="inlineStr">
        <is>
          <t>I</t>
        </is>
      </c>
      <c r="E5301" t="inlineStr">
        <is>
          <t>Stage 1</t>
        </is>
      </c>
      <c r="F5301" t="inlineStr">
        <is>
          <t>N/A</t>
        </is>
      </c>
      <c r="G5301" s="26">
        <v>66478087</v>
      </c>
      <c r="H5301" s="26">
        <v>664781</v>
      </c>
      <c r="I5301" s="26">
        <v>0</v>
      </c>
      <c r="J5301" s="26">
        <v>2</v>
      </c>
      <c r="K5301" t="inlineStr">
        <is>
          <t>Non</t>
        </is>
      </c>
      <c r="L5301">
        <f>SUBTOTAL(103,A5301)</f>
        <v>1</v>
      </c>
    </row>
    <row r="5302">
      <c r="A5302" t="inlineStr">
        <is>
          <t>SOCIETE C1847</t>
        </is>
      </c>
      <c r="B5302" t="inlineStr">
        <is>
          <t>C1847</t>
        </is>
      </c>
      <c r="C5302" t="inlineStr">
        <is>
          <t>CORPORATE BANKING</t>
        </is>
      </c>
      <c r="D5302" t="inlineStr">
        <is>
          <t>I</t>
        </is>
      </c>
      <c r="E5302" t="inlineStr">
        <is>
          <t>Stage 1</t>
        </is>
      </c>
      <c r="F5302" t="inlineStr">
        <is>
          <t>N/A</t>
        </is>
      </c>
      <c r="G5302" s="26">
        <v>678455839</v>
      </c>
      <c r="H5302" s="26">
        <v>6784558</v>
      </c>
      <c r="I5302" s="26">
        <v>106041640</v>
      </c>
      <c r="J5302" s="26">
        <v>50</v>
      </c>
      <c r="K5302" t="inlineStr">
        <is>
          <t>Non</t>
        </is>
      </c>
      <c r="L5302">
        <f>SUBTOTAL(103,A5302)</f>
        <v>1</v>
      </c>
    </row>
    <row r="5303">
      <c r="A5303" t="inlineStr">
        <is>
          <t>SOCIETE C511</t>
        </is>
      </c>
      <c r="B5303" t="inlineStr">
        <is>
          <t>C511</t>
        </is>
      </c>
      <c r="C5303" t="inlineStr">
        <is>
          <t>CORPORATE BANKING</t>
        </is>
      </c>
      <c r="D5303" t="inlineStr">
        <is>
          <t>IV</t>
        </is>
      </c>
      <c r="E5303" t="inlineStr">
        <is>
          <t>Stage 3</t>
        </is>
      </c>
      <c r="F5303" t="inlineStr">
        <is>
          <t>N/A</t>
        </is>
      </c>
      <c r="G5303" s="26">
        <v>2747297658</v>
      </c>
      <c r="H5303" s="26">
        <v>1511013712</v>
      </c>
      <c r="I5303" s="26">
        <v>0</v>
      </c>
      <c r="J5303" s="26">
        <v>75</v>
      </c>
      <c r="K5303" t="inlineStr">
        <is>
          <t>Oui</t>
        </is>
      </c>
      <c r="L5303">
        <f>SUBTOTAL(103,A5303)</f>
        <v>1</v>
      </c>
    </row>
    <row r="5304">
      <c r="A5304" t="inlineStr">
        <is>
          <t>SOCIETE C1600</t>
        </is>
      </c>
      <c r="B5304" t="inlineStr">
        <is>
          <t>C1600</t>
        </is>
      </c>
      <c r="C5304" t="inlineStr">
        <is>
          <t>PUBLIC SECTOR</t>
        </is>
      </c>
      <c r="D5304" t="inlineStr">
        <is>
          <t>III</t>
        </is>
      </c>
      <c r="E5304" t="inlineStr">
        <is>
          <t>Stage 3</t>
        </is>
      </c>
      <c r="F5304" t="inlineStr">
        <is>
          <t>N/A</t>
        </is>
      </c>
      <c r="G5304" s="26">
        <v>636443553</v>
      </c>
      <c r="H5304" s="26">
        <v>350043954</v>
      </c>
      <c r="I5304" s="26">
        <v>38071072</v>
      </c>
      <c r="J5304" s="26">
        <v>16</v>
      </c>
      <c r="K5304" t="inlineStr">
        <is>
          <t>Oui</t>
        </is>
      </c>
      <c r="L5304">
        <f>SUBTOTAL(103,A5304)</f>
        <v>1</v>
      </c>
    </row>
    <row r="5305">
      <c r="A5305" t="inlineStr">
        <is>
          <t>SOCIETE C1905</t>
        </is>
      </c>
      <c r="B5305" t="inlineStr">
        <is>
          <t>C1905</t>
        </is>
      </c>
      <c r="C5305" t="inlineStr">
        <is>
          <t>PUBLIC SECTOR</t>
        </is>
      </c>
      <c r="D5305" t="inlineStr">
        <is>
          <t>III</t>
        </is>
      </c>
      <c r="E5305" t="inlineStr">
        <is>
          <t>Stage 3</t>
        </is>
      </c>
      <c r="F5305" t="inlineStr">
        <is>
          <t>N/A</t>
        </is>
      </c>
      <c r="G5305" s="26">
        <v>452015306</v>
      </c>
      <c r="H5305" s="26">
        <v>248608419</v>
      </c>
      <c r="I5305" s="26">
        <v>0</v>
      </c>
      <c r="J5305" s="26">
        <v>164</v>
      </c>
      <c r="K5305" t="inlineStr">
        <is>
          <t>Oui</t>
        </is>
      </c>
      <c r="L5305">
        <f>SUBTOTAL(103,A5305)</f>
        <v>1</v>
      </c>
    </row>
    <row r="5306">
      <c r="A5306" t="inlineStr">
        <is>
          <t>SOCIETE C580</t>
        </is>
      </c>
      <c r="B5306" t="inlineStr">
        <is>
          <t>C580</t>
        </is>
      </c>
      <c r="C5306" t="inlineStr">
        <is>
          <t>CORPORATE BANKING</t>
        </is>
      </c>
      <c r="D5306" t="inlineStr">
        <is>
          <t>I</t>
        </is>
      </c>
      <c r="E5306" t="inlineStr">
        <is>
          <t>Stage 1</t>
        </is>
      </c>
      <c r="F5306" t="inlineStr">
        <is>
          <t>N/A</t>
        </is>
      </c>
      <c r="G5306" s="26">
        <v>2226362552</v>
      </c>
      <c r="H5306" s="26">
        <v>22263626</v>
      </c>
      <c r="I5306" s="26">
        <v>269721176</v>
      </c>
      <c r="J5306" s="26">
        <v>173</v>
      </c>
      <c r="K5306" t="inlineStr">
        <is>
          <t>Non</t>
        </is>
      </c>
      <c r="L5306">
        <f>SUBTOTAL(103,A5306)</f>
        <v>1</v>
      </c>
    </row>
    <row r="5307">
      <c r="A5307" t="inlineStr">
        <is>
          <t>SOCIETE C2211</t>
        </is>
      </c>
      <c r="B5307" t="inlineStr">
        <is>
          <t>C2211</t>
        </is>
      </c>
      <c r="C5307" t="inlineStr">
        <is>
          <t>CORPORATE BANKING</t>
        </is>
      </c>
      <c r="D5307" t="inlineStr">
        <is>
          <t>I</t>
        </is>
      </c>
      <c r="E5307" t="inlineStr">
        <is>
          <t>Stage 1</t>
        </is>
      </c>
      <c r="F5307" t="inlineStr">
        <is>
          <t>N/A</t>
        </is>
      </c>
      <c r="G5307" s="26">
        <v>1077141245</v>
      </c>
      <c r="H5307" s="26">
        <v>10771412</v>
      </c>
      <c r="I5307" s="26">
        <v>0</v>
      </c>
      <c r="J5307" s="26">
        <v>176</v>
      </c>
      <c r="K5307" t="inlineStr">
        <is>
          <t>Non</t>
        </is>
      </c>
      <c r="L5307">
        <f>SUBTOTAL(103,A5307)</f>
        <v>1</v>
      </c>
    </row>
    <row r="5308">
      <c r="A5308" t="inlineStr">
        <is>
          <t>SOCIETE C304</t>
        </is>
      </c>
      <c r="B5308" t="inlineStr">
        <is>
          <t>C304</t>
        </is>
      </c>
      <c r="C5308" t="inlineStr">
        <is>
          <t>CORPORATE BANKING</t>
        </is>
      </c>
      <c r="D5308" t="inlineStr">
        <is>
          <t>V</t>
        </is>
      </c>
      <c r="E5308" t="inlineStr">
        <is>
          <t>Stage 3</t>
        </is>
      </c>
      <c r="F5308" t="inlineStr">
        <is>
          <t>N/A</t>
        </is>
      </c>
      <c r="G5308" s="26">
        <v>278184819</v>
      </c>
      <c r="H5308" s="26">
        <v>153001650</v>
      </c>
      <c r="I5308" s="26">
        <v>0</v>
      </c>
      <c r="J5308" s="26">
        <v>50</v>
      </c>
      <c r="K5308" t="inlineStr">
        <is>
          <t>Oui</t>
        </is>
      </c>
      <c r="L5308">
        <f>SUBTOTAL(103,A5308)</f>
        <v>1</v>
      </c>
    </row>
    <row r="5309">
      <c r="A5309" t="inlineStr">
        <is>
          <t>SOCIETE C25</t>
        </is>
      </c>
      <c r="B5309" t="inlineStr">
        <is>
          <t>C25</t>
        </is>
      </c>
      <c r="C5309" t="inlineStr">
        <is>
          <t>CORPORATE BANKING</t>
        </is>
      </c>
      <c r="D5309" t="inlineStr">
        <is>
          <t>IV</t>
        </is>
      </c>
      <c r="E5309" t="inlineStr">
        <is>
          <t>Stage 3</t>
        </is>
      </c>
      <c r="F5309" t="inlineStr">
        <is>
          <t>N/A</t>
        </is>
      </c>
      <c r="G5309" s="26">
        <v>1349003438</v>
      </c>
      <c r="H5309" s="26">
        <v>741951891</v>
      </c>
      <c r="I5309" s="26">
        <v>0</v>
      </c>
      <c r="J5309" s="26">
        <v>289</v>
      </c>
      <c r="K5309" t="inlineStr">
        <is>
          <t>Oui</t>
        </is>
      </c>
      <c r="L5309">
        <f>SUBTOTAL(103,A5309)</f>
        <v>1</v>
      </c>
    </row>
    <row r="5310">
      <c r="A5310" t="inlineStr">
        <is>
          <t>SOCIETE C2478</t>
        </is>
      </c>
      <c r="B5310" t="inlineStr">
        <is>
          <t>C2478</t>
        </is>
      </c>
      <c r="C5310" t="inlineStr">
        <is>
          <t>COMMERCIAL BANKING</t>
        </is>
      </c>
      <c r="D5310" t="inlineStr">
        <is>
          <t>IA</t>
        </is>
      </c>
      <c r="E5310" t="inlineStr">
        <is>
          <t>Stage 2</t>
        </is>
      </c>
      <c r="F5310" t="inlineStr">
        <is>
          <t>N/A</t>
        </is>
      </c>
      <c r="G5310" s="26">
        <v>1371851</v>
      </c>
      <c r="H5310" s="26">
        <v>82311</v>
      </c>
      <c r="I5310" s="26">
        <v>0</v>
      </c>
      <c r="J5310" s="26">
        <v>152</v>
      </c>
      <c r="K5310" t="inlineStr">
        <is>
          <t>Non</t>
        </is>
      </c>
      <c r="L5310">
        <f>SUBTOTAL(103,A5310)</f>
        <v>1</v>
      </c>
    </row>
    <row r="5311">
      <c r="A5311" t="inlineStr">
        <is>
          <t>SOCIETE C980</t>
        </is>
      </c>
      <c r="B5311" t="inlineStr">
        <is>
          <t>C980</t>
        </is>
      </c>
      <c r="C5311" t="inlineStr">
        <is>
          <t>PUBLIC SECTOR</t>
        </is>
      </c>
      <c r="D5311" t="inlineStr">
        <is>
          <t>IA</t>
        </is>
      </c>
      <c r="E5311" t="inlineStr">
        <is>
          <t>Stage 2</t>
        </is>
      </c>
      <c r="F5311" t="inlineStr">
        <is>
          <t>N/A</t>
        </is>
      </c>
      <c r="G5311" s="26">
        <v>42094148</v>
      </c>
      <c r="H5311" s="26">
        <v>2525649</v>
      </c>
      <c r="I5311" s="26">
        <v>6530489</v>
      </c>
      <c r="J5311" s="26">
        <v>59</v>
      </c>
      <c r="K5311" t="inlineStr">
        <is>
          <t>Non</t>
        </is>
      </c>
      <c r="L5311">
        <f>SUBTOTAL(103,A5311)</f>
        <v>1</v>
      </c>
    </row>
    <row r="5312">
      <c r="A5312" t="inlineStr">
        <is>
          <t>SOCIETE C1301</t>
        </is>
      </c>
      <c r="B5312" t="inlineStr">
        <is>
          <t>C1301</t>
        </is>
      </c>
      <c r="C5312" t="inlineStr">
        <is>
          <t>CORPORATE BANKING</t>
        </is>
      </c>
      <c r="D5312" t="inlineStr">
        <is>
          <t>II</t>
        </is>
      </c>
      <c r="E5312" t="inlineStr">
        <is>
          <t>Stage 2</t>
        </is>
      </c>
      <c r="F5312" t="inlineStr">
        <is>
          <t>N/A</t>
        </is>
      </c>
      <c r="G5312" s="26">
        <v>2387312970</v>
      </c>
      <c r="H5312" s="26">
        <v>143238778</v>
      </c>
      <c r="I5312" s="26">
        <v>381352861</v>
      </c>
      <c r="J5312" s="26">
        <v>243</v>
      </c>
      <c r="K5312" t="inlineStr">
        <is>
          <t>Non</t>
        </is>
      </c>
      <c r="L5312">
        <f>SUBTOTAL(103,A5312)</f>
        <v>1</v>
      </c>
    </row>
    <row r="5313">
      <c r="A5313" t="inlineStr">
        <is>
          <t>SOCIETE C1132</t>
        </is>
      </c>
      <c r="B5313" t="inlineStr">
        <is>
          <t>C1132</t>
        </is>
      </c>
      <c r="C5313" t="inlineStr">
        <is>
          <t>COMMERCIAL BANKING</t>
        </is>
      </c>
      <c r="D5313" t="inlineStr">
        <is>
          <t>IV</t>
        </is>
      </c>
      <c r="E5313" t="inlineStr">
        <is>
          <t>Stage 3</t>
        </is>
      </c>
      <c r="F5313" t="inlineStr">
        <is>
          <t>N/A</t>
        </is>
      </c>
      <c r="G5313" s="26">
        <v>3595334</v>
      </c>
      <c r="H5313" s="26">
        <v>1977434</v>
      </c>
      <c r="I5313" s="26">
        <v>459750</v>
      </c>
      <c r="J5313" s="26">
        <v>323</v>
      </c>
      <c r="K5313" t="inlineStr">
        <is>
          <t>Oui</t>
        </is>
      </c>
      <c r="L5313">
        <f>SUBTOTAL(103,A5313)</f>
        <v>1</v>
      </c>
    </row>
    <row r="5314">
      <c r="A5314" t="inlineStr">
        <is>
          <t>SOCIETE C2371</t>
        </is>
      </c>
      <c r="B5314" t="inlineStr">
        <is>
          <t>C2371</t>
        </is>
      </c>
      <c r="C5314" t="inlineStr">
        <is>
          <t>CORPORATE BANKING</t>
        </is>
      </c>
      <c r="D5314" t="inlineStr">
        <is>
          <t>I</t>
        </is>
      </c>
      <c r="E5314" t="inlineStr">
        <is>
          <t>Stage 1</t>
        </is>
      </c>
      <c r="F5314" t="inlineStr">
        <is>
          <t>N/A</t>
        </is>
      </c>
      <c r="G5314" s="26">
        <v>193098410</v>
      </c>
      <c r="H5314" s="26">
        <v>1930984</v>
      </c>
      <c r="I5314" s="26">
        <v>0</v>
      </c>
      <c r="J5314" s="26">
        <v>231</v>
      </c>
      <c r="K5314" t="inlineStr">
        <is>
          <t>Non</t>
        </is>
      </c>
      <c r="L5314">
        <f>SUBTOTAL(103,A5314)</f>
        <v>1</v>
      </c>
    </row>
    <row r="5315">
      <c r="A5315" t="inlineStr">
        <is>
          <t>SOCIETE C2234</t>
        </is>
      </c>
      <c r="B5315" t="inlineStr">
        <is>
          <t>C2234</t>
        </is>
      </c>
      <c r="C5315" t="inlineStr">
        <is>
          <t>COMMERCIAL BANKING</t>
        </is>
      </c>
      <c r="D5315" t="inlineStr">
        <is>
          <t>III</t>
        </is>
      </c>
      <c r="E5315" t="inlineStr">
        <is>
          <t>Stage 3</t>
        </is>
      </c>
      <c r="F5315" t="inlineStr">
        <is>
          <t>N/A</t>
        </is>
      </c>
      <c r="G5315" s="26">
        <v>500132123</v>
      </c>
      <c r="H5315" s="26">
        <v>275072667</v>
      </c>
      <c r="I5315" s="26">
        <v>0</v>
      </c>
      <c r="J5315" s="26">
        <v>198</v>
      </c>
      <c r="K5315" t="inlineStr">
        <is>
          <t>Oui</t>
        </is>
      </c>
      <c r="L5315">
        <f>SUBTOTAL(103,A5315)</f>
        <v>1</v>
      </c>
    </row>
    <row r="5316">
      <c r="A5316" t="inlineStr">
        <is>
          <t>SOCIETE C97</t>
        </is>
      </c>
      <c r="B5316" t="inlineStr">
        <is>
          <t>C97</t>
        </is>
      </c>
      <c r="C5316" t="inlineStr">
        <is>
          <t>CORPORATE BANKING</t>
        </is>
      </c>
      <c r="D5316" t="inlineStr">
        <is>
          <t>IA</t>
        </is>
      </c>
      <c r="E5316" t="inlineStr">
        <is>
          <t>Stage 2</t>
        </is>
      </c>
      <c r="F5316" t="inlineStr">
        <is>
          <t>N/A</t>
        </is>
      </c>
      <c r="G5316" s="26">
        <v>1934635184</v>
      </c>
      <c r="H5316" s="26">
        <v>116078111</v>
      </c>
      <c r="I5316" s="26">
        <v>0</v>
      </c>
      <c r="J5316" s="26">
        <v>11</v>
      </c>
      <c r="K5316" t="inlineStr">
        <is>
          <t>Non</t>
        </is>
      </c>
      <c r="L5316">
        <f>SUBTOTAL(103,A5316)</f>
        <v>1</v>
      </c>
    </row>
    <row r="5317">
      <c r="A5317" t="inlineStr">
        <is>
          <t>SOCIETE C1169</t>
        </is>
      </c>
      <c r="B5317" t="inlineStr">
        <is>
          <t>C1169</t>
        </is>
      </c>
      <c r="C5317" t="inlineStr">
        <is>
          <t>CORPORATE BANKING</t>
        </is>
      </c>
      <c r="D5317" t="inlineStr">
        <is>
          <t>I</t>
        </is>
      </c>
      <c r="E5317" t="inlineStr">
        <is>
          <t>Stage 1</t>
        </is>
      </c>
      <c r="F5317" t="inlineStr">
        <is>
          <t>N/A</t>
        </is>
      </c>
      <c r="G5317" s="26">
        <v>602039836</v>
      </c>
      <c r="H5317" s="26">
        <v>6020398</v>
      </c>
      <c r="I5317" s="26">
        <v>17920005</v>
      </c>
      <c r="J5317" s="26">
        <v>124</v>
      </c>
      <c r="K5317" t="inlineStr">
        <is>
          <t>Non</t>
        </is>
      </c>
      <c r="L5317">
        <f>SUBTOTAL(103,A5317)</f>
        <v>1</v>
      </c>
    </row>
    <row r="5318">
      <c r="A5318" t="inlineStr">
        <is>
          <t>SOCIETE C1287</t>
        </is>
      </c>
      <c r="B5318" t="inlineStr">
        <is>
          <t>C1287</t>
        </is>
      </c>
      <c r="C5318" t="inlineStr">
        <is>
          <t>CORPORATE BANKING</t>
        </is>
      </c>
      <c r="D5318" t="inlineStr">
        <is>
          <t>II</t>
        </is>
      </c>
      <c r="E5318" t="inlineStr">
        <is>
          <t>Stage 2</t>
        </is>
      </c>
      <c r="F5318" t="inlineStr">
        <is>
          <t>N/A</t>
        </is>
      </c>
      <c r="G5318" s="26">
        <v>2133893426</v>
      </c>
      <c r="H5318" s="26">
        <v>128033606</v>
      </c>
      <c r="I5318" s="26">
        <v>0</v>
      </c>
      <c r="J5318" s="26">
        <v>172</v>
      </c>
      <c r="K5318" t="inlineStr">
        <is>
          <t>Non</t>
        </is>
      </c>
      <c r="L5318">
        <f>SUBTOTAL(103,A5318)</f>
        <v>1</v>
      </c>
    </row>
    <row r="5319">
      <c r="A5319" t="inlineStr">
        <is>
          <t>SOCIETE C1281</t>
        </is>
      </c>
      <c r="B5319" t="inlineStr">
        <is>
          <t>C1281</t>
        </is>
      </c>
      <c r="C5319" t="inlineStr">
        <is>
          <t>COMMERCIAL BANKING</t>
        </is>
      </c>
      <c r="D5319" t="inlineStr">
        <is>
          <t>IA</t>
        </is>
      </c>
      <c r="E5319" t="inlineStr">
        <is>
          <t>Stage 2</t>
        </is>
      </c>
      <c r="F5319" t="inlineStr">
        <is>
          <t>N/A</t>
        </is>
      </c>
      <c r="G5319" s="26">
        <v>4025846</v>
      </c>
      <c r="H5319" s="26">
        <v>241551</v>
      </c>
      <c r="I5319" s="26">
        <v>0</v>
      </c>
      <c r="J5319" s="26">
        <v>56</v>
      </c>
      <c r="K5319" t="inlineStr">
        <is>
          <t>Non</t>
        </is>
      </c>
      <c r="L5319">
        <f>SUBTOTAL(103,A5319)</f>
        <v>1</v>
      </c>
    </row>
    <row r="5320">
      <c r="A5320" t="inlineStr">
        <is>
          <t>SOCIETE C1787</t>
        </is>
      </c>
      <c r="B5320" t="inlineStr">
        <is>
          <t>C1787</t>
        </is>
      </c>
      <c r="C5320" t="inlineStr">
        <is>
          <t>CORPORATE BANKING</t>
        </is>
      </c>
      <c r="D5320" t="inlineStr">
        <is>
          <t>I</t>
        </is>
      </c>
      <c r="E5320" t="inlineStr">
        <is>
          <t>Stage 1</t>
        </is>
      </c>
      <c r="F5320" t="inlineStr">
        <is>
          <t>N/A</t>
        </is>
      </c>
      <c r="G5320" s="26">
        <v>1274310882</v>
      </c>
      <c r="H5320" s="26">
        <v>12743109</v>
      </c>
      <c r="I5320" s="26">
        <v>28084101</v>
      </c>
      <c r="J5320" s="26">
        <v>3</v>
      </c>
      <c r="K5320" t="inlineStr">
        <is>
          <t>Non</t>
        </is>
      </c>
      <c r="L5320">
        <f>SUBTOTAL(103,A5320)</f>
        <v>1</v>
      </c>
    </row>
    <row r="5321">
      <c r="A5321" t="inlineStr">
        <is>
          <t>SOCIETE C1418</t>
        </is>
      </c>
      <c r="B5321" t="inlineStr">
        <is>
          <t>C1418</t>
        </is>
      </c>
      <c r="C5321" t="inlineStr">
        <is>
          <t>PUBLIC SECTOR</t>
        </is>
      </c>
      <c r="D5321" t="inlineStr">
        <is>
          <t>IA</t>
        </is>
      </c>
      <c r="E5321" t="inlineStr">
        <is>
          <t>Stage 2</t>
        </is>
      </c>
      <c r="F5321" t="inlineStr">
        <is>
          <t>N/A</t>
        </is>
      </c>
      <c r="G5321" s="26">
        <v>2719304498</v>
      </c>
      <c r="H5321" s="26">
        <v>163158270</v>
      </c>
      <c r="I5321" s="26">
        <v>0</v>
      </c>
      <c r="J5321" s="26">
        <v>127</v>
      </c>
      <c r="K5321" t="inlineStr">
        <is>
          <t>Non</t>
        </is>
      </c>
      <c r="L5321">
        <f>SUBTOTAL(103,A5321)</f>
        <v>1</v>
      </c>
    </row>
    <row r="5322">
      <c r="A5322" t="inlineStr">
        <is>
          <t>SOCIETE C1474</t>
        </is>
      </c>
      <c r="B5322" t="inlineStr">
        <is>
          <t>C1474</t>
        </is>
      </c>
      <c r="C5322" t="inlineStr">
        <is>
          <t>CORPORATE BANKING</t>
        </is>
      </c>
      <c r="D5322" t="inlineStr">
        <is>
          <t>II</t>
        </is>
      </c>
      <c r="E5322" t="inlineStr">
        <is>
          <t>Stage 2</t>
        </is>
      </c>
      <c r="F5322" t="inlineStr">
        <is>
          <t>N/A</t>
        </is>
      </c>
      <c r="G5322" s="26">
        <v>172350312</v>
      </c>
      <c r="H5322" s="26">
        <v>10341019</v>
      </c>
      <c r="I5322" s="26">
        <v>0</v>
      </c>
      <c r="J5322" s="26">
        <v>272</v>
      </c>
      <c r="K5322" t="inlineStr">
        <is>
          <t>Non</t>
        </is>
      </c>
      <c r="L5322">
        <f>SUBTOTAL(103,A5322)</f>
        <v>1</v>
      </c>
    </row>
    <row r="5323">
      <c r="A5323" t="inlineStr">
        <is>
          <t>SOCIETE C2375</t>
        </is>
      </c>
      <c r="B5323" t="inlineStr">
        <is>
          <t>C2375</t>
        </is>
      </c>
      <c r="C5323" t="inlineStr">
        <is>
          <t>CORPORATE BANKING</t>
        </is>
      </c>
      <c r="D5323" t="inlineStr">
        <is>
          <t>V</t>
        </is>
      </c>
      <c r="E5323" t="inlineStr">
        <is>
          <t>Stage 3</t>
        </is>
      </c>
      <c r="F5323" t="inlineStr">
        <is>
          <t>N/A</t>
        </is>
      </c>
      <c r="G5323" s="26">
        <v>5381964</v>
      </c>
      <c r="H5323" s="26">
        <v>2960080</v>
      </c>
      <c r="I5323" s="26">
        <v>55275</v>
      </c>
      <c r="J5323" s="26">
        <v>1</v>
      </c>
      <c r="K5323" t="inlineStr">
        <is>
          <t>Oui</t>
        </is>
      </c>
      <c r="L5323">
        <f>SUBTOTAL(103,A5323)</f>
        <v>1</v>
      </c>
    </row>
    <row r="5324">
      <c r="A5324" t="inlineStr">
        <is>
          <t>SOCIETE C987</t>
        </is>
      </c>
      <c r="B5324" t="inlineStr">
        <is>
          <t>C987</t>
        </is>
      </c>
      <c r="C5324" t="inlineStr">
        <is>
          <t>CORPORATE BANKING</t>
        </is>
      </c>
      <c r="D5324" t="inlineStr">
        <is>
          <t>I</t>
        </is>
      </c>
      <c r="E5324" t="inlineStr">
        <is>
          <t>Stage 1</t>
        </is>
      </c>
      <c r="F5324" t="inlineStr">
        <is>
          <t>N/A</t>
        </is>
      </c>
      <c r="G5324" s="26">
        <v>3748695</v>
      </c>
      <c r="H5324" s="26">
        <v>37487</v>
      </c>
      <c r="I5324" s="26">
        <v>0</v>
      </c>
      <c r="J5324" s="26">
        <v>41</v>
      </c>
      <c r="K5324" t="inlineStr">
        <is>
          <t>Non</t>
        </is>
      </c>
      <c r="L5324">
        <f>SUBTOTAL(103,A5324)</f>
        <v>1</v>
      </c>
    </row>
    <row r="5325">
      <c r="A5325" t="inlineStr">
        <is>
          <t>SOCIETE C1529</t>
        </is>
      </c>
      <c r="B5325" t="inlineStr">
        <is>
          <t>C1529</t>
        </is>
      </c>
      <c r="C5325" t="inlineStr">
        <is>
          <t>PUBLIC SECTOR</t>
        </is>
      </c>
      <c r="D5325" t="inlineStr">
        <is>
          <t>I</t>
        </is>
      </c>
      <c r="E5325" t="inlineStr">
        <is>
          <t>Stage 1</t>
        </is>
      </c>
      <c r="F5325" t="inlineStr">
        <is>
          <t>N/A</t>
        </is>
      </c>
      <c r="G5325" s="26">
        <v>432154909</v>
      </c>
      <c r="H5325" s="26">
        <v>4321549</v>
      </c>
      <c r="I5325" s="26">
        <v>0</v>
      </c>
      <c r="J5325" s="26">
        <v>56</v>
      </c>
      <c r="K5325" t="inlineStr">
        <is>
          <t>Non</t>
        </is>
      </c>
      <c r="L5325">
        <f>SUBTOTAL(103,A5325)</f>
        <v>1</v>
      </c>
    </row>
    <row r="5326">
      <c r="A5326" t="inlineStr">
        <is>
          <t>SOCIETE C2373</t>
        </is>
      </c>
      <c r="B5326" t="inlineStr">
        <is>
          <t>C2373</t>
        </is>
      </c>
      <c r="C5326" t="inlineStr">
        <is>
          <t>CORPORATE BANKING</t>
        </is>
      </c>
      <c r="D5326" t="inlineStr">
        <is>
          <t>I</t>
        </is>
      </c>
      <c r="E5326" t="inlineStr">
        <is>
          <t>Stage 1</t>
        </is>
      </c>
      <c r="F5326" t="inlineStr">
        <is>
          <t>N/A</t>
        </is>
      </c>
      <c r="G5326" s="26">
        <v>2695497499</v>
      </c>
      <c r="H5326" s="26">
        <v>26954975</v>
      </c>
      <c r="I5326" s="26">
        <v>0</v>
      </c>
      <c r="J5326" s="26">
        <v>105</v>
      </c>
      <c r="K5326" t="inlineStr">
        <is>
          <t>Non</t>
        </is>
      </c>
      <c r="L5326">
        <f>SUBTOTAL(103,A5326)</f>
        <v>1</v>
      </c>
    </row>
    <row r="5327">
      <c r="A5327" t="inlineStr">
        <is>
          <t>SOCIETE C127</t>
        </is>
      </c>
      <c r="B5327" t="inlineStr">
        <is>
          <t>C127</t>
        </is>
      </c>
      <c r="C5327" t="inlineStr">
        <is>
          <t>COMMERCIAL BANKING</t>
        </is>
      </c>
      <c r="D5327" t="inlineStr">
        <is>
          <t>IA</t>
        </is>
      </c>
      <c r="E5327" t="inlineStr">
        <is>
          <t>Stage 2</t>
        </is>
      </c>
      <c r="F5327" t="inlineStr">
        <is>
          <t>N/A</t>
        </is>
      </c>
      <c r="G5327" s="26">
        <v>173182480</v>
      </c>
      <c r="H5327" s="26">
        <v>10390949</v>
      </c>
      <c r="I5327" s="26">
        <v>0</v>
      </c>
      <c r="J5327" s="26">
        <v>13</v>
      </c>
      <c r="K5327" t="inlineStr">
        <is>
          <t>Non</t>
        </is>
      </c>
      <c r="L5327">
        <f>SUBTOTAL(103,A5327)</f>
        <v>1</v>
      </c>
    </row>
    <row r="5328">
      <c r="A5328" t="inlineStr">
        <is>
          <t>SOCIETE C1512</t>
        </is>
      </c>
      <c r="B5328" t="inlineStr">
        <is>
          <t>C1512</t>
        </is>
      </c>
      <c r="C5328" t="inlineStr">
        <is>
          <t>PUBLIC SECTOR</t>
        </is>
      </c>
      <c r="D5328" t="inlineStr">
        <is>
          <t>IA</t>
        </is>
      </c>
      <c r="E5328" t="inlineStr">
        <is>
          <t>Stage 2</t>
        </is>
      </c>
      <c r="F5328" t="inlineStr">
        <is>
          <t>N/A</t>
        </is>
      </c>
      <c r="G5328" s="26">
        <v>1251730014</v>
      </c>
      <c r="H5328" s="26">
        <v>75103801</v>
      </c>
      <c r="I5328" s="26">
        <v>0</v>
      </c>
      <c r="J5328" s="26">
        <v>28</v>
      </c>
      <c r="K5328" t="inlineStr">
        <is>
          <t>Non</t>
        </is>
      </c>
      <c r="L5328">
        <f>SUBTOTAL(103,A5328)</f>
        <v>1</v>
      </c>
    </row>
    <row r="5329">
      <c r="A5329" t="inlineStr">
        <is>
          <t>SOCIETE C2404</t>
        </is>
      </c>
      <c r="B5329" t="inlineStr">
        <is>
          <t>C2404</t>
        </is>
      </c>
      <c r="C5329" t="inlineStr">
        <is>
          <t>CORPORATE BANKING</t>
        </is>
      </c>
      <c r="D5329" t="inlineStr">
        <is>
          <t>I</t>
        </is>
      </c>
      <c r="E5329" t="inlineStr">
        <is>
          <t>Stage 1</t>
        </is>
      </c>
      <c r="F5329" t="inlineStr">
        <is>
          <t>N/A</t>
        </is>
      </c>
      <c r="G5329" s="26">
        <v>506160746</v>
      </c>
      <c r="H5329" s="26">
        <v>5061607</v>
      </c>
      <c r="I5329" s="26">
        <v>0</v>
      </c>
      <c r="J5329" s="26">
        <v>85</v>
      </c>
      <c r="K5329" t="inlineStr">
        <is>
          <t>Non</t>
        </is>
      </c>
      <c r="L5329">
        <f>SUBTOTAL(103,A5329)</f>
        <v>1</v>
      </c>
    </row>
    <row r="5330">
      <c r="A5330" t="inlineStr">
        <is>
          <t>SOCIETE C302</t>
        </is>
      </c>
      <c r="B5330" t="inlineStr">
        <is>
          <t>C302</t>
        </is>
      </c>
      <c r="C5330" t="inlineStr">
        <is>
          <t>PUBLIC SECTOR</t>
        </is>
      </c>
      <c r="D5330" t="inlineStr">
        <is>
          <t>IA</t>
        </is>
      </c>
      <c r="E5330" t="inlineStr">
        <is>
          <t>Stage 2</t>
        </is>
      </c>
      <c r="F5330" t="inlineStr">
        <is>
          <t>N/A</t>
        </is>
      </c>
      <c r="G5330" s="26">
        <v>2593705011</v>
      </c>
      <c r="H5330" s="26">
        <v>155622301</v>
      </c>
      <c r="I5330" s="26">
        <v>0</v>
      </c>
      <c r="J5330" s="26">
        <v>42</v>
      </c>
      <c r="K5330" t="inlineStr">
        <is>
          <t>Non</t>
        </is>
      </c>
      <c r="L5330">
        <f>SUBTOTAL(103,A5330)</f>
        <v>1</v>
      </c>
    </row>
    <row r="5331">
      <c r="A5331" t="inlineStr">
        <is>
          <t>SOCIETE C338</t>
        </is>
      </c>
      <c r="B5331" t="inlineStr">
        <is>
          <t>C338</t>
        </is>
      </c>
      <c r="C5331" t="inlineStr">
        <is>
          <t>PUBLIC SECTOR</t>
        </is>
      </c>
      <c r="D5331" t="inlineStr">
        <is>
          <t>I</t>
        </is>
      </c>
      <c r="E5331" t="inlineStr">
        <is>
          <t>Stage 1</t>
        </is>
      </c>
      <c r="F5331" t="inlineStr">
        <is>
          <t>N/A</t>
        </is>
      </c>
      <c r="G5331" s="26">
        <v>1342769497</v>
      </c>
      <c r="H5331" s="26">
        <v>13427695</v>
      </c>
      <c r="I5331" s="26">
        <v>0</v>
      </c>
      <c r="J5331" s="26">
        <v>59</v>
      </c>
      <c r="K5331" t="inlineStr">
        <is>
          <t>Non</t>
        </is>
      </c>
      <c r="L5331">
        <f>SUBTOTAL(103,A5331)</f>
        <v>1</v>
      </c>
    </row>
    <row r="5332">
      <c r="A5332" t="inlineStr">
        <is>
          <t>SOCIETE C2446</t>
        </is>
      </c>
      <c r="B5332" t="inlineStr">
        <is>
          <t>C2446</t>
        </is>
      </c>
      <c r="C5332" t="inlineStr">
        <is>
          <t>SME</t>
        </is>
      </c>
      <c r="D5332" t="inlineStr">
        <is>
          <t>III</t>
        </is>
      </c>
      <c r="E5332" t="inlineStr">
        <is>
          <t>Stage 3</t>
        </is>
      </c>
      <c r="F5332" t="inlineStr">
        <is>
          <t>N/A</t>
        </is>
      </c>
      <c r="G5332" s="26">
        <v>76118271</v>
      </c>
      <c r="H5332" s="26">
        <v>41865049</v>
      </c>
      <c r="I5332" s="26">
        <v>1287187</v>
      </c>
      <c r="J5332" s="26">
        <v>24</v>
      </c>
      <c r="K5332" t="inlineStr">
        <is>
          <t>Oui</t>
        </is>
      </c>
      <c r="L5332">
        <f>SUBTOTAL(103,A5332)</f>
        <v>1</v>
      </c>
    </row>
    <row r="5333">
      <c r="A5333" t="inlineStr">
        <is>
          <t>SOCIETE C790</t>
        </is>
      </c>
      <c r="B5333" t="inlineStr">
        <is>
          <t>C790</t>
        </is>
      </c>
      <c r="C5333" t="inlineStr">
        <is>
          <t>CORPORATE BANKING</t>
        </is>
      </c>
      <c r="D5333" t="inlineStr">
        <is>
          <t>I</t>
        </is>
      </c>
      <c r="E5333" t="inlineStr">
        <is>
          <t>Stage 1</t>
        </is>
      </c>
      <c r="F5333" t="inlineStr">
        <is>
          <t>N/A</t>
        </is>
      </c>
      <c r="G5333" s="26">
        <v>180147651</v>
      </c>
      <c r="H5333" s="26">
        <v>1801477</v>
      </c>
      <c r="I5333" s="26">
        <v>15235216</v>
      </c>
      <c r="J5333" s="26">
        <v>121</v>
      </c>
      <c r="K5333" t="inlineStr">
        <is>
          <t>Non</t>
        </is>
      </c>
      <c r="L5333">
        <f>SUBTOTAL(103,A5333)</f>
        <v>1</v>
      </c>
    </row>
    <row r="5334">
      <c r="A5334" t="inlineStr">
        <is>
          <t>SOCIETE C389</t>
        </is>
      </c>
      <c r="B5334" t="inlineStr">
        <is>
          <t>C389</t>
        </is>
      </c>
      <c r="C5334" t="inlineStr">
        <is>
          <t>CORPORATE BANKING</t>
        </is>
      </c>
      <c r="D5334" t="inlineStr">
        <is>
          <t>IA</t>
        </is>
      </c>
      <c r="E5334" t="inlineStr">
        <is>
          <t>Stage 2</t>
        </is>
      </c>
      <c r="F5334" t="inlineStr">
        <is>
          <t>N/A</t>
        </is>
      </c>
      <c r="G5334" s="26">
        <v>365477945</v>
      </c>
      <c r="H5334" s="26">
        <v>21928677</v>
      </c>
      <c r="I5334" s="26">
        <v>37622122</v>
      </c>
      <c r="J5334" s="26">
        <v>174</v>
      </c>
      <c r="K5334" t="inlineStr">
        <is>
          <t>Non</t>
        </is>
      </c>
      <c r="L5334">
        <f>SUBTOTAL(103,A5334)</f>
        <v>1</v>
      </c>
    </row>
    <row r="5335">
      <c r="A5335" t="inlineStr">
        <is>
          <t>SOCIETE C930</t>
        </is>
      </c>
      <c r="B5335" t="inlineStr">
        <is>
          <t>C930</t>
        </is>
      </c>
      <c r="C5335" t="inlineStr">
        <is>
          <t>PUBLIC SECTOR</t>
        </is>
      </c>
      <c r="D5335" t="inlineStr">
        <is>
          <t>IA</t>
        </is>
      </c>
      <c r="E5335" t="inlineStr">
        <is>
          <t>Stage 2</t>
        </is>
      </c>
      <c r="F5335" t="inlineStr">
        <is>
          <t>N/A</t>
        </is>
      </c>
      <c r="G5335" s="26">
        <v>256893440</v>
      </c>
      <c r="H5335" s="26">
        <v>15413606</v>
      </c>
      <c r="I5335" s="26">
        <v>43767445</v>
      </c>
      <c r="J5335" s="26">
        <v>74</v>
      </c>
      <c r="K5335" t="inlineStr">
        <is>
          <t>Non</t>
        </is>
      </c>
      <c r="L5335">
        <f>SUBTOTAL(103,A5335)</f>
        <v>1</v>
      </c>
    </row>
    <row r="5336">
      <c r="A5336" t="inlineStr">
        <is>
          <t>SOCIETE C2340</t>
        </is>
      </c>
      <c r="B5336" t="inlineStr">
        <is>
          <t>C2340</t>
        </is>
      </c>
      <c r="C5336" t="inlineStr">
        <is>
          <t>CORPORATE BANKING</t>
        </is>
      </c>
      <c r="D5336" t="inlineStr">
        <is>
          <t>IA</t>
        </is>
      </c>
      <c r="E5336" t="inlineStr">
        <is>
          <t>Stage 2</t>
        </is>
      </c>
      <c r="F5336" t="inlineStr">
        <is>
          <t>N/A</t>
        </is>
      </c>
      <c r="G5336" s="26">
        <v>1669981590</v>
      </c>
      <c r="H5336" s="26">
        <v>100198895</v>
      </c>
      <c r="I5336" s="26">
        <v>220982175</v>
      </c>
      <c r="J5336" s="26">
        <v>8</v>
      </c>
      <c r="K5336" t="inlineStr">
        <is>
          <t>Non</t>
        </is>
      </c>
      <c r="L5336">
        <f>SUBTOTAL(103,A5336)</f>
        <v>1</v>
      </c>
    </row>
    <row r="5337">
      <c r="A5337" t="inlineStr">
        <is>
          <t>SOCIETE C2495</t>
        </is>
      </c>
      <c r="B5337" t="inlineStr">
        <is>
          <t>C2495</t>
        </is>
      </c>
      <c r="C5337" t="inlineStr">
        <is>
          <t>COMMERCIAL BANKING</t>
        </is>
      </c>
      <c r="D5337" t="inlineStr">
        <is>
          <t>II</t>
        </is>
      </c>
      <c r="E5337" t="inlineStr">
        <is>
          <t>Stage 2</t>
        </is>
      </c>
      <c r="F5337" t="inlineStr">
        <is>
          <t>N/A</t>
        </is>
      </c>
      <c r="G5337" s="26">
        <v>2001298843</v>
      </c>
      <c r="H5337" s="26">
        <v>120077931</v>
      </c>
      <c r="I5337" s="26">
        <v>0</v>
      </c>
      <c r="J5337" s="26">
        <v>43</v>
      </c>
      <c r="K5337" t="inlineStr">
        <is>
          <t>Non</t>
        </is>
      </c>
      <c r="L5337">
        <f>SUBTOTAL(103,A5337)</f>
        <v>1</v>
      </c>
    </row>
    <row r="5338">
      <c r="A5338" t="inlineStr">
        <is>
          <t>SOCIETE C143</t>
        </is>
      </c>
      <c r="B5338" t="inlineStr">
        <is>
          <t>C143</t>
        </is>
      </c>
      <c r="C5338" t="inlineStr">
        <is>
          <t>CORPORATE BANKING</t>
        </is>
      </c>
      <c r="D5338" t="inlineStr">
        <is>
          <t>I</t>
        </is>
      </c>
      <c r="E5338" t="inlineStr">
        <is>
          <t>Stage 1</t>
        </is>
      </c>
      <c r="F5338" t="inlineStr">
        <is>
          <t>N/A</t>
        </is>
      </c>
      <c r="G5338" s="26">
        <v>100339449</v>
      </c>
      <c r="H5338" s="26">
        <v>1003394</v>
      </c>
      <c r="I5338" s="26">
        <v>0</v>
      </c>
      <c r="J5338" s="26">
        <v>126</v>
      </c>
      <c r="K5338" t="inlineStr">
        <is>
          <t>Non</t>
        </is>
      </c>
      <c r="L5338">
        <f>SUBTOTAL(103,A5338)</f>
        <v>1</v>
      </c>
    </row>
    <row r="5339">
      <c r="A5339" t="inlineStr">
        <is>
          <t>SOCIETE C1015</t>
        </is>
      </c>
      <c r="B5339" t="inlineStr">
        <is>
          <t>C1015</t>
        </is>
      </c>
      <c r="C5339" t="inlineStr">
        <is>
          <t>SME</t>
        </is>
      </c>
      <c r="D5339" t="inlineStr">
        <is>
          <t>I</t>
        </is>
      </c>
      <c r="E5339" t="inlineStr">
        <is>
          <t>Stage 1</t>
        </is>
      </c>
      <c r="F5339" t="inlineStr">
        <is>
          <t>N/A</t>
        </is>
      </c>
      <c r="G5339" s="26">
        <v>2685269857</v>
      </c>
      <c r="H5339" s="26">
        <v>26852699</v>
      </c>
      <c r="I5339" s="26">
        <v>0</v>
      </c>
      <c r="J5339" s="26">
        <v>34</v>
      </c>
      <c r="K5339" t="inlineStr">
        <is>
          <t>Non</t>
        </is>
      </c>
      <c r="L5339">
        <f>SUBTOTAL(103,A5339)</f>
        <v>1</v>
      </c>
    </row>
    <row r="5340">
      <c r="A5340" t="inlineStr">
        <is>
          <t>SOCIETE C545</t>
        </is>
      </c>
      <c r="B5340" t="inlineStr">
        <is>
          <t>C545</t>
        </is>
      </c>
      <c r="C5340" t="inlineStr">
        <is>
          <t>CORPORATE BANKING</t>
        </is>
      </c>
      <c r="D5340" t="inlineStr">
        <is>
          <t>I</t>
        </is>
      </c>
      <c r="E5340" t="inlineStr">
        <is>
          <t>Stage 1</t>
        </is>
      </c>
      <c r="F5340" t="inlineStr">
        <is>
          <t>N/A</t>
        </is>
      </c>
      <c r="G5340" s="26">
        <v>957594902</v>
      </c>
      <c r="H5340" s="26">
        <v>9575949</v>
      </c>
      <c r="I5340" s="26">
        <v>0</v>
      </c>
      <c r="J5340" s="26">
        <v>30</v>
      </c>
      <c r="K5340" t="inlineStr">
        <is>
          <t>Non</t>
        </is>
      </c>
      <c r="L5340">
        <f>SUBTOTAL(103,A5340)</f>
        <v>1</v>
      </c>
    </row>
    <row r="5341">
      <c r="A5341" t="inlineStr">
        <is>
          <t>SOCIETE C1735</t>
        </is>
      </c>
      <c r="B5341" t="inlineStr">
        <is>
          <t>C1735</t>
        </is>
      </c>
      <c r="C5341" t="inlineStr">
        <is>
          <t>CORPORATE BANKING</t>
        </is>
      </c>
      <c r="D5341" t="inlineStr">
        <is>
          <t>I</t>
        </is>
      </c>
      <c r="E5341" t="inlineStr">
        <is>
          <t>Stage 1</t>
        </is>
      </c>
      <c r="F5341" t="inlineStr">
        <is>
          <t>N/A</t>
        </is>
      </c>
      <c r="G5341" s="26">
        <v>227040392</v>
      </c>
      <c r="H5341" s="26">
        <v>2270404</v>
      </c>
      <c r="I5341" s="26">
        <v>20217057</v>
      </c>
      <c r="J5341" s="26">
        <v>147</v>
      </c>
      <c r="K5341" t="inlineStr">
        <is>
          <t>Non</t>
        </is>
      </c>
      <c r="L5341">
        <f>SUBTOTAL(103,A5341)</f>
        <v>1</v>
      </c>
    </row>
    <row r="5342">
      <c r="A5342" t="inlineStr">
        <is>
          <t>SOCIETE C1357</t>
        </is>
      </c>
      <c r="B5342" t="inlineStr">
        <is>
          <t>C1357</t>
        </is>
      </c>
      <c r="C5342" t="inlineStr">
        <is>
          <t>COMMERCIAL BANKING</t>
        </is>
      </c>
      <c r="D5342" t="inlineStr">
        <is>
          <t>I</t>
        </is>
      </c>
      <c r="E5342" t="inlineStr">
        <is>
          <t>Stage 1</t>
        </is>
      </c>
      <c r="F5342" t="inlineStr">
        <is>
          <t>N/A</t>
        </is>
      </c>
      <c r="G5342" s="26">
        <v>1530136440</v>
      </c>
      <c r="H5342" s="26">
        <v>15301364</v>
      </c>
      <c r="I5342" s="26">
        <v>0</v>
      </c>
      <c r="J5342" s="26">
        <v>74</v>
      </c>
      <c r="K5342" t="inlineStr">
        <is>
          <t>Non</t>
        </is>
      </c>
      <c r="L5342">
        <f>SUBTOTAL(103,A5342)</f>
        <v>1</v>
      </c>
    </row>
    <row r="5343">
      <c r="A5343" t="inlineStr">
        <is>
          <t>SOCIETE C605</t>
        </is>
      </c>
      <c r="B5343" t="inlineStr">
        <is>
          <t>C605</t>
        </is>
      </c>
      <c r="C5343" t="inlineStr">
        <is>
          <t>COMMERCIAL BANKING</t>
        </is>
      </c>
      <c r="D5343" t="inlineStr">
        <is>
          <t>I</t>
        </is>
      </c>
      <c r="E5343" t="inlineStr">
        <is>
          <t>Stage 1</t>
        </is>
      </c>
      <c r="F5343" t="inlineStr">
        <is>
          <t>N/A</t>
        </is>
      </c>
      <c r="G5343" s="26">
        <v>498247031</v>
      </c>
      <c r="H5343" s="26">
        <v>4982470</v>
      </c>
      <c r="I5343" s="26">
        <v>13887086</v>
      </c>
      <c r="J5343" s="26">
        <v>20</v>
      </c>
      <c r="K5343" t="inlineStr">
        <is>
          <t>Non</t>
        </is>
      </c>
      <c r="L5343">
        <f>SUBTOTAL(103,A5343)</f>
        <v>1</v>
      </c>
    </row>
    <row r="5344">
      <c r="A5344" t="inlineStr">
        <is>
          <t>SOCIETE C1844</t>
        </is>
      </c>
      <c r="B5344" t="inlineStr">
        <is>
          <t>C1844</t>
        </is>
      </c>
      <c r="C5344" t="inlineStr">
        <is>
          <t>CORPORATE BANKING</t>
        </is>
      </c>
      <c r="D5344" t="inlineStr">
        <is>
          <t>II</t>
        </is>
      </c>
      <c r="E5344" t="inlineStr">
        <is>
          <t>Stage 2</t>
        </is>
      </c>
      <c r="F5344" t="inlineStr">
        <is>
          <t>N/A</t>
        </is>
      </c>
      <c r="G5344" s="26">
        <v>11873945</v>
      </c>
      <c r="H5344" s="26">
        <v>712437</v>
      </c>
      <c r="I5344" s="26">
        <v>0</v>
      </c>
      <c r="J5344" s="26">
        <v>20</v>
      </c>
      <c r="K5344" t="inlineStr">
        <is>
          <t>Non</t>
        </is>
      </c>
      <c r="L5344">
        <f>SUBTOTAL(103,A5344)</f>
        <v>1</v>
      </c>
    </row>
    <row r="5345">
      <c r="A5345" t="inlineStr">
        <is>
          <t>SOCIETE C253</t>
        </is>
      </c>
      <c r="B5345" t="inlineStr">
        <is>
          <t>C253</t>
        </is>
      </c>
      <c r="C5345" t="inlineStr">
        <is>
          <t>CORPORATE BANKING</t>
        </is>
      </c>
      <c r="D5345" t="inlineStr">
        <is>
          <t>I</t>
        </is>
      </c>
      <c r="E5345" t="inlineStr">
        <is>
          <t>Stage 1</t>
        </is>
      </c>
      <c r="F5345" t="inlineStr">
        <is>
          <t>N/A</t>
        </is>
      </c>
      <c r="G5345" s="26">
        <v>2255391649</v>
      </c>
      <c r="H5345" s="26">
        <v>22553916</v>
      </c>
      <c r="I5345" s="26">
        <v>0</v>
      </c>
      <c r="J5345" s="26">
        <v>149</v>
      </c>
      <c r="K5345" t="inlineStr">
        <is>
          <t>Non</t>
        </is>
      </c>
      <c r="L5345">
        <f>SUBTOTAL(103,A5345)</f>
        <v>1</v>
      </c>
    </row>
    <row r="5346">
      <c r="A5346" t="inlineStr">
        <is>
          <t>SOCIETE C790</t>
        </is>
      </c>
      <c r="B5346" t="inlineStr">
        <is>
          <t>C790</t>
        </is>
      </c>
      <c r="C5346" t="inlineStr">
        <is>
          <t>COMMERCIAL BANKING</t>
        </is>
      </c>
      <c r="D5346" t="inlineStr">
        <is>
          <t>I</t>
        </is>
      </c>
      <c r="E5346" t="inlineStr">
        <is>
          <t>Stage 1</t>
        </is>
      </c>
      <c r="F5346" t="inlineStr">
        <is>
          <t>N/A</t>
        </is>
      </c>
      <c r="G5346" s="26">
        <v>186019258</v>
      </c>
      <c r="H5346" s="26">
        <v>1860193</v>
      </c>
      <c r="I5346" s="26">
        <v>21614548</v>
      </c>
      <c r="J5346" s="26">
        <v>35</v>
      </c>
      <c r="K5346" t="inlineStr">
        <is>
          <t>Non</t>
        </is>
      </c>
      <c r="L5346">
        <f>SUBTOTAL(103,A5346)</f>
        <v>1</v>
      </c>
    </row>
    <row r="5347">
      <c r="A5347" t="inlineStr">
        <is>
          <t>SOCIETE C1320</t>
        </is>
      </c>
      <c r="B5347" t="inlineStr">
        <is>
          <t>C1320</t>
        </is>
      </c>
      <c r="C5347" t="inlineStr">
        <is>
          <t>CORPORATE BANKING</t>
        </is>
      </c>
      <c r="D5347" t="inlineStr">
        <is>
          <t>III</t>
        </is>
      </c>
      <c r="E5347" t="inlineStr">
        <is>
          <t>Stage 3</t>
        </is>
      </c>
      <c r="F5347" t="inlineStr">
        <is>
          <t>N/A</t>
        </is>
      </c>
      <c r="G5347" s="26">
        <v>4719320</v>
      </c>
      <c r="H5347" s="26">
        <v>2595626</v>
      </c>
      <c r="I5347" s="26">
        <v>0</v>
      </c>
      <c r="J5347" s="26">
        <v>12</v>
      </c>
      <c r="K5347" t="inlineStr">
        <is>
          <t>Oui</t>
        </is>
      </c>
      <c r="L5347">
        <f>SUBTOTAL(103,A5347)</f>
        <v>1</v>
      </c>
    </row>
    <row r="5348">
      <c r="A5348" t="inlineStr">
        <is>
          <t>SOCIETE C1695</t>
        </is>
      </c>
      <c r="B5348" t="inlineStr">
        <is>
          <t>C1695</t>
        </is>
      </c>
      <c r="C5348" t="inlineStr">
        <is>
          <t>CONSUMER BANKING</t>
        </is>
      </c>
      <c r="D5348" t="inlineStr">
        <is>
          <t>II</t>
        </is>
      </c>
      <c r="E5348" t="inlineStr">
        <is>
          <t>Stage 2</t>
        </is>
      </c>
      <c r="F5348" t="inlineStr">
        <is>
          <t>N/A</t>
        </is>
      </c>
      <c r="G5348" s="26">
        <v>570912753</v>
      </c>
      <c r="H5348" s="26">
        <v>34254765</v>
      </c>
      <c r="I5348" s="26">
        <v>0</v>
      </c>
      <c r="J5348" s="26">
        <v>1</v>
      </c>
      <c r="K5348" t="inlineStr">
        <is>
          <t>Non</t>
        </is>
      </c>
      <c r="L5348">
        <f>SUBTOTAL(103,A5348)</f>
        <v>1</v>
      </c>
    </row>
    <row r="5349">
      <c r="A5349" t="inlineStr">
        <is>
          <t>SOCIETE C1089</t>
        </is>
      </c>
      <c r="B5349" t="inlineStr">
        <is>
          <t>C1089</t>
        </is>
      </c>
      <c r="C5349" t="inlineStr">
        <is>
          <t>COMMERCIAL BANKING</t>
        </is>
      </c>
      <c r="D5349" t="inlineStr">
        <is>
          <t>III</t>
        </is>
      </c>
      <c r="E5349" t="inlineStr">
        <is>
          <t>Stage 3</t>
        </is>
      </c>
      <c r="F5349" t="inlineStr">
        <is>
          <t>N/A</t>
        </is>
      </c>
      <c r="G5349" s="26">
        <v>2998556576</v>
      </c>
      <c r="H5349" s="26">
        <v>1649206117</v>
      </c>
      <c r="I5349" s="26">
        <v>0</v>
      </c>
      <c r="J5349" s="26">
        <v>278</v>
      </c>
      <c r="K5349" t="inlineStr">
        <is>
          <t>Oui</t>
        </is>
      </c>
      <c r="L5349">
        <f>SUBTOTAL(103,A5349)</f>
        <v>1</v>
      </c>
    </row>
    <row r="5350">
      <c r="A5350" t="inlineStr">
        <is>
          <t>SOCIETE C1408</t>
        </is>
      </c>
      <c r="B5350" t="inlineStr">
        <is>
          <t>C1408</t>
        </is>
      </c>
      <c r="C5350" t="inlineStr">
        <is>
          <t>CONSUMER BANKING</t>
        </is>
      </c>
      <c r="D5350" t="inlineStr">
        <is>
          <t>IA</t>
        </is>
      </c>
      <c r="E5350" t="inlineStr">
        <is>
          <t>Stage 2</t>
        </is>
      </c>
      <c r="F5350" t="inlineStr">
        <is>
          <t>N/A</t>
        </is>
      </c>
      <c r="G5350" s="26">
        <v>96282512</v>
      </c>
      <c r="H5350" s="26">
        <v>5776951</v>
      </c>
      <c r="I5350" s="26">
        <v>0</v>
      </c>
      <c r="J5350" s="26">
        <v>64</v>
      </c>
      <c r="K5350" t="inlineStr">
        <is>
          <t>Non</t>
        </is>
      </c>
      <c r="L5350">
        <f>SUBTOTAL(103,A5350)</f>
        <v>1</v>
      </c>
    </row>
    <row r="5351">
      <c r="A5351" t="inlineStr">
        <is>
          <t>SOCIETE C1899</t>
        </is>
      </c>
      <c r="B5351" t="inlineStr">
        <is>
          <t>C1899</t>
        </is>
      </c>
      <c r="C5351" t="inlineStr">
        <is>
          <t>CONSUMER BANKING</t>
        </is>
      </c>
      <c r="D5351" t="inlineStr">
        <is>
          <t>I</t>
        </is>
      </c>
      <c r="E5351" t="inlineStr">
        <is>
          <t>Stage 1</t>
        </is>
      </c>
      <c r="F5351" t="inlineStr">
        <is>
          <t>N/A</t>
        </is>
      </c>
      <c r="G5351" s="26">
        <v>168032526</v>
      </c>
      <c r="H5351" s="26">
        <v>1680325</v>
      </c>
      <c r="I5351" s="26">
        <v>0</v>
      </c>
      <c r="J5351" s="26">
        <v>143</v>
      </c>
      <c r="K5351" t="inlineStr">
        <is>
          <t>Non</t>
        </is>
      </c>
      <c r="L5351">
        <f>SUBTOTAL(103,A5351)</f>
        <v>1</v>
      </c>
    </row>
    <row r="5352">
      <c r="A5352" t="inlineStr">
        <is>
          <t>SOCIETE C1751</t>
        </is>
      </c>
      <c r="B5352" t="inlineStr">
        <is>
          <t>C1751</t>
        </is>
      </c>
      <c r="C5352" t="inlineStr">
        <is>
          <t>CONSUMER BANKING</t>
        </is>
      </c>
      <c r="D5352" t="inlineStr">
        <is>
          <t>IA</t>
        </is>
      </c>
      <c r="E5352" t="inlineStr">
        <is>
          <t>Stage 2</t>
        </is>
      </c>
      <c r="F5352" t="inlineStr">
        <is>
          <t>N/A</t>
        </is>
      </c>
      <c r="G5352" s="26">
        <v>19728652</v>
      </c>
      <c r="H5352" s="26">
        <v>1183719</v>
      </c>
      <c r="I5352" s="26">
        <v>2616307</v>
      </c>
      <c r="J5352" s="26">
        <v>29</v>
      </c>
      <c r="K5352" t="inlineStr">
        <is>
          <t>Non</t>
        </is>
      </c>
      <c r="L5352">
        <f>SUBTOTAL(103,A5352)</f>
        <v>1</v>
      </c>
    </row>
    <row r="5353">
      <c r="A5353" t="inlineStr">
        <is>
          <t>SOCIETE C1374</t>
        </is>
      </c>
      <c r="B5353" t="inlineStr">
        <is>
          <t>C1374</t>
        </is>
      </c>
      <c r="C5353" t="inlineStr">
        <is>
          <t>COMMERCIAL BANKING</t>
        </is>
      </c>
      <c r="D5353" t="inlineStr">
        <is>
          <t>IV</t>
        </is>
      </c>
      <c r="E5353" t="inlineStr">
        <is>
          <t>Stage 3</t>
        </is>
      </c>
      <c r="F5353" t="inlineStr">
        <is>
          <t>N/A</t>
        </is>
      </c>
      <c r="G5353" s="26">
        <v>8926961</v>
      </c>
      <c r="H5353" s="26">
        <v>4909828</v>
      </c>
      <c r="I5353" s="26">
        <v>0</v>
      </c>
      <c r="J5353" s="26">
        <v>6</v>
      </c>
      <c r="K5353" t="inlineStr">
        <is>
          <t>Oui</t>
        </is>
      </c>
      <c r="L5353">
        <f>SUBTOTAL(103,A5353)</f>
        <v>1</v>
      </c>
    </row>
    <row r="5354">
      <c r="A5354" t="inlineStr">
        <is>
          <t>SOCIETE C897</t>
        </is>
      </c>
      <c r="B5354" t="inlineStr">
        <is>
          <t>C897</t>
        </is>
      </c>
      <c r="C5354" t="inlineStr">
        <is>
          <t>COMMERCIAL BANKING</t>
        </is>
      </c>
      <c r="D5354" t="inlineStr">
        <is>
          <t>I</t>
        </is>
      </c>
      <c r="E5354" t="inlineStr">
        <is>
          <t>Stage 1</t>
        </is>
      </c>
      <c r="F5354" t="inlineStr">
        <is>
          <t>N/A</t>
        </is>
      </c>
      <c r="G5354" s="26">
        <v>151262318</v>
      </c>
      <c r="H5354" s="26">
        <v>1512623</v>
      </c>
      <c r="I5354" s="26">
        <v>27269880</v>
      </c>
      <c r="J5354" s="26">
        <v>0</v>
      </c>
      <c r="K5354" t="inlineStr">
        <is>
          <t>Non</t>
        </is>
      </c>
      <c r="L5354">
        <f>SUBTOTAL(103,A5354)</f>
        <v>1</v>
      </c>
    </row>
    <row r="5355">
      <c r="A5355" t="inlineStr">
        <is>
          <t>SOCIETE C106</t>
        </is>
      </c>
      <c r="B5355" t="inlineStr">
        <is>
          <t>C106</t>
        </is>
      </c>
      <c r="C5355" t="inlineStr">
        <is>
          <t>CORPORATE BANKING</t>
        </is>
      </c>
      <c r="D5355" t="inlineStr">
        <is>
          <t>IA</t>
        </is>
      </c>
      <c r="E5355" t="inlineStr">
        <is>
          <t>Stage 2</t>
        </is>
      </c>
      <c r="F5355" t="inlineStr">
        <is>
          <t>N/A</t>
        </is>
      </c>
      <c r="G5355" s="26">
        <v>1137763706</v>
      </c>
      <c r="H5355" s="26">
        <v>68265822</v>
      </c>
      <c r="I5355" s="26">
        <v>29772594</v>
      </c>
      <c r="J5355" s="26">
        <v>327</v>
      </c>
      <c r="K5355" t="inlineStr">
        <is>
          <t>Non</t>
        </is>
      </c>
      <c r="L5355">
        <f>SUBTOTAL(103,A5355)</f>
        <v>1</v>
      </c>
    </row>
    <row r="5356">
      <c r="A5356" t="inlineStr">
        <is>
          <t>SOCIETE C2435</t>
        </is>
      </c>
      <c r="B5356" t="inlineStr">
        <is>
          <t>C2435</t>
        </is>
      </c>
      <c r="C5356" t="inlineStr">
        <is>
          <t>COMMERCIAL BANKING</t>
        </is>
      </c>
      <c r="D5356" t="inlineStr">
        <is>
          <t>I</t>
        </is>
      </c>
      <c r="E5356" t="inlineStr">
        <is>
          <t>Stage 1</t>
        </is>
      </c>
      <c r="F5356" t="inlineStr">
        <is>
          <t>N/A</t>
        </is>
      </c>
      <c r="G5356" s="26">
        <v>25313533</v>
      </c>
      <c r="H5356" s="26">
        <v>253135</v>
      </c>
      <c r="I5356" s="26">
        <v>0</v>
      </c>
      <c r="J5356" s="26">
        <v>23</v>
      </c>
      <c r="K5356" t="inlineStr">
        <is>
          <t>Non</t>
        </is>
      </c>
      <c r="L5356">
        <f>SUBTOTAL(103,A5356)</f>
        <v>1</v>
      </c>
    </row>
    <row r="5357">
      <c r="A5357" t="inlineStr">
        <is>
          <t>SOCIETE C1387</t>
        </is>
      </c>
      <c r="B5357" t="inlineStr">
        <is>
          <t>C1387</t>
        </is>
      </c>
      <c r="C5357" t="inlineStr">
        <is>
          <t>CONSUMER BANKING</t>
        </is>
      </c>
      <c r="D5357" t="inlineStr">
        <is>
          <t>I</t>
        </is>
      </c>
      <c r="E5357" t="inlineStr">
        <is>
          <t>Stage 1</t>
        </is>
      </c>
      <c r="F5357" t="inlineStr">
        <is>
          <t>N/A</t>
        </is>
      </c>
      <c r="G5357" s="26">
        <v>1879043985</v>
      </c>
      <c r="H5357" s="26">
        <v>18790440</v>
      </c>
      <c r="I5357" s="26">
        <v>0</v>
      </c>
      <c r="J5357" s="26">
        <v>194</v>
      </c>
      <c r="K5357" t="inlineStr">
        <is>
          <t>Non</t>
        </is>
      </c>
      <c r="L5357">
        <f>SUBTOTAL(103,A5357)</f>
        <v>1</v>
      </c>
    </row>
    <row r="5358">
      <c r="A5358" t="inlineStr">
        <is>
          <t>SOCIETE C651</t>
        </is>
      </c>
      <c r="B5358" t="inlineStr">
        <is>
          <t>C651</t>
        </is>
      </c>
      <c r="C5358" t="inlineStr">
        <is>
          <t>PUBLIC SECTOR</t>
        </is>
      </c>
      <c r="D5358" t="inlineStr">
        <is>
          <t>I</t>
        </is>
      </c>
      <c r="E5358" t="inlineStr">
        <is>
          <t>Stage 1</t>
        </is>
      </c>
      <c r="F5358" t="inlineStr">
        <is>
          <t>N/A</t>
        </is>
      </c>
      <c r="G5358" s="26">
        <v>43641978</v>
      </c>
      <c r="H5358" s="26">
        <v>436420</v>
      </c>
      <c r="I5358" s="26">
        <v>6807471</v>
      </c>
      <c r="J5358" s="26">
        <v>42</v>
      </c>
      <c r="K5358" t="inlineStr">
        <is>
          <t>Non</t>
        </is>
      </c>
      <c r="L5358">
        <f>SUBTOTAL(103,A5358)</f>
        <v>1</v>
      </c>
    </row>
    <row r="5359">
      <c r="A5359" t="inlineStr">
        <is>
          <t>SOCIETE C564</t>
        </is>
      </c>
      <c r="B5359" t="inlineStr">
        <is>
          <t>C564</t>
        </is>
      </c>
      <c r="C5359" t="inlineStr">
        <is>
          <t>CORPORATE BANKING</t>
        </is>
      </c>
      <c r="D5359" t="inlineStr">
        <is>
          <t>V</t>
        </is>
      </c>
      <c r="E5359" t="inlineStr">
        <is>
          <t>Stage 3</t>
        </is>
      </c>
      <c r="F5359" t="inlineStr">
        <is>
          <t>N/A</t>
        </is>
      </c>
      <c r="G5359" s="26">
        <v>722567530</v>
      </c>
      <c r="H5359" s="26">
        <v>397412141</v>
      </c>
      <c r="I5359" s="26">
        <v>0</v>
      </c>
      <c r="J5359" s="26">
        <v>51</v>
      </c>
      <c r="K5359" t="inlineStr">
        <is>
          <t>Oui</t>
        </is>
      </c>
      <c r="L5359">
        <f>SUBTOTAL(103,A5359)</f>
        <v>1</v>
      </c>
    </row>
    <row r="5360">
      <c r="A5360" t="inlineStr">
        <is>
          <t>SOCIETE C2482</t>
        </is>
      </c>
      <c r="B5360" t="inlineStr">
        <is>
          <t>C2482</t>
        </is>
      </c>
      <c r="C5360" t="inlineStr">
        <is>
          <t>CORPORATE BANKING</t>
        </is>
      </c>
      <c r="D5360" t="inlineStr">
        <is>
          <t>I</t>
        </is>
      </c>
      <c r="E5360" t="inlineStr">
        <is>
          <t>Stage 1</t>
        </is>
      </c>
      <c r="F5360" t="inlineStr">
        <is>
          <t>N/A</t>
        </is>
      </c>
      <c r="G5360" s="26">
        <v>116124670</v>
      </c>
      <c r="H5360" s="26">
        <v>1161247</v>
      </c>
      <c r="I5360" s="26">
        <v>0</v>
      </c>
      <c r="J5360" s="26">
        <v>22</v>
      </c>
      <c r="K5360" t="inlineStr">
        <is>
          <t>Non</t>
        </is>
      </c>
      <c r="L5360">
        <f>SUBTOTAL(103,A5360)</f>
        <v>1</v>
      </c>
    </row>
    <row r="5361">
      <c r="A5361" t="inlineStr">
        <is>
          <t>SOCIETE C1181</t>
        </is>
      </c>
      <c r="B5361" t="inlineStr">
        <is>
          <t>C1181</t>
        </is>
      </c>
      <c r="C5361" t="inlineStr">
        <is>
          <t>COMMERCIAL BANKING</t>
        </is>
      </c>
      <c r="D5361" t="inlineStr">
        <is>
          <t>IA</t>
        </is>
      </c>
      <c r="E5361" t="inlineStr">
        <is>
          <t>Stage 2</t>
        </is>
      </c>
      <c r="F5361" t="inlineStr">
        <is>
          <t>N/A</t>
        </is>
      </c>
      <c r="G5361" s="26">
        <v>807559400</v>
      </c>
      <c r="H5361" s="26">
        <v>48453564</v>
      </c>
      <c r="I5361" s="26">
        <v>110185314</v>
      </c>
      <c r="J5361" s="26">
        <v>52</v>
      </c>
      <c r="K5361" t="inlineStr">
        <is>
          <t>Non</t>
        </is>
      </c>
      <c r="L5361">
        <f>SUBTOTAL(103,A5361)</f>
        <v>1</v>
      </c>
    </row>
    <row r="5362">
      <c r="A5362" t="inlineStr">
        <is>
          <t>SOCIETE C365</t>
        </is>
      </c>
      <c r="B5362" t="inlineStr">
        <is>
          <t>C365</t>
        </is>
      </c>
      <c r="C5362" t="inlineStr">
        <is>
          <t>CORPORATE BANKING</t>
        </is>
      </c>
      <c r="D5362" t="inlineStr">
        <is>
          <t>II</t>
        </is>
      </c>
      <c r="E5362" t="inlineStr">
        <is>
          <t>Stage 2</t>
        </is>
      </c>
      <c r="F5362" t="inlineStr">
        <is>
          <t>N/A</t>
        </is>
      </c>
      <c r="G5362" s="26">
        <v>286700239</v>
      </c>
      <c r="H5362" s="26">
        <v>17202014</v>
      </c>
      <c r="I5362" s="26">
        <v>7729790</v>
      </c>
      <c r="J5362" s="26">
        <v>171</v>
      </c>
      <c r="K5362" t="inlineStr">
        <is>
          <t>Non</t>
        </is>
      </c>
      <c r="L5362">
        <f>SUBTOTAL(103,A5362)</f>
        <v>1</v>
      </c>
    </row>
    <row r="5363">
      <c r="A5363" t="inlineStr">
        <is>
          <t>SOCIETE C442</t>
        </is>
      </c>
      <c r="B5363" t="inlineStr">
        <is>
          <t>C442</t>
        </is>
      </c>
      <c r="C5363" t="inlineStr">
        <is>
          <t>COMMERCIAL BANKING</t>
        </is>
      </c>
      <c r="D5363" t="inlineStr">
        <is>
          <t>I</t>
        </is>
      </c>
      <c r="E5363" t="inlineStr">
        <is>
          <t>Stage 1</t>
        </is>
      </c>
      <c r="F5363" t="inlineStr">
        <is>
          <t>N/A</t>
        </is>
      </c>
      <c r="G5363" s="26">
        <v>2913601550</v>
      </c>
      <c r="H5363" s="26">
        <v>29136015</v>
      </c>
      <c r="I5363" s="26">
        <v>0</v>
      </c>
      <c r="J5363" s="26">
        <v>0</v>
      </c>
      <c r="K5363" t="inlineStr">
        <is>
          <t>Non</t>
        </is>
      </c>
      <c r="L5363">
        <f>SUBTOTAL(103,A5363)</f>
        <v>1</v>
      </c>
    </row>
    <row r="5364">
      <c r="A5364" t="inlineStr">
        <is>
          <t>SOCIETE C2023</t>
        </is>
      </c>
      <c r="B5364" t="inlineStr">
        <is>
          <t>C2023</t>
        </is>
      </c>
      <c r="C5364" t="inlineStr">
        <is>
          <t>CORPORATE BANKING</t>
        </is>
      </c>
      <c r="D5364" t="inlineStr">
        <is>
          <t>I</t>
        </is>
      </c>
      <c r="E5364" t="inlineStr">
        <is>
          <t>Stage 1</t>
        </is>
      </c>
      <c r="F5364" t="inlineStr">
        <is>
          <t>N/A</t>
        </is>
      </c>
      <c r="G5364" s="26">
        <v>11611639</v>
      </c>
      <c r="H5364" s="26">
        <v>116116</v>
      </c>
      <c r="I5364" s="26">
        <v>0</v>
      </c>
      <c r="J5364" s="26">
        <v>65</v>
      </c>
      <c r="K5364" t="inlineStr">
        <is>
          <t>Non</t>
        </is>
      </c>
      <c r="L5364">
        <f>SUBTOTAL(103,A5364)</f>
        <v>1</v>
      </c>
    </row>
    <row r="5365">
      <c r="A5365" t="inlineStr">
        <is>
          <t>SOCIETE C1456</t>
        </is>
      </c>
      <c r="B5365" t="inlineStr">
        <is>
          <t>C1456</t>
        </is>
      </c>
      <c r="C5365" t="inlineStr">
        <is>
          <t>CORPORATE BANKING</t>
        </is>
      </c>
      <c r="D5365" t="inlineStr">
        <is>
          <t>I</t>
        </is>
      </c>
      <c r="E5365" t="inlineStr">
        <is>
          <t>Stage 1</t>
        </is>
      </c>
      <c r="F5365" t="inlineStr">
        <is>
          <t>N/A</t>
        </is>
      </c>
      <c r="G5365" s="26">
        <v>1369390532</v>
      </c>
      <c r="H5365" s="26">
        <v>13693905</v>
      </c>
      <c r="I5365" s="26">
        <v>0</v>
      </c>
      <c r="J5365" s="26">
        <v>27</v>
      </c>
      <c r="K5365" t="inlineStr">
        <is>
          <t>Non</t>
        </is>
      </c>
      <c r="L5365">
        <f>SUBTOTAL(103,A5365)</f>
        <v>1</v>
      </c>
    </row>
    <row r="5366">
      <c r="A5366" t="inlineStr">
        <is>
          <t>SOCIETE C710</t>
        </is>
      </c>
      <c r="B5366" t="inlineStr">
        <is>
          <t>C710</t>
        </is>
      </c>
      <c r="C5366" t="inlineStr">
        <is>
          <t>CORPORATE BANKING</t>
        </is>
      </c>
      <c r="D5366" t="inlineStr">
        <is>
          <t>IA</t>
        </is>
      </c>
      <c r="E5366" t="inlineStr">
        <is>
          <t>Stage 2</t>
        </is>
      </c>
      <c r="F5366" t="inlineStr">
        <is>
          <t>N/A</t>
        </is>
      </c>
      <c r="G5366" s="26">
        <v>35408517</v>
      </c>
      <c r="H5366" s="26">
        <v>2124511</v>
      </c>
      <c r="I5366" s="26">
        <v>0</v>
      </c>
      <c r="J5366" s="26">
        <v>2</v>
      </c>
      <c r="K5366" t="inlineStr">
        <is>
          <t>Non</t>
        </is>
      </c>
      <c r="L5366">
        <f>SUBTOTAL(103,A5366)</f>
        <v>1</v>
      </c>
    </row>
    <row r="5367">
      <c r="A5367" t="inlineStr">
        <is>
          <t>SOCIETE C2226</t>
        </is>
      </c>
      <c r="B5367" t="inlineStr">
        <is>
          <t>C2226</t>
        </is>
      </c>
      <c r="C5367" t="inlineStr">
        <is>
          <t>PUBLIC SECTOR</t>
        </is>
      </c>
      <c r="D5367" t="inlineStr">
        <is>
          <t>I</t>
        </is>
      </c>
      <c r="E5367" t="inlineStr">
        <is>
          <t>Stage 1</t>
        </is>
      </c>
      <c r="F5367" t="inlineStr">
        <is>
          <t>N/A</t>
        </is>
      </c>
      <c r="G5367" s="26">
        <v>173090032</v>
      </c>
      <c r="H5367" s="26">
        <v>1730900</v>
      </c>
      <c r="I5367" s="26">
        <v>28096874</v>
      </c>
      <c r="J5367" s="26">
        <v>289</v>
      </c>
      <c r="K5367" t="inlineStr">
        <is>
          <t>Non</t>
        </is>
      </c>
      <c r="L5367">
        <f>SUBTOTAL(103,A5367)</f>
        <v>1</v>
      </c>
    </row>
    <row r="5368">
      <c r="A5368" t="inlineStr">
        <is>
          <t>SOCIETE C1251</t>
        </is>
      </c>
      <c r="B5368" t="inlineStr">
        <is>
          <t>C1251</t>
        </is>
      </c>
      <c r="C5368" t="inlineStr">
        <is>
          <t>CORPORATE BANKING</t>
        </is>
      </c>
      <c r="D5368" t="inlineStr">
        <is>
          <t>I</t>
        </is>
      </c>
      <c r="E5368" t="inlineStr">
        <is>
          <t>Stage 1</t>
        </is>
      </c>
      <c r="F5368" t="inlineStr">
        <is>
          <t>N/A</t>
        </is>
      </c>
      <c r="G5368" s="26">
        <v>1872759806</v>
      </c>
      <c r="H5368" s="26">
        <v>18727598</v>
      </c>
      <c r="I5368" s="26">
        <v>0</v>
      </c>
      <c r="J5368" s="26">
        <v>221</v>
      </c>
      <c r="K5368" t="inlineStr">
        <is>
          <t>Non</t>
        </is>
      </c>
      <c r="L5368">
        <f>SUBTOTAL(103,A5368)</f>
        <v>1</v>
      </c>
    </row>
    <row r="5369">
      <c r="A5369" t="inlineStr">
        <is>
          <t>SOCIETE C1875</t>
        </is>
      </c>
      <c r="B5369" t="inlineStr">
        <is>
          <t>C1875</t>
        </is>
      </c>
      <c r="C5369" t="inlineStr">
        <is>
          <t>CORPORATE BANKING</t>
        </is>
      </c>
      <c r="D5369" t="inlineStr">
        <is>
          <t>I</t>
        </is>
      </c>
      <c r="E5369" t="inlineStr">
        <is>
          <t>Stage 1</t>
        </is>
      </c>
      <c r="F5369" t="inlineStr">
        <is>
          <t>N/A</t>
        </is>
      </c>
      <c r="G5369" s="26">
        <v>53653113</v>
      </c>
      <c r="H5369" s="26">
        <v>536531</v>
      </c>
      <c r="I5369" s="26">
        <v>2744771</v>
      </c>
      <c r="J5369" s="26">
        <v>4</v>
      </c>
      <c r="K5369" t="inlineStr">
        <is>
          <t>Non</t>
        </is>
      </c>
      <c r="L5369">
        <f>SUBTOTAL(103,A5369)</f>
        <v>1</v>
      </c>
    </row>
    <row r="5370">
      <c r="A5370" t="inlineStr">
        <is>
          <t>SOCIETE C2148</t>
        </is>
      </c>
      <c r="B5370" t="inlineStr">
        <is>
          <t>C2148</t>
        </is>
      </c>
      <c r="C5370" t="inlineStr">
        <is>
          <t>CORPORATE BANKING</t>
        </is>
      </c>
      <c r="D5370" t="inlineStr">
        <is>
          <t>II</t>
        </is>
      </c>
      <c r="E5370" t="inlineStr">
        <is>
          <t>Stage 2</t>
        </is>
      </c>
      <c r="F5370" t="inlineStr">
        <is>
          <t>N/A</t>
        </is>
      </c>
      <c r="G5370" s="26">
        <v>18161553</v>
      </c>
      <c r="H5370" s="26">
        <v>1089693</v>
      </c>
      <c r="I5370" s="26">
        <v>0</v>
      </c>
      <c r="J5370" s="26">
        <v>33</v>
      </c>
      <c r="K5370" t="inlineStr">
        <is>
          <t>Non</t>
        </is>
      </c>
      <c r="L5370">
        <f>SUBTOTAL(103,A5370)</f>
        <v>1</v>
      </c>
    </row>
    <row r="5371">
      <c r="A5371" t="inlineStr">
        <is>
          <t>SOCIETE C1805</t>
        </is>
      </c>
      <c r="B5371" t="inlineStr">
        <is>
          <t>C1805</t>
        </is>
      </c>
      <c r="C5371" t="inlineStr">
        <is>
          <t>COMMERCIAL BANKING</t>
        </is>
      </c>
      <c r="D5371" t="inlineStr">
        <is>
          <t>I</t>
        </is>
      </c>
      <c r="E5371" t="inlineStr">
        <is>
          <t>Stage 1</t>
        </is>
      </c>
      <c r="F5371" t="inlineStr">
        <is>
          <t>N/A</t>
        </is>
      </c>
      <c r="G5371" s="26">
        <v>1183129052</v>
      </c>
      <c r="H5371" s="26">
        <v>11831291</v>
      </c>
      <c r="I5371" s="26">
        <v>0</v>
      </c>
      <c r="J5371" s="26">
        <v>391</v>
      </c>
      <c r="K5371" t="inlineStr">
        <is>
          <t>Non</t>
        </is>
      </c>
      <c r="L5371">
        <f>SUBTOTAL(103,A5371)</f>
        <v>1</v>
      </c>
    </row>
    <row r="5372">
      <c r="A5372" t="inlineStr">
        <is>
          <t>SOCIETE C102</t>
        </is>
      </c>
      <c r="B5372" t="inlineStr">
        <is>
          <t>C102</t>
        </is>
      </c>
      <c r="C5372" t="inlineStr">
        <is>
          <t>CORPORATE BANKING</t>
        </is>
      </c>
      <c r="D5372" t="inlineStr">
        <is>
          <t>V</t>
        </is>
      </c>
      <c r="E5372" t="inlineStr">
        <is>
          <t>Stage 3</t>
        </is>
      </c>
      <c r="F5372" t="inlineStr">
        <is>
          <t>N/A</t>
        </is>
      </c>
      <c r="G5372" s="26">
        <v>23238031</v>
      </c>
      <c r="H5372" s="26">
        <v>12780917</v>
      </c>
      <c r="I5372" s="26">
        <v>0</v>
      </c>
      <c r="J5372" s="26">
        <v>4</v>
      </c>
      <c r="K5372" t="inlineStr">
        <is>
          <t>Oui</t>
        </is>
      </c>
      <c r="L5372">
        <f>SUBTOTAL(103,A5372)</f>
        <v>1</v>
      </c>
    </row>
    <row r="5373">
      <c r="A5373" t="inlineStr">
        <is>
          <t>SOCIETE C572</t>
        </is>
      </c>
      <c r="B5373" t="inlineStr">
        <is>
          <t>C572</t>
        </is>
      </c>
      <c r="C5373" t="inlineStr">
        <is>
          <t>CONSUMER BANKING</t>
        </is>
      </c>
      <c r="D5373" t="inlineStr">
        <is>
          <t>I</t>
        </is>
      </c>
      <c r="E5373" t="inlineStr">
        <is>
          <t>Stage 1</t>
        </is>
      </c>
      <c r="F5373" t="inlineStr">
        <is>
          <t>N/A</t>
        </is>
      </c>
      <c r="G5373" s="26">
        <v>97721771</v>
      </c>
      <c r="H5373" s="26">
        <v>977218</v>
      </c>
      <c r="I5373" s="26">
        <v>0</v>
      </c>
      <c r="J5373" s="26">
        <v>165</v>
      </c>
      <c r="K5373" t="inlineStr">
        <is>
          <t>Non</t>
        </is>
      </c>
      <c r="L5373">
        <f>SUBTOTAL(103,A5373)</f>
        <v>1</v>
      </c>
    </row>
    <row r="5374">
      <c r="A5374" t="inlineStr">
        <is>
          <t>SOCIETE C376</t>
        </is>
      </c>
      <c r="B5374" t="inlineStr">
        <is>
          <t>C376</t>
        </is>
      </c>
      <c r="C5374" t="inlineStr">
        <is>
          <t>CORPORATE BANKING</t>
        </is>
      </c>
      <c r="D5374" t="inlineStr">
        <is>
          <t>I</t>
        </is>
      </c>
      <c r="E5374" t="inlineStr">
        <is>
          <t>Stage 1</t>
        </is>
      </c>
      <c r="F5374" t="inlineStr">
        <is>
          <t>N/A</t>
        </is>
      </c>
      <c r="G5374" s="26">
        <v>2526292489</v>
      </c>
      <c r="H5374" s="26">
        <v>25262925</v>
      </c>
      <c r="I5374" s="26">
        <v>308975576</v>
      </c>
      <c r="J5374" s="26">
        <v>41</v>
      </c>
      <c r="K5374" t="inlineStr">
        <is>
          <t>Non</t>
        </is>
      </c>
      <c r="L5374">
        <f>SUBTOTAL(103,A5374)</f>
        <v>1</v>
      </c>
    </row>
    <row r="5375">
      <c r="A5375" t="inlineStr">
        <is>
          <t>SOCIETE C719</t>
        </is>
      </c>
      <c r="B5375" t="inlineStr">
        <is>
          <t>C719</t>
        </is>
      </c>
      <c r="C5375" t="inlineStr">
        <is>
          <t>CONSUMER BANKING</t>
        </is>
      </c>
      <c r="D5375" t="inlineStr">
        <is>
          <t>V</t>
        </is>
      </c>
      <c r="E5375" t="inlineStr">
        <is>
          <t>Stage 3</t>
        </is>
      </c>
      <c r="F5375" t="inlineStr">
        <is>
          <t>N/A</t>
        </is>
      </c>
      <c r="G5375" s="26">
        <v>2050034080</v>
      </c>
      <c r="H5375" s="26">
        <v>1127518744</v>
      </c>
      <c r="I5375" s="26">
        <v>259284482</v>
      </c>
      <c r="J5375" s="26">
        <v>132</v>
      </c>
      <c r="K5375" t="inlineStr">
        <is>
          <t>Oui</t>
        </is>
      </c>
      <c r="L5375">
        <f>SUBTOTAL(103,A5375)</f>
        <v>1</v>
      </c>
    </row>
    <row r="5376">
      <c r="A5376" t="inlineStr">
        <is>
          <t>SOCIETE C61</t>
        </is>
      </c>
      <c r="B5376" t="inlineStr">
        <is>
          <t>C61</t>
        </is>
      </c>
      <c r="C5376" t="inlineStr">
        <is>
          <t>CORPORATE BANKING</t>
        </is>
      </c>
      <c r="D5376" t="inlineStr">
        <is>
          <t>V</t>
        </is>
      </c>
      <c r="E5376" t="inlineStr">
        <is>
          <t>Stage 3</t>
        </is>
      </c>
      <c r="F5376" t="inlineStr">
        <is>
          <t>N/A</t>
        </is>
      </c>
      <c r="G5376" s="26">
        <v>169619787</v>
      </c>
      <c r="H5376" s="26">
        <v>93290883</v>
      </c>
      <c r="I5376" s="26">
        <v>22004050</v>
      </c>
      <c r="J5376" s="26">
        <v>193</v>
      </c>
      <c r="K5376" t="inlineStr">
        <is>
          <t>Oui</t>
        </is>
      </c>
      <c r="L5376">
        <f>SUBTOTAL(103,A5376)</f>
        <v>1</v>
      </c>
    </row>
    <row r="5377">
      <c r="A5377" t="inlineStr">
        <is>
          <t>SOCIETE C1097</t>
        </is>
      </c>
      <c r="B5377" t="inlineStr">
        <is>
          <t>C1097</t>
        </is>
      </c>
      <c r="C5377" t="inlineStr">
        <is>
          <t>CORPORATE BANKING</t>
        </is>
      </c>
      <c r="D5377" t="inlineStr">
        <is>
          <t>V</t>
        </is>
      </c>
      <c r="E5377" t="inlineStr">
        <is>
          <t>Stage 3</t>
        </is>
      </c>
      <c r="F5377" t="inlineStr">
        <is>
          <t>N/A</t>
        </is>
      </c>
      <c r="G5377" s="26">
        <v>53895386</v>
      </c>
      <c r="H5377" s="26">
        <v>29642463</v>
      </c>
      <c r="I5377" s="26">
        <v>402931</v>
      </c>
      <c r="J5377" s="26">
        <v>36</v>
      </c>
      <c r="K5377" t="inlineStr">
        <is>
          <t>Oui</t>
        </is>
      </c>
      <c r="L5377">
        <f>SUBTOTAL(103,A5377)</f>
        <v>1</v>
      </c>
    </row>
    <row r="5378">
      <c r="A5378" t="inlineStr">
        <is>
          <t>SOCIETE C1550</t>
        </is>
      </c>
      <c r="B5378" t="inlineStr">
        <is>
          <t>C1550</t>
        </is>
      </c>
      <c r="C5378" t="inlineStr">
        <is>
          <t>COMMERCIAL BANKING</t>
        </is>
      </c>
      <c r="D5378" t="inlineStr">
        <is>
          <t>IV</t>
        </is>
      </c>
      <c r="E5378" t="inlineStr">
        <is>
          <t>Stage 3</t>
        </is>
      </c>
      <c r="F5378" t="inlineStr">
        <is>
          <t>N/A</t>
        </is>
      </c>
      <c r="G5378" s="26">
        <v>71523976</v>
      </c>
      <c r="H5378" s="26">
        <v>39338187</v>
      </c>
      <c r="I5378" s="26">
        <v>0</v>
      </c>
      <c r="J5378" s="26">
        <v>179</v>
      </c>
      <c r="K5378" t="inlineStr">
        <is>
          <t>Oui</t>
        </is>
      </c>
      <c r="L5378">
        <f>SUBTOTAL(103,A5378)</f>
        <v>1</v>
      </c>
    </row>
    <row r="5379">
      <c r="A5379" t="inlineStr">
        <is>
          <t>SOCIETE C96</t>
        </is>
      </c>
      <c r="B5379" t="inlineStr">
        <is>
          <t>C96</t>
        </is>
      </c>
      <c r="C5379" t="inlineStr">
        <is>
          <t>PUBLIC SECTOR</t>
        </is>
      </c>
      <c r="D5379" t="inlineStr">
        <is>
          <t>IV</t>
        </is>
      </c>
      <c r="E5379" t="inlineStr">
        <is>
          <t>Stage 3</t>
        </is>
      </c>
      <c r="F5379" t="inlineStr">
        <is>
          <t>N/A</t>
        </is>
      </c>
      <c r="G5379" s="26">
        <v>2363267341</v>
      </c>
      <c r="H5379" s="26">
        <v>1299797038</v>
      </c>
      <c r="I5379" s="26">
        <v>0</v>
      </c>
      <c r="J5379" s="26">
        <v>183</v>
      </c>
      <c r="K5379" t="inlineStr">
        <is>
          <t>Oui</t>
        </is>
      </c>
      <c r="L5379">
        <f>SUBTOTAL(103,A5379)</f>
        <v>1</v>
      </c>
    </row>
    <row r="5380">
      <c r="A5380" t="inlineStr">
        <is>
          <t>SOCIETE C2340</t>
        </is>
      </c>
      <c r="B5380" t="inlineStr">
        <is>
          <t>C2340</t>
        </is>
      </c>
      <c r="C5380" t="inlineStr">
        <is>
          <t>PUBLIC SECTOR</t>
        </is>
      </c>
      <c r="D5380" t="inlineStr">
        <is>
          <t>V</t>
        </is>
      </c>
      <c r="E5380" t="inlineStr">
        <is>
          <t>Stage 3</t>
        </is>
      </c>
      <c r="F5380" t="inlineStr">
        <is>
          <t>N/A</t>
        </is>
      </c>
      <c r="G5380" s="26">
        <v>369933276</v>
      </c>
      <c r="H5380" s="26">
        <v>203463302</v>
      </c>
      <c r="I5380" s="26">
        <v>0</v>
      </c>
      <c r="J5380" s="26">
        <v>2</v>
      </c>
      <c r="K5380" t="inlineStr">
        <is>
          <t>Oui</t>
        </is>
      </c>
      <c r="L5380">
        <f>SUBTOTAL(103,A5380)</f>
        <v>1</v>
      </c>
    </row>
    <row r="5381">
      <c r="A5381" t="inlineStr">
        <is>
          <t>SOCIETE C388</t>
        </is>
      </c>
      <c r="B5381" t="inlineStr">
        <is>
          <t>C388</t>
        </is>
      </c>
      <c r="C5381" t="inlineStr">
        <is>
          <t>PUBLIC SECTOR</t>
        </is>
      </c>
      <c r="D5381" t="inlineStr">
        <is>
          <t>V</t>
        </is>
      </c>
      <c r="E5381" t="inlineStr">
        <is>
          <t>Stage 3</t>
        </is>
      </c>
      <c r="F5381" t="inlineStr">
        <is>
          <t>N/A</t>
        </is>
      </c>
      <c r="G5381" s="26">
        <v>1969248783</v>
      </c>
      <c r="H5381" s="26">
        <v>1083086831</v>
      </c>
      <c r="I5381" s="26">
        <v>26797603</v>
      </c>
      <c r="J5381" s="26">
        <v>159</v>
      </c>
      <c r="K5381" t="inlineStr">
        <is>
          <t>Oui</t>
        </is>
      </c>
      <c r="L5381">
        <f>SUBTOTAL(103,A5381)</f>
        <v>1</v>
      </c>
    </row>
    <row r="5382">
      <c r="A5382" t="inlineStr">
        <is>
          <t>SOCIETE C200</t>
        </is>
      </c>
      <c r="B5382" t="inlineStr">
        <is>
          <t>C200</t>
        </is>
      </c>
      <c r="C5382" t="inlineStr">
        <is>
          <t>SME</t>
        </is>
      </c>
      <c r="D5382" t="inlineStr">
        <is>
          <t>III</t>
        </is>
      </c>
      <c r="E5382" t="inlineStr">
        <is>
          <t>Stage 3</t>
        </is>
      </c>
      <c r="F5382" t="inlineStr">
        <is>
          <t>N/A</t>
        </is>
      </c>
      <c r="G5382" s="26">
        <v>691916291</v>
      </c>
      <c r="H5382" s="26">
        <v>380553960</v>
      </c>
      <c r="I5382" s="26">
        <v>66175237</v>
      </c>
      <c r="J5382" s="26">
        <v>54</v>
      </c>
      <c r="K5382" t="inlineStr">
        <is>
          <t>Oui</t>
        </is>
      </c>
      <c r="L5382">
        <f>SUBTOTAL(103,A5382)</f>
        <v>1</v>
      </c>
    </row>
    <row r="5383">
      <c r="A5383" t="inlineStr">
        <is>
          <t>SOCIETE C2183</t>
        </is>
      </c>
      <c r="B5383" t="inlineStr">
        <is>
          <t>C2183</t>
        </is>
      </c>
      <c r="C5383" t="inlineStr">
        <is>
          <t>COMMERCIAL BANKING</t>
        </is>
      </c>
      <c r="D5383" t="inlineStr">
        <is>
          <t>IA</t>
        </is>
      </c>
      <c r="E5383" t="inlineStr">
        <is>
          <t>Stage 2</t>
        </is>
      </c>
      <c r="F5383" t="inlineStr">
        <is>
          <t>N/A</t>
        </is>
      </c>
      <c r="G5383" s="26">
        <v>159523270</v>
      </c>
      <c r="H5383" s="26">
        <v>9571396</v>
      </c>
      <c r="I5383" s="26">
        <v>18475425</v>
      </c>
      <c r="J5383" s="26">
        <v>23</v>
      </c>
      <c r="K5383" t="inlineStr">
        <is>
          <t>Non</t>
        </is>
      </c>
      <c r="L5383">
        <f>SUBTOTAL(103,A5383)</f>
        <v>1</v>
      </c>
    </row>
    <row r="5384">
      <c r="A5384" t="inlineStr">
        <is>
          <t>SOCIETE C807</t>
        </is>
      </c>
      <c r="B5384" t="inlineStr">
        <is>
          <t>C807</t>
        </is>
      </c>
      <c r="C5384" t="inlineStr">
        <is>
          <t>CONSUMER BANKING</t>
        </is>
      </c>
      <c r="D5384" t="inlineStr">
        <is>
          <t>IA</t>
        </is>
      </c>
      <c r="E5384" t="inlineStr">
        <is>
          <t>Stage 2</t>
        </is>
      </c>
      <c r="F5384" t="inlineStr">
        <is>
          <t>N/A</t>
        </is>
      </c>
      <c r="G5384" s="26">
        <v>2803267877</v>
      </c>
      <c r="H5384" s="26">
        <v>168196073</v>
      </c>
      <c r="I5384" s="26">
        <v>463043360</v>
      </c>
      <c r="J5384" s="26">
        <v>289</v>
      </c>
      <c r="K5384" t="inlineStr">
        <is>
          <t>Non</t>
        </is>
      </c>
      <c r="L5384">
        <f>SUBTOTAL(103,A5384)</f>
        <v>1</v>
      </c>
    </row>
    <row r="5385">
      <c r="A5385" t="inlineStr">
        <is>
          <t>SOCIETE C291</t>
        </is>
      </c>
      <c r="B5385" t="inlineStr">
        <is>
          <t>C291</t>
        </is>
      </c>
      <c r="C5385" t="inlineStr">
        <is>
          <t>CORPORATE BANKING</t>
        </is>
      </c>
      <c r="D5385" t="inlineStr">
        <is>
          <t>I</t>
        </is>
      </c>
      <c r="E5385" t="inlineStr">
        <is>
          <t>Stage 1</t>
        </is>
      </c>
      <c r="F5385" t="inlineStr">
        <is>
          <t>N/A</t>
        </is>
      </c>
      <c r="G5385" s="26">
        <v>86666081</v>
      </c>
      <c r="H5385" s="26">
        <v>866661</v>
      </c>
      <c r="I5385" s="26">
        <v>0</v>
      </c>
      <c r="J5385" s="26">
        <v>160</v>
      </c>
      <c r="K5385" t="inlineStr">
        <is>
          <t>Non</t>
        </is>
      </c>
      <c r="L5385">
        <f>SUBTOTAL(103,A5385)</f>
        <v>1</v>
      </c>
    </row>
    <row r="5386">
      <c r="A5386" t="inlineStr">
        <is>
          <t>SOCIETE C1512</t>
        </is>
      </c>
      <c r="B5386" t="inlineStr">
        <is>
          <t>C1512</t>
        </is>
      </c>
      <c r="C5386" t="inlineStr">
        <is>
          <t>SME</t>
        </is>
      </c>
      <c r="D5386" t="inlineStr">
        <is>
          <t>I</t>
        </is>
      </c>
      <c r="E5386" t="inlineStr">
        <is>
          <t>Stage 1</t>
        </is>
      </c>
      <c r="F5386" t="inlineStr">
        <is>
          <t>N/A</t>
        </is>
      </c>
      <c r="G5386" s="26">
        <v>13090091</v>
      </c>
      <c r="H5386" s="26">
        <v>130901</v>
      </c>
      <c r="I5386" s="26">
        <v>417054</v>
      </c>
      <c r="J5386" s="26">
        <v>42</v>
      </c>
      <c r="K5386" t="inlineStr">
        <is>
          <t>Non</t>
        </is>
      </c>
      <c r="L5386">
        <f>SUBTOTAL(103,A5386)</f>
        <v>1</v>
      </c>
    </row>
    <row r="5387">
      <c r="A5387" t="inlineStr">
        <is>
          <t>SOCIETE C2477</t>
        </is>
      </c>
      <c r="B5387" t="inlineStr">
        <is>
          <t>C2477</t>
        </is>
      </c>
      <c r="C5387" t="inlineStr">
        <is>
          <t>PUBLIC SECTOR</t>
        </is>
      </c>
      <c r="D5387" t="inlineStr">
        <is>
          <t>IV</t>
        </is>
      </c>
      <c r="E5387" t="inlineStr">
        <is>
          <t>Stage 3</t>
        </is>
      </c>
      <c r="F5387" t="inlineStr">
        <is>
          <t>N/A</t>
        </is>
      </c>
      <c r="G5387" s="26">
        <v>191904617</v>
      </c>
      <c r="H5387" s="26">
        <v>105547539</v>
      </c>
      <c r="I5387" s="26">
        <v>0</v>
      </c>
      <c r="J5387" s="26">
        <v>347</v>
      </c>
      <c r="K5387" t="inlineStr">
        <is>
          <t>Oui</t>
        </is>
      </c>
      <c r="L5387">
        <f>SUBTOTAL(103,A5387)</f>
        <v>1</v>
      </c>
    </row>
    <row r="5388">
      <c r="A5388" t="inlineStr">
        <is>
          <t>SOCIETE C718</t>
        </is>
      </c>
      <c r="B5388" t="inlineStr">
        <is>
          <t>C718</t>
        </is>
      </c>
      <c r="C5388" t="inlineStr">
        <is>
          <t>SME</t>
        </is>
      </c>
      <c r="D5388" t="inlineStr">
        <is>
          <t>I</t>
        </is>
      </c>
      <c r="E5388" t="inlineStr">
        <is>
          <t>Stage 1</t>
        </is>
      </c>
      <c r="F5388" t="inlineStr">
        <is>
          <t>N/A</t>
        </is>
      </c>
      <c r="G5388" s="26">
        <v>1652781708</v>
      </c>
      <c r="H5388" s="26">
        <v>16527817</v>
      </c>
      <c r="I5388" s="26">
        <v>0</v>
      </c>
      <c r="J5388" s="26">
        <v>245</v>
      </c>
      <c r="K5388" t="inlineStr">
        <is>
          <t>Non</t>
        </is>
      </c>
      <c r="L5388">
        <f>SUBTOTAL(103,A5388)</f>
        <v>1</v>
      </c>
    </row>
    <row r="5389">
      <c r="A5389" t="inlineStr">
        <is>
          <t>SOCIETE C2179</t>
        </is>
      </c>
      <c r="B5389" t="inlineStr">
        <is>
          <t>C2179</t>
        </is>
      </c>
      <c r="C5389" t="inlineStr">
        <is>
          <t>CORPORATE BANKING</t>
        </is>
      </c>
      <c r="D5389" t="inlineStr">
        <is>
          <t>III</t>
        </is>
      </c>
      <c r="E5389" t="inlineStr">
        <is>
          <t>Stage 3</t>
        </is>
      </c>
      <c r="F5389" t="inlineStr">
        <is>
          <t>N/A</t>
        </is>
      </c>
      <c r="G5389" s="26">
        <v>2119574643</v>
      </c>
      <c r="H5389" s="26">
        <v>1165766053</v>
      </c>
      <c r="I5389" s="26">
        <v>217757187</v>
      </c>
      <c r="J5389" s="26">
        <v>55</v>
      </c>
      <c r="K5389" t="inlineStr">
        <is>
          <t>Oui</t>
        </is>
      </c>
      <c r="L5389">
        <f>SUBTOTAL(103,A5389)</f>
        <v>1</v>
      </c>
    </row>
    <row r="5390">
      <c r="A5390" t="inlineStr">
        <is>
          <t>SOCIETE C1957</t>
        </is>
      </c>
      <c r="B5390" t="inlineStr">
        <is>
          <t>C1957</t>
        </is>
      </c>
      <c r="C5390" t="inlineStr">
        <is>
          <t>CONSUMER BANKING</t>
        </is>
      </c>
      <c r="D5390" t="inlineStr">
        <is>
          <t>IA</t>
        </is>
      </c>
      <c r="E5390" t="inlineStr">
        <is>
          <t>Stage 2</t>
        </is>
      </c>
      <c r="F5390" t="inlineStr">
        <is>
          <t>N/A</t>
        </is>
      </c>
      <c r="G5390" s="26">
        <v>26673556</v>
      </c>
      <c r="H5390" s="26">
        <v>1600413</v>
      </c>
      <c r="I5390" s="26">
        <v>0</v>
      </c>
      <c r="J5390" s="26">
        <v>39</v>
      </c>
      <c r="K5390" t="inlineStr">
        <is>
          <t>Non</t>
        </is>
      </c>
      <c r="L5390">
        <f>SUBTOTAL(103,A5390)</f>
        <v>1</v>
      </c>
    </row>
    <row r="5391">
      <c r="A5391" t="inlineStr">
        <is>
          <t>SOCIETE C159</t>
        </is>
      </c>
      <c r="B5391" t="inlineStr">
        <is>
          <t>C159</t>
        </is>
      </c>
      <c r="C5391" t="inlineStr">
        <is>
          <t>CORPORATE BANKING</t>
        </is>
      </c>
      <c r="D5391" t="inlineStr">
        <is>
          <t>IV</t>
        </is>
      </c>
      <c r="E5391" t="inlineStr">
        <is>
          <t>Stage 3</t>
        </is>
      </c>
      <c r="F5391" t="inlineStr">
        <is>
          <t>N/A</t>
        </is>
      </c>
      <c r="G5391" s="26">
        <v>2271791302</v>
      </c>
      <c r="H5391" s="26">
        <v>1249485216</v>
      </c>
      <c r="I5391" s="26">
        <v>182306702</v>
      </c>
      <c r="J5391" s="26">
        <v>161</v>
      </c>
      <c r="K5391" t="inlineStr">
        <is>
          <t>Oui</t>
        </is>
      </c>
      <c r="L5391">
        <f>SUBTOTAL(103,A5391)</f>
        <v>1</v>
      </c>
    </row>
    <row r="5392">
      <c r="A5392" t="inlineStr">
        <is>
          <t>SOCIETE C1865</t>
        </is>
      </c>
      <c r="B5392" t="inlineStr">
        <is>
          <t>C1865</t>
        </is>
      </c>
      <c r="C5392" t="inlineStr">
        <is>
          <t>CORPORATE BANKING</t>
        </is>
      </c>
      <c r="D5392" t="inlineStr">
        <is>
          <t>III</t>
        </is>
      </c>
      <c r="E5392" t="inlineStr">
        <is>
          <t>Stage 3</t>
        </is>
      </c>
      <c r="F5392" t="inlineStr">
        <is>
          <t>N/A</t>
        </is>
      </c>
      <c r="G5392" s="26">
        <v>222585180</v>
      </c>
      <c r="H5392" s="26">
        <v>122421849</v>
      </c>
      <c r="I5392" s="26">
        <v>32597692</v>
      </c>
      <c r="J5392" s="26">
        <v>166</v>
      </c>
      <c r="K5392" t="inlineStr">
        <is>
          <t>Oui</t>
        </is>
      </c>
      <c r="L5392">
        <f>SUBTOTAL(103,A5392)</f>
        <v>1</v>
      </c>
    </row>
    <row r="5393">
      <c r="A5393" t="inlineStr">
        <is>
          <t>SOCIETE C1010</t>
        </is>
      </c>
      <c r="B5393" t="inlineStr">
        <is>
          <t>C1010</t>
        </is>
      </c>
      <c r="C5393" t="inlineStr">
        <is>
          <t>CORPORATE BANKING</t>
        </is>
      </c>
      <c r="D5393" t="inlineStr">
        <is>
          <t>IA</t>
        </is>
      </c>
      <c r="E5393" t="inlineStr">
        <is>
          <t>Stage 2</t>
        </is>
      </c>
      <c r="F5393" t="inlineStr">
        <is>
          <t>N/A</t>
        </is>
      </c>
      <c r="G5393" s="26">
        <v>184692382</v>
      </c>
      <c r="H5393" s="26">
        <v>11081543</v>
      </c>
      <c r="I5393" s="26">
        <v>1915337</v>
      </c>
      <c r="J5393" s="26">
        <v>23</v>
      </c>
      <c r="K5393" t="inlineStr">
        <is>
          <t>Non</t>
        </is>
      </c>
      <c r="L5393">
        <f>SUBTOTAL(103,A5393)</f>
        <v>1</v>
      </c>
    </row>
    <row r="5394">
      <c r="A5394" t="inlineStr">
        <is>
          <t>SOCIETE C789</t>
        </is>
      </c>
      <c r="B5394" t="inlineStr">
        <is>
          <t>C789</t>
        </is>
      </c>
      <c r="C5394" t="inlineStr">
        <is>
          <t>CORPORATE BANKING</t>
        </is>
      </c>
      <c r="D5394" t="inlineStr">
        <is>
          <t>IA</t>
        </is>
      </c>
      <c r="E5394" t="inlineStr">
        <is>
          <t>Stage 2</t>
        </is>
      </c>
      <c r="F5394" t="inlineStr">
        <is>
          <t>N/A</t>
        </is>
      </c>
      <c r="G5394" s="26">
        <v>2244034</v>
      </c>
      <c r="H5394" s="26">
        <v>134642</v>
      </c>
      <c r="I5394" s="26">
        <v>0</v>
      </c>
      <c r="J5394" s="26">
        <v>138</v>
      </c>
      <c r="K5394" t="inlineStr">
        <is>
          <t>Non</t>
        </is>
      </c>
      <c r="L5394">
        <f>SUBTOTAL(103,A5394)</f>
        <v>1</v>
      </c>
    </row>
    <row r="5395">
      <c r="A5395" t="inlineStr">
        <is>
          <t>SOCIETE C1140</t>
        </is>
      </c>
      <c r="B5395" t="inlineStr">
        <is>
          <t>C1140</t>
        </is>
      </c>
      <c r="C5395" t="inlineStr">
        <is>
          <t>CORPORATE BANKING</t>
        </is>
      </c>
      <c r="D5395" t="inlineStr">
        <is>
          <t>I</t>
        </is>
      </c>
      <c r="E5395" t="inlineStr">
        <is>
          <t>Stage 1</t>
        </is>
      </c>
      <c r="F5395" t="inlineStr">
        <is>
          <t>N/A</t>
        </is>
      </c>
      <c r="G5395" s="26">
        <v>1154505161</v>
      </c>
      <c r="H5395" s="26">
        <v>11545052</v>
      </c>
      <c r="I5395" s="26">
        <v>0</v>
      </c>
      <c r="J5395" s="26">
        <v>144</v>
      </c>
      <c r="K5395" t="inlineStr">
        <is>
          <t>Non</t>
        </is>
      </c>
      <c r="L5395">
        <f>SUBTOTAL(103,A5395)</f>
        <v>1</v>
      </c>
    </row>
    <row r="5396">
      <c r="A5396" t="inlineStr">
        <is>
          <t>SOCIETE C750</t>
        </is>
      </c>
      <c r="B5396" t="inlineStr">
        <is>
          <t>C750</t>
        </is>
      </c>
      <c r="C5396" t="inlineStr">
        <is>
          <t>CONSUMER BANKING</t>
        </is>
      </c>
      <c r="D5396" t="inlineStr">
        <is>
          <t>I</t>
        </is>
      </c>
      <c r="E5396" t="inlineStr">
        <is>
          <t>Stage 1</t>
        </is>
      </c>
      <c r="F5396" t="inlineStr">
        <is>
          <t>N/A</t>
        </is>
      </c>
      <c r="G5396" s="26">
        <v>2496880303</v>
      </c>
      <c r="H5396" s="26">
        <v>24968803</v>
      </c>
      <c r="I5396" s="26">
        <v>0</v>
      </c>
      <c r="J5396" s="26">
        <v>66</v>
      </c>
      <c r="K5396" t="inlineStr">
        <is>
          <t>Non</t>
        </is>
      </c>
      <c r="L5396">
        <f>SUBTOTAL(103,A5396)</f>
        <v>1</v>
      </c>
    </row>
    <row r="5397">
      <c r="A5397" t="inlineStr">
        <is>
          <t>SOCIETE C581</t>
        </is>
      </c>
      <c r="B5397" t="inlineStr">
        <is>
          <t>C581</t>
        </is>
      </c>
      <c r="C5397" t="inlineStr">
        <is>
          <t>CORPORATE BANKING</t>
        </is>
      </c>
      <c r="D5397" t="inlineStr">
        <is>
          <t>IA</t>
        </is>
      </c>
      <c r="E5397" t="inlineStr">
        <is>
          <t>Stage 2</t>
        </is>
      </c>
      <c r="F5397" t="inlineStr">
        <is>
          <t>N/A</t>
        </is>
      </c>
      <c r="G5397" s="26">
        <v>2526331616</v>
      </c>
      <c r="H5397" s="26">
        <v>151579897</v>
      </c>
      <c r="I5397" s="26">
        <v>378964891</v>
      </c>
      <c r="J5397" s="26">
        <v>234</v>
      </c>
      <c r="K5397" t="inlineStr">
        <is>
          <t>Non</t>
        </is>
      </c>
      <c r="L5397">
        <f>SUBTOTAL(103,A5397)</f>
        <v>1</v>
      </c>
    </row>
    <row r="5398">
      <c r="A5398" t="inlineStr">
        <is>
          <t>SOCIETE C1463</t>
        </is>
      </c>
      <c r="B5398" t="inlineStr">
        <is>
          <t>C1463</t>
        </is>
      </c>
      <c r="C5398" t="inlineStr">
        <is>
          <t>PUBLIC SECTOR</t>
        </is>
      </c>
      <c r="D5398" t="inlineStr">
        <is>
          <t>I</t>
        </is>
      </c>
      <c r="E5398" t="inlineStr">
        <is>
          <t>Stage 1</t>
        </is>
      </c>
      <c r="F5398" t="inlineStr">
        <is>
          <t>N/A</t>
        </is>
      </c>
      <c r="G5398" s="26">
        <v>568598957</v>
      </c>
      <c r="H5398" s="26">
        <v>5685990</v>
      </c>
      <c r="I5398" s="26">
        <v>65873973</v>
      </c>
      <c r="J5398" s="26">
        <v>196</v>
      </c>
      <c r="K5398" t="inlineStr">
        <is>
          <t>Non</t>
        </is>
      </c>
      <c r="L5398">
        <f>SUBTOTAL(103,A5398)</f>
        <v>1</v>
      </c>
    </row>
    <row r="5399">
      <c r="A5399" t="inlineStr">
        <is>
          <t>SOCIETE C1041</t>
        </is>
      </c>
      <c r="B5399" t="inlineStr">
        <is>
          <t>C1041</t>
        </is>
      </c>
      <c r="C5399" t="inlineStr">
        <is>
          <t>COMMERCIAL BANKING</t>
        </is>
      </c>
      <c r="D5399" t="inlineStr">
        <is>
          <t>I</t>
        </is>
      </c>
      <c r="E5399" t="inlineStr">
        <is>
          <t>Stage 1</t>
        </is>
      </c>
      <c r="F5399" t="inlineStr">
        <is>
          <t>N/A</t>
        </is>
      </c>
      <c r="G5399" s="26">
        <v>367222630</v>
      </c>
      <c r="H5399" s="26">
        <v>3672226</v>
      </c>
      <c r="I5399" s="26">
        <v>29068951</v>
      </c>
      <c r="J5399" s="26">
        <v>29</v>
      </c>
      <c r="K5399" t="inlineStr">
        <is>
          <t>Non</t>
        </is>
      </c>
      <c r="L5399">
        <f>SUBTOTAL(103,A5399)</f>
        <v>1</v>
      </c>
    </row>
    <row r="5400">
      <c r="A5400" t="inlineStr">
        <is>
          <t>SOCIETE C2159</t>
        </is>
      </c>
      <c r="B5400" t="inlineStr">
        <is>
          <t>C2159</t>
        </is>
      </c>
      <c r="C5400" t="inlineStr">
        <is>
          <t>CORPORATE BANKING</t>
        </is>
      </c>
      <c r="D5400" t="inlineStr">
        <is>
          <t>V</t>
        </is>
      </c>
      <c r="E5400" t="inlineStr">
        <is>
          <t>Stage 3</t>
        </is>
      </c>
      <c r="F5400" t="inlineStr">
        <is>
          <t>N/A</t>
        </is>
      </c>
      <c r="G5400" s="26">
        <v>255494349</v>
      </c>
      <c r="H5400" s="26">
        <v>140521892</v>
      </c>
      <c r="I5400" s="26">
        <v>0</v>
      </c>
      <c r="J5400" s="26">
        <v>140</v>
      </c>
      <c r="K5400" t="inlineStr">
        <is>
          <t>Oui</t>
        </is>
      </c>
      <c r="L5400">
        <f>SUBTOTAL(103,A5400)</f>
        <v>1</v>
      </c>
    </row>
    <row r="5401">
      <c r="A5401" t="inlineStr">
        <is>
          <t>SOCIETE C1322</t>
        </is>
      </c>
      <c r="B5401" t="inlineStr">
        <is>
          <t>C1322</t>
        </is>
      </c>
      <c r="C5401" t="inlineStr">
        <is>
          <t>CONSUMER BANKING</t>
        </is>
      </c>
      <c r="D5401" t="inlineStr">
        <is>
          <t>I</t>
        </is>
      </c>
      <c r="E5401" t="inlineStr">
        <is>
          <t>Stage 1</t>
        </is>
      </c>
      <c r="F5401" t="inlineStr">
        <is>
          <t>N/A</t>
        </is>
      </c>
      <c r="G5401" s="26">
        <v>38039557</v>
      </c>
      <c r="H5401" s="26">
        <v>380396</v>
      </c>
      <c r="I5401" s="26">
        <v>7213202</v>
      </c>
      <c r="J5401" s="26">
        <v>6</v>
      </c>
      <c r="K5401" t="inlineStr">
        <is>
          <t>Non</t>
        </is>
      </c>
      <c r="L5401">
        <f>SUBTOTAL(103,A5401)</f>
        <v>1</v>
      </c>
    </row>
  </sheetData>
  <conditionalFormatting sqref="D2:D5401">
    <cfRule type="cellIs" dxfId="2" priority="500" operator="equal">
      <formula>"I"</formula>
    </cfRule>
  </conditionalFormatting>
  <conditionalFormatting sqref="D2:D5401">
    <cfRule type="cellIs" dxfId="3" priority="501" operator="equal">
      <formula>"IA"</formula>
    </cfRule>
  </conditionalFormatting>
  <conditionalFormatting sqref="D2:D5401">
    <cfRule type="cellIs" dxfId="4" priority="502" operator="equal">
      <formula>"II"</formula>
    </cfRule>
  </conditionalFormatting>
  <conditionalFormatting sqref="D2:D5401">
    <cfRule type="cellIs" dxfId="5" priority="503" operator="equal">
      <formula>"III"</formula>
    </cfRule>
  </conditionalFormatting>
  <conditionalFormatting sqref="D2:D5401">
    <cfRule type="cellIs" dxfId="6" priority="504" operator="equal">
      <formula>"IV"</formula>
    </cfRule>
  </conditionalFormatting>
  <conditionalFormatting sqref="D2:D5401">
    <cfRule type="cellIs" dxfId="7" priority="505" operator="equal">
      <formula>"V"</formula>
    </cfRule>
  </conditionalFormatting>
  <conditionalFormatting sqref="E2:E5401">
    <cfRule type="cellIs" dxfId="8" priority="506" operator="equal">
      <formula>"Stage 1"</formula>
    </cfRule>
  </conditionalFormatting>
  <conditionalFormatting sqref="E2:E5401">
    <cfRule type="cellIs" dxfId="9" priority="507" operator="equal">
      <formula>"Stage 2"</formula>
    </cfRule>
  </conditionalFormatting>
  <conditionalFormatting sqref="E2:E5401">
    <cfRule type="cellIs" dxfId="10" priority="508" operator="equal">
      <formula>"Stage 3"</formula>
    </cfRule>
  </conditionalFormatting>
  <conditionalFormatting sqref="C2:C5401">
    <cfRule type="cellIs" dxfId="11" priority="509" operator="equal">
      <formula>"COMMERCIAL BANKING"</formula>
    </cfRule>
  </conditionalFormatting>
  <conditionalFormatting sqref="C2:C5401">
    <cfRule type="cellIs" dxfId="12" priority="510" operator="equal">
      <formula>"CONSUMER BANKING"</formula>
    </cfRule>
  </conditionalFormatting>
  <conditionalFormatting sqref="C2:C5401">
    <cfRule type="cellIs" dxfId="13" priority="511" operator="equal">
      <formula>"CORPORATE BANKING"</formula>
    </cfRule>
  </conditionalFormatting>
  <conditionalFormatting sqref="C2:C5401">
    <cfRule type="cellIs" dxfId="14" priority="512" operator="equal">
      <formula>"INSTITUTIONAL"</formula>
    </cfRule>
  </conditionalFormatting>
  <conditionalFormatting sqref="C2:C5401">
    <cfRule type="cellIs" dxfId="15" priority="513" operator="equal">
      <formula>"PUBLIC SECTOR"</formula>
    </cfRule>
  </conditionalFormatting>
  <conditionalFormatting sqref="C2:C5401">
    <cfRule type="cellIs" dxfId="16" priority="514" operator="equal">
      <formula>"SME"</formula>
    </cfRule>
  </conditionalFormatting>
  <conditionalFormatting sqref="K2:K5401">
    <cfRule type="cellIs" dxfId="17" priority="515" operator="equal">
      <formula>"Oui"</formula>
    </cfRule>
  </conditionalFormatting>
  <conditionalFormatting sqref="G2:G5401">
    <cfRule type="dataBar" priority="516">
      <dataBar>
        <cfvo type="min"/>
        <cfvo type="max"/>
        <color rgb="FF2EA3D6"/>
      </dataBar>
    </cfRule>
  </conditionalFormatting>
  <conditionalFormatting sqref="H2:H5401">
    <cfRule type="dataBar" priority="517">
      <dataBar>
        <cfvo type="min"/>
        <cfvo type="max"/>
        <color rgb="FF8CC63F"/>
      </dataBar>
    </cfRule>
  </conditionalFormatting>
  <conditionalFormatting sqref="I2:I5401">
    <cfRule type="dataBar" priority="518">
      <dataBar>
        <cfvo type="min"/>
        <cfvo type="max"/>
        <color rgb="FFE0674F"/>
      </dataBar>
    </cfRule>
  </conditionalFormatting>
  <conditionalFormatting sqref="J2:J5401">
    <cfRule type="colorScale" priority="519">
      <colorScale>
        <cfvo type="num" val="0"/>
        <cfvo type="num" val="60"/>
        <cfvo type="num" val="120"/>
        <color rgb="FFD9F0C0"/>
        <color rgb="FFFFE8A3"/>
        <color rgb="FFF4A99B"/>
      </colorScale>
    </cfRule>
  </conditionalFormatting>
  <pageMargins left="0.4" right="0.4" top="0.5" bottom="0.5" header="0.3" footer="0.3"/>
  <tableParts count="1">
    <tablePart r:id="rIdApexT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Sommaire</vt:lpstr>
      <vt:lpstr>Impayés</vt:lpstr>
    </vt:vector>
  </TitlesOfParts>
  <Company>Ecobank Sénégal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Ecobank Sénégal — Credit Risk OS</dc:title>
  <dc:subject>Surveillance du portefeuille de crédit</dc:subject>
  <dc:creator>Ecobank Sénégal · Direction des Engagements</dc:creator>
  <cp:keywords>Risque de crédit; IFRS 9; BCEAO; Internal use only</cp:keywords>
  <cp:lastModifiedBy>Credit Risk OS APEX</cp:lastModifiedBy>
  <dcterms:created xsi:type="dcterms:W3CDTF">2026-09-29T08:14:08Z</dcterms:created>
  <dcterms:modified xsi:type="dcterms:W3CDTF">2026-09-29T08:14:08Z</dcterms:modified>
</cp:coreProperties>
</file>