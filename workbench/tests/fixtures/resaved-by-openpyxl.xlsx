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ableau de bord" sheetId="1" state="visible" r:id="rId1"/>
    <sheet xmlns:r="http://schemas.openxmlformats.org/officeDocument/2006/relationships" name="Tableau de bord (image)" sheetId="2" state="visible" r:id="rId2"/>
    <sheet xmlns:r="http://schemas.openxmlformats.org/officeDocument/2006/relationships" name="Données" sheetId="3" state="visible" r:id="rId3"/>
    <sheet xmlns:r="http://schemas.openxmlformats.org/officeDocument/2006/relationships" name="Données du tableau de bord" sheetId="4" state="visible" r:id="rId4"/>
    <sheet xmlns:r="http://schemas.openxmlformats.org/officeDocument/2006/relationships" name="Scénarios" sheetId="5" state="visible" r:id="rId5"/>
  </sheets>
  <definedNames>
    <definedName name="_xlnm._FilterDatabase" localSheetId="2" hidden="1">'Données'!$A$6:$C$30</definedName>
  </definedNames>
</workbook>
</file>

<file path=xl/styles.xml><?xml version="1.0" encoding="utf-8"?>
<styleSheet xmlns="http://schemas.openxmlformats.org/spreadsheetml/2006/main">
  <numFmts count="1">
    <numFmt numFmtId="164" formatCode="[&gt;=1000000000]#,##0.0,,,&quot; Md&quot;;#,##0,,&quot; M&quot;"/>
  </numFmts>
  <fonts count="14">
    <font>
      <name val="Calibri"/>
      <sz val="11"/>
    </font>
    <font>
      <name val="Calibri"/>
      <sz val="11"/>
    </font>
    <font>
      <name val="Segoe UI"/>
      <b val="1"/>
      <color rgb="00FFFFFF"/>
      <sz val="20"/>
    </font>
    <font>
      <name val="Segoe UI"/>
      <b val="1"/>
      <color rgb="00FFFFFF"/>
      <sz val="20"/>
    </font>
    <font>
      <name val="Segoe UI"/>
      <color rgb="00DDEEF5"/>
      <sz val="9.5"/>
    </font>
    <font>
      <name val="Segoe UI"/>
      <color rgb="00DDEEF5"/>
      <sz val="9.5"/>
    </font>
    <font>
      <name val="Segoe UI"/>
      <b val="1"/>
      <color rgb="00334155"/>
      <sz val="8.5"/>
    </font>
    <font>
      <name val="Consolas"/>
      <b val="1"/>
      <color rgb="00001B4D"/>
      <sz val="16"/>
    </font>
    <font>
      <name val="Consolas"/>
      <b val="1"/>
      <color rgb="00001B4D"/>
      <sz val="16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466320"/>
      <sz val="10"/>
    </font>
    <font>
      <name val="Consolas"/>
      <color rgb="000F172A"/>
      <sz val="10"/>
    </font>
    <font>
      <name val="Segoe UI"/>
      <b val="1"/>
      <color rgb="0017526B"/>
      <sz val="10"/>
    </font>
  </fonts>
  <fills count="13">
    <fill>
      <patternFill/>
    </fill>
    <fill>
      <patternFill patternType="gray125"/>
    </fill>
    <fill>
      <patternFill patternType="solid">
        <fgColor rgb="FF001B4D"/>
      </patternFill>
    </fill>
    <fill>
      <patternFill patternType="solid">
        <fgColor rgb="FF001B4D"/>
      </patternFill>
    </fill>
    <fill>
      <patternFill patternType="solid">
        <fgColor rgb="FF003DA5"/>
      </patternFill>
    </fill>
    <fill>
      <patternFill patternType="solid">
        <fgColor rgb="FF003DA5"/>
      </patternFill>
    </fill>
    <fill>
      <patternFill patternType="solid">
        <fgColor rgb="FFF5F9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AF1F5"/>
      </patternFill>
    </fill>
    <fill>
      <patternFill patternType="solid">
        <fgColor rgb="FF003DA5"/>
      </patternFill>
    </fill>
    <fill>
      <patternFill patternType="solid">
        <fgColor rgb="FFE6F2D5"/>
      </patternFill>
    </fill>
    <fill>
      <patternFill patternType="solid">
        <fgColor rgb="FFD1EBF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0C8A951"/>
      </bottom>
      <diagonal/>
    </border>
    <border>
      <left/>
      <right/>
      <top/>
      <bottom style="medium">
        <color rgb="00C8A951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  <border>
      <left style="thin">
        <color rgb="00DBE6F7"/>
      </left>
      <right style="thin">
        <color rgb="00DBE6F7"/>
      </right>
      <top style="thin">
        <color rgb="00DBE6F7"/>
      </top>
      <bottom style="thin">
        <color rgb="00DBE6F7"/>
      </bottom>
      <diagonal/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left" vertical="center" indent="1"/>
    </xf>
    <xf numFmtId="0" fontId="3" fillId="3" borderId="3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6" fillId="6" borderId="4" applyAlignment="1" pivotButton="0" quotePrefix="0" xfId="0">
      <alignment horizontal="center" vertical="center" wrapText="1"/>
    </xf>
    <xf numFmtId="3" fontId="7" fillId="7" borderId="5" applyAlignment="1" pivotButton="0" quotePrefix="0" xfId="0">
      <alignment horizontal="center" vertical="center"/>
    </xf>
    <xf numFmtId="164" fontId="8" fillId="8" borderId="6" applyAlignment="1" pivotButton="0" quotePrefix="0" xfId="0">
      <alignment horizontal="center" vertical="center"/>
    </xf>
    <xf numFmtId="0" fontId="0" fillId="9" borderId="0" pivotButton="0" quotePrefix="0" xfId="0"/>
    <xf numFmtId="0" fontId="9" fillId="1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left" vertical="center"/>
    </xf>
    <xf numFmtId="0" fontId="11" fillId="11" borderId="9" applyAlignment="1" pivotButton="0" quotePrefix="0" xfId="0">
      <alignment horizontal="center" vertical="center"/>
    </xf>
    <xf numFmtId="3" fontId="12" fillId="0" borderId="10" applyAlignment="1" pivotButton="0" quotePrefix="0" xfId="0">
      <alignment horizontal="right" vertical="center"/>
    </xf>
    <xf numFmtId="0" fontId="13" fillId="12" borderId="11" applyAlignment="1" pivotButton="0" quotePrefix="0" xfId="0">
      <alignment horizontal="center" vertical="center"/>
    </xf>
    <xf numFmtId="0" fontId="2" fillId="2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 indent="1"/>
    </xf>
    <xf numFmtId="164" fontId="8" fillId="8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26" b="1">
                <a:solidFill>
                  <a:srgbClr val="1F2937"/>
                </a:solidFill>
                <a:latin typeface="Poppins"/>
              </a:defRPr>
            </a:pPr>
            <a:r>
              <a:rPr lang="fr-FR" sz="1426" b="1">
                <a:solidFill>
                  <a:srgbClr val="1F2937"/>
                </a:solidFill>
                <a:latin typeface="Poppins"/>
              </a:rPr>
              <a:t>Montant par Client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'Données du tableau de bord'!$B$1</f>
              <strCache>
                <ptCount val="1"/>
                <pt idx="0">
                  <v>Montant</v>
                </pt>
              </strCache>
            </strRef>
          </tx>
          <spPr>
            <a:solidFill xmlns:a="http://schemas.openxmlformats.org/drawingml/2006/main">
              <a:srgbClr val="4C1D95"/>
            </a:solidFill>
            <a:ln xmlns:a="http://schemas.openxmlformats.org/drawingml/2006/main"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4C1D95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7450B8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9C82DA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C4B5FD"/>
              </a:solidFill>
              <a:ln xmlns:a="http://schemas.openxmlformats.org/drawingml/2006/main">
                <a:prstDash val="solid"/>
              </a:ln>
            </spPr>
          </dPt>
          <dLbls>
            <numFmt formatCode="#,##0.0,,&quot; M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66" b="0">
                    <a:solidFill>
                      <a:srgbClr val="797F87"/>
                    </a:solidFill>
                    <a:latin typeface="Poppin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'Données du tableau de bord'!$A$2:$A$5</f>
              <strCache>
                <ptCount val="4"/>
                <pt idx="0">
                  <v>DELTA</v>
                </pt>
                <pt idx="1">
                  <v>GAMMA</v>
                </pt>
                <pt idx="2">
                  <v>BETA SARL</v>
                </pt>
                <pt idx="3">
                  <v>ALPHA SA</v>
                </pt>
              </strCache>
            </strRef>
          </cat>
          <val>
            <numRef>
              <f>'Données du tableau de bord'!$B$2:$B$5</f>
              <numCache>
                <formatCode>General</formatCode>
                <ptCount val="4"/>
                <pt idx="0">
                  <v>84000000</v>
                </pt>
                <pt idx="1">
                  <v>78000000</v>
                </pt>
                <pt idx="2">
                  <v>72000000</v>
                </pt>
                <pt idx="3">
                  <v>66000000</v>
                </pt>
              </numCache>
            </numRef>
          </val>
        </ser>
        <gapWidth val="55"/>
        <axId val="711"/>
        <axId val="712"/>
      </barChart>
      <catAx>
        <axId val="7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525">
            <a:solidFill>
              <a:srgbClr val="BCBFC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66" b="0">
                <a:solidFill>
                  <a:srgbClr val="1F2937"/>
                </a:solidFill>
                <a:latin typeface="Poppins"/>
              </a:defRPr>
            </a:pPr>
            <a:r>
              <a:t/>
            </a:r>
            <a:endParaRPr lang="fr-FR"/>
          </a:p>
        </txPr>
        <crossAx val="712"/>
        <crosses val="autoZero"/>
        <auto val="1"/>
        <lblAlgn val="ctr"/>
        <lblOffset val="100"/>
        <noMultiLvlLbl val="0"/>
      </catAx>
      <valAx>
        <axId val="712"/>
        <scaling>
          <orientation val="minMax"/>
        </scaling>
        <delete val="1"/>
        <axPos val="l"/>
        <numFmt formatCode="#,##0.0,,&quot; M&quot;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2" b="0">
                <a:solidFill>
                  <a:srgbClr val="797F87"/>
                </a:solidFill>
                <a:latin typeface="Poppins"/>
              </a:defRPr>
            </a:pPr>
            <a:r>
              <a:t/>
            </a:r>
            <a:endParaRPr lang="fr-FR"/>
          </a:p>
        </txPr>
        <crossAx val="711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26" b="1">
                <a:solidFill>
                  <a:srgbClr val="1F2937"/>
                </a:solidFill>
                <a:latin typeface="Poppins"/>
              </a:defRPr>
            </a:pPr>
            <a:r>
              <a:rPr lang="fr-FR" sz="1426" b="1">
                <a:solidFill>
                  <a:srgbClr val="1F2937"/>
                </a:solidFill>
                <a:latin typeface="Poppins"/>
              </a:rPr>
              <a:t>Montant par Segment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'Données du tableau de bord'!$E$1</f>
              <strCache>
                <ptCount val="1"/>
                <pt idx="0">
                  <v>Montant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7C3AED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22D3E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66" b="0">
                    <a:solidFill>
                      <a:srgbClr val="FFFFFF"/>
                    </a:solidFill>
                    <a:latin typeface="Poppins"/>
                  </a:defRPr>
                </a:pPr>
                <a:r>
                  <a:t/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</dLbls>
          <cat>
            <strRef>
              <f>'Données du tableau de bord'!$D$2:$D$3</f>
              <strCache>
                <ptCount val="2"/>
                <pt idx="0">
                  <v>CONSUMER</v>
                </pt>
                <pt idx="1">
                  <v>CORPORATE</v>
                </pt>
              </strCache>
            </strRef>
          </cat>
          <val>
            <numRef>
              <f>'Données du tableau de bord'!$E$2:$E$3</f>
              <numCache>
                <formatCode>General</formatCode>
                <ptCount val="2"/>
                <pt idx="0">
                  <v>156000000</v>
                </pt>
                <pt idx="1">
                  <v>144000000</v>
                </pt>
              </numCache>
            </numRef>
          </val>
        </ser>
        <firstSliceAng val="0"/>
        <holeSize val="58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66" b="0">
              <a:solidFill>
                <a:srgbClr val="1F2937"/>
              </a:solidFill>
              <a:latin typeface="Poppins"/>
            </a:defRPr>
          </a:pPr>
          <a:r>
            <a:t/>
          </a:r>
          <a:endParaRPr lang="fr-FR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14" b="1">
                <a:solidFill>
                  <a:srgbClr val="1F2937"/>
                </a:solidFill>
                <a:latin typeface="Poppins"/>
              </a:defRPr>
            </a:pPr>
            <a:r>
              <a:rPr lang="fr-FR" sz="1114" b="1">
                <a:solidFill>
                  <a:srgbClr val="1F2937"/>
                </a:solidFill>
                <a:latin typeface="Poppins"/>
              </a:rPr>
              <a:t>Montant par Client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'Données du tableau de bord'!$H$1</f>
              <strCache>
                <ptCount val="1"/>
                <pt idx="0">
                  <v>Montant</v>
                </pt>
              </strCache>
            </strRef>
          </tx>
          <spPr>
            <a:ln xmlns:a="http://schemas.openxmlformats.org/drawingml/2006/main" w="28575" cap="rnd">
              <a:solidFill>
                <a:srgbClr val="7C3AED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marker>
          <dLbls>
            <numFmt formatCode="#,##0.0,,&quot; M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12" b="0">
                    <a:solidFill>
                      <a:srgbClr val="797F87"/>
                    </a:solidFill>
                    <a:latin typeface="Poppins"/>
                  </a:defRPr>
                </a:pPr>
                <a:r>
                  <a:t/>
                </a:r>
                <a:endParaRPr lang="fr-F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'Données du tableau de bord'!$G$2:$G$5</f>
              <strCache>
                <ptCount val="4"/>
                <pt idx="0">
                  <v>DELTA</v>
                </pt>
                <pt idx="1">
                  <v>GAMMA</v>
                </pt>
                <pt idx="2">
                  <v>BETA SARL</v>
                </pt>
                <pt idx="3">
                  <v>ALPHA SA</v>
                </pt>
              </strCache>
            </strRef>
          </cat>
          <val>
            <numRef>
              <f>'Données du tableau de bord'!$H$2:$H$5</f>
              <numCache>
                <formatCode>General</formatCode>
                <ptCount val="4"/>
                <pt idx="0">
                  <v>84000000</v>
                </pt>
                <pt idx="1">
                  <v>78000000</v>
                </pt>
                <pt idx="2">
                  <v>72000000</v>
                </pt>
                <pt idx="3">
                  <v>66000000</v>
                </pt>
              </numCache>
            </numRef>
          </val>
          <smooth val="0"/>
        </ser>
        <marker val="1"/>
        <axId val="711"/>
        <axId val="712"/>
      </lineChart>
      <catAx>
        <axId val="7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525">
            <a:solidFill>
              <a:srgbClr val="BCBFC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12" b="0">
                <a:solidFill>
                  <a:srgbClr val="1F2937"/>
                </a:solidFill>
                <a:latin typeface="Poppins"/>
              </a:defRPr>
            </a:pPr>
            <a:r>
              <a:t/>
            </a:r>
            <a:endParaRPr lang="fr-FR"/>
          </a:p>
        </txPr>
        <crossAx val="712"/>
        <crosses val="autoZero"/>
        <auto val="1"/>
        <lblAlgn val="ctr"/>
        <lblOffset val="100"/>
        <noMultiLvlLbl val="0"/>
      </catAx>
      <valAx>
        <axId val="712"/>
        <scaling>
          <orientation val="minMax"/>
        </scaling>
        <delete val="1"/>
        <axPos val="l"/>
        <numFmt formatCode="#,##0.0,,&quot; M&quot;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61" b="0">
                <a:solidFill>
                  <a:srgbClr val="797F87"/>
                </a:solidFill>
                <a:latin typeface="Poppins"/>
              </a:defRPr>
            </a:pPr>
            <a:r>
              <a:t/>
            </a:r>
            <a:endParaRPr lang="fr-FR"/>
          </a:p>
        </txPr>
        <crossAx val="711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26" b="1">
                <a:solidFill>
                  <a:srgbClr val="1F2937"/>
                </a:solidFill>
                <a:latin typeface="Poppins"/>
              </a:defRPr>
            </a:pPr>
            <a:r>
              <a:rPr lang="fr-FR" sz="1426" b="1">
                <a:solidFill>
                  <a:srgbClr val="1F2937"/>
                </a:solidFill>
                <a:latin typeface="Poppins"/>
              </a:rPr>
              <a:t>Montant par Segment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'Données du tableau de bord'!$K$1</f>
              <strCache>
                <ptCount val="1"/>
                <pt idx="0">
                  <v>Montant</v>
                </pt>
              </strCache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invertIfNegative val="0"/>
          <dLbls>
            <numFmt formatCode="#,##0.0,,&quot; M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66" b="0">
                    <a:solidFill>
                      <a:srgbClr val="797F87"/>
                    </a:solidFill>
                    <a:latin typeface="Poppin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'Données du tableau de bord'!$J$2:$J$3</f>
              <strCache>
                <ptCount val="2"/>
                <pt idx="0">
                  <v>CONSUMER</v>
                </pt>
                <pt idx="1">
                  <v>CORPORATE</v>
                </pt>
              </strCache>
            </strRef>
          </cat>
          <val>
            <numRef>
              <f>'Données du tableau de bord'!$K$2:$K$3</f>
              <numCache>
                <formatCode>General</formatCode>
                <ptCount val="2"/>
                <pt idx="0">
                  <v>156000000</v>
                </pt>
                <pt idx="1">
                  <v>144000000</v>
                </pt>
              </numCache>
            </numRef>
          </val>
        </ser>
        <gapWidth val="55"/>
        <axId val="711"/>
        <axId val="712"/>
      </barChart>
      <catAx>
        <axId val="711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525">
            <a:solidFill>
              <a:srgbClr val="BCBFC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66" b="0">
                <a:solidFill>
                  <a:srgbClr val="1F2937"/>
                </a:solidFill>
                <a:latin typeface="Poppins"/>
              </a:defRPr>
            </a:pPr>
            <a:r>
              <a:t/>
            </a:r>
            <a:endParaRPr lang="fr-FR"/>
          </a:p>
        </txPr>
        <crossAx val="712"/>
        <crosses val="autoZero"/>
        <auto val="1"/>
        <lblAlgn val="ctr"/>
        <lblOffset val="100"/>
        <noMultiLvlLbl val="0"/>
      </catAx>
      <valAx>
        <axId val="712"/>
        <scaling>
          <orientation val="minMax"/>
        </scaling>
        <delete val="1"/>
        <axPos val="b"/>
        <numFmt formatCode="#,##0.0,,&quot; M&quot;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2" b="0">
                <a:solidFill>
                  <a:srgbClr val="797F87"/>
                </a:solidFill>
                <a:latin typeface="Poppins"/>
              </a:defRPr>
            </a:pPr>
            <a:r>
              <a:t/>
            </a:r>
            <a:endParaRPr lang="fr-FR"/>
          </a:p>
        </txPr>
        <crossAx val="711"/>
        <crosses val="max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Relationship Type="http://schemas.openxmlformats.org/officeDocument/2006/relationships/image" Target="/xl/media/image2.png" Id="rId6"/><Relationship Type="http://schemas.openxmlformats.org/officeDocument/2006/relationships/image" Target="/xl/media/image3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absoluteAnchor>
    <pos x="464515" y="2018995"/>
    <ext cx="5288890" cy="19970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  <absoluteAnchor>
    <pos x="6438595" y="2018995"/>
    <ext cx="5288890" cy="19970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absoluteAnchor>
  <absoluteAnchor>
    <pos x="442913" y="4397693"/>
    <ext cx="3503295" cy="156019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absoluteAnchor>
  <absoluteAnchor>
    <pos x="4365955" y="4419295"/>
    <ext cx="3460090" cy="213421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absoluteAnchor>
  <absoluteAnchor>
    <pos x="0" y="0"/>
    <ext cx="12192000" cy="6858000"/>
    <pic>
      <nvPicPr>
        <cNvPr id="9301" name="Design 930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0" t="0" r="0" b="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2192000" cy="685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absoluteAnchor>
  <absoluteAnchor>
    <pos x="8267395" y="4419295"/>
    <ext cx="3460090" cy="2134210"/>
    <pic>
      <nvPicPr>
        <cNvPr id="9311" name="Reproduction 93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67810" t="64440" r="3810" b="4440"/>
        <a:stretch xmlns:a="http://schemas.openxmlformats.org/drawingml/2006/main">
          <a:fillRect/>
        </a:stretch>
      </blipFill>
      <spPr>
        <a:xfrm xmlns:a="http://schemas.openxmlformats.org/drawingml/2006/main">
          <a:off x="8267395" y="4419295"/>
          <a:ext cx="3460090" cy="21342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absoluteAnchor>
  <absoluteAnchor>
    <pos x="419100" y="6225540"/>
    <ext cx="2331720" cy="304800"/>
    <pic>
      <nvPicPr>
        <cNvPr id="9312" name="Reproduction 93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 l="3438" t="90778" r="77437" b="4778"/>
        <a:stretch xmlns:a="http://schemas.openxmlformats.org/drawingml/2006/main">
          <a:fillRect/>
        </a:stretch>
      </blipFill>
      <spPr>
        <a:xfrm xmlns:a="http://schemas.openxmlformats.org/drawingml/2006/main">
          <a:off x="419100" y="6225540"/>
          <a:ext cx="2331720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absoluteAnchor>
</wsDr>
</file>

<file path=xl/drawings/drawing2.xml><?xml version="1.0" encoding="utf-8"?>
<wsDr xmlns="http://schemas.openxmlformats.org/drawingml/2006/spreadsheetDrawing">
  <oneCellAnchor>
    <from>
      <col>0</col>
      <colOff>95250</colOff>
      <row>0</row>
      <rowOff>95250</rowOff>
    </from>
    <ext cx="11430000" cy="6433457"/>
    <pic>
      <nvPicPr>
        <cNvPr id="9101" name="Tableau de bor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" cy="6433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7C3AED"/>
    <outlinePr summaryBelow="1" summaryRight="1"/>
    <pageSetUpPr fitToPage="1"/>
  </sheetPr>
  <dimension ref="A1:A1"/>
  <sheetViews>
    <sheetView showGridLines="0" showRowColHeaders="0" tabSelected="1" zoomScale="100" workbookViewId="0">
      <selection activeCell="A1" sqref="A1"/>
    </sheetView>
  </sheetViews>
  <sheetFormatPr baseColWidth="8" defaultRowHeight="15"/>
  <sheetData/>
  <pageMargins left="0.3" right="0.3" top="0.4" bottom="0.4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A1"/>
  <sheetViews>
    <sheetView showGridLines="0" zoomScale="90" workbookViewId="0">
      <selection activeCell="A1" sqref="A1"/>
    </sheetView>
  </sheetViews>
  <sheetFormatPr baseColWidth="8" defaultRowHeight="15"/>
  <sheetData/>
  <pageMargins left="0.3" right="0.3" top="0.4" bottom="0.4" header="0.2" footer="0.2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6B6D4"/>
    <outlinePr summaryBelow="1" summaryRight="1"/>
    <pageSetUpPr/>
  </sheetPr>
  <dimension ref="A1:C30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baseColWidth="8" defaultRowHeight="15"/>
  <cols>
    <col width="16.83203125" customWidth="1" style="2" min="1" max="1"/>
    <col width="16.83203125" customWidth="1" style="2" min="2" max="2"/>
    <col width="16.83203125" customWidth="1" style="2" min="3" max="3"/>
  </cols>
  <sheetData>
    <row r="1" ht="40" customHeight="1" s="2">
      <c r="A1" s="16" t="inlineStr">
        <is>
          <t>Analyse</t>
        </is>
      </c>
      <c r="B1" s="17" t="n"/>
      <c r="C1" s="17" t="n"/>
    </row>
    <row r="2" ht="18" customHeight="1" s="2">
      <c r="A2" s="18" t="inlineStr">
        <is>
          <t>Édité le 10/10/2026</t>
        </is>
      </c>
    </row>
    <row r="3" ht="24" customHeight="1" s="2">
      <c r="A3" s="7" t="inlineStr">
        <is>
          <t>LIGNES AFFICHÉES</t>
        </is>
      </c>
      <c r="B3" s="7" t="inlineStr">
        <is>
          <t>Σ MONTANT</t>
        </is>
      </c>
      <c r="C3" s="7" t="inlineStr">
        <is>
          <t>MONTANT MOYEN</t>
        </is>
      </c>
    </row>
    <row r="4" ht="50" customHeight="1" s="2">
      <c r="A4" s="8">
        <f>SUBTOTAL(103,A7:A30)</f>
        <v/>
      </c>
      <c r="B4" s="19">
        <f>SUBTOTAL(109,C7:C30)</f>
        <v/>
      </c>
      <c r="C4" s="8">
        <f>IFERROR(SUBTOTAL(101,C7:C30),0)</f>
        <v/>
      </c>
    </row>
    <row r="5" ht="8" customHeight="1" s="2">
      <c r="A5" s="10" t="str"/>
      <c r="B5" s="10" t="str"/>
      <c r="C5" s="10" t="str"/>
    </row>
    <row r="6" ht="24" customHeight="1" s="2">
      <c r="A6" s="11" t="inlineStr">
        <is>
          <t>Client</t>
        </is>
      </c>
      <c r="B6" s="11" t="inlineStr">
        <is>
          <t>Segment</t>
        </is>
      </c>
      <c r="C6" s="11" t="inlineStr">
        <is>
          <t>Montant</t>
        </is>
      </c>
    </row>
    <row r="7">
      <c r="A7" s="12" t="inlineStr">
        <is>
          <t>ALPHA SA</t>
        </is>
      </c>
      <c r="B7" s="13" t="inlineStr">
        <is>
          <t>CORPORATE</t>
        </is>
      </c>
      <c r="C7" s="14" t="n">
        <v>1000000</v>
      </c>
    </row>
    <row r="8">
      <c r="A8" s="12" t="inlineStr">
        <is>
          <t>BETA SARL</t>
        </is>
      </c>
      <c r="B8" s="15" t="inlineStr">
        <is>
          <t>CONSUMER</t>
        </is>
      </c>
      <c r="C8" s="14" t="n">
        <v>2000000</v>
      </c>
    </row>
    <row r="9">
      <c r="A9" s="12" t="inlineStr">
        <is>
          <t>GAMMA</t>
        </is>
      </c>
      <c r="B9" s="13" t="inlineStr">
        <is>
          <t>CORPORATE</t>
        </is>
      </c>
      <c r="C9" s="14" t="n">
        <v>3000000</v>
      </c>
    </row>
    <row r="10">
      <c r="A10" s="12" t="inlineStr">
        <is>
          <t>DELTA</t>
        </is>
      </c>
      <c r="B10" s="15" t="inlineStr">
        <is>
          <t>CONSUMER</t>
        </is>
      </c>
      <c r="C10" s="14" t="n">
        <v>4000000</v>
      </c>
    </row>
    <row r="11">
      <c r="A11" s="12" t="inlineStr">
        <is>
          <t>ALPHA SA</t>
        </is>
      </c>
      <c r="B11" s="13" t="inlineStr">
        <is>
          <t>CORPORATE</t>
        </is>
      </c>
      <c r="C11" s="14" t="n">
        <v>5000000</v>
      </c>
    </row>
    <row r="12">
      <c r="A12" s="12" t="inlineStr">
        <is>
          <t>BETA SARL</t>
        </is>
      </c>
      <c r="B12" s="15" t="inlineStr">
        <is>
          <t>CONSUMER</t>
        </is>
      </c>
      <c r="C12" s="14" t="n">
        <v>6000000</v>
      </c>
    </row>
    <row r="13">
      <c r="A13" s="12" t="inlineStr">
        <is>
          <t>GAMMA</t>
        </is>
      </c>
      <c r="B13" s="13" t="inlineStr">
        <is>
          <t>CORPORATE</t>
        </is>
      </c>
      <c r="C13" s="14" t="n">
        <v>7000000</v>
      </c>
    </row>
    <row r="14">
      <c r="A14" s="12" t="inlineStr">
        <is>
          <t>DELTA</t>
        </is>
      </c>
      <c r="B14" s="15" t="inlineStr">
        <is>
          <t>CONSUMER</t>
        </is>
      </c>
      <c r="C14" s="14" t="n">
        <v>8000000</v>
      </c>
    </row>
    <row r="15">
      <c r="A15" s="12" t="inlineStr">
        <is>
          <t>ALPHA SA</t>
        </is>
      </c>
      <c r="B15" s="13" t="inlineStr">
        <is>
          <t>CORPORATE</t>
        </is>
      </c>
      <c r="C15" s="14" t="n">
        <v>9000000</v>
      </c>
    </row>
    <row r="16">
      <c r="A16" s="12" t="inlineStr">
        <is>
          <t>BETA SARL</t>
        </is>
      </c>
      <c r="B16" s="15" t="inlineStr">
        <is>
          <t>CONSUMER</t>
        </is>
      </c>
      <c r="C16" s="14" t="n">
        <v>10000000</v>
      </c>
    </row>
    <row r="17">
      <c r="A17" s="12" t="inlineStr">
        <is>
          <t>GAMMA</t>
        </is>
      </c>
      <c r="B17" s="13" t="inlineStr">
        <is>
          <t>CORPORATE</t>
        </is>
      </c>
      <c r="C17" s="14" t="n">
        <v>11000000</v>
      </c>
    </row>
    <row r="18">
      <c r="A18" s="12" t="inlineStr">
        <is>
          <t>DELTA</t>
        </is>
      </c>
      <c r="B18" s="15" t="inlineStr">
        <is>
          <t>CONSUMER</t>
        </is>
      </c>
      <c r="C18" s="14" t="n">
        <v>12000000</v>
      </c>
    </row>
    <row r="19">
      <c r="A19" s="12" t="inlineStr">
        <is>
          <t>ALPHA SA</t>
        </is>
      </c>
      <c r="B19" s="13" t="inlineStr">
        <is>
          <t>CORPORATE</t>
        </is>
      </c>
      <c r="C19" s="14" t="n">
        <v>13000000</v>
      </c>
    </row>
    <row r="20">
      <c r="A20" s="12" t="inlineStr">
        <is>
          <t>BETA SARL</t>
        </is>
      </c>
      <c r="B20" s="15" t="inlineStr">
        <is>
          <t>CONSUMER</t>
        </is>
      </c>
      <c r="C20" s="14" t="n">
        <v>14000000</v>
      </c>
    </row>
    <row r="21">
      <c r="A21" s="12" t="inlineStr">
        <is>
          <t>GAMMA</t>
        </is>
      </c>
      <c r="B21" s="13" t="inlineStr">
        <is>
          <t>CORPORATE</t>
        </is>
      </c>
      <c r="C21" s="14" t="n">
        <v>15000000</v>
      </c>
    </row>
    <row r="22">
      <c r="A22" s="12" t="inlineStr">
        <is>
          <t>DELTA</t>
        </is>
      </c>
      <c r="B22" s="15" t="inlineStr">
        <is>
          <t>CONSUMER</t>
        </is>
      </c>
      <c r="C22" s="14" t="n">
        <v>16000000</v>
      </c>
    </row>
    <row r="23">
      <c r="A23" s="12" t="inlineStr">
        <is>
          <t>ALPHA SA</t>
        </is>
      </c>
      <c r="B23" s="13" t="inlineStr">
        <is>
          <t>CORPORATE</t>
        </is>
      </c>
      <c r="C23" s="14" t="n">
        <v>17000000</v>
      </c>
    </row>
    <row r="24">
      <c r="A24" s="12" t="inlineStr">
        <is>
          <t>BETA SARL</t>
        </is>
      </c>
      <c r="B24" s="15" t="inlineStr">
        <is>
          <t>CONSUMER</t>
        </is>
      </c>
      <c r="C24" s="14" t="n">
        <v>18000000</v>
      </c>
    </row>
    <row r="25">
      <c r="A25" s="12" t="inlineStr">
        <is>
          <t>GAMMA</t>
        </is>
      </c>
      <c r="B25" s="13" t="inlineStr">
        <is>
          <t>CORPORATE</t>
        </is>
      </c>
      <c r="C25" s="14" t="n">
        <v>19000000</v>
      </c>
    </row>
    <row r="26">
      <c r="A26" s="12" t="inlineStr">
        <is>
          <t>DELTA</t>
        </is>
      </c>
      <c r="B26" s="15" t="inlineStr">
        <is>
          <t>CONSUMER</t>
        </is>
      </c>
      <c r="C26" s="14" t="n">
        <v>20000000</v>
      </c>
    </row>
    <row r="27">
      <c r="A27" s="12" t="inlineStr">
        <is>
          <t>ALPHA SA</t>
        </is>
      </c>
      <c r="B27" s="13" t="inlineStr">
        <is>
          <t>CORPORATE</t>
        </is>
      </c>
      <c r="C27" s="14" t="n">
        <v>21000000</v>
      </c>
    </row>
    <row r="28">
      <c r="A28" s="12" t="inlineStr">
        <is>
          <t>BETA SARL</t>
        </is>
      </c>
      <c r="B28" s="15" t="inlineStr">
        <is>
          <t>CONSUMER</t>
        </is>
      </c>
      <c r="C28" s="14" t="n">
        <v>22000000</v>
      </c>
    </row>
    <row r="29">
      <c r="A29" s="12" t="inlineStr">
        <is>
          <t>GAMMA</t>
        </is>
      </c>
      <c r="B29" s="13" t="inlineStr">
        <is>
          <t>CORPORATE</t>
        </is>
      </c>
      <c r="C29" s="14" t="n">
        <v>23000000</v>
      </c>
    </row>
    <row r="30">
      <c r="A30" s="12" t="inlineStr">
        <is>
          <t>DELTA</t>
        </is>
      </c>
      <c r="B30" s="15" t="inlineStr">
        <is>
          <t>CONSUMER</t>
        </is>
      </c>
      <c r="C30" s="14" t="n">
        <v>24000000</v>
      </c>
    </row>
  </sheetData>
  <autoFilter ref="A6:C30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4A3B8"/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style="2" min="1" max="1"/>
    <col width="16" customWidth="1" style="2" min="2" max="2"/>
    <col width="28" customWidth="1" style="2" min="4" max="4"/>
    <col width="16" customWidth="1" style="2" min="5" max="5"/>
    <col width="28" customWidth="1" style="2" min="7" max="7"/>
    <col width="16" customWidth="1" style="2" min="8" max="8"/>
    <col width="28" customWidth="1" style="2" min="10" max="10"/>
    <col width="16" customWidth="1" style="2" min="11" max="11"/>
  </cols>
  <sheetData>
    <row r="1">
      <c r="A1" t="inlineStr">
        <is>
          <t>Client</t>
        </is>
      </c>
      <c r="B1" t="inlineStr">
        <is>
          <t>Montant</t>
        </is>
      </c>
      <c r="D1" t="inlineStr">
        <is>
          <t>Segment</t>
        </is>
      </c>
      <c r="E1" t="inlineStr">
        <is>
          <t>Montant</t>
        </is>
      </c>
      <c r="G1" t="inlineStr">
        <is>
          <t>Client</t>
        </is>
      </c>
      <c r="H1" t="inlineStr">
        <is>
          <t>Montant</t>
        </is>
      </c>
      <c r="J1" t="inlineStr">
        <is>
          <t>Segment</t>
        </is>
      </c>
      <c r="K1" t="inlineStr">
        <is>
          <t>Montant</t>
        </is>
      </c>
    </row>
    <row r="2">
      <c r="A2" t="inlineStr">
        <is>
          <t>DELTA</t>
        </is>
      </c>
      <c r="B2" t="n">
        <v>84000000</v>
      </c>
      <c r="D2" t="inlineStr">
        <is>
          <t>CONSUMER</t>
        </is>
      </c>
      <c r="E2" t="n">
        <v>156000000</v>
      </c>
      <c r="G2" t="inlineStr">
        <is>
          <t>DELTA</t>
        </is>
      </c>
      <c r="H2" t="n">
        <v>84000000</v>
      </c>
      <c r="J2" t="inlineStr">
        <is>
          <t>CONSUMER</t>
        </is>
      </c>
      <c r="K2" t="n">
        <v>156000000</v>
      </c>
    </row>
    <row r="3">
      <c r="A3" t="inlineStr">
        <is>
          <t>GAMMA</t>
        </is>
      </c>
      <c r="B3" t="n">
        <v>78000000</v>
      </c>
      <c r="D3" t="inlineStr">
        <is>
          <t>CORPORATE</t>
        </is>
      </c>
      <c r="E3" t="n">
        <v>144000000</v>
      </c>
      <c r="G3" t="inlineStr">
        <is>
          <t>GAMMA</t>
        </is>
      </c>
      <c r="H3" t="n">
        <v>78000000</v>
      </c>
      <c r="J3" t="inlineStr">
        <is>
          <t>CORPORATE</t>
        </is>
      </c>
      <c r="K3" t="n">
        <v>144000000</v>
      </c>
    </row>
    <row r="4">
      <c r="A4" t="inlineStr">
        <is>
          <t>BETA SARL</t>
        </is>
      </c>
      <c r="B4" t="n">
        <v>72000000</v>
      </c>
      <c r="G4" t="inlineStr">
        <is>
          <t>BETA SARL</t>
        </is>
      </c>
      <c r="H4" t="n">
        <v>72000000</v>
      </c>
    </row>
    <row r="5">
      <c r="A5" t="inlineStr">
        <is>
          <t>ALPHA SA</t>
        </is>
      </c>
      <c r="B5" t="n">
        <v>66000000</v>
      </c>
      <c r="G5" t="inlineStr">
        <is>
          <t>ALPHA SA</t>
        </is>
      </c>
      <c r="H5" t="n">
        <v>66000000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Scénarios</t>
        </is>
      </c>
    </row>
    <row r="3">
      <c r="A3" t="inlineStr">
        <is>
          <t>S</t>
        </is>
      </c>
      <c r="B3" t="inlineStr">
        <is>
          <t>Montant</t>
        </is>
      </c>
    </row>
    <row r="4">
      <c r="A4" t="inlineStr">
        <is>
          <t>S1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MASSAMBA Workbench</dc:creator>
  <dc:title xmlns:dc="http://purl.org/dc/elements/1.1/">Analyse</dc:title>
  <dcterms:created xmlns:dcterms="http://purl.org/dc/terms/" xmlns:xsi="http://www.w3.org/2001/XMLSchema-instance" xsi:type="dcterms:W3CDTF">2026-10-10T20:43:13Z</dcterms:created>
  <dcterms:modified xmlns:dcterms="http://purl.org/dc/terms/" xmlns:xsi="http://www.w3.org/2001/XMLSchema-instance" xsi:type="dcterms:W3CDTF">2026-10-10T20:43:13Z</dcterms:modified>
</cp:coreProperties>
</file>