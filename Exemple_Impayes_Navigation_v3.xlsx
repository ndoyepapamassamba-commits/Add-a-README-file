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worksheets/sheetApex1.xml" ContentType="application/vnd.openxmlformats-officedocument.spreadsheetml.worksheet+xml"/>
  <Override PartName="/xl/tables/tableApex1.xml" ContentType="application/vnd.openxmlformats-officedocument.spreadsheetml.table+xml"/>
  <Override PartName="/xl/slicerCaches/slicerCacheApex1.xml" ContentType="application/vnd.ms-excel.slicerCache+xml"/>
  <Override PartName="/xl/slicerCaches/slicerCacheApex2.xml" ContentType="application/vnd.ms-excel.slicerCache+xml"/>
  <Override PartName="/xl/slicerCaches/slicerCacheApex3.xml" ContentType="application/vnd.ms-excel.slicerCache+xml"/>
  <Override PartName="/xl/slicers/slicerApex1.xml" ContentType="application/vnd.ms-excel.slicer+xml"/>
  <Override PartName="/xl/charts/chartApex1.xml" ContentType="application/vnd.openxmlformats-officedocument.drawingml.chart+xml"/>
  <Override PartName="/xl/charts/chartApex2.xml" ContentType="application/vnd.openxmlformats-officedocument.drawingml.chart+xml"/>
  <Override PartName="/xl/charts/chartApex3.xml" ContentType="application/vnd.openxmlformats-officedocument.drawingml.chart+xml"/>
  <Override PartName="/xl/charts/chartApex4.xml" ContentType="application/vnd.openxmlformats-officedocument.drawingml.chart+xml"/>
  <Override PartName="/xl/charts/chartApex5.xml" ContentType="application/vnd.openxmlformats-officedocument.drawingml.chart+xml"/>
  <Override PartName="/xl/charts/chartApex6.xml" ContentType="application/vnd.openxmlformats-officedocument.drawingml.chart+xml"/>
  <Override PartName="/xl/drawings/drawingApexS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mmaire APEX" sheetId="2" r:id="rIdApex1"/>
    <sheet name="Impayés" sheetId="1" r:id="rId1"/>
  </sheets>
  <definedNames>
    <definedName name="Segment_Classe_1">#N/A</definedName>
    <definedName name="Segment_Stade_2">#N/A</definedName>
    <definedName name="Segment_Segment_3">#N/A</definedName>
  </definedNames>
  <calcPr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r:id="rIdApexSC1"/>
        <x14:slicerCache r:id="rIdApexSC2"/>
        <x14:slicerCache r:id="rIdApexSC3"/>
      </x15:slicerCach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80" formatCode="[&gt;=1000000000]#,##0.0,,,&quot; Md&quot;;#,##0,,&quot; M&quot;"/>
    <numFmt numFmtId="165" formatCode="dd/mm/yyyy"/>
    <numFmt numFmtId="166" formatCode="dd/mm/yyyy"/>
  </numFmts>
  <fonts count="49" x14ac:knownFonts="1">
    <font>
      <sz val="11"/>
      <name val="Calibri"/>
    </font>
    <font>
      <sz val="11"/>
      <name val="Calibri"/>
    </font>
    <font>
      <b/>
      <sz val="15"/>
      <color rgb="FFFFFFFF"/>
      <name val="Segoe UI"/>
    </font>
    <font>
      <i/>
      <sz val="10"/>
      <color rgb="FF3E5C6B"/>
      <name val="Segoe UI"/>
    </font>
    <font>
      <b/>
      <sz val="9"/>
      <color rgb="FFDCEBF1"/>
      <name val="Segoe UI"/>
    </font>
    <font>
      <b/>
      <sz val="9"/>
      <color rgb="FFDCEBF1"/>
      <name val="Segoe UI"/>
    </font>
    <font>
      <b/>
      <sz val="9"/>
      <color rgb="FFDCEBF1"/>
      <name val="Segoe UI"/>
    </font>
    <font>
      <b/>
      <sz val="9"/>
      <color rgb="FFDCEBF1"/>
      <name val="Segoe UI"/>
    </font>
    <font>
      <b/>
      <sz val="16"/>
      <color rgb="FFFFFFFF"/>
      <name val="Consolas"/>
    </font>
    <font>
      <b/>
      <sz val="16"/>
      <color rgb="FFFFFFFF"/>
      <name val="Consolas"/>
    </font>
    <font>
      <b/>
      <sz val="13"/>
      <color rgb="FFFFFFFF"/>
      <name val="Consolas"/>
    </font>
    <font>
      <b/>
      <sz val="16"/>
      <color rgb="FFFFFFFF"/>
      <name val="Consolas"/>
    </font>
    <font>
      <b/>
      <sz val="9"/>
      <color rgb="FFDCEBF1"/>
      <name val="Segoe UI"/>
    </font>
    <font>
      <b/>
      <sz val="9"/>
      <color rgb="FFDCEBF1"/>
      <name val="Segoe UI"/>
    </font>
    <font>
      <b/>
      <sz val="9"/>
      <color rgb="FFDCEBF1"/>
      <name val="Segoe UI"/>
    </font>
    <font>
      <b/>
      <sz val="16"/>
      <color rgb="FFFFFFFF"/>
      <name val="Consolas"/>
    </font>
    <font>
      <b/>
      <sz val="16"/>
      <color rgb="FFFFFFFF"/>
      <name val="Consolas"/>
    </font>
    <font>
      <b/>
      <sz val="16"/>
      <color rgb="FFFFFFFF"/>
      <name val="Consolas"/>
    </font>
    <font>
      <b/>
      <sz val="13"/>
      <color rgb="FFFFFFFF"/>
      <name val="Consolas"/>
    </font>
    <font>
      <b/>
      <sz val="10"/>
      <color rgb="FFFFFFFF"/>
      <name val="Segoe UI"/>
    </font>
    <font>
      <sz val="9.5"/>
      <color rgb="FF12333F"/>
      <name val="Segoe UI"/>
    </font>
    <font>
      <sz val="9.5"/>
      <color rgb="FF12333F"/>
      <name val="Segoe UI"/>
    </font>
    <font>
      <sz val="9.5"/>
      <color rgb="FF12333F"/>
      <name val="Segoe UI"/>
    </font>
    <font>
      <sz val="9.5"/>
      <color rgb="FF12333F"/>
      <name val="Segoe UI"/>
    </font>
    <font>
      <b/>
      <sz val="20"/>
      <color rgb="FFFFFFFF"/>
      <name val="Segoe UI"/>
    </font>
    <font>
      <sz val="11"/>
      <color rgb="FF8CC63F"/>
      <name val="Segoe UI"/>
    </font>
    <font>
      <sz val="9.5"/>
      <color rgb="FFDDEEF5"/>
      <name val="Segoe UI"/>
    </font>
    <font>
      <b/>
      <sz val="10"/>
      <color rgb="FFFFFFFF"/>
      <name val="Segoe UI"/>
    </font>
    <font>
      <b/>
      <sz val="13"/>
      <color rgb="FF00415E"/>
      <name val="Segoe UI"/>
    </font>
    <font>
      <sz val="10"/>
      <color rgb="FF12333F"/>
      <name val="Segoe UI"/>
    </font>
    <font>
      <i/>
      <sz val="9"/>
      <color rgb="FF3E5C6B"/>
      <name val="Segoe UI"/>
    </font>
    <font>
      <b/>
      <u/>
      <sz val="11"/>
      <color rgb="FF005C83"/>
      <name val="Segoe UI"/>
    </font>
    <font>
      <sz val="10"/>
      <color rgb="FF12333F"/>
      <name val="Consolas"/>
    </font>
    <font>
      <b/>
      <sz val="8.5"/>
      <color rgb="FF3E5C6B"/>
      <name val="Segoe UI"/>
    </font>
    <font>
      <b/>
      <sz val="16"/>
      <color rgb="FF00415E"/>
      <name val="Consolas"/>
    </font>
    <font>
      <b/>
      <sz val="11"/>
      <color rgb="FF00415E"/>
      <name val="Consolas"/>
    </font>
    <font>
      <b/>
      <sz val="11"/>
      <color rgb="FF00415E"/>
      <name val="Consolas"/>
    </font>
    <font>
      <b/>
      <sz val="11"/>
      <color rgb="FF1E5E12"/>
      <name val="Consolas"/>
    </font>
    <font>
      <b/>
      <sz val="11"/>
      <color rgb="FF1E5E12"/>
      <name val="Consolas"/>
    </font>
    <font>
      <b/>
      <sz val="10"/>
      <color rgb="FF12333F"/>
      <name val="Segoe UI"/>
    </font>
    <font>
      <b/>
      <sz val="10.5"/>
      <color rgb="FFFFFFFF"/>
      <name val="Segoe UI"/>
    </font>
    <font>
      <sz val="10"/>
      <color rgb="FF8CC63F"/>
      <name val="Consolas"/>
    </font>
    <font>
      <b/>
      <sz val="10"/>
      <color rgb="FF12333F"/>
      <name val="Segoe UI"/>
    </font>
    <font>
      <sz val="9"/>
      <color rgb="FF12333F"/>
      <name val="Segoe UI"/>
    </font>
    <font>
      <b/>
      <sz val="11"/>
      <color rgb="FF00415E"/>
      <name val="Segoe UI"/>
    </font>
    <font>
      <b/>
      <sz val="9.5"/>
      <color rgb="FFFFFFFF"/>
      <name val="Segoe UI"/>
    </font>
    <font>
      <b/>
      <u/>
      <sz val="10"/>
      <color rgb="FF005C83"/>
      <name val="Segoe UI"/>
    </font>
    <font>
      <b/>
      <sz val="16"/>
      <color rgb="FF00415E"/>
      <name val="Consolas"/>
    </font>
    <font>
      <b/>
      <sz val="16"/>
      <color rgb="FF00415E"/>
      <name val="Consolas"/>
    </font>
  </fonts>
  <fills count="4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415E"/>
        <bgColor/>
      </patternFill>
    </fill>
    <fill>
      <patternFill patternType="solid">
        <fgColor rgb="FF00415E"/>
        <bgColor/>
      </patternFill>
    </fill>
    <fill>
      <patternFill patternType="solid">
        <fgColor rgb="FF005C83"/>
        <bgColor/>
      </patternFill>
    </fill>
    <fill>
      <patternFill patternType="solid">
        <fgColor rgb="FFC0392B"/>
        <bgColor/>
      </patternFill>
    </fill>
    <fill>
      <patternFill patternType="solid">
        <fgColor rgb="FF922B21"/>
        <bgColor/>
      </patternFill>
    </fill>
    <fill>
      <patternFill patternType="solid">
        <fgColor rgb="FF00415E"/>
        <bgColor/>
      </patternFill>
    </fill>
    <fill>
      <patternFill patternType="solid">
        <fgColor rgb="FF005C83"/>
        <bgColor/>
      </patternFill>
    </fill>
    <fill>
      <patternFill patternType="solid">
        <fgColor rgb="FFC0392B"/>
        <bgColor/>
      </patternFill>
    </fill>
    <fill>
      <patternFill patternType="solid">
        <fgColor rgb="FF922B21"/>
        <bgColor/>
      </patternFill>
    </fill>
    <fill>
      <patternFill patternType="solid">
        <fgColor rgb="FFD4912A"/>
        <bgColor/>
      </patternFill>
    </fill>
    <fill>
      <patternFill patternType="solid">
        <fgColor rgb="FFD96C2C"/>
        <bgColor/>
      </patternFill>
    </fill>
    <fill>
      <patternFill patternType="solid">
        <fgColor rgb="FF4E8A2E"/>
        <bgColor/>
      </patternFill>
    </fill>
    <fill>
      <patternFill patternType="solid">
        <fgColor rgb="FFD4912A"/>
        <bgColor/>
      </patternFill>
    </fill>
    <fill>
      <patternFill patternType="solid">
        <fgColor rgb="FFD96C2C"/>
        <bgColor/>
      </patternFill>
    </fill>
    <fill>
      <patternFill patternType="solid">
        <fgColor rgb="FF4E8A2E"/>
        <bgColor/>
      </patternFill>
    </fill>
    <fill>
      <patternFill patternType="solid">
        <fgColor rgb="FF005C83"/>
        <bgColor/>
      </patternFill>
    </fill>
    <fill>
      <patternFill patternType="solid">
        <fgColor rgb="FF00415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EF4F7"/>
        <bgColor/>
      </patternFill>
    </fill>
    <fill>
      <patternFill patternType="solid">
        <fgColor rgb="FFEEF4F7"/>
        <bgColor/>
      </patternFill>
    </fill>
    <fill>
      <patternFill patternType="solid">
        <fgColor rgb="FF00415E"/>
        <bgColor indexed="64"/>
      </patternFill>
    </fill>
    <fill>
      <patternFill patternType="solid">
        <fgColor rgb="FF00415E"/>
        <bgColor indexed="64"/>
      </patternFill>
    </fill>
    <fill>
      <patternFill patternType="solid">
        <fgColor rgb="FF005C83"/>
        <bgColor indexed="64"/>
      </patternFill>
    </fill>
    <fill>
      <patternFill patternType="solid">
        <fgColor rgb="FF005C8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3F8FA"/>
        <bgColor indexed="64"/>
      </patternFill>
    </fill>
    <fill>
      <patternFill patternType="none"/>
    </fill>
    <fill>
      <patternFill patternType="solid">
        <fgColor rgb="FFEE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8F4D5"/>
        <bgColor indexed="64"/>
      </patternFill>
    </fill>
    <fill>
      <patternFill patternType="solid">
        <fgColor rgb="FFE8F4D5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00415E"/>
        <bgColor indexed="64"/>
      </patternFill>
    </fill>
    <fill>
      <patternFill patternType="none"/>
    </fill>
    <fill>
      <patternFill patternType="none"/>
    </fill>
    <fill>
      <patternFill patternType="solid">
        <fgColor rgb="FFEAF1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0415E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8CC63F"/>
      </bottom>
      <diagonal/>
    </border>
    <border>
      <left style="medium">
        <color rgb="FF8CC63F"/>
      </left>
      <right style="medium">
        <color rgb="FF002738"/>
      </right>
      <top style="thin">
        <color rgb="FF80A0AF"/>
      </top>
      <bottom style="thick">
        <color rgb="FF00212F"/>
      </bottom>
      <diagonal/>
    </border>
    <border>
      <left style="medium">
        <color rgb="FF8CC63F"/>
      </left>
      <right style="medium">
        <color rgb="FF00374F"/>
      </right>
      <top style="thin">
        <color rgb="FF80AEC1"/>
      </top>
      <bottom style="thick">
        <color rgb="FF002E42"/>
      </bottom>
      <diagonal/>
    </border>
    <border>
      <left style="medium">
        <color rgb="FF8CC63F"/>
      </left>
      <right style="medium">
        <color rgb="FF73221A"/>
      </right>
      <top style="thin">
        <color rgb="FFE09C95"/>
      </top>
      <bottom style="thick">
        <color rgb="FF601D16"/>
      </bottom>
      <diagonal/>
    </border>
    <border>
      <left style="medium">
        <color rgb="FF8CC63F"/>
      </left>
      <right style="medium">
        <color rgb="FF581A14"/>
      </right>
      <top style="thin">
        <color rgb="FFC99590"/>
      </top>
      <bottom style="thick">
        <color rgb="FF491611"/>
      </bottom>
      <diagonal/>
    </border>
    <border>
      <left style="medium">
        <color rgb="FF8CC63F"/>
      </left>
      <right style="medium">
        <color rgb="FF002738"/>
      </right>
      <top style="thin">
        <color rgb="FF80A0AF"/>
      </top>
      <bottom style="thick">
        <color rgb="FF00212F"/>
      </bottom>
      <diagonal/>
    </border>
    <border>
      <left style="medium">
        <color rgb="FF8CC63F"/>
      </left>
      <right style="medium">
        <color rgb="FF00374F"/>
      </right>
      <top style="thin">
        <color rgb="FF80AEC1"/>
      </top>
      <bottom style="thick">
        <color rgb="FF002E42"/>
      </bottom>
      <diagonal/>
    </border>
    <border>
      <left style="medium">
        <color rgb="FF8CC63F"/>
      </left>
      <right style="medium">
        <color rgb="FF73221A"/>
      </right>
      <top style="thin">
        <color rgb="FFE09C95"/>
      </top>
      <bottom style="thick">
        <color rgb="FF601D16"/>
      </bottom>
      <diagonal/>
    </border>
    <border>
      <left style="medium">
        <color rgb="FF8CC63F"/>
      </left>
      <right style="medium">
        <color rgb="FF581A14"/>
      </right>
      <top style="thin">
        <color rgb="FFC99590"/>
      </top>
      <bottom style="thick">
        <color rgb="FF491611"/>
      </bottom>
      <diagonal/>
    </border>
    <border>
      <left style="medium">
        <color rgb="FF8CC63F"/>
      </left>
      <right style="medium">
        <color rgb="FF7F5719"/>
      </right>
      <top style="thin">
        <color rgb="FFEAC895"/>
      </top>
      <bottom style="thick">
        <color rgb="FF6A4915"/>
      </bottom>
      <diagonal/>
    </border>
    <border>
      <left style="medium">
        <color rgb="FF8CC63F"/>
      </left>
      <right style="medium">
        <color rgb="FF82411A"/>
      </right>
      <top style="thin">
        <color rgb="FFECB696"/>
      </top>
      <bottom style="thick">
        <color rgb="FF6D3616"/>
      </bottom>
      <diagonal/>
    </border>
    <border>
      <left style="medium">
        <color rgb="FF8CC63F"/>
      </left>
      <right style="medium">
        <color rgb="FF2F531C"/>
      </right>
      <top style="thin">
        <color rgb="FFA7C597"/>
      </top>
      <bottom style="thick">
        <color rgb="FF274517"/>
      </bottom>
      <diagonal/>
    </border>
    <border>
      <left style="medium">
        <color rgb="FF8CC63F"/>
      </left>
      <right style="medium">
        <color rgb="FF7F5719"/>
      </right>
      <top style="thin">
        <color rgb="FFEAC895"/>
      </top>
      <bottom style="thick">
        <color rgb="FF6A4915"/>
      </bottom>
      <diagonal/>
    </border>
    <border>
      <left style="medium">
        <color rgb="FF8CC63F"/>
      </left>
      <right style="medium">
        <color rgb="FF82411A"/>
      </right>
      <top style="thin">
        <color rgb="FFECB696"/>
      </top>
      <bottom style="thick">
        <color rgb="FF6D3616"/>
      </bottom>
      <diagonal/>
    </border>
    <border>
      <left style="medium">
        <color rgb="FF8CC63F"/>
      </left>
      <right style="medium">
        <color rgb="FF2F531C"/>
      </right>
      <top style="thin">
        <color rgb="FFA7C597"/>
      </top>
      <bottom style="thick">
        <color rgb="FF274517"/>
      </bottom>
      <diagonal/>
    </border>
    <border>
      <left style="medium">
        <color rgb="FF8CC63F"/>
      </left>
      <right style="medium">
        <color rgb="FF00374F"/>
      </right>
      <top style="thin">
        <color rgb="FF80AEC1"/>
      </top>
      <bottom style="thick">
        <color rgb="FF002E42"/>
      </bottom>
      <diagonal/>
    </border>
    <border>
      <left style="thin">
        <color rgb="FF3F8FB5"/>
      </left>
      <right style="thin">
        <color rgb="FF00344B"/>
      </right>
      <top style="thin">
        <color rgb="FF3F8FB5"/>
      </top>
      <bottom style="medium">
        <color rgb="FF8CC63F"/>
      </bottom>
      <diagonal/>
    </border>
    <border>
      <left style="thin">
        <color rgb="FFFFFFFF"/>
      </left>
      <right style="thin">
        <color rgb="FFB7CDD8"/>
      </right>
      <top style="thin">
        <color rgb="FFFFFFFF"/>
      </top>
      <bottom style="medium">
        <color rgb="FFB7CDD8"/>
      </bottom>
      <diagonal/>
    </border>
    <border>
      <left style="thin">
        <color rgb="FFFFFFFF"/>
      </left>
      <right style="thin">
        <color rgb="FFB7CDD8"/>
      </right>
      <top style="thin">
        <color rgb="FFFFFFFF"/>
      </top>
      <bottom style="medium">
        <color rgb="FFB7CDD8"/>
      </bottom>
      <diagonal/>
    </border>
    <border>
      <left style="thin">
        <color rgb="FFFFFFFF"/>
      </left>
      <right style="thin">
        <color rgb="FFB7CDD8"/>
      </right>
      <top style="thin">
        <color rgb="FFFFFFFF"/>
      </top>
      <bottom style="medium">
        <color rgb="FFB7CDD8"/>
      </bottom>
      <diagonal/>
    </border>
    <border>
      <left style="thin">
        <color rgb="FFFFFFFF"/>
      </left>
      <right style="thin">
        <color rgb="FFB7CDD8"/>
      </right>
      <top style="thin">
        <color rgb="FFFFFFFF"/>
      </top>
      <bottom style="medium">
        <color rgb="FFB7CDD8"/>
      </bottom>
      <diagonal/>
    </border>
    <border>
      <left style="thin">
        <color rgb="FFCFE0E7"/>
      </left>
      <right style="thin">
        <color rgb="FFCFE0E7"/>
      </right>
      <top style="thin">
        <color rgb="FFCFE0E7"/>
      </top>
      <bottom style="thin">
        <color rgb="FFCFE0E7"/>
      </bottom>
      <diagonal/>
    </border>
  </borders>
  <cellStyleXfs>
    <xf numFmtId="0" fontId="0" fillId="0" borderId="0"/>
  </cellStyleXfs>
  <cellXfs count="5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vertical="top" wrapText="true"/>
    </xf>
    <xf numFmtId="0" fontId="4" fillId="3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horizontal="left" vertical="center"/>
    </xf>
    <xf numFmtId="0" fontId="9" fillId="8" borderId="8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left" vertical="center"/>
    </xf>
    <xf numFmtId="0" fontId="11" fillId="10" borderId="10" xfId="0" applyFont="1" applyFill="1" applyBorder="1" applyAlignment="1">
      <alignment horizontal="left" vertical="center"/>
    </xf>
    <xf numFmtId="0" fontId="12" fillId="11" borderId="11" xfId="0" applyFont="1" applyFill="1" applyBorder="1" applyAlignment="1">
      <alignment horizontal="left" vertical="center"/>
    </xf>
    <xf numFmtId="0" fontId="13" fillId="12" borderId="12" xfId="0" applyFont="1" applyFill="1" applyBorder="1" applyAlignment="1">
      <alignment horizontal="left" vertical="center"/>
    </xf>
    <xf numFmtId="0" fontId="14" fillId="13" borderId="13" xfId="0" applyFont="1" applyFill="1" applyBorder="1" applyAlignment="1">
      <alignment horizontal="left" vertical="center"/>
    </xf>
    <xf numFmtId="0" fontId="15" fillId="14" borderId="14" xfId="0" applyFont="1" applyFill="1" applyBorder="1" applyAlignment="1">
      <alignment horizontal="left" vertical="center"/>
    </xf>
    <xf numFmtId="0" fontId="16" fillId="15" borderId="15" xfId="0" applyFont="1" applyFill="1" applyBorder="1" applyAlignment="1">
      <alignment horizontal="left" vertical="center"/>
    </xf>
    <xf numFmtId="0" fontId="17" fillId="16" borderId="16" xfId="0" applyFont="1" applyFill="1" applyBorder="1" applyAlignment="1">
      <alignment horizontal="left" vertical="center"/>
    </xf>
    <xf numFmtId="0" fontId="18" fillId="17" borderId="17" xfId="0" applyFont="1" applyFill="1" applyBorder="1" applyAlignment="1">
      <alignment horizontal="left" vertical="center"/>
    </xf>
    <xf numFmtId="0" fontId="19" fillId="18" borderId="18" xfId="0" applyFont="1" applyFill="1" applyBorder="1" applyAlignment="1">
      <alignment horizontal="center" vertical="center" wrapText="true"/>
    </xf>
    <xf numFmtId="0" fontId="20" fillId="19" borderId="19" xfId="0" applyFont="1" applyFill="1" applyBorder="1" applyAlignment="1">
      <alignment vertical="top"/>
    </xf>
    <xf numFmtId="165" fontId="21" fillId="20" borderId="20" xfId="0" applyFont="1" applyFill="1" applyBorder="1" applyNumberFormat="1" applyAlignment="1">
      <alignment vertical="top"/>
    </xf>
    <xf numFmtId="0" fontId="22" fillId="21" borderId="21" xfId="0" applyFont="1" applyFill="1" applyBorder="1" applyAlignment="1">
      <alignment vertical="top"/>
    </xf>
    <xf numFmtId="166" fontId="23" fillId="22" borderId="22" xfId="0" applyFont="1" applyFill="1" applyBorder="1" applyNumberFormat="1" applyAlignment="1">
      <alignment vertical="top"/>
    </xf>
    <xf numFmtId="0" fontId="24" fillId="23" borderId="0" xfId="0" applyFont="1" applyFill="1" applyBorder="1" applyNumberFormat="1" applyAlignment="1">
      <alignment horizontal="left" vertical="center"/>
    </xf>
    <xf numFmtId="0" fontId="25" fillId="24" borderId="0" xfId="0" applyFont="1" applyFill="1" applyBorder="1" applyNumberFormat="1" applyAlignment="1">
      <alignment horizontal="left" vertical="center"/>
    </xf>
    <xf numFmtId="0" fontId="26" fillId="25" borderId="0" xfId="0" applyFont="1" applyFill="1" applyBorder="1" applyNumberFormat="1" applyAlignment="1">
      <alignment horizontal="left" vertical="center"/>
    </xf>
    <xf numFmtId="0" fontId="27" fillId="26" borderId="23" xfId="0" applyFont="1" applyFill="1" applyBorder="1" applyNumberFormat="1" applyAlignment="1">
      <alignment horizontal="center" vertical="center"/>
    </xf>
    <xf numFmtId="0" fontId="28" fillId="27" borderId="0" xfId="0" applyFont="1" applyFill="1" applyBorder="1" applyNumberFormat="1" applyAlignment="1">
      <alignment horizontal="left" vertical="center"/>
    </xf>
    <xf numFmtId="0" fontId="29" fillId="28" borderId="23" xfId="0" applyFont="1" applyFill="1" applyBorder="1" applyNumberFormat="1" applyAlignment="1">
      <alignment horizontal="left" vertical="center"/>
    </xf>
    <xf numFmtId="0" fontId="30" fillId="29" borderId="0" xfId="0" applyFont="1" applyFill="1" applyBorder="1" applyNumberFormat="1" applyAlignment="1">
      <alignment horizontal="left" vertical="center" wrapText="1"/>
    </xf>
    <xf numFmtId="0" fontId="31" fillId="30" borderId="23" xfId="0" applyFont="1" applyFill="1" applyBorder="1" applyNumberFormat="1" applyAlignment="1">
      <alignment horizontal="left" vertical="center"/>
    </xf>
    <xf numFmtId="3" fontId="32" fillId="31" borderId="23" xfId="0" applyFont="1" applyFill="1" applyBorder="1" applyNumberFormat="1" applyAlignment="1">
      <alignment horizontal="right" vertical="center"/>
    </xf>
    <xf numFmtId="0" fontId="33" fillId="32" borderId="23" xfId="0" applyFont="1" applyFill="1" applyBorder="1" applyNumberFormat="1" applyAlignment="1">
      <alignment horizontal="center" vertical="center"/>
    </xf>
    <xf numFmtId="3" fontId="34" fillId="33" borderId="23" xfId="0" applyFont="1" applyFill="1" applyBorder="1" applyNumberFormat="1" applyAlignment="1">
      <alignment horizontal="center" vertical="center"/>
    </xf>
    <xf numFmtId="3" fontId="35" fillId="34" borderId="23" xfId="0" applyFont="1" applyFill="1" applyBorder="1" applyNumberFormat="1" applyAlignment="1">
      <alignment horizontal="right" vertical="center"/>
    </xf>
    <xf numFmtId="10" fontId="36" fillId="35" borderId="23" xfId="0" applyFont="1" applyFill="1" applyBorder="1" applyNumberFormat="1" applyAlignment="1">
      <alignment horizontal="right" vertical="center"/>
    </xf>
    <xf numFmtId="3" fontId="37" fillId="36" borderId="23" xfId="0" applyFont="1" applyFill="1" applyBorder="1" applyNumberFormat="1" applyAlignment="1">
      <alignment horizontal="right" vertical="center"/>
    </xf>
    <xf numFmtId="10" fontId="38" fillId="37" borderId="23" xfId="0" applyFont="1" applyFill="1" applyBorder="1" applyNumberFormat="1" applyAlignment="1">
      <alignment horizontal="right" vertical="center"/>
    </xf>
    <xf numFmtId="0" fontId="39" fillId="38" borderId="23" xfId="0" applyFont="1" applyFill="1" applyBorder="1" applyNumberFormat="1" applyAlignment="1">
      <alignment horizontal="left" vertical="center"/>
    </xf>
    <xf numFmtId="0" fontId="40" fillId="39" borderId="23" xfId="0" applyFont="1" applyFill="1" applyBorder="1" applyNumberFormat="1" applyAlignment="1">
      <alignment horizontal="center" vertical="center"/>
    </xf>
    <xf numFmtId="0" fontId="41" fillId="40" borderId="23" xfId="0" applyFont="1" applyFill="1" applyBorder="1" applyNumberFormat="1" applyAlignment="1">
      <alignment horizontal="left" vertical="center"/>
    </xf>
    <xf numFmtId="0" fontId="42" fillId="41" borderId="23" xfId="0" applyFont="1" applyFill="1" applyBorder="1" applyNumberFormat="1" applyAlignment="1">
      <alignment horizontal="center" vertical="center"/>
    </xf>
    <xf numFmtId="0" fontId="43" fillId="42" borderId="0" xfId="0" applyFont="1" applyFill="1" applyBorder="1" applyNumberFormat="1" applyAlignment="1">
      <alignment horizontal="left" vertical="center"/>
    </xf>
    <xf numFmtId="0" fontId="44" fillId="43" borderId="23" xfId="0" applyFont="1" applyFill="1" applyBorder="1" applyNumberFormat="1" applyAlignment="1">
      <alignment horizontal="left" vertical="center"/>
    </xf>
    <xf numFmtId="0" fontId="45" fillId="44" borderId="23" xfId="0" applyFont="1" applyFill="1" applyBorder="1" applyNumberFormat="1" applyAlignment="1">
      <alignment horizontal="center" vertical="center"/>
    </xf>
    <xf numFmtId="0" fontId="46" fillId="45" borderId="0" xfId="0" applyFont="1" applyFill="1" applyBorder="1" applyNumberFormat="1" applyAlignment="1">
      <alignment horizontal="left" vertical="center"/>
    </xf>
    <xf numFmtId="10" fontId="47" fillId="46" borderId="23" xfId="0" applyFont="1" applyFill="1" applyBorder="1" applyNumberFormat="1" applyAlignment="1">
      <alignment horizontal="center" vertical="center"/>
    </xf>
    <xf numFmtId="180" fontId="48" fillId="47" borderId="23" xfId="0" applyFont="1" applyFill="1" applyBorder="1" applyNumberFormat="1" applyAlignment="1">
      <alignment horizontal="center" vertical="center"/>
    </xf>
  </cellXfs>
  <cellStyles>
    <cellStyle name="Normal" xfId="0" builtinId="0"/>
  </cellStyles>
  <dxfs count="25"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E5E12"/>
      </font>
      <fill>
        <patternFill patternType="solid">
          <bgColor rgb="FFD9F0C0"/>
        </patternFill>
      </fill>
    </dxf>
    <dxf>
      <font>
        <b/>
        <color rgb="FF002E42"/>
      </font>
      <fill>
        <patternFill patternType="solid">
          <bgColor rgb="FFC7DBE4"/>
        </patternFill>
      </fill>
    </dxf>
    <dxf>
      <font>
        <b/>
        <color rgb="FF17526B"/>
      </font>
      <fill>
        <patternFill patternType="solid">
          <bgColor rgb="FFD1EBF6"/>
        </patternFill>
      </fill>
    </dxf>
    <dxf>
      <font>
        <b/>
        <color rgb="FF466320"/>
      </font>
      <fill>
        <patternFill patternType="solid">
          <bgColor rgb="FFE6F2D5"/>
        </patternFill>
      </fill>
    </dxf>
    <dxf>
      <font>
        <b/>
        <color rgb="FF795B19"/>
      </font>
      <fill>
        <patternFill patternType="solid">
          <bgColor rgb="FFFCEFD2"/>
        </patternFill>
      </fill>
    </dxf>
    <dxf>
      <font>
        <b/>
        <color rgb="FF70451E"/>
      </font>
      <fill>
        <patternFill patternType="solid">
          <bgColor rgb="FFF8E5D4"/>
        </patternFill>
      </fill>
    </dxf>
    <dxf>
      <font>
        <b/>
        <color rgb="FFFFFFFF"/>
      </font>
      <fill>
        <patternFill patternType="solid">
          <bgColor rgb="FF2EA3D6"/>
        </patternFill>
      </fill>
    </dxf>
    <dxf>
      <font>
        <b/>
        <color rgb="FFFFFFFF"/>
      </font>
      <fill>
        <patternFill patternType="solid">
          <bgColor rgb="FF7FC7E8"/>
        </patternFill>
      </fill>
    </dxf>
    <dxf>
      <font>
        <b/>
        <color rgb="FFFFFFFF"/>
      </font>
      <fill>
        <patternFill patternType="solid">
          <bgColor rgb="FF8CC63F"/>
        </patternFill>
      </fill>
    </dxf>
    <dxf>
      <font>
        <b/>
        <color rgb="FFFFFFFF"/>
      </font>
      <fill>
        <patternFill patternType="solid">
          <bgColor rgb="FFF2B632"/>
        </patternFill>
      </fill>
    </dxf>
    <dxf>
      <font>
        <b/>
        <color rgb="FFFFFFFF"/>
      </font>
      <fill>
        <patternFill patternType="solid">
          <bgColor rgb="FFE08A3C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3E4874"/>
      </font>
      <fill>
        <patternFill patternType="solid">
          <bgColor rgb="FFE2E6FA"/>
        </patternFill>
      </fill>
    </dxf>
    <dxf>
      <font>
        <b/>
        <color rgb="FF0D5B53"/>
      </font>
      <fill>
        <patternFill patternType="solid">
          <bgColor rgb="FFCCEFEB"/>
        </patternFill>
      </fill>
    </dxf>
    <dxf>
      <font>
        <b/>
        <color rgb="FF5A4F6E"/>
      </font>
      <fill>
        <patternFill patternType="solid">
          <bgColor rgb="FFEEE9F7"/>
        </patternFill>
      </fill>
    </dxf>
    <dxf>
      <font>
        <b/>
        <color rgb="FF485257"/>
      </font>
      <fill>
        <patternFill patternType="solid">
          <bgColor rgb="FFE7EBED"/>
        </patternFill>
      </fill>
    </dxf>
    <dxf>
      <font>
        <b/>
        <color rgb="FF002E42"/>
      </font>
      <fill>
        <patternFill patternType="solid">
          <bgColor rgb="FFC7DBE4"/>
        </patternFill>
      </fill>
    </dxf>
    <dxf>
      <font>
        <b/>
        <color rgb="FF485257"/>
      </font>
      <fill>
        <patternFill patternType="solid">
          <bgColor rgb="FFE7EBED"/>
        </patternFill>
      </fill>
    </dxf>
    <dxf>
      <font>
        <b/>
        <color rgb="FF002E42"/>
      </font>
      <fill>
        <patternFill patternType="solid">
          <bgColor rgb="FFC7DBE4"/>
        </patternFill>
      </fill>
    </dxf>
    <dxf>
      <font>
        <b/>
        <color rgb="FF17526B"/>
      </font>
      <fill>
        <patternFill patternType="solid">
          <bgColor rgb="FFD1EBF6"/>
        </patternFill>
      </fill>
    </dxf>
    <dxf>
      <font>
        <b/>
        <color rgb="FF466320"/>
      </font>
      <fill>
        <patternFill patternType="solid">
          <bgColor rgb="FFE6F2D5"/>
        </patternFill>
      </fill>
    </dxf>
    <dxf>
      <font>
        <b/>
        <color rgb="FFFFFFFF"/>
      </font>
      <fill>
        <patternFill patternType="solid">
          <bgColor rgb="FF8CC63F"/>
        </patternFill>
      </fill>
    </dxf>
    <dxf>
      <font>
        <b/>
        <color rgb="FFFFFFFF"/>
      </font>
      <fill>
        <patternFill patternType="solid">
          <bgColor rgb="FFF2B632"/>
        </patternFill>
      </fill>
    </dxf>
    <dxf>
      <font>
        <b/>
        <color rgb="FFFFFFFF"/>
      </font>
      <fill>
        <patternFill patternType="solid">
          <bgColor rgb="FFE0674F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Apex1" Type="http://schemas.openxmlformats.org/officeDocument/2006/relationships/worksheet" Target="worksheets/sheetApex1.xml"/><Relationship Id="rIdApexSC1" Type="http://schemas.microsoft.com/office/2007/relationships/slicerCache" Target="slicerCaches/slicerCacheApex1.xml"/><Relationship Id="rIdApexSC2" Type="http://schemas.microsoft.com/office/2007/relationships/slicerCache" Target="slicerCaches/slicerCacheApex2.xml"/><Relationship Id="rIdApexSC3" Type="http://schemas.microsoft.com/office/2007/relationships/slicerCache" Target="slicerCaches/slicerCacheApex3.xml"/></Relationships>
</file>

<file path=xl/charts/chartApex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00415E"/>
                </a:solidFill>
                <a:latin typeface="Segoe UI"/>
              </a:defRPr>
            </a:pPr>
            <a:r>
              <a:rPr lang="fr-FR" sz="1100" b="1">
                <a:solidFill>
                  <a:srgbClr val="00415E"/>
                </a:solidFill>
                <a:latin typeface="Segoe UI"/>
              </a:rPr>
              <a:t>Classe (Montant XOF)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Classe (Montant XOF)</c:v>
          </c:tx>
          <c:spPr>
            <a:solidFill>
              <a:srgbClr val="2EA3D6"/>
            </a:solidFill>
          </c:spPr>
          <c:dPt>
            <c:idx val="0"/>
            <c:bubble3D val="0"/>
            <c:spPr>
              <a:solidFill>
                <a:srgbClr val="2EA3D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7FC7E8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8CC63F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F2B632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E08A3C"/>
              </a:solidFill>
              <a:ln w="19050">
                <a:solidFill>
                  <a:srgbClr val="FFFFFF"/>
                </a:solidFill>
              </a:ln>
            </c:spPr>
          </c:dPt>
          <c:dPt>
            <c:idx val="5"/>
            <c:bubble3D val="0"/>
            <c:spPr>
              <a:solidFill>
                <a:srgbClr val="C0392B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FFFFFF"/>
                    </a:solidFill>
                    <a:latin typeface="Segoe UI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</c:dLbls>
          <c:cat>
            <c:strRef>
              <c:f>'Impayés'!$AZ$2:$AZ$7</c:f>
              <c:strCache>
                <c:ptCount val="6"/>
                <c:pt idx="0">
                  <c:v>I</c:v>
                </c:pt>
                <c:pt idx="1">
                  <c:v>IA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</c:strCache>
            </c:strRef>
          </c:cat>
          <c:val>
            <c:numRef>
              <c:f>'Impayés'!$BA$2:$BA$7</c:f>
              <c:numCache>
                <c:formatCode>#,##0</c:formatCode>
                <c:ptCount val="6"/>
                <c:pt idx="0">
                  <c:v>26049186222</c:v>
                </c:pt>
                <c:pt idx="1">
                  <c:v>43410772689</c:v>
                </c:pt>
                <c:pt idx="2">
                  <c:v>29136203709</c:v>
                </c:pt>
                <c:pt idx="3">
                  <c:v>38638068627</c:v>
                </c:pt>
                <c:pt idx="4">
                  <c:v>27945698511</c:v>
                </c:pt>
                <c:pt idx="5">
                  <c:v>30923999749</c:v>
                </c:pt>
              </c:numCache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00">
              <a:solidFill>
                <a:srgbClr val="12333F"/>
              </a:solidFill>
              <a:latin typeface="Segoe UI"/>
            </a:defRPr>
          </a:pPr>
          <a:endParaRPr lang="fr-FR"/>
        </a:p>
      </c:txPr>
    </c:legend>
    <c:plotVisOnly val="0"/>
    <c:dispBlanksAs val="gap"/>
  </c:chart>
  <c:spPr>
    <a:gradFill rotWithShape="1">
      <a:gsLst>
        <a:gs pos="0">
          <a:srgbClr val="FFFFFF"/>
        </a:gs>
        <a:gs pos="100000">
          <a:srgbClr val="EEF6FA"/>
        </a:gs>
      </a:gsLst>
      <a:lin ang="5400000" scaled="0"/>
    </a:gradFill>
    <a:ln w="12700">
      <a:solidFill>
        <a:srgbClr val="CFE0E7"/>
      </a:solidFill>
    </a:ln>
    <a:effectLst>
      <a:outerShdw blurRad="76200" dist="19050" dir="5400000" algn="t" rotWithShape="0">
        <a:srgbClr val="00415E">
          <a:alpha val="18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00415E"/>
                </a:solidFill>
                <a:latin typeface="Segoe UI"/>
              </a:defRPr>
            </a:pPr>
            <a:r>
              <a:rPr lang="fr-FR" sz="1100" b="1">
                <a:solidFill>
                  <a:srgbClr val="00415E"/>
                </a:solidFill>
                <a:latin typeface="Segoe UI"/>
              </a:rPr>
              <a:t>Stade (Montant XOF)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Stade (Montant XOF)</c:v>
          </c:tx>
          <c:spPr>
            <a:solidFill>
              <a:srgbClr val="8CC63F"/>
            </a:solidFill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B4DA82"/>
                  </a:gs>
                  <a:gs pos="100000">
                    <a:srgbClr val="8CC63F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F7D07A"/>
                  </a:gs>
                  <a:gs pos="100000">
                    <a:srgbClr val="F2B632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EB9C8D"/>
                  </a:gs>
                  <a:gs pos="100000">
                    <a:srgbClr val="E0674F"/>
                  </a:gs>
                </a:gsLst>
                <a:lin ang="5400000" scaled="0"/>
              </a:gradFill>
              <a:ln w="0">
                <a:noFill/>
              </a:ln>
            </c:spPr>
          </c:dPt>
          <c:dLbls>
            <c:numFmt formatCode="[&gt;=1000000000]#,##0.0,,,&quot; Md&quot;;#,##0,,&quot; M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'Impayés'!$AZ$10:$AZ$12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'Impayés'!$BA$10:$BA$12</c:f>
              <c:numCache>
                <c:formatCode>#,##0</c:formatCode>
                <c:ptCount val="3"/>
                <c:pt idx="0">
                  <c:v>26049186222</c:v>
                </c:pt>
                <c:pt idx="1">
                  <c:v>111185045025</c:v>
                </c:pt>
                <c:pt idx="2">
                  <c:v>58869698260</c:v>
                </c:pt>
              </c:numCache>
            </c:numRef>
          </c:val>
        </c:ser>
        <c:gapWidth val="55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1"/>
        <c:axPos val="l"/>
        <c:majorGridlines>
          <c:spPr>
            <a:ln w="6350">
              <a:solidFill>
                <a:srgbClr val="E3ED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50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gradFill rotWithShape="1">
      <a:gsLst>
        <a:gs pos="0">
          <a:srgbClr val="FFFFFF"/>
        </a:gs>
        <a:gs pos="100000">
          <a:srgbClr val="EEF6FA"/>
        </a:gs>
      </a:gsLst>
      <a:lin ang="5400000" scaled="0"/>
    </a:gradFill>
    <a:ln w="12700">
      <a:solidFill>
        <a:srgbClr val="CFE0E7"/>
      </a:solidFill>
    </a:ln>
    <a:effectLst>
      <a:outerShdw blurRad="76200" dist="19050" dir="5400000" algn="t" rotWithShape="0">
        <a:srgbClr val="00415E">
          <a:alpha val="18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00415E"/>
                </a:solidFill>
                <a:latin typeface="Segoe UI"/>
              </a:defRPr>
            </a:pPr>
            <a:r>
              <a:rPr lang="fr-FR" sz="1100" b="1">
                <a:solidFill>
                  <a:srgbClr val="00415E"/>
                </a:solidFill>
                <a:latin typeface="Segoe UI"/>
              </a:rPr>
              <a:t>Ancienneté (Montant XOF)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Ancienneté (Montant XOF)</c:v>
          </c:tx>
          <c:spPr>
            <a:solidFill>
              <a:srgbClr val="2EA3D6"/>
            </a:solidFill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77C3E4"/>
                  </a:gs>
                  <a:gs pos="100000">
                    <a:srgbClr val="2EA3D6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B4DA82"/>
                  </a:gs>
                  <a:gs pos="100000">
                    <a:srgbClr val="8CC63F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7D07A"/>
                  </a:gs>
                  <a:gs pos="100000">
                    <a:srgbClr val="F2B632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EBB380"/>
                  </a:gs>
                  <a:gs pos="100000">
                    <a:srgbClr val="E08A3C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D67E75"/>
                  </a:gs>
                  <a:gs pos="100000">
                    <a:srgbClr val="C0392B"/>
                  </a:gs>
                </a:gsLst>
                <a:lin ang="5400000" scaled="0"/>
              </a:gradFill>
              <a:ln w="0">
                <a:noFill/>
              </a:ln>
            </c:spPr>
          </c:dPt>
          <c:dLbls>
            <c:numFmt formatCode="[&gt;=1000000000]#,##0.0,,,&quot; Md&quot;;#,##0,,&quot; M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'Impayés'!$AZ$15:$AZ$19</c:f>
              <c:strCache>
                <c:ptCount val="5"/>
                <c:pt idx="0">
                  <c:v>0-30 j</c:v>
                </c:pt>
                <c:pt idx="1">
                  <c:v>31-60 j</c:v>
                </c:pt>
                <c:pt idx="2">
                  <c:v>61-90 j</c:v>
                </c:pt>
                <c:pt idx="3">
                  <c:v>91-180 j</c:v>
                </c:pt>
                <c:pt idx="4">
                  <c:v>&gt; 180 j</c:v>
                </c:pt>
              </c:strCache>
            </c:strRef>
          </c:cat>
          <c:val>
            <c:numRef>
              <c:f>'Impayés'!$BA$15:$BA$19</c:f>
              <c:numCache>
                <c:formatCode>#,##0</c:formatCode>
                <c:ptCount val="5"/>
                <c:pt idx="0">
                  <c:v>71457244733</c:v>
                </c:pt>
                <c:pt idx="1">
                  <c:v>32965810048</c:v>
                </c:pt>
                <c:pt idx="2">
                  <c:v>28309792434</c:v>
                </c:pt>
                <c:pt idx="3">
                  <c:v>45695894760</c:v>
                </c:pt>
                <c:pt idx="4">
                  <c:v>17675187532</c:v>
                </c:pt>
              </c:numCache>
            </c:numRef>
          </c:val>
        </c:ser>
        <c:gapWidth val="55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1"/>
        <c:axPos val="l"/>
        <c:majorGridlines>
          <c:spPr>
            <a:ln w="6350">
              <a:solidFill>
                <a:srgbClr val="E3ED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50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gradFill rotWithShape="1">
      <a:gsLst>
        <a:gs pos="0">
          <a:srgbClr val="FFFFFF"/>
        </a:gs>
        <a:gs pos="100000">
          <a:srgbClr val="EEF6FA"/>
        </a:gs>
      </a:gsLst>
      <a:lin ang="5400000" scaled="0"/>
    </a:gradFill>
    <a:ln w="12700">
      <a:solidFill>
        <a:srgbClr val="CFE0E7"/>
      </a:solidFill>
    </a:ln>
    <a:effectLst>
      <a:outerShdw blurRad="76200" dist="19050" dir="5400000" algn="t" rotWithShape="0">
        <a:srgbClr val="00415E">
          <a:alpha val="18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00415E"/>
                </a:solidFill>
                <a:latin typeface="Segoe UI"/>
              </a:defRPr>
            </a:pPr>
            <a:r>
              <a:rPr lang="fr-FR" sz="1100" b="1">
                <a:solidFill>
                  <a:srgbClr val="00415E"/>
                </a:solidFill>
                <a:latin typeface="Segoe UI"/>
              </a:rPr>
              <a:t>Segment (Montant XOF)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Segment (Montant XOF)</c:v>
          </c:tx>
          <c:spPr>
            <a:solidFill>
              <a:srgbClr val="E08A3C"/>
            </a:solidFill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EBB380"/>
                  </a:gs>
                  <a:gs pos="100000">
                    <a:srgbClr val="E08A3C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EB9C8D"/>
                  </a:gs>
                  <a:gs pos="100000">
                    <a:srgbClr val="E0674F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A9B6F0"/>
                  </a:gs>
                  <a:gs pos="100000">
                    <a:srgbClr val="7B8FE8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6ACFC5"/>
                  </a:gs>
                  <a:gs pos="100000">
                    <a:srgbClr val="19B5A5"/>
                  </a:gs>
                </a:gsLst>
                <a:lin ang="5400000" scaled="0"/>
              </a:gradFill>
              <a:ln w="0">
                <a:noFill/>
              </a:ln>
            </c:spPr>
          </c:dPt>
          <c:dLbls>
            <c:numFmt formatCode="[&gt;=1000000000]#,##0.0,,,&quot; Md&quot;;#,##0,,&quot; M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'Impayés'!$AZ$22:$AZ$25</c:f>
              <c:strCache>
                <c:ptCount val="4"/>
                <c:pt idx="0">
                  <c:v>CORPORATE BANKING</c:v>
                </c:pt>
                <c:pt idx="1">
                  <c:v>COMMERCIAL BANKING</c:v>
                </c:pt>
                <c:pt idx="2">
                  <c:v>CONSUMER BANKING</c:v>
                </c:pt>
                <c:pt idx="3">
                  <c:v>PUBLIC SECTOR</c:v>
                </c:pt>
              </c:strCache>
            </c:strRef>
          </c:cat>
          <c:val>
            <c:numRef>
              <c:f>'Impayés'!$BA$22:$BA$25</c:f>
              <c:numCache>
                <c:formatCode>#,##0</c:formatCode>
                <c:ptCount val="4"/>
                <c:pt idx="0">
                  <c:v>112054410403</c:v>
                </c:pt>
                <c:pt idx="1">
                  <c:v>60046912853</c:v>
                </c:pt>
                <c:pt idx="2">
                  <c:v>21155220735</c:v>
                </c:pt>
                <c:pt idx="3">
                  <c:v>2847385516</c:v>
                </c:pt>
              </c:numCache>
            </c:numRef>
          </c:val>
        </c:ser>
        <c:gapWidth val="55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1"/>
        <c:axPos val="l"/>
        <c:majorGridlines>
          <c:spPr>
            <a:ln w="6350">
              <a:solidFill>
                <a:srgbClr val="E3ED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50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gradFill rotWithShape="1">
      <a:gsLst>
        <a:gs pos="0">
          <a:srgbClr val="FFFFFF"/>
        </a:gs>
        <a:gs pos="100000">
          <a:srgbClr val="EEF6FA"/>
        </a:gs>
      </a:gsLst>
      <a:lin ang="5400000" scaled="0"/>
    </a:gradFill>
    <a:ln w="12700">
      <a:solidFill>
        <a:srgbClr val="CFE0E7"/>
      </a:solidFill>
    </a:ln>
    <a:effectLst>
      <a:outerShdw blurRad="76200" dist="19050" dir="5400000" algn="t" rotWithShape="0">
        <a:srgbClr val="00415E">
          <a:alpha val="18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00415E"/>
                </a:solidFill>
                <a:latin typeface="Segoe UI"/>
              </a:defRPr>
            </a:pPr>
            <a:r>
              <a:rPr lang="fr-FR" sz="1100" b="1">
                <a:solidFill>
                  <a:srgbClr val="00415E"/>
                </a:solidFill>
                <a:latin typeface="Segoe UI"/>
              </a:rPr>
              <a:t>Top 8 clients (Montant XOF)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Top 8 clients (Montant XOF)</c:v>
          </c:tx>
          <c:spPr>
            <a:solidFill>
              <a:srgbClr val="003B5C"/>
            </a:solidFill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598095"/>
                  </a:gs>
                  <a:gs pos="100000">
                    <a:srgbClr val="003B5C"/>
                  </a:gs>
                </a:gsLst>
                <a:lin ang="0" scaled="0"/>
              </a:gra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5995AE"/>
                  </a:gs>
                  <a:gs pos="100000">
                    <a:srgbClr val="005C83"/>
                  </a:gs>
                </a:gsLst>
                <a:lin ang="0" scaled="0"/>
              </a:gra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60A9C6"/>
                  </a:gs>
                  <a:gs pos="100000">
                    <a:srgbClr val="0A7BA8"/>
                  </a:gs>
                </a:gsLst>
                <a:lin ang="0" scaled="0"/>
              </a:gra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77C3E4"/>
                  </a:gs>
                  <a:gs pos="100000">
                    <a:srgbClr val="2EA3D6"/>
                  </a:gs>
                </a:gsLst>
                <a:lin ang="0" scaled="0"/>
              </a:gra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6ACFC5"/>
                  </a:gs>
                  <a:gs pos="100000">
                    <a:srgbClr val="19B5A5"/>
                  </a:gs>
                </a:gsLst>
                <a:lin ang="0" scaled="0"/>
              </a:gradFill>
              <a:ln w="0">
                <a:noFill/>
              </a:ln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rgbClr val="97D9D1"/>
                  </a:gs>
                  <a:gs pos="100000">
                    <a:srgbClr val="5FC4B8"/>
                  </a:gs>
                </a:gsLst>
                <a:lin ang="0" scaled="0"/>
              </a:gradFill>
              <a:ln w="0">
                <a:noFill/>
              </a:ln>
            </c:spPr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rgbClr val="B4DA82"/>
                  </a:gs>
                  <a:gs pos="100000">
                    <a:srgbClr val="8CC63F"/>
                  </a:gs>
                </a:gsLst>
                <a:lin ang="0" scaled="0"/>
              </a:gradFill>
              <a:ln w="0">
                <a:noFill/>
              </a:ln>
            </c:spPr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rgbClr val="CFE6B3"/>
                  </a:gs>
                  <a:gs pos="100000">
                    <a:srgbClr val="B5D98A"/>
                  </a:gs>
                </a:gsLst>
                <a:lin ang="0" scaled="0"/>
              </a:gradFill>
              <a:ln w="0">
                <a:noFill/>
              </a:ln>
            </c:spPr>
          </c:dPt>
          <c:dLbls>
            <c:numFmt formatCode="[&gt;=1000000000]#,##0.0,,,&quot; Md&quot;;#,##0,,&quot; M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'Impayés'!$AZ$28:$AZ$35</c:f>
              <c:strCache>
                <c:ptCount val="8"/>
                <c:pt idx="0">
                  <c:v>CLIENT 12</c:v>
                </c:pt>
                <c:pt idx="1">
                  <c:v>CLIENT 22</c:v>
                </c:pt>
                <c:pt idx="2">
                  <c:v>CLIENT 43</c:v>
                </c:pt>
                <c:pt idx="3">
                  <c:v>CLIENT 20</c:v>
                </c:pt>
                <c:pt idx="4">
                  <c:v>CLIENT 18</c:v>
                </c:pt>
                <c:pt idx="5">
                  <c:v>CLIENT 29</c:v>
                </c:pt>
                <c:pt idx="6">
                  <c:v>CLIENT 7</c:v>
                </c:pt>
                <c:pt idx="7">
                  <c:v>CLIENT 79</c:v>
                </c:pt>
              </c:strCache>
            </c:strRef>
          </c:cat>
          <c:val>
            <c:numRef>
              <c:f>'Impayés'!$BA$28:$BA$35</c:f>
              <c:numCache>
                <c:formatCode>#,##0</c:formatCode>
                <c:ptCount val="8"/>
                <c:pt idx="0">
                  <c:v>4633872865</c:v>
                </c:pt>
                <c:pt idx="1">
                  <c:v>4249920522</c:v>
                </c:pt>
                <c:pt idx="2">
                  <c:v>3898551380</c:v>
                </c:pt>
                <c:pt idx="3">
                  <c:v>3597345526</c:v>
                </c:pt>
                <c:pt idx="4">
                  <c:v>3449900846</c:v>
                </c:pt>
                <c:pt idx="5">
                  <c:v>3244137455</c:v>
                </c:pt>
                <c:pt idx="6">
                  <c:v>3121370078</c:v>
                </c:pt>
                <c:pt idx="7">
                  <c:v>3023117579</c:v>
                </c:pt>
              </c:numCache>
            </c:numRef>
          </c:val>
        </c:ser>
        <c:gapWidth val="40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1"/>
        <c:axPos val="b"/>
        <c:majorGridlines>
          <c:spPr>
            <a:ln w="6350">
              <a:solidFill>
                <a:srgbClr val="E3ED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50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gradFill rotWithShape="1">
      <a:gsLst>
        <a:gs pos="0">
          <a:srgbClr val="FFFFFF"/>
        </a:gs>
        <a:gs pos="100000">
          <a:srgbClr val="EEF6FA"/>
        </a:gs>
      </a:gsLst>
      <a:lin ang="5400000" scaled="0"/>
    </a:gradFill>
    <a:ln w="12700">
      <a:solidFill>
        <a:srgbClr val="CFE0E7"/>
      </a:solidFill>
    </a:ln>
    <a:effectLst>
      <a:outerShdw blurRad="76200" dist="19050" dir="5400000" algn="t" rotWithShape="0">
        <a:srgbClr val="00415E">
          <a:alpha val="18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Apex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00415E"/>
                </a:solidFill>
                <a:latin typeface="Segoe UI"/>
              </a:defRPr>
            </a:pPr>
            <a:r>
              <a:rPr lang="fr-FR" sz="1100" b="1">
                <a:solidFill>
                  <a:srgbClr val="00415E"/>
                </a:solidFill>
                <a:latin typeface="Segoe UI"/>
              </a:rPr>
              <a:t>Nombre de lignes par classe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Nombre de lignes par classe</c:v>
          </c:tx>
          <c:spPr>
            <a:solidFill>
              <a:srgbClr val="E0674F"/>
            </a:solidFill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EB9C8D"/>
                  </a:gs>
                  <a:gs pos="100000">
                    <a:srgbClr val="E0674F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A9B6F0"/>
                  </a:gs>
                  <a:gs pos="100000">
                    <a:srgbClr val="7B8FE8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6ACFC5"/>
                  </a:gs>
                  <a:gs pos="100000">
                    <a:srgbClr val="19B5A5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CEBFE8"/>
                  </a:gs>
                  <a:gs pos="100000">
                    <a:srgbClr val="B39DDB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B7C4CA"/>
                  </a:gs>
                  <a:gs pos="100000">
                    <a:srgbClr val="90A4AE"/>
                  </a:gs>
                </a:gsLst>
                <a:lin ang="5400000" scaled="0"/>
              </a:gradFill>
              <a:ln w="0">
                <a:noFill/>
              </a:ln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rgbClr val="5995AE"/>
                  </a:gs>
                  <a:gs pos="100000">
                    <a:srgbClr val="005C83"/>
                  </a:gs>
                </a:gsLst>
                <a:lin ang="5400000" scaled="0"/>
              </a:gradFill>
              <a:ln w="0">
                <a:noFill/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rgbClr val="00415E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'Impayés'!$AZ$38:$AZ$43</c:f>
              <c:strCache>
                <c:ptCount val="6"/>
                <c:pt idx="0">
                  <c:v>I</c:v>
                </c:pt>
                <c:pt idx="1">
                  <c:v>IA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</c:strCache>
            </c:strRef>
          </c:cat>
          <c:val>
            <c:numRef>
              <c:f>'Impayés'!$BA$38:$BA$43</c:f>
              <c:numCache>
                <c:formatCode>#,##0</c:formatCode>
                <c:ptCount val="6"/>
                <c:pt idx="0">
                  <c:v>56</c:v>
                </c:pt>
                <c:pt idx="1">
                  <c:v>102</c:v>
                </c:pt>
                <c:pt idx="2">
                  <c:v>56</c:v>
                </c:pt>
                <c:pt idx="3">
                  <c:v>64</c:v>
                </c:pt>
                <c:pt idx="4">
                  <c:v>63</c:v>
                </c:pt>
                <c:pt idx="5">
                  <c:v>59</c:v>
                </c:pt>
              </c:numCache>
            </c:numRef>
          </c:val>
        </c:ser>
        <c:gapWidth val="55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FE0E7"/>
            </a:solidFill>
          </a:ln>
        </c:spPr>
        <c:txPr>
          <a:bodyPr/>
          <a:lstStyle/>
          <a:p>
            <a:pPr>
              <a:defRPr sz="800">
                <a:solidFill>
                  <a:srgbClr val="3E5C6B"/>
                </a:solidFill>
                <a:latin typeface="Segoe UI"/>
              </a:defRPr>
            </a:pPr>
            <a:endParaRPr lang="fr-F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1"/>
        <c:axPos val="l"/>
        <c:majorGridlines>
          <c:spPr>
            <a:ln w="6350">
              <a:solidFill>
                <a:srgbClr val="E3ED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50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</c:chart>
  <c:spPr>
    <a:gradFill rotWithShape="1">
      <a:gsLst>
        <a:gs pos="0">
          <a:srgbClr val="FFFFFF"/>
        </a:gs>
        <a:gs pos="100000">
          <a:srgbClr val="EEF6FA"/>
        </a:gs>
      </a:gsLst>
      <a:lin ang="5400000" scaled="0"/>
    </a:gradFill>
    <a:ln w="12700">
      <a:solidFill>
        <a:srgbClr val="CFE0E7"/>
      </a:solidFill>
    </a:ln>
    <a:effectLst>
      <a:outerShdw blurRad="76200" dist="19050" dir="5400000" algn="t" rotWithShape="0">
        <a:srgbClr val="00415E">
          <a:alpha val="18000"/>
        </a:srgbClr>
      </a:outerShdw>
    </a:effectLst>
  </c:spPr>
  <c:txPr>
    <a:bodyPr/>
    <a:lstStyle/>
    <a:p>
      <a:pPr>
        <a:defRPr>
          <a:latin typeface="Segoe UI"/>
        </a:defRPr>
      </a:pPr>
      <a:endParaRPr lang="fr-FR"/>
    </a:p>
  </c:txPr>
</c:chartSpace>
</file>

<file path=xl/drawings/_rels/drawingApexS1.xml.rels><?xml version="1.0" encoding="UTF-8" standalone="yes"?><Relationships xmlns="http://schemas.openxmlformats.org/package/2006/relationships"><Relationship Id="rIdApexC1" Type="http://schemas.openxmlformats.org/officeDocument/2006/relationships/chart" Target="../charts/chartApex1.xml"/><Relationship Id="rIdApexC2" Type="http://schemas.openxmlformats.org/officeDocument/2006/relationships/chart" Target="../charts/chartApex2.xml"/><Relationship Id="rIdApexC3" Type="http://schemas.openxmlformats.org/officeDocument/2006/relationships/chart" Target="../charts/chartApex3.xml"/><Relationship Id="rIdApexC4" Type="http://schemas.openxmlformats.org/officeDocument/2006/relationships/chart" Target="../charts/chartApex4.xml"/><Relationship Id="rIdApexC5" Type="http://schemas.openxmlformats.org/officeDocument/2006/relationships/chart" Target="../charts/chartApex5.xml"/><Relationship Id="rIdApexC6" Type="http://schemas.openxmlformats.org/officeDocument/2006/relationships/chart" Target="../charts/chartApex6.xml"/><Relationship Id="rIdApexNv2_0" Type="http://schemas.openxmlformats.org/officeDocument/2006/relationships/hyperlink" Target="#'Sommaire APEX'!A1"/><Relationship Id="rIdApexNv2_1" Type="http://schemas.openxmlformats.org/officeDocument/2006/relationships/hyperlink" Target="#'Impay&#233;s'!A1"/></Relationships>
</file>

<file path=xl/drawings/drawingApexS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2</xdr:row>
      <xdr:rowOff>25400</xdr:rowOff>
    </xdr:from>
    <xdr:to>
      <xdr:col>7</xdr:col>
      <xdr:colOff>590550</xdr:colOff>
      <xdr:row>3</xdr:row>
      <xdr:rowOff>596900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01" name="Class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e 1"/>
            </a:graphicData>
          </a:graphic>
        </xdr:graphicFrame>
      </mc:Choice>
      <mc:Fallback>
        <xdr:sp macro="" textlink="">
          <xdr:nvSpPr>
            <xdr:cNvPr id="902" name="Segment 1"/>
            <xdr:cNvSpPr>
              <a:spLocks noTextEdit="1"/>
            </xdr:cNvSpPr>
          </xdr:nvSpPr>
          <xdr:spPr>
            <a:xfrm>
              <a:off x="0" y="0"/>
              <a:ext cx="1828800" cy="49530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005C83"/>
              </a:solidFill>
            </a:ln>
          </xdr:spPr>
          <xdr:txBody>
            <a:bodyPr vertOverflow="clip" horzOverflow="clip"/>
            <a:lstStyle/>
            <a:p>
              <a:r>
                <a:rPr lang="fr-FR" sz="900"/>
                <a:t>Segment Classe : Excel 2013 ou ultérieur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28575</xdr:colOff>
      <xdr:row>2</xdr:row>
      <xdr:rowOff>25400</xdr:rowOff>
    </xdr:from>
    <xdr:to>
      <xdr:col>9</xdr:col>
      <xdr:colOff>1676400</xdr:colOff>
      <xdr:row>3</xdr:row>
      <xdr:rowOff>596900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03" name="Stad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de 2"/>
            </a:graphicData>
          </a:graphic>
        </xdr:graphicFrame>
      </mc:Choice>
      <mc:Fallback>
        <xdr:sp macro="" textlink="">
          <xdr:nvSpPr>
            <xdr:cNvPr id="904" name="Segment 2"/>
            <xdr:cNvSpPr>
              <a:spLocks noTextEdit="1"/>
            </xdr:cNvSpPr>
          </xdr:nvSpPr>
          <xdr:spPr>
            <a:xfrm>
              <a:off x="0" y="0"/>
              <a:ext cx="1828800" cy="49530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005C83"/>
              </a:solidFill>
            </a:ln>
          </xdr:spPr>
          <xdr:txBody>
            <a:bodyPr vertOverflow="clip" horzOverflow="clip"/>
            <a:lstStyle/>
            <a:p>
              <a:r>
                <a:rPr lang="fr-FR" sz="900"/>
                <a:t>Segment Stade : Excel 2013 ou ultérieur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28575</xdr:colOff>
      <xdr:row>2</xdr:row>
      <xdr:rowOff>25400</xdr:rowOff>
    </xdr:from>
    <xdr:to>
      <xdr:col>10</xdr:col>
      <xdr:colOff>1562100</xdr:colOff>
      <xdr:row>3</xdr:row>
      <xdr:rowOff>596900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05" name="Segmen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3"/>
            </a:graphicData>
          </a:graphic>
        </xdr:graphicFrame>
      </mc:Choice>
      <mc:Fallback>
        <xdr:sp macro="" textlink="">
          <xdr:nvSpPr>
            <xdr:cNvPr id="906" name="Segment 3"/>
            <xdr:cNvSpPr>
              <a:spLocks noTextEdit="1"/>
            </xdr:cNvSpPr>
          </xdr:nvSpPr>
          <xdr:spPr>
            <a:xfrm>
              <a:off x="0" y="0"/>
              <a:ext cx="1828800" cy="49530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005C83"/>
              </a:solidFill>
            </a:ln>
          </xdr:spPr>
          <xdr:txBody>
            <a:bodyPr vertOverflow="clip" horzOverflow="clip"/>
            <a:lstStyle/>
            <a:p>
              <a:r>
                <a:rPr lang="fr-FR" sz="900"/>
                <a:t>Segment Segment : Excel 2013 ou ultérieur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5</xdr:row>
      <xdr:rowOff>50800</xdr:rowOff>
    </xdr:from>
    <xdr:to>
      <xdr:col>1</xdr:col>
      <xdr:colOff>1038225</xdr:colOff>
      <xdr:row>8</xdr:row>
      <xdr:rowOff>673100</xdr:rowOff>
    </xdr:to>
    <xdr:graphicFrame macro="">
      <xdr:nvGraphicFramePr>
        <xdr:cNvPr id="1507" name="Graphique APEX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C1"/>
        </a:graphicData>
      </a:graphic>
    </xdr:graphicFrame>
    <xdr:clientData/>
  </xdr:twoCellAnchor>
  <xdr:twoCellAnchor editAs="oneCell">
    <xdr:from>
      <xdr:col>2</xdr:col>
      <xdr:colOff>28575</xdr:colOff>
      <xdr:row>5</xdr:row>
      <xdr:rowOff>50800</xdr:rowOff>
    </xdr:from>
    <xdr:to>
      <xdr:col>3</xdr:col>
      <xdr:colOff>742950</xdr:colOff>
      <xdr:row>8</xdr:row>
      <xdr:rowOff>673100</xdr:rowOff>
    </xdr:to>
    <xdr:graphicFrame macro="">
      <xdr:nvGraphicFramePr>
        <xdr:cNvPr id="1508" name="Graphique APEX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C2"/>
        </a:graphicData>
      </a:graphic>
    </xdr:graphicFrame>
    <xdr:clientData/>
  </xdr:twoCellAnchor>
  <xdr:twoCellAnchor editAs="oneCell">
    <xdr:from>
      <xdr:col>4</xdr:col>
      <xdr:colOff>28575</xdr:colOff>
      <xdr:row>5</xdr:row>
      <xdr:rowOff>50800</xdr:rowOff>
    </xdr:from>
    <xdr:to>
      <xdr:col>5</xdr:col>
      <xdr:colOff>590550</xdr:colOff>
      <xdr:row>8</xdr:row>
      <xdr:rowOff>673100</xdr:rowOff>
    </xdr:to>
    <xdr:graphicFrame macro="">
      <xdr:nvGraphicFramePr>
        <xdr:cNvPr id="1509" name="Graphique APEX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C3"/>
        </a:graphicData>
      </a:graphic>
    </xdr:graphicFrame>
    <xdr:clientData/>
  </xdr:twoCellAnchor>
  <xdr:twoCellAnchor editAs="oneCell">
    <xdr:from>
      <xdr:col>6</xdr:col>
      <xdr:colOff>28575</xdr:colOff>
      <xdr:row>5</xdr:row>
      <xdr:rowOff>50800</xdr:rowOff>
    </xdr:from>
    <xdr:to>
      <xdr:col>7</xdr:col>
      <xdr:colOff>590550</xdr:colOff>
      <xdr:row>8</xdr:row>
      <xdr:rowOff>673100</xdr:rowOff>
    </xdr:to>
    <xdr:graphicFrame macro="">
      <xdr:nvGraphicFramePr>
        <xdr:cNvPr id="1510" name="Graphique APEX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C4"/>
        </a:graphicData>
      </a:graphic>
    </xdr:graphicFrame>
    <xdr:clientData/>
  </xdr:twoCellAnchor>
  <xdr:twoCellAnchor editAs="oneCell">
    <xdr:from>
      <xdr:col>8</xdr:col>
      <xdr:colOff>28575</xdr:colOff>
      <xdr:row>5</xdr:row>
      <xdr:rowOff>50800</xdr:rowOff>
    </xdr:from>
    <xdr:to>
      <xdr:col>9</xdr:col>
      <xdr:colOff>1676400</xdr:colOff>
      <xdr:row>8</xdr:row>
      <xdr:rowOff>673100</xdr:rowOff>
    </xdr:to>
    <xdr:graphicFrame macro="">
      <xdr:nvGraphicFramePr>
        <xdr:cNvPr id="1511" name="Graphique APEX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C5"/>
        </a:graphicData>
      </a:graphic>
    </xdr:graphicFrame>
    <xdr:clientData/>
  </xdr:twoCellAnchor>
  <xdr:twoCellAnchor editAs="oneCell">
    <xdr:from>
      <xdr:col>10</xdr:col>
      <xdr:colOff>28575</xdr:colOff>
      <xdr:row>5</xdr:row>
      <xdr:rowOff>50800</xdr:rowOff>
    </xdr:from>
    <xdr:to>
      <xdr:col>10</xdr:col>
      <xdr:colOff>1562100</xdr:colOff>
      <xdr:row>8</xdr:row>
      <xdr:rowOff>673100</xdr:rowOff>
    </xdr:to>
    <xdr:graphicFrame macro="">
      <xdr:nvGraphicFramePr>
        <xdr:cNvPr id="1512" name="Graphique APEX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ApexC6"/>
        </a:graphicData>
      </a:graphic>
    </xdr:graphicFrame>
    <xdr:clientData/>
  </xdr:twoCellAnchor>
  <xdr:absoluteAnchor>
    <xdr:pos x="28575" y="762000"/>
    <xdr:ext cx="1590675" cy="1168400"/>
    <xdr:sp macro="" textlink="">
      <xdr:nvSpPr>
        <xdr:cNvPr id="1406" name="Rail APEX"/>
        <xdr:cNvSpPr>
          <a:spLocks noTextEdit="1"/>
        </xdr:cNvSpPr>
      </xdr:nvSpPr>
      <xdr:spPr>
        <a:xfrm>
          <a:off x="28575" y="762000"/>
          <a:ext cx="1590675" cy="1168400"/>
        </a:xfrm>
        <a:prstGeom prst="roundRect">
          <a:avLst>
            <a:gd name="adj" fmla="val 9000"/>
          </a:avLst>
        </a:prstGeom>
        <a:gradFill rotWithShape="1">
          <a:gsLst>
            <a:gs pos="0">
              <a:srgbClr val="00304A"/>
            </a:gs>
            <a:gs pos="100000">
              <a:srgbClr val="005C83"/>
            </a:gs>
          </a:gsLst>
          <a:lin ang="5400000" scaled="0"/>
        </a:gradFill>
        <a:ln>
          <a:noFill/>
        </a:ln>
        <a:effectLst>
          <a:outerShdw blurRad="63500" dist="19050" dir="5400000" algn="t" rotWithShape="0">
            <a:srgbClr val="000000">
              <a:alpha val="35000"/>
            </a:srgbClr>
          </a:outerShdw>
        </a:effectLst>
      </xdr:spPr>
      <xdr:txBody>
        <a:bodyPr vertOverflow="clip" horzOverflow="clip" wrap="none" lIns="64008" tIns="0" rIns="27432" bIns="0" rtlCol="0" anchor="ctr"/>
        <a:lstStyle/>
        <a:p>
          <a:endParaRPr lang="fr-FR" sz="800"/>
        </a:p>
      </xdr:txBody>
    </xdr:sp>
    <xdr:clientData/>
  </xdr:absoluteAnchor>
  <xdr:absoluteAnchor>
    <xdr:pos x="66675" y="812800"/>
    <xdr:ext cx="1514475" cy="355600"/>
    <xdr:sp macro="" textlink="">
      <xdr:nvSpPr>
        <xdr:cNvPr id="1407" name="Titre rail"/>
        <xdr:cNvSpPr>
          <a:spLocks noTextEdit="1"/>
        </xdr:cNvSpPr>
      </xdr:nvSpPr>
      <xdr:spPr>
        <a:xfrm>
          <a:off x="66675" y="812800"/>
          <a:ext cx="1514475" cy="355600"/>
        </a:xfrm>
        <a:prstGeom prst="roundRect">
          <a:avLst>
            <a:gd name="adj" fmla="val 22000"/>
          </a:avLst>
        </a:prstGeom>
        <a:noFill/>
        <a:ln>
          <a:noFill/>
        </a:ln>
      </xdr:spPr>
      <xdr:txBody>
        <a:bodyPr vertOverflow="clip" horzOverflow="clip" wrap="none" lIns="64008" tIns="0" rIns="27432" bIns="0" rtlCol="0" anchor="ctr"/>
        <a:lstStyle/>
        <a:p>
          <a:pPr algn="l"/>
          <a:r>
            <a:rPr lang="fr-FR" sz="1000" b="1">
              <a:solidFill>
                <a:srgbClr val="8CC63F"/>
              </a:solidFill>
              <a:latin typeface="Segoe UI"/>
              <a:cs typeface="Segoe UI"/>
            </a:rPr>
            <a:t>◆ APEX</a:t>
          </a:r>
          <a:r>
            <a:rPr lang="fr-FR" sz="700" b="1">
              <a:solidFill>
                <a:srgbClr val="BFE3F2"/>
              </a:solidFill>
              <a:latin typeface="Segoe UI"/>
              <a:cs typeface="Segoe UI"/>
            </a:rPr>
            <a:t>  NAVIGATION</a:t>
          </a:r>
        </a:p>
      </xdr:txBody>
    </xdr:sp>
    <xdr:clientData/>
  </xdr:absoluteAnchor>
  <xdr:absoluteAnchor>
    <xdr:pos x="76200" y="1219200"/>
    <xdr:ext cx="1495425" cy="279400"/>
    <xdr:sp macro="" textlink="">
      <xdr:nvSpPr>
        <xdr:cNvPr id="1408" name="Nav Sommaire APEX" descr="Nav Sommaire APEX">
          <a:hlinkClick xmlns:r="http://schemas.openxmlformats.org/officeDocument/2006/relationships" r:id="rIdApexNv2_0" tooltip="Ouvrir « Sommaire APEX »"/>
        </xdr:cNvPr>
        <xdr:cNvSpPr>
          <a:spLocks noTextEdit="1"/>
        </xdr:cNvSpPr>
      </xdr:nvSpPr>
      <xdr:spPr>
        <a:xfrm>
          <a:off x="76200" y="1219200"/>
          <a:ext cx="1495425" cy="279400"/>
        </a:xfrm>
        <a:prstGeom prst="roundRect">
          <a:avLst>
            <a:gd name="adj" fmla="val 22000"/>
          </a:avLst>
        </a:prstGeom>
        <a:gradFill rotWithShape="1">
          <a:gsLst>
            <a:gs pos="0">
              <a:srgbClr val="0E86B5"/>
            </a:gs>
            <a:gs pos="100000">
              <a:srgbClr val="006891"/>
            </a:gs>
          </a:gsLst>
          <a:lin ang="5400000" scaled="0"/>
        </a:gradFill>
        <a:ln w="6350">
          <a:solidFill>
            <a:srgbClr val="4FB3DA"/>
          </a:solidFill>
        </a:ln>
        <a:effectLst>
          <a:outerShdw blurRad="25400" dist="19050" dir="5400000" algn="t" rotWithShape="0">
            <a:srgbClr val="000000">
              <a:alpha val="30000"/>
            </a:srgbClr>
          </a:outerShdw>
        </a:effectLst>
      </xdr:spPr>
      <xdr:txBody>
        <a:bodyPr vertOverflow="clip" horzOverflow="clip" wrap="none" lIns="64008" tIns="0" rIns="27432" bIns="0" rtlCol="0" anchor="ctr"/>
        <a:lstStyle/>
        <a:p>
          <a:pPr algn="l"/>
          <a:r>
            <a:rPr lang="fr-FR" sz="850" b="0">
              <a:solidFill>
                <a:srgbClr val="FFFFFF"/>
              </a:solidFill>
              <a:latin typeface="Segoe UI"/>
              <a:cs typeface="Segoe UI"/>
            </a:rPr>
            <a:t>⌂  Sommaire APEX</a:t>
          </a:r>
        </a:p>
      </xdr:txBody>
    </xdr:sp>
    <xdr:clientData/>
  </xdr:absoluteAnchor>
  <xdr:absoluteAnchor>
    <xdr:pos x="76200" y="1536700"/>
    <xdr:ext cx="1495425" cy="279400"/>
    <xdr:sp macro="" textlink="">
      <xdr:nvSpPr>
        <xdr:cNvPr id="1409" name="Nav Impayés" descr="Nav Impayés">
          <a:hlinkClick xmlns:r="http://schemas.openxmlformats.org/officeDocument/2006/relationships" r:id="rIdApexNv2_1" tooltip="Ouvrir « Impayés »"/>
        </xdr:cNvPr>
        <xdr:cNvSpPr>
          <a:spLocks noTextEdit="1"/>
        </xdr:cNvSpPr>
      </xdr:nvSpPr>
      <xdr:spPr>
        <a:xfrm>
          <a:off x="76200" y="1536700"/>
          <a:ext cx="1495425" cy="279400"/>
        </a:xfrm>
        <a:prstGeom prst="roundRect">
          <a:avLst>
            <a:gd name="adj" fmla="val 22000"/>
          </a:avLst>
        </a:prstGeom>
        <a:gradFill rotWithShape="1">
          <a:gsLst>
            <a:gs pos="0">
              <a:srgbClr val="A6DB5C"/>
            </a:gs>
            <a:gs pos="100000">
              <a:srgbClr val="7DB82E"/>
            </a:gs>
          </a:gsLst>
          <a:lin ang="5400000" scaled="0"/>
        </a:gradFill>
        <a:ln w="12700">
          <a:solidFill>
            <a:srgbClr val="FFFFFF"/>
          </a:solidFill>
        </a:ln>
        <a:effectLst>
          <a:outerShdw blurRad="63500" dist="19050" dir="5400000" algn="t" rotWithShape="0">
            <a:srgbClr val="000000">
              <a:alpha val="45000"/>
            </a:srgbClr>
          </a:outerShdw>
        </a:effectLst>
      </xdr:spPr>
      <xdr:txBody>
        <a:bodyPr vertOverflow="clip" horzOverflow="clip" wrap="none" lIns="64008" tIns="0" rIns="27432" bIns="0" rtlCol="0" anchor="ctr"/>
        <a:lstStyle/>
        <a:p>
          <a:pPr algn="l"/>
          <a:r>
            <a:rPr lang="fr-FR" sz="900" b="1">
              <a:solidFill>
                <a:srgbClr val="00304A"/>
              </a:solidFill>
              <a:latin typeface="Segoe UI"/>
              <a:cs typeface="Segoe UI"/>
            </a:rPr>
            <a:t>●  Impayés</a:t>
          </a:r>
        </a:p>
      </xdr:txBody>
    </xdr:sp>
    <xdr:clientData/>
  </xdr:absoluteAnchor>
</xdr:wsDr>
</file>

<file path=xl/slicerCaches/slicerCacheApex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Classe_1" sourceName="Classe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Apex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tade_2" sourceName="Stade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Apex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egment_3" sourceName="Segment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Apex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lasse 1" cache="Segment_Classe_1" caption="Classe" columnCount="6" rowHeight="190500" style="SlicerStyleDark1"/>
  <slicer name="Stade 2" cache="Segment_Stade_2" caption="Stade" columnCount="3" rowHeight="190500" style="SlicerStyleDark1"/>
  <slicer name="Segment 3" cache="Segment_Segment_3" caption="Segment" columnCount="4" rowHeight="190500" style="SlicerStyleDark1"/>
</slicers>
</file>

<file path=xl/tables/tableApex1.xml><?xml version="1.0" encoding="utf-8"?>
<table xmlns="http://schemas.openxmlformats.org/spreadsheetml/2006/main" id="1" name="APEX_Impayes_1" displayName="APEX_Impayes_1" ref="A10:K410" totalsRowShown="0">
  <autoFilter ref="A10:K410"/>
  <tableColumns count="11">
    <tableColumn id="1" name="Référence"/>
    <tableColumn id="2" name="Code Client"/>
    <tableColumn id="3" name="Client"/>
    <tableColumn id="4" name="Produit"/>
    <tableColumn id="5" name="Échéance"/>
    <tableColumn id="6" name="Jours"/>
    <tableColumn id="7" name="Classe"/>
    <tableColumn id="8" name="Stade"/>
    <tableColumn id="9" name="Montant XOF"/>
    <tableColumn id="10" name="Gestionnaire"/>
    <tableColumn id="11" name="Segment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ApexT1" Type="http://schemas.openxmlformats.org/officeDocument/2006/relationships/table" Target="../tables/tableApex1.xml"/><Relationship Id="rIdApexS1" Type="http://schemas.microsoft.com/office/2007/relationships/slicer" Target="../slicers/slicerApex1.xml"/><Relationship Id="rIdApexD1" Type="http://schemas.openxmlformats.org/officeDocument/2006/relationships/drawing" Target="../drawings/drawingApex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BA410"/>
  <sheetViews>
    <sheetView workbookViewId="0"/>
  </sheetViews>
  <cols>
    <col min="1" max="1" width="24" customWidth="1"/>
    <col min="2" max="2" width="15.3" customWidth="1"/>
    <col min="3" max="3" width="30.83203125" customWidth="1"/>
    <col min="4" max="4" width="10.8" customWidth="1"/>
    <col min="5" max="5" width="17.6" customWidth="1"/>
    <col min="6" max="6" width="8.6" customWidth="1"/>
    <col min="7" max="7" width="17.6" customWidth="1"/>
    <col min="8" max="8" width="8.6" customWidth="1"/>
    <col min="9" max="9" width="17.6" customWidth="1"/>
    <col min="10" max="10" width="24.83203125" customWidth="1"/>
    <col min="11" max="11" width="23.2" customWidth="1"/>
    <col min="12" max="12" width="16" customWidth="1"/>
    <col min="52" max="53" width="14" hidden="1" customWidth="1"/>
  </cols>
  <sheetData>
    <row r="1" ht="40.0" customHeight="1">
      <c r="A1" s="25" t="inlineStr">
        <is>
          <t xml:space="preserve">IMPAYÉS — DÉTAIL PAR CONTRAT</t>
        </is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32" t="str">
        <f>HYPERLINK("#'Sommaire APEX'!A1","◀ Sommaire")</f>
      </c>
      <c r="AZ1" s="30" t="inlineStr">
        <is>
          <t xml:space="preserve">Classe (Montant XOF)</t>
        </is>
      </c>
    </row>
    <row r="2" ht="18.0" customHeight="1">
      <c r="A2" s="27" t="inlineStr">
        <is>
          <t xml:space="preserve">Arrêté 27/09/2026 · source : feuille « Impayés » du fichier ECOBANK_PDO · 400 lignes  ·  Filtrez avec les segments ou les ▼ du tableau : tuiles et graphiques se mettent à jour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AZ2" s="30" t="inlineStr">
        <is>
          <t xml:space="preserve">I</t>
        </is>
      </c>
      <c r="BA2" s="33">
        <f>SUMPRODUCT(SUBTOTAL(109,OFFSET($I$11,ROW($I$11:$I$410)-ROW($I$11),0)),--($G$11:$G$410="I"))</f>
      </c>
    </row>
    <row r="3" ht="24.0" customHeight="1">
      <c r="A3" s="25"/>
      <c r="B3" s="34" t="inlineStr">
        <is>
          <t xml:space="preserve">LIGNES AFFICHÉES</t>
        </is>
      </c>
      <c r="C3" s="34" t="inlineStr">
        <is>
          <t xml:space="preserve">Σ MONTANT XOF</t>
        </is>
      </c>
      <c r="D3" s="34" t="inlineStr">
        <is>
          <t xml:space="preserve">MONTANT MOYEN</t>
        </is>
      </c>
      <c r="E3" s="34" t="inlineStr">
        <is>
          <t xml:space="preserve">JOURS MAX</t>
        </is>
      </c>
      <c r="F3" s="34"/>
      <c r="G3" s="44"/>
      <c r="H3" s="44"/>
      <c r="I3" s="44"/>
      <c r="J3" s="44"/>
      <c r="K3" s="44"/>
      <c r="AZ3" s="30" t="inlineStr">
        <is>
          <t xml:space="preserve">IA</t>
        </is>
      </c>
      <c r="BA3" s="33">
        <f>SUMPRODUCT(SUBTOTAL(109,OFFSET($I$11,ROW($I$11:$I$410)-ROW($I$11),0)),--($G$11:$G$410="IA"))</f>
      </c>
    </row>
    <row r="4" ht="50.0" customHeight="1">
      <c r="A4" s="25"/>
      <c r="B4" s="35">
        <f>SUBTOTAL(103,$A$11:$A$410)</f>
      </c>
      <c r="C4" s="49">
        <f>SUBTOTAL(109,$I$11:$I$410)</f>
      </c>
      <c r="D4" s="49">
        <f>IFERROR(SUBTOTAL(101,$I$11:$I$410),0)</f>
      </c>
      <c r="E4" s="35">
        <f>SUBTOTAL(104,$F$11:$F$410)</f>
      </c>
      <c r="F4" s="35"/>
      <c r="G4" s="44"/>
      <c r="H4" s="44"/>
      <c r="I4" s="44"/>
      <c r="J4" s="44"/>
      <c r="K4" s="44"/>
      <c r="AZ4" s="30" t="inlineStr">
        <is>
          <t xml:space="preserve">II</t>
        </is>
      </c>
      <c r="BA4" s="33">
        <f>SUMPRODUCT(SUBTOTAL(109,OFFSET($I$11,ROW($I$11:$I$410)-ROW($I$11),0)),--($G$11:$G$410="II"))</f>
      </c>
    </row>
    <row r="5" ht="26.0" customHeight="1">
      <c r="A5" s="25"/>
      <c r="B5" s="46" t="inlineStr">
        <is>
          <t xml:space="preserve">🔍 RECHERCHER</t>
        </is>
      </c>
      <c r="C5" s="46"/>
      <c r="D5" s="45"/>
      <c r="E5" s="45"/>
      <c r="F5" s="45"/>
      <c r="G5" s="47" t="str">
        <f>IF($D$5="","← tapez un code client, un nom, une référence… (Référence, Code Client, Client)",SUMPRODUCT(--ISNUMBER(SEARCH($D$5,$A$11:$A$410&amp;" "&amp;$B$11:$B$410&amp;" "&amp;$C$11:$C$410&amp;" "&amp;$D$11:$D$410&amp;" "&amp;$E$11:$E$410&amp;" "&amp;$G$11:$G$410)))&amp;" résultat(s)")</f>
      </c>
      <c r="H5" s="47"/>
      <c r="I5" s="47"/>
      <c r="J5" s="47" t="str">
        <f>IF($D$5="","",IFERROR(HYPERLINK("#"&amp;ADDRESS(MATCH(TRUE,INDEX(ISNUMBER(SEARCH($D$5,$A$11:$A$410&amp;" "&amp;$B$11:$B$410&amp;" "&amp;$C$11:$C$410&amp;" "&amp;$D$11:$D$410&amp;" "&amp;$E$11:$E$410&amp;" "&amp;$G$11:$G$410)),0),0)+10,1),"→ aller au 1er résultat"),"aucun résultat"))</f>
      </c>
      <c r="K5" s="47"/>
      <c r="AZ5" s="30" t="inlineStr">
        <is>
          <t xml:space="preserve">III</t>
        </is>
      </c>
      <c r="BA5" s="33">
        <f>SUMPRODUCT(SUBTOTAL(109,OFFSET($I$11,ROW($I$11:$I$410)-ROW($I$11),0)),--($G$11:$G$410="III"))</f>
      </c>
    </row>
    <row r="6" ht="59.0" customHeight="1">
      <c r="A6" s="25"/>
      <c r="B6" s="44"/>
      <c r="C6" s="44"/>
      <c r="D6" s="44"/>
      <c r="E6" s="44"/>
      <c r="F6" s="44"/>
      <c r="G6" s="44"/>
      <c r="H6" s="44"/>
      <c r="I6" s="44"/>
      <c r="J6" s="44"/>
      <c r="K6" s="44"/>
      <c r="AZ6" s="30" t="inlineStr">
        <is>
          <t xml:space="preserve">IV</t>
        </is>
      </c>
      <c r="BA6" s="33">
        <f>SUMPRODUCT(SUBTOTAL(109,OFFSET($I$11,ROW($I$11:$I$410)-ROW($I$11),0)),--($G$11:$G$410="IV"))</f>
      </c>
    </row>
    <row r="7" ht="59.0" customHeight="1">
      <c r="A7" s="25"/>
      <c r="B7" s="44"/>
      <c r="C7" s="44"/>
      <c r="D7" s="44"/>
      <c r="E7" s="44"/>
      <c r="F7" s="44"/>
      <c r="G7" s="44"/>
      <c r="H7" s="44"/>
      <c r="I7" s="44"/>
      <c r="J7" s="44"/>
      <c r="K7" s="44"/>
      <c r="AZ7" s="30" t="inlineStr">
        <is>
          <t xml:space="preserve">V</t>
        </is>
      </c>
      <c r="BA7" s="33">
        <f>SUMPRODUCT(SUBTOTAL(109,OFFSET($I$11,ROW($I$11:$I$410)-ROW($I$11),0)),--($G$11:$G$410="V"))</f>
      </c>
    </row>
    <row r="8" ht="59.0" customHeight="1">
      <c r="A8" s="25"/>
      <c r="B8" s="44"/>
      <c r="C8" s="44"/>
      <c r="D8" s="44"/>
      <c r="E8" s="44"/>
      <c r="F8" s="44"/>
      <c r="G8" s="44"/>
      <c r="H8" s="44"/>
      <c r="I8" s="44"/>
      <c r="J8" s="44"/>
      <c r="K8" s="44"/>
    </row>
    <row r="9" ht="59.0" customHeight="1">
      <c r="A9" s="25"/>
      <c r="B9" s="44"/>
      <c r="C9" s="44"/>
      <c r="D9" s="44"/>
      <c r="E9" s="44"/>
      <c r="F9" s="44"/>
      <c r="G9" s="44"/>
      <c r="H9" s="44"/>
      <c r="I9" s="44"/>
      <c r="J9" s="44"/>
      <c r="K9" s="44"/>
      <c r="AZ9" s="30" t="inlineStr">
        <is>
          <t xml:space="preserve">Stade (Montant XOF)</t>
        </is>
      </c>
    </row>
    <row r="10">
      <c r="A10" s="20" t="str">
        <v>Référence</v>
      </c>
      <c r="B10" s="20" t="str">
        <v>Code Client</v>
      </c>
      <c r="C10" s="20" t="str">
        <v>Client</v>
      </c>
      <c r="D10" s="20" t="str">
        <v>Produit</v>
      </c>
      <c r="E10" s="20" t="str">
        <v>Échéance</v>
      </c>
      <c r="F10" s="20" t="str">
        <v>Jours</v>
      </c>
      <c r="G10" s="20" t="str">
        <v>Classe</v>
      </c>
      <c r="H10" s="20" t="str">
        <v>Stade</v>
      </c>
      <c r="I10" s="20" t="str">
        <v>Montant XOF</v>
      </c>
      <c r="J10" s="20" t="str">
        <v>Gestionnaire</v>
      </c>
      <c r="K10" s="20" t="str">
        <v>Segment</v>
      </c>
      <c r="AZ10" s="30" t="inlineStr">
        <is>
          <t xml:space="preserve">1</t>
        </is>
      </c>
      <c r="BA10" s="33">
        <f>SUMPRODUCT(SUBTOTAL(109,OFFSET($I$11,ROW($I$11:$I$410)-ROW($I$11),0)),--($H$11:$H$410=1))</f>
      </c>
    </row>
    <row r="11">
      <c r="A11" s="21" t="str">
        <v>L01CDGN261490</v>
      </c>
      <c r="B11" s="21">
        <v>100001868</v>
      </c>
      <c r="C11" s="21" t="str">
        <v>CLIENT 0</v>
      </c>
      <c r="D11" s="21" t="str">
        <v>CDGN</v>
      </c>
      <c r="E11" s="22">
        <v>46277</v>
      </c>
      <c r="F11" s="21">
        <v>30</v>
      </c>
      <c r="G11" s="21" t="str">
        <v>I</v>
      </c>
      <c r="H11" s="21">
        <v>1</v>
      </c>
      <c r="I11" s="21">
        <v>428342072</v>
      </c>
      <c r="J11" s="21" t="str">
        <v>GUEYE Oumar</v>
      </c>
      <c r="K11" s="21" t="str">
        <v>CORPORATE BANKING</v>
      </c>
      <c r="AZ11" s="30" t="inlineStr">
        <is>
          <t xml:space="preserve">2</t>
        </is>
      </c>
      <c r="BA11" s="33">
        <f>SUMPRODUCT(SUBTOTAL(109,OFFSET($I$11,ROW($I$11:$I$410)-ROW($I$11),0)),--($H$11:$H$410=2))</f>
      </c>
    </row>
    <row r="12">
      <c r="A12" s="23" t="str">
        <v>L01CDGN261491</v>
      </c>
      <c r="B12" s="23">
        <v>100001869</v>
      </c>
      <c r="C12" s="23" t="str">
        <v>CLIENT 1</v>
      </c>
      <c r="D12" s="23" t="str">
        <v>IDAC</v>
      </c>
      <c r="E12" s="24">
        <v>46267</v>
      </c>
      <c r="F12" s="23">
        <v>36</v>
      </c>
      <c r="G12" s="23" t="str">
        <v>I</v>
      </c>
      <c r="H12" s="23">
        <v>1</v>
      </c>
      <c r="I12" s="23">
        <v>347947827</v>
      </c>
      <c r="J12" s="23" t="str">
        <v>OUSMANE DIALLO</v>
      </c>
      <c r="K12" s="23" t="str">
        <v>CORPORATE BANKING</v>
      </c>
      <c r="AZ12" s="30" t="inlineStr">
        <is>
          <t xml:space="preserve">3</t>
        </is>
      </c>
      <c r="BA12" s="33">
        <f>SUMPRODUCT(SUBTOTAL(109,OFFSET($I$11,ROW($I$11:$I$410)-ROW($I$11),0)),--($H$11:$H$410=3))</f>
      </c>
    </row>
    <row r="13">
      <c r="A13" s="21" t="str">
        <v>L01CDGN261492</v>
      </c>
      <c r="B13" s="21">
        <v>100001870</v>
      </c>
      <c r="C13" s="21" t="str">
        <v>CLIENT 2</v>
      </c>
      <c r="D13" s="21" t="str">
        <v>CRLN</v>
      </c>
      <c r="E13" s="22">
        <v>46282</v>
      </c>
      <c r="F13" s="21">
        <v>0</v>
      </c>
      <c r="G13" s="21" t="str">
        <v>IA</v>
      </c>
      <c r="H13" s="21">
        <v>2</v>
      </c>
      <c r="I13" s="21">
        <v>6783393</v>
      </c>
      <c r="J13" s="21" t="str">
        <v>ROKHAYA THIAM SARR</v>
      </c>
      <c r="K13" s="21" t="str">
        <v>CORPORATE BANKING</v>
      </c>
    </row>
    <row r="14">
      <c r="A14" s="23" t="str">
        <v>L01CDGN261493</v>
      </c>
      <c r="B14" s="23">
        <v>100001871</v>
      </c>
      <c r="C14" s="23" t="str">
        <v>CLIENT 3</v>
      </c>
      <c r="D14" s="23" t="str">
        <v>NTRD</v>
      </c>
      <c r="E14" s="24">
        <v>46287</v>
      </c>
      <c r="F14" s="23">
        <v>127</v>
      </c>
      <c r="G14" s="23" t="str">
        <v>I</v>
      </c>
      <c r="H14" s="23">
        <v>1</v>
      </c>
      <c r="I14" s="23">
        <v>391813287</v>
      </c>
      <c r="J14" s="23" t="str">
        <v>CAMARA Adama</v>
      </c>
      <c r="K14" s="23" t="str">
        <v>COMMERCIAL BANKING</v>
      </c>
      <c r="AZ14" s="30" t="inlineStr">
        <is>
          <t xml:space="preserve">Ancienneté (Montant XOF)</t>
        </is>
      </c>
    </row>
    <row r="15">
      <c r="A15" s="21" t="str">
        <v>L01CDGN261494</v>
      </c>
      <c r="B15" s="21">
        <v>100001872</v>
      </c>
      <c r="C15" s="21" t="str">
        <v>CLIENT 4</v>
      </c>
      <c r="D15" s="21" t="str">
        <v>CRAT</v>
      </c>
      <c r="E15" s="22">
        <v>46268</v>
      </c>
      <c r="F15" s="21">
        <v>62</v>
      </c>
      <c r="G15" s="21" t="str">
        <v>IA</v>
      </c>
      <c r="H15" s="21">
        <v>2</v>
      </c>
      <c r="I15" s="21">
        <v>976221465</v>
      </c>
      <c r="J15" s="21" t="str">
        <v>MBAYE SAIDATOU</v>
      </c>
      <c r="K15" s="21" t="str">
        <v>CORPORATE BANKING</v>
      </c>
      <c r="AZ15" s="30" t="inlineStr">
        <is>
          <t xml:space="preserve">0-30 j</t>
        </is>
      </c>
      <c r="BA15" s="33">
        <f>SUMPRODUCT(SUBTOTAL(109,OFFSET($I$11,ROW($I$11:$I$410)-ROW($I$11),0)),($F$11:$F$410&gt;=0)*($F$11:$F$410&lt;=30))</f>
      </c>
    </row>
    <row r="16">
      <c r="A16" s="23" t="str">
        <v>L01CDGN261495</v>
      </c>
      <c r="B16" s="23">
        <v>100001873</v>
      </c>
      <c r="C16" s="23" t="str">
        <v>CLIENT 5</v>
      </c>
      <c r="D16" s="23" t="str">
        <v>CDGN</v>
      </c>
      <c r="E16" s="24">
        <v>46291</v>
      </c>
      <c r="F16" s="23">
        <v>78</v>
      </c>
      <c r="G16" s="23" t="str">
        <v>V</v>
      </c>
      <c r="H16" s="23">
        <v>3</v>
      </c>
      <c r="I16" s="23">
        <v>1770358</v>
      </c>
      <c r="J16" s="23" t="str">
        <v>GUEYE Oumar</v>
      </c>
      <c r="K16" s="23" t="str">
        <v>CONSUMER BANKING</v>
      </c>
      <c r="AZ16" s="30" t="inlineStr">
        <is>
          <t xml:space="preserve">31-60 j</t>
        </is>
      </c>
      <c r="BA16" s="33">
        <f>SUMPRODUCT(SUBTOTAL(109,OFFSET($I$11,ROW($I$11:$I$410)-ROW($I$11),0)),($F$11:$F$410&gt;=31)*($F$11:$F$410&lt;=60))</f>
      </c>
    </row>
    <row r="17">
      <c r="A17" s="21" t="str">
        <v>L01CDGN261496</v>
      </c>
      <c r="B17" s="21">
        <v>100001874</v>
      </c>
      <c r="C17" s="21" t="str">
        <v>CLIENT 6</v>
      </c>
      <c r="D17" s="21" t="str">
        <v>IDAC</v>
      </c>
      <c r="E17" s="22">
        <v>46273</v>
      </c>
      <c r="F17" s="21">
        <v>62</v>
      </c>
      <c r="G17" s="21" t="str">
        <v>IA</v>
      </c>
      <c r="H17" s="21">
        <v>2</v>
      </c>
      <c r="I17" s="21">
        <v>1433374151</v>
      </c>
      <c r="J17" s="21" t="str">
        <v>OUSMANE DIALLO</v>
      </c>
      <c r="K17" s="21" t="str">
        <v>CONSUMER BANKING</v>
      </c>
      <c r="AZ17" s="30" t="inlineStr">
        <is>
          <t xml:space="preserve">61-90 j</t>
        </is>
      </c>
      <c r="BA17" s="33">
        <f>SUMPRODUCT(SUBTOTAL(109,OFFSET($I$11,ROW($I$11:$I$410)-ROW($I$11),0)),($F$11:$F$410&gt;=61)*($F$11:$F$410&lt;=90))</f>
      </c>
    </row>
    <row r="18">
      <c r="A18" s="23" t="str">
        <v>L01CDGN261497</v>
      </c>
      <c r="B18" s="23">
        <v>100001875</v>
      </c>
      <c r="C18" s="23" t="str">
        <v>CLIENT 7</v>
      </c>
      <c r="D18" s="23" t="str">
        <v>CRLN</v>
      </c>
      <c r="E18" s="24">
        <v>46274</v>
      </c>
      <c r="F18" s="23">
        <v>92</v>
      </c>
      <c r="G18" s="23" t="str">
        <v>IA</v>
      </c>
      <c r="H18" s="23">
        <v>2</v>
      </c>
      <c r="I18" s="23">
        <v>1121890314</v>
      </c>
      <c r="J18" s="23" t="str">
        <v>ROKHAYA THIAM SARR</v>
      </c>
      <c r="K18" s="23" t="str">
        <v>CORPORATE BANKING</v>
      </c>
      <c r="AZ18" s="30" t="inlineStr">
        <is>
          <t xml:space="preserve">91-180 j</t>
        </is>
      </c>
      <c r="BA18" s="33">
        <f>SUMPRODUCT(SUBTOTAL(109,OFFSET($I$11,ROW($I$11:$I$410)-ROW($I$11),0)),($F$11:$F$410&gt;=91)*($F$11:$F$410&lt;=180))</f>
      </c>
    </row>
    <row r="19">
      <c r="A19" s="21" t="str">
        <v>L01CDGN261498</v>
      </c>
      <c r="B19" s="21">
        <v>100001876</v>
      </c>
      <c r="C19" s="21" t="str">
        <v>CLIENT 8</v>
      </c>
      <c r="D19" s="21" t="str">
        <v>NTRD</v>
      </c>
      <c r="E19" s="22">
        <v>46285</v>
      </c>
      <c r="F19" s="21">
        <v>39</v>
      </c>
      <c r="G19" s="21" t="str">
        <v>II</v>
      </c>
      <c r="H19" s="21">
        <v>2</v>
      </c>
      <c r="I19" s="21">
        <v>727864133</v>
      </c>
      <c r="J19" s="21" t="str">
        <v>CAMARA Adama</v>
      </c>
      <c r="K19" s="21" t="str">
        <v>COMMERCIAL BANKING</v>
      </c>
      <c r="AZ19" s="30" t="inlineStr">
        <is>
          <t xml:space="preserve">&gt; 180 j</t>
        </is>
      </c>
      <c r="BA19" s="33">
        <f>SUMPRODUCT(SUBTOTAL(109,OFFSET($I$11,ROW($I$11:$I$410)-ROW($I$11),0)),($F$11:$F$410&gt;=181)*($F$11:$F$410&lt;=1000000000))</f>
      </c>
    </row>
    <row r="20">
      <c r="A20" s="23" t="str">
        <v>L01CDGN261499</v>
      </c>
      <c r="B20" s="23">
        <v>100001877</v>
      </c>
      <c r="C20" s="23" t="str">
        <v>CLIENT 9</v>
      </c>
      <c r="D20" s="23" t="str">
        <v>CRAT</v>
      </c>
      <c r="E20" s="24">
        <v>46292</v>
      </c>
      <c r="F20" s="23">
        <v>115</v>
      </c>
      <c r="G20" s="23" t="str">
        <v>V</v>
      </c>
      <c r="H20" s="23">
        <v>3</v>
      </c>
      <c r="I20" s="23">
        <v>40335557</v>
      </c>
      <c r="J20" s="23" t="str">
        <v>MBAYE SAIDATOU</v>
      </c>
      <c r="K20" s="23" t="str">
        <v>CORPORATE BANKING</v>
      </c>
    </row>
    <row r="21">
      <c r="A21" s="21" t="str">
        <v>L01CDGN2614910</v>
      </c>
      <c r="B21" s="21">
        <v>100001878</v>
      </c>
      <c r="C21" s="21" t="str">
        <v>CLIENT 10</v>
      </c>
      <c r="D21" s="21" t="str">
        <v>CDGN</v>
      </c>
      <c r="E21" s="22">
        <v>46270</v>
      </c>
      <c r="F21" s="21">
        <v>184</v>
      </c>
      <c r="G21" s="21" t="str">
        <v>II</v>
      </c>
      <c r="H21" s="21">
        <v>2</v>
      </c>
      <c r="I21" s="21">
        <v>409177252</v>
      </c>
      <c r="J21" s="21" t="str">
        <v>GUEYE Oumar</v>
      </c>
      <c r="K21" s="21" t="str">
        <v>COMMERCIAL BANKING</v>
      </c>
      <c r="AZ21" s="30" t="inlineStr">
        <is>
          <t xml:space="preserve">Segment (Montant XOF)</t>
        </is>
      </c>
    </row>
    <row r="22">
      <c r="A22" s="23" t="str">
        <v>L01CDGN2614911</v>
      </c>
      <c r="B22" s="23">
        <v>100001879</v>
      </c>
      <c r="C22" s="23" t="str">
        <v>CLIENT 11</v>
      </c>
      <c r="D22" s="23" t="str">
        <v>IDAC</v>
      </c>
      <c r="E22" s="24">
        <v>46273</v>
      </c>
      <c r="F22" s="23">
        <v>45</v>
      </c>
      <c r="G22" s="23" t="str">
        <v>IA</v>
      </c>
      <c r="H22" s="23">
        <v>2</v>
      </c>
      <c r="I22" s="23">
        <v>106396313</v>
      </c>
      <c r="J22" s="23" t="str">
        <v>OUSMANE DIALLO</v>
      </c>
      <c r="K22" s="23" t="str">
        <v>CORPORATE BANKING</v>
      </c>
      <c r="AZ22" s="30" t="inlineStr">
        <is>
          <t xml:space="preserve">CORPORATE BANKING</t>
        </is>
      </c>
      <c r="BA22" s="33">
        <f>SUMPRODUCT(SUBTOTAL(109,OFFSET($I$11,ROW($I$11:$I$410)-ROW($I$11),0)),--($K$11:$K$410="CORPORATE BANKING"))</f>
      </c>
    </row>
    <row r="23">
      <c r="A23" s="21" t="str">
        <v>L01CDGN2614912</v>
      </c>
      <c r="B23" s="21">
        <v>100001880</v>
      </c>
      <c r="C23" s="21" t="str">
        <v>CLIENT 12</v>
      </c>
      <c r="D23" s="21" t="str">
        <v>CRLN</v>
      </c>
      <c r="E23" s="22">
        <v>46290</v>
      </c>
      <c r="F23" s="21">
        <v>11</v>
      </c>
      <c r="G23" s="21" t="str">
        <v>III</v>
      </c>
      <c r="H23" s="21">
        <v>2</v>
      </c>
      <c r="I23" s="21">
        <v>1990257684</v>
      </c>
      <c r="J23" s="21" t="str">
        <v>ROKHAYA THIAM SARR</v>
      </c>
      <c r="K23" s="21" t="str">
        <v>COMMERCIAL BANKING</v>
      </c>
      <c r="AZ23" s="30" t="inlineStr">
        <is>
          <t xml:space="preserve">COMMERCIAL BANKING</t>
        </is>
      </c>
      <c r="BA23" s="33">
        <f>SUMPRODUCT(SUBTOTAL(109,OFFSET($I$11,ROW($I$11:$I$410)-ROW($I$11),0)),--($K$11:$K$410="COMMERCIAL BANKING"))</f>
      </c>
    </row>
    <row r="24">
      <c r="A24" s="23" t="str">
        <v>L01CDGN2614913</v>
      </c>
      <c r="B24" s="23">
        <v>100001881</v>
      </c>
      <c r="C24" s="23" t="str">
        <v>CLIENT 13</v>
      </c>
      <c r="D24" s="23" t="str">
        <v>NTRD</v>
      </c>
      <c r="E24" s="24">
        <v>46267</v>
      </c>
      <c r="F24" s="23">
        <v>125</v>
      </c>
      <c r="G24" s="23" t="str">
        <v>V</v>
      </c>
      <c r="H24" s="23">
        <v>3</v>
      </c>
      <c r="I24" s="23">
        <v>311345682</v>
      </c>
      <c r="J24" s="23" t="str">
        <v>CAMARA Adama</v>
      </c>
      <c r="K24" s="23" t="str">
        <v>CORPORATE BANKING</v>
      </c>
      <c r="AZ24" s="30" t="inlineStr">
        <is>
          <t xml:space="preserve">CONSUMER BANKING</t>
        </is>
      </c>
      <c r="BA24" s="33">
        <f>SUMPRODUCT(SUBTOTAL(109,OFFSET($I$11,ROW($I$11:$I$410)-ROW($I$11),0)),--($K$11:$K$410="CONSUMER BANKING"))</f>
      </c>
    </row>
    <row r="25">
      <c r="A25" s="21" t="str">
        <v>L01CDGN2614914</v>
      </c>
      <c r="B25" s="21">
        <v>100001882</v>
      </c>
      <c r="C25" s="21" t="str">
        <v>CLIENT 14</v>
      </c>
      <c r="D25" s="21" t="str">
        <v>CRAT</v>
      </c>
      <c r="E25" s="22">
        <v>46272</v>
      </c>
      <c r="F25" s="21">
        <v>74</v>
      </c>
      <c r="G25" s="21" t="str">
        <v>IV</v>
      </c>
      <c r="H25" s="21">
        <v>3</v>
      </c>
      <c r="I25" s="21">
        <v>1279390698</v>
      </c>
      <c r="J25" s="21" t="str">
        <v>MBAYE SAIDATOU</v>
      </c>
      <c r="K25" s="21" t="str">
        <v>CORPORATE BANKING</v>
      </c>
      <c r="AZ25" s="30" t="inlineStr">
        <is>
          <t xml:space="preserve">PUBLIC SECTOR</t>
        </is>
      </c>
      <c r="BA25" s="33">
        <f>SUMPRODUCT(SUBTOTAL(109,OFFSET($I$11,ROW($I$11:$I$410)-ROW($I$11),0)),--($K$11:$K$410="PUBLIC SECTOR"))</f>
      </c>
    </row>
    <row r="26">
      <c r="A26" s="23" t="str">
        <v>L01CDGN2614915</v>
      </c>
      <c r="B26" s="23">
        <v>100001883</v>
      </c>
      <c r="C26" s="23" t="str">
        <v>CLIENT 15</v>
      </c>
      <c r="D26" s="23" t="str">
        <v>CDGN</v>
      </c>
      <c r="E26" s="24">
        <v>46277</v>
      </c>
      <c r="F26" s="23">
        <v>17</v>
      </c>
      <c r="G26" s="23" t="str">
        <v>IV</v>
      </c>
      <c r="H26" s="23">
        <v>3</v>
      </c>
      <c r="I26" s="23">
        <v>243222717</v>
      </c>
      <c r="J26" s="23" t="str">
        <v>GUEYE Oumar</v>
      </c>
      <c r="K26" s="23" t="str">
        <v>CORPORATE BANKING</v>
      </c>
    </row>
    <row r="27">
      <c r="A27" s="21" t="str">
        <v>L01CDGN2614916</v>
      </c>
      <c r="B27" s="21">
        <v>100001884</v>
      </c>
      <c r="C27" s="21" t="str">
        <v>CLIENT 16</v>
      </c>
      <c r="D27" s="21" t="str">
        <v>IDAC</v>
      </c>
      <c r="E27" s="22">
        <v>46284</v>
      </c>
      <c r="F27" s="21">
        <v>138</v>
      </c>
      <c r="G27" s="21" t="str">
        <v>III</v>
      </c>
      <c r="H27" s="21">
        <v>2</v>
      </c>
      <c r="I27" s="21">
        <v>220221270</v>
      </c>
      <c r="J27" s="21" t="str">
        <v>OUSMANE DIALLO</v>
      </c>
      <c r="K27" s="21" t="str">
        <v>CORPORATE BANKING</v>
      </c>
      <c r="AZ27" s="30" t="inlineStr">
        <is>
          <t xml:space="preserve">Top 8 clients (Montant XOF)</t>
        </is>
      </c>
    </row>
    <row r="28">
      <c r="A28" s="23" t="str">
        <v>L01CDGN2614917</v>
      </c>
      <c r="B28" s="23">
        <v>100001885</v>
      </c>
      <c r="C28" s="23" t="str">
        <v>CLIENT 17</v>
      </c>
      <c r="D28" s="23" t="str">
        <v>CRLN</v>
      </c>
      <c r="E28" s="24">
        <v>46273</v>
      </c>
      <c r="F28" s="23">
        <v>2</v>
      </c>
      <c r="G28" s="23" t="str">
        <v>IA</v>
      </c>
      <c r="H28" s="23">
        <v>2</v>
      </c>
      <c r="I28" s="23">
        <v>28655245</v>
      </c>
      <c r="J28" s="23" t="str">
        <v>ROKHAYA THIAM SARR</v>
      </c>
      <c r="K28" s="23" t="str">
        <v>CORPORATE BANKING</v>
      </c>
      <c r="AZ28" s="30" t="inlineStr">
        <is>
          <t xml:space="preserve">CLIENT 12</t>
        </is>
      </c>
      <c r="BA28" s="33">
        <f>SUMPRODUCT(SUBTOTAL(109,OFFSET($I$11,ROW($I$11:$I$410)-ROW($I$11),0)),--($C$11:$C$410="CLIENT 12"))</f>
      </c>
    </row>
    <row r="29">
      <c r="A29" s="21" t="str">
        <v>L01CDGN2614918</v>
      </c>
      <c r="B29" s="21">
        <v>100001886</v>
      </c>
      <c r="C29" s="21" t="str">
        <v>CLIENT 18</v>
      </c>
      <c r="D29" s="21" t="str">
        <v>NTRD</v>
      </c>
      <c r="E29" s="22">
        <v>46286</v>
      </c>
      <c r="F29" s="21">
        <v>155</v>
      </c>
      <c r="G29" s="21" t="str">
        <v>IV</v>
      </c>
      <c r="H29" s="21">
        <v>3</v>
      </c>
      <c r="I29" s="21">
        <v>577536127</v>
      </c>
      <c r="J29" s="21" t="str">
        <v>CAMARA Adama</v>
      </c>
      <c r="K29" s="21" t="str">
        <v>COMMERCIAL BANKING</v>
      </c>
      <c r="AZ29" s="30" t="inlineStr">
        <is>
          <t xml:space="preserve">CLIENT 22</t>
        </is>
      </c>
      <c r="BA29" s="33">
        <f>SUMPRODUCT(SUBTOTAL(109,OFFSET($I$11,ROW($I$11:$I$410)-ROW($I$11),0)),--($C$11:$C$410="CLIENT 22"))</f>
      </c>
    </row>
    <row r="30">
      <c r="A30" s="23" t="str">
        <v>L01CDGN2614919</v>
      </c>
      <c r="B30" s="23">
        <v>100001887</v>
      </c>
      <c r="C30" s="23" t="str">
        <v>CLIENT 19</v>
      </c>
      <c r="D30" s="23" t="str">
        <v>CRAT</v>
      </c>
      <c r="E30" s="24">
        <v>46270</v>
      </c>
      <c r="F30" s="23">
        <v>24</v>
      </c>
      <c r="G30" s="23" t="str">
        <v>I</v>
      </c>
      <c r="H30" s="23">
        <v>1</v>
      </c>
      <c r="I30" s="23">
        <v>173404878</v>
      </c>
      <c r="J30" s="23" t="str">
        <v>MBAYE SAIDATOU</v>
      </c>
      <c r="K30" s="23" t="str">
        <v>COMMERCIAL BANKING</v>
      </c>
      <c r="AZ30" s="30" t="inlineStr">
        <is>
          <t xml:space="preserve">CLIENT 43</t>
        </is>
      </c>
      <c r="BA30" s="33">
        <f>SUMPRODUCT(SUBTOTAL(109,OFFSET($I$11,ROW($I$11:$I$410)-ROW($I$11),0)),--($C$11:$C$410="CLIENT 43"))</f>
      </c>
    </row>
    <row r="31">
      <c r="A31" s="21" t="str">
        <v>L01CDGN2614920</v>
      </c>
      <c r="B31" s="21">
        <v>100001888</v>
      </c>
      <c r="C31" s="21" t="str">
        <v>CLIENT 20</v>
      </c>
      <c r="D31" s="21" t="str">
        <v>CDGN</v>
      </c>
      <c r="E31" s="22">
        <v>46290</v>
      </c>
      <c r="F31" s="21">
        <v>89</v>
      </c>
      <c r="G31" s="21" t="str">
        <v>IV</v>
      </c>
      <c r="H31" s="21">
        <v>3</v>
      </c>
      <c r="I31" s="21">
        <v>1714291343</v>
      </c>
      <c r="J31" s="21" t="str">
        <v>GUEYE Oumar</v>
      </c>
      <c r="K31" s="21" t="str">
        <v>CORPORATE BANKING</v>
      </c>
      <c r="AZ31" s="30" t="inlineStr">
        <is>
          <t xml:space="preserve">CLIENT 20</t>
        </is>
      </c>
      <c r="BA31" s="33">
        <f>SUMPRODUCT(SUBTOTAL(109,OFFSET($I$11,ROW($I$11:$I$410)-ROW($I$11),0)),--($C$11:$C$410="CLIENT 20"))</f>
      </c>
    </row>
    <row r="32">
      <c r="A32" s="23" t="str">
        <v>L01CDGN2614921</v>
      </c>
      <c r="B32" s="23">
        <v>100001889</v>
      </c>
      <c r="C32" s="23" t="str">
        <v>CLIENT 21</v>
      </c>
      <c r="D32" s="23" t="str">
        <v>IDAC</v>
      </c>
      <c r="E32" s="24">
        <v>46287</v>
      </c>
      <c r="F32" s="23">
        <v>54</v>
      </c>
      <c r="G32" s="23" t="str">
        <v>III</v>
      </c>
      <c r="H32" s="23">
        <v>2</v>
      </c>
      <c r="I32" s="23">
        <v>1378266449</v>
      </c>
      <c r="J32" s="23" t="str">
        <v>OUSMANE DIALLO</v>
      </c>
      <c r="K32" s="23" t="str">
        <v>CORPORATE BANKING</v>
      </c>
      <c r="AZ32" s="30" t="inlineStr">
        <is>
          <t xml:space="preserve">CLIENT 18</t>
        </is>
      </c>
      <c r="BA32" s="33">
        <f>SUMPRODUCT(SUBTOTAL(109,OFFSET($I$11,ROW($I$11:$I$410)-ROW($I$11),0)),--($C$11:$C$410="CLIENT 18"))</f>
      </c>
    </row>
    <row r="33">
      <c r="A33" s="21" t="str">
        <v>L01CDGN2614922</v>
      </c>
      <c r="B33" s="21">
        <v>100001890</v>
      </c>
      <c r="C33" s="21" t="str">
        <v>CLIENT 22</v>
      </c>
      <c r="D33" s="21" t="str">
        <v>CRLN</v>
      </c>
      <c r="E33" s="22">
        <v>46290</v>
      </c>
      <c r="F33" s="21">
        <v>108</v>
      </c>
      <c r="G33" s="21" t="str">
        <v>V</v>
      </c>
      <c r="H33" s="21">
        <v>3</v>
      </c>
      <c r="I33" s="21">
        <v>1293989692</v>
      </c>
      <c r="J33" s="21" t="str">
        <v>ROKHAYA THIAM SARR</v>
      </c>
      <c r="K33" s="21" t="str">
        <v>COMMERCIAL BANKING</v>
      </c>
      <c r="AZ33" s="30" t="inlineStr">
        <is>
          <t xml:space="preserve">CLIENT 29</t>
        </is>
      </c>
      <c r="BA33" s="33">
        <f>SUMPRODUCT(SUBTOTAL(109,OFFSET($I$11,ROW($I$11:$I$410)-ROW($I$11),0)),--($C$11:$C$410="CLIENT 29"))</f>
      </c>
    </row>
    <row r="34">
      <c r="A34" s="23" t="str">
        <v>L01CDGN2614923</v>
      </c>
      <c r="B34" s="23">
        <v>100001891</v>
      </c>
      <c r="C34" s="23" t="str">
        <v>CLIENT 23</v>
      </c>
      <c r="D34" s="23" t="str">
        <v>NTRD</v>
      </c>
      <c r="E34" s="24">
        <v>46270</v>
      </c>
      <c r="F34" s="23">
        <v>15</v>
      </c>
      <c r="G34" s="23" t="str">
        <v>II</v>
      </c>
      <c r="H34" s="23">
        <v>2</v>
      </c>
      <c r="I34" s="23">
        <v>700866377</v>
      </c>
      <c r="J34" s="23" t="str">
        <v>CAMARA Adama</v>
      </c>
      <c r="K34" s="23" t="str">
        <v>CORPORATE BANKING</v>
      </c>
      <c r="AZ34" s="30" t="inlineStr">
        <is>
          <t xml:space="preserve">CLIENT 7</t>
        </is>
      </c>
      <c r="BA34" s="33">
        <f>SUMPRODUCT(SUBTOTAL(109,OFFSET($I$11,ROW($I$11:$I$410)-ROW($I$11),0)),--($C$11:$C$410="CLIENT 7"))</f>
      </c>
    </row>
    <row r="35">
      <c r="A35" s="21" t="str">
        <v>L01CDGN2614924</v>
      </c>
      <c r="B35" s="21">
        <v>100001892</v>
      </c>
      <c r="C35" s="21" t="str">
        <v>CLIENT 24</v>
      </c>
      <c r="D35" s="21" t="str">
        <v>CRAT</v>
      </c>
      <c r="E35" s="22">
        <v>46272</v>
      </c>
      <c r="F35" s="21">
        <v>77</v>
      </c>
      <c r="G35" s="21" t="str">
        <v>IV</v>
      </c>
      <c r="H35" s="21">
        <v>3</v>
      </c>
      <c r="I35" s="21">
        <v>42287677</v>
      </c>
      <c r="J35" s="21" t="str">
        <v>MBAYE SAIDATOU</v>
      </c>
      <c r="K35" s="21" t="str">
        <v>CORPORATE BANKING</v>
      </c>
      <c r="AZ35" s="30" t="inlineStr">
        <is>
          <t xml:space="preserve">CLIENT 79</t>
        </is>
      </c>
      <c r="BA35" s="33">
        <f>SUMPRODUCT(SUBTOTAL(109,OFFSET($I$11,ROW($I$11:$I$410)-ROW($I$11),0)),--($C$11:$C$410="CLIENT 79"))</f>
      </c>
    </row>
    <row r="36">
      <c r="A36" s="23" t="str">
        <v>L01CDGN2614925</v>
      </c>
      <c r="B36" s="23">
        <v>100001893</v>
      </c>
      <c r="C36" s="23" t="str">
        <v>CLIENT 25</v>
      </c>
      <c r="D36" s="23" t="str">
        <v>CDGN</v>
      </c>
      <c r="E36" s="24">
        <v>46287</v>
      </c>
      <c r="F36" s="23">
        <v>42</v>
      </c>
      <c r="G36" s="23" t="str">
        <v>I</v>
      </c>
      <c r="H36" s="23">
        <v>1</v>
      </c>
      <c r="I36" s="23">
        <v>97992995</v>
      </c>
      <c r="J36" s="23" t="str">
        <v>GUEYE Oumar</v>
      </c>
      <c r="K36" s="23" t="str">
        <v>CORPORATE BANKING</v>
      </c>
    </row>
    <row r="37">
      <c r="A37" s="21" t="str">
        <v>L01CDGN2614926</v>
      </c>
      <c r="B37" s="21">
        <v>100001894</v>
      </c>
      <c r="C37" s="21" t="str">
        <v>CLIENT 26</v>
      </c>
      <c r="D37" s="21" t="str">
        <v>IDAC</v>
      </c>
      <c r="E37" s="22">
        <v>46288</v>
      </c>
      <c r="F37" s="21">
        <v>184</v>
      </c>
      <c r="G37" s="21" t="str">
        <v>IA</v>
      </c>
      <c r="H37" s="21">
        <v>2</v>
      </c>
      <c r="I37" s="21">
        <v>116615</v>
      </c>
      <c r="J37" s="21" t="str">
        <v>OUSMANE DIALLO</v>
      </c>
      <c r="K37" s="21" t="str">
        <v>CONSUMER BANKING</v>
      </c>
      <c r="AZ37" s="30" t="inlineStr">
        <is>
          <t xml:space="preserve">Nombre de lignes par classe</t>
        </is>
      </c>
    </row>
    <row r="38">
      <c r="A38" s="23" t="str">
        <v>L01CDGN2614927</v>
      </c>
      <c r="B38" s="23">
        <v>100001895</v>
      </c>
      <c r="C38" s="23" t="str">
        <v>CLIENT 27</v>
      </c>
      <c r="D38" s="23" t="str">
        <v>CRLN</v>
      </c>
      <c r="E38" s="24">
        <v>46277</v>
      </c>
      <c r="F38" s="23">
        <v>124</v>
      </c>
      <c r="G38" s="23" t="str">
        <v>III</v>
      </c>
      <c r="H38" s="23">
        <v>2</v>
      </c>
      <c r="I38" s="23">
        <v>185531101</v>
      </c>
      <c r="J38" s="23" t="str">
        <v>ROKHAYA THIAM SARR</v>
      </c>
      <c r="K38" s="23" t="str">
        <v>CORPORATE BANKING</v>
      </c>
      <c r="AZ38" s="30" t="inlineStr">
        <is>
          <t xml:space="preserve">I</t>
        </is>
      </c>
      <c r="BA38" s="33">
        <f>SUMPRODUCT(SUBTOTAL(103,OFFSET($G$11,ROW($G$11:$G$410)-ROW($G$11),0)),--($G$11:$G$410="I"))</f>
      </c>
    </row>
    <row r="39">
      <c r="A39" s="21" t="str">
        <v>L01CDGN2614928</v>
      </c>
      <c r="B39" s="21">
        <v>100001896</v>
      </c>
      <c r="C39" s="21" t="str">
        <v>CLIENT 28</v>
      </c>
      <c r="D39" s="21" t="str">
        <v>NTRD</v>
      </c>
      <c r="E39" s="22">
        <v>46291</v>
      </c>
      <c r="F39" s="21">
        <v>45</v>
      </c>
      <c r="G39" s="21" t="str">
        <v>IV</v>
      </c>
      <c r="H39" s="21">
        <v>3</v>
      </c>
      <c r="I39" s="21">
        <v>599985</v>
      </c>
      <c r="J39" s="21" t="str">
        <v>CAMARA Adama</v>
      </c>
      <c r="K39" s="21" t="str">
        <v>CORPORATE BANKING</v>
      </c>
      <c r="AZ39" s="30" t="inlineStr">
        <is>
          <t xml:space="preserve">IA</t>
        </is>
      </c>
      <c r="BA39" s="33">
        <f>SUMPRODUCT(SUBTOTAL(103,OFFSET($G$11,ROW($G$11:$G$410)-ROW($G$11),0)),--($G$11:$G$410="IA"))</f>
      </c>
    </row>
    <row r="40">
      <c r="A40" s="23" t="str">
        <v>L01CDGN2614929</v>
      </c>
      <c r="B40" s="23">
        <v>100001897</v>
      </c>
      <c r="C40" s="23" t="str">
        <v>CLIENT 29</v>
      </c>
      <c r="D40" s="23" t="str">
        <v>CRAT</v>
      </c>
      <c r="E40" s="24">
        <v>46281</v>
      </c>
      <c r="F40" s="23">
        <v>159</v>
      </c>
      <c r="G40" s="23" t="str">
        <v>V</v>
      </c>
      <c r="H40" s="23">
        <v>3</v>
      </c>
      <c r="I40" s="23">
        <v>320744117</v>
      </c>
      <c r="J40" s="23" t="str">
        <v>MBAYE SAIDATOU</v>
      </c>
      <c r="K40" s="23" t="str">
        <v>CORPORATE BANKING</v>
      </c>
      <c r="AZ40" s="30" t="inlineStr">
        <is>
          <t xml:space="preserve">II</t>
        </is>
      </c>
      <c r="BA40" s="33">
        <f>SUMPRODUCT(SUBTOTAL(103,OFFSET($G$11,ROW($G$11:$G$410)-ROW($G$11),0)),--($G$11:$G$410="II"))</f>
      </c>
    </row>
    <row r="41">
      <c r="A41" s="21" t="str">
        <v>L01CDGN2614930</v>
      </c>
      <c r="B41" s="21">
        <v>100001898</v>
      </c>
      <c r="C41" s="21" t="str">
        <v>CLIENT 30</v>
      </c>
      <c r="D41" s="21" t="str">
        <v>CDGN</v>
      </c>
      <c r="E41" s="22">
        <v>46283</v>
      </c>
      <c r="F41" s="21">
        <v>18</v>
      </c>
      <c r="G41" s="21" t="str">
        <v>IV</v>
      </c>
      <c r="H41" s="21">
        <v>3</v>
      </c>
      <c r="I41" s="21">
        <v>449048498</v>
      </c>
      <c r="J41" s="21" t="str">
        <v>GUEYE Oumar</v>
      </c>
      <c r="K41" s="21" t="str">
        <v>CORPORATE BANKING</v>
      </c>
      <c r="AZ41" s="30" t="inlineStr">
        <is>
          <t xml:space="preserve">III</t>
        </is>
      </c>
      <c r="BA41" s="33">
        <f>SUMPRODUCT(SUBTOTAL(103,OFFSET($G$11,ROW($G$11:$G$410)-ROW($G$11),0)),--($G$11:$G$410="III"))</f>
      </c>
    </row>
    <row r="42">
      <c r="A42" s="23" t="str">
        <v>L01CDGN2614931</v>
      </c>
      <c r="B42" s="23">
        <v>100001899</v>
      </c>
      <c r="C42" s="23" t="str">
        <v>CLIENT 31</v>
      </c>
      <c r="D42" s="23" t="str">
        <v>IDAC</v>
      </c>
      <c r="E42" s="24">
        <v>46272</v>
      </c>
      <c r="F42" s="23">
        <v>11</v>
      </c>
      <c r="G42" s="23" t="str">
        <v>I</v>
      </c>
      <c r="H42" s="23">
        <v>1</v>
      </c>
      <c r="I42" s="23">
        <v>380143801</v>
      </c>
      <c r="J42" s="23" t="str">
        <v>OUSMANE DIALLO</v>
      </c>
      <c r="K42" s="23" t="str">
        <v>CORPORATE BANKING</v>
      </c>
      <c r="AZ42" s="30" t="inlineStr">
        <is>
          <t xml:space="preserve">IV</t>
        </is>
      </c>
      <c r="BA42" s="33">
        <f>SUMPRODUCT(SUBTOTAL(103,OFFSET($G$11,ROW($G$11:$G$410)-ROW($G$11),0)),--($G$11:$G$410="IV"))</f>
      </c>
    </row>
    <row r="43">
      <c r="A43" s="21" t="str">
        <v>L01CDGN2614932</v>
      </c>
      <c r="B43" s="21">
        <v>100001900</v>
      </c>
      <c r="C43" s="21" t="str">
        <v>CLIENT 32</v>
      </c>
      <c r="D43" s="21" t="str">
        <v>CRLN</v>
      </c>
      <c r="E43" s="22">
        <v>46279</v>
      </c>
      <c r="F43" s="21">
        <v>0</v>
      </c>
      <c r="G43" s="21" t="str">
        <v>I</v>
      </c>
      <c r="H43" s="21">
        <v>1</v>
      </c>
      <c r="I43" s="21">
        <v>429121180</v>
      </c>
      <c r="J43" s="21" t="str">
        <v>ROKHAYA THIAM SARR</v>
      </c>
      <c r="K43" s="21" t="str">
        <v>COMMERCIAL BANKING</v>
      </c>
      <c r="AZ43" s="30" t="inlineStr">
        <is>
          <t xml:space="preserve">V</t>
        </is>
      </c>
      <c r="BA43" s="33">
        <f>SUMPRODUCT(SUBTOTAL(103,OFFSET($G$11,ROW($G$11:$G$410)-ROW($G$11),0)),--($G$11:$G$410="V"))</f>
      </c>
    </row>
    <row r="44">
      <c r="A44" s="23" t="str">
        <v>L01CDGN2614933</v>
      </c>
      <c r="B44" s="23">
        <v>100001901</v>
      </c>
      <c r="C44" s="23" t="str">
        <v>CLIENT 33</v>
      </c>
      <c r="D44" s="23" t="str">
        <v>NTRD</v>
      </c>
      <c r="E44" s="24">
        <v>46283</v>
      </c>
      <c r="F44" s="23">
        <v>43</v>
      </c>
      <c r="G44" s="23" t="str">
        <v>III</v>
      </c>
      <c r="H44" s="23">
        <v>2</v>
      </c>
      <c r="I44" s="23">
        <v>1814570441</v>
      </c>
      <c r="J44" s="23" t="str">
        <v>CAMARA Adama</v>
      </c>
      <c r="K44" s="23" t="str">
        <v>CORPORATE BANKING</v>
      </c>
    </row>
    <row r="45">
      <c r="A45" s="21" t="str">
        <v>L01CDGN2614934</v>
      </c>
      <c r="B45" s="21">
        <v>100001902</v>
      </c>
      <c r="C45" s="21" t="str">
        <v>CLIENT 34</v>
      </c>
      <c r="D45" s="21" t="str">
        <v>CRAT</v>
      </c>
      <c r="E45" s="22">
        <v>46281</v>
      </c>
      <c r="F45" s="21">
        <v>61</v>
      </c>
      <c r="G45" s="21" t="str">
        <v>V</v>
      </c>
      <c r="H45" s="21">
        <v>3</v>
      </c>
      <c r="I45" s="21">
        <v>130507731</v>
      </c>
      <c r="J45" s="21" t="str">
        <v>MBAYE SAIDATOU</v>
      </c>
      <c r="K45" s="21" t="str">
        <v>CORPORATE BANKING</v>
      </c>
    </row>
    <row r="46">
      <c r="A46" s="23" t="str">
        <v>L01CDGN2614935</v>
      </c>
      <c r="B46" s="23">
        <v>100001903</v>
      </c>
      <c r="C46" s="23" t="str">
        <v>CLIENT 35</v>
      </c>
      <c r="D46" s="23" t="str">
        <v>CDGN</v>
      </c>
      <c r="E46" s="24">
        <v>46293</v>
      </c>
      <c r="F46" s="23">
        <v>123</v>
      </c>
      <c r="G46" s="23" t="str">
        <v>III</v>
      </c>
      <c r="H46" s="23">
        <v>2</v>
      </c>
      <c r="I46" s="23">
        <v>1224141095</v>
      </c>
      <c r="J46" s="23" t="str">
        <v>GUEYE Oumar</v>
      </c>
      <c r="K46" s="23" t="str">
        <v>CORPORATE BANKING</v>
      </c>
    </row>
    <row r="47">
      <c r="A47" s="21" t="str">
        <v>L01CDGN2614936</v>
      </c>
      <c r="B47" s="21">
        <v>100001904</v>
      </c>
      <c r="C47" s="21" t="str">
        <v>CLIENT 36</v>
      </c>
      <c r="D47" s="21" t="str">
        <v>IDAC</v>
      </c>
      <c r="E47" s="22">
        <v>46271</v>
      </c>
      <c r="F47" s="21">
        <v>72</v>
      </c>
      <c r="G47" s="21" t="str">
        <v>IA</v>
      </c>
      <c r="H47" s="21">
        <v>2</v>
      </c>
      <c r="I47" s="21">
        <v>214110</v>
      </c>
      <c r="J47" s="21" t="str">
        <v>OUSMANE DIALLO</v>
      </c>
      <c r="K47" s="21" t="str">
        <v>CORPORATE BANKING</v>
      </c>
    </row>
    <row r="48">
      <c r="A48" s="23" t="str">
        <v>L01CDGN2614937</v>
      </c>
      <c r="B48" s="23">
        <v>100001905</v>
      </c>
      <c r="C48" s="23" t="str">
        <v>CLIENT 37</v>
      </c>
      <c r="D48" s="23" t="str">
        <v>CRLN</v>
      </c>
      <c r="E48" s="24">
        <v>46269</v>
      </c>
      <c r="F48" s="23">
        <v>41</v>
      </c>
      <c r="G48" s="23" t="str">
        <v>II</v>
      </c>
      <c r="H48" s="23">
        <v>2</v>
      </c>
      <c r="I48" s="23">
        <v>29488967</v>
      </c>
      <c r="J48" s="23" t="str">
        <v>ROKHAYA THIAM SARR</v>
      </c>
      <c r="K48" s="23" t="str">
        <v>COMMERCIAL BANKING</v>
      </c>
    </row>
    <row r="49">
      <c r="A49" s="21" t="str">
        <v>L01CDGN2614938</v>
      </c>
      <c r="B49" s="21">
        <v>100001906</v>
      </c>
      <c r="C49" s="21" t="str">
        <v>CLIENT 38</v>
      </c>
      <c r="D49" s="21" t="str">
        <v>NTRD</v>
      </c>
      <c r="E49" s="22">
        <v>46283</v>
      </c>
      <c r="F49" s="21">
        <v>12</v>
      </c>
      <c r="G49" s="21" t="str">
        <v>III</v>
      </c>
      <c r="H49" s="21">
        <v>2</v>
      </c>
      <c r="I49" s="21">
        <v>1256551115</v>
      </c>
      <c r="J49" s="21" t="str">
        <v>CAMARA Adama</v>
      </c>
      <c r="K49" s="21" t="str">
        <v>CORPORATE BANKING</v>
      </c>
    </row>
    <row r="50">
      <c r="A50" s="23" t="str">
        <v>L01CDGN2614939</v>
      </c>
      <c r="B50" s="23">
        <v>100001907</v>
      </c>
      <c r="C50" s="23" t="str">
        <v>CLIENT 39</v>
      </c>
      <c r="D50" s="23" t="str">
        <v>CRAT</v>
      </c>
      <c r="E50" s="24">
        <v>46268</v>
      </c>
      <c r="F50" s="23">
        <v>84</v>
      </c>
      <c r="G50" s="23" t="str">
        <v>IV</v>
      </c>
      <c r="H50" s="23">
        <v>3</v>
      </c>
      <c r="I50" s="23">
        <v>86928126</v>
      </c>
      <c r="J50" s="23" t="str">
        <v>MBAYE SAIDATOU</v>
      </c>
      <c r="K50" s="23" t="str">
        <v>CORPORATE BANKING</v>
      </c>
    </row>
    <row r="51">
      <c r="A51" s="21" t="str">
        <v>L01CDGN2614940</v>
      </c>
      <c r="B51" s="21">
        <v>100001908</v>
      </c>
      <c r="C51" s="21" t="str">
        <v>CLIENT 40</v>
      </c>
      <c r="D51" s="21" t="str">
        <v>CDGN</v>
      </c>
      <c r="E51" s="22">
        <v>46266</v>
      </c>
      <c r="F51" s="21">
        <v>163</v>
      </c>
      <c r="G51" s="21" t="str">
        <v>III</v>
      </c>
      <c r="H51" s="21">
        <v>2</v>
      </c>
      <c r="I51" s="21">
        <v>784969654</v>
      </c>
      <c r="J51" s="21" t="str">
        <v>GUEYE Oumar</v>
      </c>
      <c r="K51" s="21" t="str">
        <v>CORPORATE BANKING</v>
      </c>
    </row>
    <row r="52">
      <c r="A52" s="23" t="str">
        <v>L01CDGN2614941</v>
      </c>
      <c r="B52" s="23">
        <v>100001909</v>
      </c>
      <c r="C52" s="23" t="str">
        <v>CLIENT 41</v>
      </c>
      <c r="D52" s="23" t="str">
        <v>IDAC</v>
      </c>
      <c r="E52" s="24">
        <v>46288</v>
      </c>
      <c r="F52" s="23">
        <v>77</v>
      </c>
      <c r="G52" s="23" t="str">
        <v>IA</v>
      </c>
      <c r="H52" s="23">
        <v>2</v>
      </c>
      <c r="I52" s="23">
        <v>211907542</v>
      </c>
      <c r="J52" s="23" t="str">
        <v>OUSMANE DIALLO</v>
      </c>
      <c r="K52" s="23" t="str">
        <v>CONSUMER BANKING</v>
      </c>
    </row>
    <row r="53">
      <c r="A53" s="21" t="str">
        <v>L01CDGN2614942</v>
      </c>
      <c r="B53" s="21">
        <v>100001910</v>
      </c>
      <c r="C53" s="21" t="str">
        <v>CLIENT 42</v>
      </c>
      <c r="D53" s="21" t="str">
        <v>CRLN</v>
      </c>
      <c r="E53" s="22">
        <v>46274</v>
      </c>
      <c r="F53" s="21">
        <v>178</v>
      </c>
      <c r="G53" s="21" t="str">
        <v>III</v>
      </c>
      <c r="H53" s="21">
        <v>2</v>
      </c>
      <c r="I53" s="21">
        <v>1363962</v>
      </c>
      <c r="J53" s="21" t="str">
        <v>ROKHAYA THIAM SARR</v>
      </c>
      <c r="K53" s="21" t="str">
        <v>CORPORATE BANKING</v>
      </c>
    </row>
    <row r="54">
      <c r="A54" s="23" t="str">
        <v>L01CDGN2614943</v>
      </c>
      <c r="B54" s="23">
        <v>100001911</v>
      </c>
      <c r="C54" s="23" t="str">
        <v>CLIENT 43</v>
      </c>
      <c r="D54" s="23" t="str">
        <v>NTRD</v>
      </c>
      <c r="E54" s="24">
        <v>46266</v>
      </c>
      <c r="F54" s="23">
        <v>45</v>
      </c>
      <c r="G54" s="23" t="str">
        <v>IA</v>
      </c>
      <c r="H54" s="23">
        <v>2</v>
      </c>
      <c r="I54" s="23">
        <v>1003592738</v>
      </c>
      <c r="J54" s="23" t="str">
        <v>CAMARA Adama</v>
      </c>
      <c r="K54" s="23" t="str">
        <v>CONSUMER BANKING</v>
      </c>
    </row>
    <row r="55">
      <c r="A55" s="21" t="str">
        <v>L01CDGN2614944</v>
      </c>
      <c r="B55" s="21">
        <v>100001912</v>
      </c>
      <c r="C55" s="21" t="str">
        <v>CLIENT 44</v>
      </c>
      <c r="D55" s="21" t="str">
        <v>CRAT</v>
      </c>
      <c r="E55" s="22">
        <v>46275</v>
      </c>
      <c r="F55" s="21">
        <v>49</v>
      </c>
      <c r="G55" s="21" t="str">
        <v>I</v>
      </c>
      <c r="H55" s="21">
        <v>1</v>
      </c>
      <c r="I55" s="21">
        <v>579535998</v>
      </c>
      <c r="J55" s="21" t="str">
        <v>MBAYE SAIDATOU</v>
      </c>
      <c r="K55" s="21" t="str">
        <v>PUBLIC SECTOR</v>
      </c>
    </row>
    <row r="56">
      <c r="A56" s="23" t="str">
        <v>L01CDGN2614945</v>
      </c>
      <c r="B56" s="23">
        <v>100001913</v>
      </c>
      <c r="C56" s="23" t="str">
        <v>CLIENT 45</v>
      </c>
      <c r="D56" s="23" t="str">
        <v>CDGN</v>
      </c>
      <c r="E56" s="24">
        <v>46278</v>
      </c>
      <c r="F56" s="23">
        <v>66</v>
      </c>
      <c r="G56" s="23" t="str">
        <v>I</v>
      </c>
      <c r="H56" s="23">
        <v>1</v>
      </c>
      <c r="I56" s="23">
        <v>391592228</v>
      </c>
      <c r="J56" s="23" t="str">
        <v>GUEYE Oumar</v>
      </c>
      <c r="K56" s="23" t="str">
        <v>COMMERCIAL BANKING</v>
      </c>
    </row>
    <row r="57">
      <c r="A57" s="21" t="str">
        <v>L01CDGN2614946</v>
      </c>
      <c r="B57" s="21">
        <v>100001914</v>
      </c>
      <c r="C57" s="21" t="str">
        <v>CLIENT 46</v>
      </c>
      <c r="D57" s="21" t="str">
        <v>IDAC</v>
      </c>
      <c r="E57" s="22">
        <v>46292</v>
      </c>
      <c r="F57" s="21">
        <v>71</v>
      </c>
      <c r="G57" s="21" t="str">
        <v>IA</v>
      </c>
      <c r="H57" s="21">
        <v>2</v>
      </c>
      <c r="I57" s="21">
        <v>1620244250</v>
      </c>
      <c r="J57" s="21" t="str">
        <v>OUSMANE DIALLO</v>
      </c>
      <c r="K57" s="21" t="str">
        <v>COMMERCIAL BANKING</v>
      </c>
    </row>
    <row r="58">
      <c r="A58" s="23" t="str">
        <v>L01CDGN2614947</v>
      </c>
      <c r="B58" s="23">
        <v>100001915</v>
      </c>
      <c r="C58" s="23" t="str">
        <v>CLIENT 47</v>
      </c>
      <c r="D58" s="23" t="str">
        <v>CRLN</v>
      </c>
      <c r="E58" s="24">
        <v>46287</v>
      </c>
      <c r="F58" s="23">
        <v>5</v>
      </c>
      <c r="G58" s="23" t="str">
        <v>IA</v>
      </c>
      <c r="H58" s="23">
        <v>2</v>
      </c>
      <c r="I58" s="23">
        <v>79023383</v>
      </c>
      <c r="J58" s="23" t="str">
        <v>ROKHAYA THIAM SARR</v>
      </c>
      <c r="K58" s="23" t="str">
        <v>CORPORATE BANKING</v>
      </c>
    </row>
    <row r="59">
      <c r="A59" s="21" t="str">
        <v>L01CDGN2614948</v>
      </c>
      <c r="B59" s="21">
        <v>100001916</v>
      </c>
      <c r="C59" s="21" t="str">
        <v>CLIENT 48</v>
      </c>
      <c r="D59" s="21" t="str">
        <v>NTRD</v>
      </c>
      <c r="E59" s="22">
        <v>46272</v>
      </c>
      <c r="F59" s="21">
        <v>24</v>
      </c>
      <c r="G59" s="21" t="str">
        <v>IV</v>
      </c>
      <c r="H59" s="21">
        <v>3</v>
      </c>
      <c r="I59" s="21">
        <v>7237</v>
      </c>
      <c r="J59" s="21" t="str">
        <v>CAMARA Adama</v>
      </c>
      <c r="K59" s="21" t="str">
        <v>CORPORATE BANKING</v>
      </c>
    </row>
    <row r="60">
      <c r="A60" s="23" t="str">
        <v>L01CDGN2614949</v>
      </c>
      <c r="B60" s="23">
        <v>100001917</v>
      </c>
      <c r="C60" s="23" t="str">
        <v>CLIENT 49</v>
      </c>
      <c r="D60" s="23" t="str">
        <v>CRAT</v>
      </c>
      <c r="E60" s="24">
        <v>46270</v>
      </c>
      <c r="F60" s="23">
        <v>95</v>
      </c>
      <c r="G60" s="23" t="str">
        <v>IA</v>
      </c>
      <c r="H60" s="23">
        <v>2</v>
      </c>
      <c r="I60" s="23">
        <v>1104711454</v>
      </c>
      <c r="J60" s="23" t="str">
        <v>MBAYE SAIDATOU</v>
      </c>
      <c r="K60" s="23" t="str">
        <v>COMMERCIAL BANKING</v>
      </c>
    </row>
    <row r="61">
      <c r="A61" s="21" t="str">
        <v>L01CDGN2614950</v>
      </c>
      <c r="B61" s="21">
        <v>100001918</v>
      </c>
      <c r="C61" s="21" t="str">
        <v>CLIENT 50</v>
      </c>
      <c r="D61" s="21" t="str">
        <v>CDGN</v>
      </c>
      <c r="E61" s="22">
        <v>46293</v>
      </c>
      <c r="F61" s="21">
        <v>50</v>
      </c>
      <c r="G61" s="21" t="str">
        <v>II</v>
      </c>
      <c r="H61" s="21">
        <v>2</v>
      </c>
      <c r="I61" s="21">
        <v>1766752905</v>
      </c>
      <c r="J61" s="21" t="str">
        <v>GUEYE Oumar</v>
      </c>
      <c r="K61" s="21" t="str">
        <v>CORPORATE BANKING</v>
      </c>
    </row>
    <row r="62">
      <c r="A62" s="23" t="str">
        <v>L01CDGN2614951</v>
      </c>
      <c r="B62" s="23">
        <v>100001919</v>
      </c>
      <c r="C62" s="23" t="str">
        <v>CLIENT 51</v>
      </c>
      <c r="D62" s="23" t="str">
        <v>IDAC</v>
      </c>
      <c r="E62" s="24">
        <v>46283</v>
      </c>
      <c r="F62" s="23">
        <v>83</v>
      </c>
      <c r="G62" s="23" t="str">
        <v>I</v>
      </c>
      <c r="H62" s="23">
        <v>1</v>
      </c>
      <c r="I62" s="23">
        <v>180454</v>
      </c>
      <c r="J62" s="23" t="str">
        <v>OUSMANE DIALLO</v>
      </c>
      <c r="K62" s="23" t="str">
        <v>PUBLIC SECTOR</v>
      </c>
    </row>
    <row r="63">
      <c r="A63" s="21" t="str">
        <v>L01CDGN2614952</v>
      </c>
      <c r="B63" s="21">
        <v>100001920</v>
      </c>
      <c r="C63" s="21" t="str">
        <v>CLIENT 52</v>
      </c>
      <c r="D63" s="21" t="str">
        <v>CRLN</v>
      </c>
      <c r="E63" s="22">
        <v>46287</v>
      </c>
      <c r="F63" s="21">
        <v>218</v>
      </c>
      <c r="G63" s="21" t="str">
        <v>III</v>
      </c>
      <c r="H63" s="21">
        <v>2</v>
      </c>
      <c r="I63" s="21">
        <v>811103445</v>
      </c>
      <c r="J63" s="21" t="str">
        <v>ROKHAYA THIAM SARR</v>
      </c>
      <c r="K63" s="21" t="str">
        <v>CORPORATE BANKING</v>
      </c>
    </row>
    <row r="64">
      <c r="A64" s="23" t="str">
        <v>L01CDGN2614953</v>
      </c>
      <c r="B64" s="23">
        <v>100001921</v>
      </c>
      <c r="C64" s="23" t="str">
        <v>CLIENT 53</v>
      </c>
      <c r="D64" s="23" t="str">
        <v>NTRD</v>
      </c>
      <c r="E64" s="24">
        <v>46278</v>
      </c>
      <c r="F64" s="23">
        <v>9</v>
      </c>
      <c r="G64" s="23" t="str">
        <v>IA</v>
      </c>
      <c r="H64" s="23">
        <v>2</v>
      </c>
      <c r="I64" s="23">
        <v>3529949</v>
      </c>
      <c r="J64" s="23" t="str">
        <v>CAMARA Adama</v>
      </c>
      <c r="K64" s="23" t="str">
        <v>CORPORATE BANKING</v>
      </c>
    </row>
    <row r="65">
      <c r="A65" s="21" t="str">
        <v>L01CDGN2614954</v>
      </c>
      <c r="B65" s="21">
        <v>100001922</v>
      </c>
      <c r="C65" s="21" t="str">
        <v>CLIENT 54</v>
      </c>
      <c r="D65" s="21" t="str">
        <v>CRAT</v>
      </c>
      <c r="E65" s="22">
        <v>46273</v>
      </c>
      <c r="F65" s="21">
        <v>25</v>
      </c>
      <c r="G65" s="21" t="str">
        <v>IV</v>
      </c>
      <c r="H65" s="21">
        <v>3</v>
      </c>
      <c r="I65" s="21">
        <v>1179217551</v>
      </c>
      <c r="J65" s="21" t="str">
        <v>MBAYE SAIDATOU</v>
      </c>
      <c r="K65" s="21" t="str">
        <v>CORPORATE BANKING</v>
      </c>
    </row>
    <row r="66">
      <c r="A66" s="23" t="str">
        <v>L01CDGN2614955</v>
      </c>
      <c r="B66" s="23">
        <v>100001923</v>
      </c>
      <c r="C66" s="23" t="str">
        <v>CLIENT 55</v>
      </c>
      <c r="D66" s="23" t="str">
        <v>CDGN</v>
      </c>
      <c r="E66" s="24">
        <v>46279</v>
      </c>
      <c r="F66" s="23">
        <v>35</v>
      </c>
      <c r="G66" s="23" t="str">
        <v>I</v>
      </c>
      <c r="H66" s="23">
        <v>1</v>
      </c>
      <c r="I66" s="23">
        <v>715530319</v>
      </c>
      <c r="J66" s="23" t="str">
        <v>GUEYE Oumar</v>
      </c>
      <c r="K66" s="23" t="str">
        <v>CORPORATE BANKING</v>
      </c>
    </row>
    <row r="67">
      <c r="A67" s="21" t="str">
        <v>L01CDGN2614956</v>
      </c>
      <c r="B67" s="21">
        <v>100001924</v>
      </c>
      <c r="C67" s="21" t="str">
        <v>CLIENT 56</v>
      </c>
      <c r="D67" s="21" t="str">
        <v>IDAC</v>
      </c>
      <c r="E67" s="22">
        <v>46266</v>
      </c>
      <c r="F67" s="21">
        <v>125</v>
      </c>
      <c r="G67" s="21" t="str">
        <v>IA</v>
      </c>
      <c r="H67" s="21">
        <v>2</v>
      </c>
      <c r="I67" s="21">
        <v>16132194</v>
      </c>
      <c r="J67" s="21" t="str">
        <v>OUSMANE DIALLO</v>
      </c>
      <c r="K67" s="21" t="str">
        <v>CORPORATE BANKING</v>
      </c>
    </row>
    <row r="68">
      <c r="A68" s="23" t="str">
        <v>L01CDGN2614957</v>
      </c>
      <c r="B68" s="23">
        <v>100001925</v>
      </c>
      <c r="C68" s="23" t="str">
        <v>CLIENT 57</v>
      </c>
      <c r="D68" s="23" t="str">
        <v>CRLN</v>
      </c>
      <c r="E68" s="24">
        <v>46270</v>
      </c>
      <c r="F68" s="23">
        <v>258</v>
      </c>
      <c r="G68" s="23" t="str">
        <v>III</v>
      </c>
      <c r="H68" s="23">
        <v>2</v>
      </c>
      <c r="I68" s="23">
        <v>4190328</v>
      </c>
      <c r="J68" s="23" t="str">
        <v>ROKHAYA THIAM SARR</v>
      </c>
      <c r="K68" s="23" t="str">
        <v>CONSUMER BANKING</v>
      </c>
    </row>
    <row r="69">
      <c r="A69" s="21" t="str">
        <v>L01CDGN2614958</v>
      </c>
      <c r="B69" s="21">
        <v>100001926</v>
      </c>
      <c r="C69" s="21" t="str">
        <v>CLIENT 58</v>
      </c>
      <c r="D69" s="21" t="str">
        <v>NTRD</v>
      </c>
      <c r="E69" s="22">
        <v>46269</v>
      </c>
      <c r="F69" s="21">
        <v>16</v>
      </c>
      <c r="G69" s="21" t="str">
        <v>II</v>
      </c>
      <c r="H69" s="21">
        <v>2</v>
      </c>
      <c r="I69" s="21">
        <v>44105</v>
      </c>
      <c r="J69" s="21" t="str">
        <v>CAMARA Adama</v>
      </c>
      <c r="K69" s="21" t="str">
        <v>CORPORATE BANKING</v>
      </c>
    </row>
    <row r="70">
      <c r="A70" s="23" t="str">
        <v>L01CDGN2614959</v>
      </c>
      <c r="B70" s="23">
        <v>100001927</v>
      </c>
      <c r="C70" s="23" t="str">
        <v>CLIENT 59</v>
      </c>
      <c r="D70" s="23" t="str">
        <v>CRAT</v>
      </c>
      <c r="E70" s="24">
        <v>46284</v>
      </c>
      <c r="F70" s="23">
        <v>10</v>
      </c>
      <c r="G70" s="23" t="str">
        <v>IA</v>
      </c>
      <c r="H70" s="23">
        <v>2</v>
      </c>
      <c r="I70" s="23">
        <v>222321945</v>
      </c>
      <c r="J70" s="23" t="str">
        <v>MBAYE SAIDATOU</v>
      </c>
      <c r="K70" s="23" t="str">
        <v>CORPORATE BANKING</v>
      </c>
    </row>
    <row r="71">
      <c r="A71" s="21" t="str">
        <v>L01CDGN2614960</v>
      </c>
      <c r="B71" s="21">
        <v>100001928</v>
      </c>
      <c r="C71" s="21" t="str">
        <v>CLIENT 60</v>
      </c>
      <c r="D71" s="21" t="str">
        <v>CDGN</v>
      </c>
      <c r="E71" s="22">
        <v>46278</v>
      </c>
      <c r="F71" s="21">
        <v>62</v>
      </c>
      <c r="G71" s="21" t="str">
        <v>IA</v>
      </c>
      <c r="H71" s="21">
        <v>2</v>
      </c>
      <c r="I71" s="21">
        <v>78240086</v>
      </c>
      <c r="J71" s="21" t="str">
        <v>GUEYE Oumar</v>
      </c>
      <c r="K71" s="21" t="str">
        <v>COMMERCIAL BANKING</v>
      </c>
    </row>
    <row r="72">
      <c r="A72" s="23" t="str">
        <v>L01CDGN2614961</v>
      </c>
      <c r="B72" s="23">
        <v>100001929</v>
      </c>
      <c r="C72" s="23" t="str">
        <v>CLIENT 61</v>
      </c>
      <c r="D72" s="23" t="str">
        <v>IDAC</v>
      </c>
      <c r="E72" s="24">
        <v>46268</v>
      </c>
      <c r="F72" s="23">
        <v>9</v>
      </c>
      <c r="G72" s="23" t="str">
        <v>II</v>
      </c>
      <c r="H72" s="23">
        <v>2</v>
      </c>
      <c r="I72" s="23">
        <v>1961400218</v>
      </c>
      <c r="J72" s="23" t="str">
        <v>OUSMANE DIALLO</v>
      </c>
      <c r="K72" s="23" t="str">
        <v>CORPORATE BANKING</v>
      </c>
    </row>
    <row r="73">
      <c r="A73" s="21" t="str">
        <v>L01CDGN2614962</v>
      </c>
      <c r="B73" s="21">
        <v>100001930</v>
      </c>
      <c r="C73" s="21" t="str">
        <v>CLIENT 62</v>
      </c>
      <c r="D73" s="21" t="str">
        <v>CRLN</v>
      </c>
      <c r="E73" s="22">
        <v>46266</v>
      </c>
      <c r="F73" s="21">
        <v>15</v>
      </c>
      <c r="G73" s="21" t="str">
        <v>III</v>
      </c>
      <c r="H73" s="21">
        <v>2</v>
      </c>
      <c r="I73" s="21">
        <v>4668353</v>
      </c>
      <c r="J73" s="21" t="str">
        <v>ROKHAYA THIAM SARR</v>
      </c>
      <c r="K73" s="21" t="str">
        <v>COMMERCIAL BANKING</v>
      </c>
    </row>
    <row r="74">
      <c r="A74" s="23" t="str">
        <v>L01CDGN2614963</v>
      </c>
      <c r="B74" s="23">
        <v>100001931</v>
      </c>
      <c r="C74" s="23" t="str">
        <v>CLIENT 63</v>
      </c>
      <c r="D74" s="23" t="str">
        <v>NTRD</v>
      </c>
      <c r="E74" s="24">
        <v>46267</v>
      </c>
      <c r="F74" s="23">
        <v>19</v>
      </c>
      <c r="G74" s="23" t="str">
        <v>IA</v>
      </c>
      <c r="H74" s="23">
        <v>2</v>
      </c>
      <c r="I74" s="23">
        <v>99283102</v>
      </c>
      <c r="J74" s="23" t="str">
        <v>CAMARA Adama</v>
      </c>
      <c r="K74" s="23" t="str">
        <v>CONSUMER BANKING</v>
      </c>
    </row>
    <row r="75">
      <c r="A75" s="21" t="str">
        <v>L01CDGN2614964</v>
      </c>
      <c r="B75" s="21">
        <v>100001932</v>
      </c>
      <c r="C75" s="21" t="str">
        <v>CLIENT 64</v>
      </c>
      <c r="D75" s="21" t="str">
        <v>CRAT</v>
      </c>
      <c r="E75" s="22">
        <v>46289</v>
      </c>
      <c r="F75" s="21">
        <v>93</v>
      </c>
      <c r="G75" s="21" t="str">
        <v>I</v>
      </c>
      <c r="H75" s="21">
        <v>1</v>
      </c>
      <c r="I75" s="21">
        <v>571305394</v>
      </c>
      <c r="J75" s="21" t="str">
        <v>MBAYE SAIDATOU</v>
      </c>
      <c r="K75" s="21" t="str">
        <v>CORPORATE BANKING</v>
      </c>
    </row>
    <row r="76">
      <c r="A76" s="23" t="str">
        <v>L01CDGN2614965</v>
      </c>
      <c r="B76" s="23">
        <v>100001933</v>
      </c>
      <c r="C76" s="23" t="str">
        <v>CLIENT 65</v>
      </c>
      <c r="D76" s="23" t="str">
        <v>CDGN</v>
      </c>
      <c r="E76" s="24">
        <v>46291</v>
      </c>
      <c r="F76" s="23">
        <v>175</v>
      </c>
      <c r="G76" s="23" t="str">
        <v>II</v>
      </c>
      <c r="H76" s="23">
        <v>2</v>
      </c>
      <c r="I76" s="23">
        <v>40696244</v>
      </c>
      <c r="J76" s="23" t="str">
        <v>GUEYE Oumar</v>
      </c>
      <c r="K76" s="23" t="str">
        <v>COMMERCIAL BANKING</v>
      </c>
    </row>
    <row r="77">
      <c r="A77" s="21" t="str">
        <v>L01CDGN2614966</v>
      </c>
      <c r="B77" s="21">
        <v>100001934</v>
      </c>
      <c r="C77" s="21" t="str">
        <v>CLIENT 66</v>
      </c>
      <c r="D77" s="21" t="str">
        <v>IDAC</v>
      </c>
      <c r="E77" s="22">
        <v>46273</v>
      </c>
      <c r="F77" s="21">
        <v>9</v>
      </c>
      <c r="G77" s="21" t="str">
        <v>IV</v>
      </c>
      <c r="H77" s="21">
        <v>3</v>
      </c>
      <c r="I77" s="21">
        <v>989304652</v>
      </c>
      <c r="J77" s="21" t="str">
        <v>OUSMANE DIALLO</v>
      </c>
      <c r="K77" s="21" t="str">
        <v>COMMERCIAL BANKING</v>
      </c>
    </row>
    <row r="78">
      <c r="A78" s="23" t="str">
        <v>L01CDGN2614967</v>
      </c>
      <c r="B78" s="23">
        <v>100001935</v>
      </c>
      <c r="C78" s="23" t="str">
        <v>CLIENT 67</v>
      </c>
      <c r="D78" s="23" t="str">
        <v>CRLN</v>
      </c>
      <c r="E78" s="24">
        <v>46275</v>
      </c>
      <c r="F78" s="23">
        <v>3</v>
      </c>
      <c r="G78" s="23" t="str">
        <v>III</v>
      </c>
      <c r="H78" s="23">
        <v>2</v>
      </c>
      <c r="I78" s="23">
        <v>294266748</v>
      </c>
      <c r="J78" s="23" t="str">
        <v>ROKHAYA THIAM SARR</v>
      </c>
      <c r="K78" s="23" t="str">
        <v>CORPORATE BANKING</v>
      </c>
    </row>
    <row r="79">
      <c r="A79" s="21" t="str">
        <v>L01CDGN2614968</v>
      </c>
      <c r="B79" s="21">
        <v>100001936</v>
      </c>
      <c r="C79" s="21" t="str">
        <v>CLIENT 68</v>
      </c>
      <c r="D79" s="21" t="str">
        <v>NTRD</v>
      </c>
      <c r="E79" s="22">
        <v>46267</v>
      </c>
      <c r="F79" s="21">
        <v>19</v>
      </c>
      <c r="G79" s="21" t="str">
        <v>IA</v>
      </c>
      <c r="H79" s="21">
        <v>2</v>
      </c>
      <c r="I79" s="21">
        <v>102057066</v>
      </c>
      <c r="J79" s="21" t="str">
        <v>CAMARA Adama</v>
      </c>
      <c r="K79" s="21" t="str">
        <v>CORPORATE BANKING</v>
      </c>
    </row>
    <row r="80">
      <c r="A80" s="23" t="str">
        <v>L01CDGN2614969</v>
      </c>
      <c r="B80" s="23">
        <v>100001937</v>
      </c>
      <c r="C80" s="23" t="str">
        <v>CLIENT 69</v>
      </c>
      <c r="D80" s="23" t="str">
        <v>CRAT</v>
      </c>
      <c r="E80" s="24">
        <v>46279</v>
      </c>
      <c r="F80" s="23">
        <v>74</v>
      </c>
      <c r="G80" s="23" t="str">
        <v>IA</v>
      </c>
      <c r="H80" s="23">
        <v>2</v>
      </c>
      <c r="I80" s="23">
        <v>845323106</v>
      </c>
      <c r="J80" s="23" t="str">
        <v>MBAYE SAIDATOU</v>
      </c>
      <c r="K80" s="23" t="str">
        <v>CORPORATE BANKING</v>
      </c>
    </row>
    <row r="81">
      <c r="A81" s="21" t="str">
        <v>L01CDGN2614970</v>
      </c>
      <c r="B81" s="21">
        <v>100001938</v>
      </c>
      <c r="C81" s="21" t="str">
        <v>CLIENT 70</v>
      </c>
      <c r="D81" s="21" t="str">
        <v>CDGN</v>
      </c>
      <c r="E81" s="22">
        <v>46272</v>
      </c>
      <c r="F81" s="21">
        <v>0</v>
      </c>
      <c r="G81" s="21" t="str">
        <v>II</v>
      </c>
      <c r="H81" s="21">
        <v>2</v>
      </c>
      <c r="I81" s="21">
        <v>39501983</v>
      </c>
      <c r="J81" s="21" t="str">
        <v>GUEYE Oumar</v>
      </c>
      <c r="K81" s="21" t="str">
        <v>CORPORATE BANKING</v>
      </c>
    </row>
    <row r="82">
      <c r="A82" s="23" t="str">
        <v>L01CDGN2614971</v>
      </c>
      <c r="B82" s="23">
        <v>100001939</v>
      </c>
      <c r="C82" s="23" t="str">
        <v>CLIENT 71</v>
      </c>
      <c r="D82" s="23" t="str">
        <v>IDAC</v>
      </c>
      <c r="E82" s="24">
        <v>46285</v>
      </c>
      <c r="F82" s="23">
        <v>244</v>
      </c>
      <c r="G82" s="23" t="str">
        <v>III</v>
      </c>
      <c r="H82" s="23">
        <v>2</v>
      </c>
      <c r="I82" s="23">
        <v>2994171</v>
      </c>
      <c r="J82" s="23" t="str">
        <v>OUSMANE DIALLO</v>
      </c>
      <c r="K82" s="23" t="str">
        <v>COMMERCIAL BANKING</v>
      </c>
    </row>
    <row r="83">
      <c r="A83" s="21" t="str">
        <v>L01CDGN2614972</v>
      </c>
      <c r="B83" s="21">
        <v>100001940</v>
      </c>
      <c r="C83" s="21" t="str">
        <v>CLIENT 72</v>
      </c>
      <c r="D83" s="21" t="str">
        <v>CRLN</v>
      </c>
      <c r="E83" s="22">
        <v>46279</v>
      </c>
      <c r="F83" s="21">
        <v>33</v>
      </c>
      <c r="G83" s="21" t="str">
        <v>V</v>
      </c>
      <c r="H83" s="21">
        <v>3</v>
      </c>
      <c r="I83" s="21">
        <v>5838090</v>
      </c>
      <c r="J83" s="21" t="str">
        <v>ROKHAYA THIAM SARR</v>
      </c>
      <c r="K83" s="21" t="str">
        <v>COMMERCIAL BANKING</v>
      </c>
    </row>
    <row r="84">
      <c r="A84" s="23" t="str">
        <v>L01CDGN2614973</v>
      </c>
      <c r="B84" s="23">
        <v>100001941</v>
      </c>
      <c r="C84" s="23" t="str">
        <v>CLIENT 73</v>
      </c>
      <c r="D84" s="23" t="str">
        <v>NTRD</v>
      </c>
      <c r="E84" s="24">
        <v>46278</v>
      </c>
      <c r="F84" s="23">
        <v>192</v>
      </c>
      <c r="G84" s="23" t="str">
        <v>IV</v>
      </c>
      <c r="H84" s="23">
        <v>3</v>
      </c>
      <c r="I84" s="23">
        <v>312025</v>
      </c>
      <c r="J84" s="23" t="str">
        <v>CAMARA Adama</v>
      </c>
      <c r="K84" s="23" t="str">
        <v>CORPORATE BANKING</v>
      </c>
    </row>
    <row r="85">
      <c r="A85" s="21" t="str">
        <v>L01CDGN2614974</v>
      </c>
      <c r="B85" s="21">
        <v>100001942</v>
      </c>
      <c r="C85" s="21" t="str">
        <v>CLIENT 74</v>
      </c>
      <c r="D85" s="21" t="str">
        <v>CRAT</v>
      </c>
      <c r="E85" s="22">
        <v>46270</v>
      </c>
      <c r="F85" s="21">
        <v>54</v>
      </c>
      <c r="G85" s="21" t="str">
        <v>II</v>
      </c>
      <c r="H85" s="21">
        <v>2</v>
      </c>
      <c r="I85" s="21">
        <v>63008663</v>
      </c>
      <c r="J85" s="21" t="str">
        <v>MBAYE SAIDATOU</v>
      </c>
      <c r="K85" s="21" t="str">
        <v>CORPORATE BANKING</v>
      </c>
    </row>
    <row r="86">
      <c r="A86" s="23" t="str">
        <v>L01CDGN2614975</v>
      </c>
      <c r="B86" s="23">
        <v>100001943</v>
      </c>
      <c r="C86" s="23" t="str">
        <v>CLIENT 75</v>
      </c>
      <c r="D86" s="23" t="str">
        <v>CDGN</v>
      </c>
      <c r="E86" s="24">
        <v>46277</v>
      </c>
      <c r="F86" s="23">
        <v>100</v>
      </c>
      <c r="G86" s="23" t="str">
        <v>V</v>
      </c>
      <c r="H86" s="23">
        <v>3</v>
      </c>
      <c r="I86" s="23">
        <v>24277503</v>
      </c>
      <c r="J86" s="23" t="str">
        <v>GUEYE Oumar</v>
      </c>
      <c r="K86" s="23" t="str">
        <v>COMMERCIAL BANKING</v>
      </c>
    </row>
    <row r="87">
      <c r="A87" s="21" t="str">
        <v>L01CDGN2614976</v>
      </c>
      <c r="B87" s="21">
        <v>100001944</v>
      </c>
      <c r="C87" s="21" t="str">
        <v>CLIENT 76</v>
      </c>
      <c r="D87" s="21" t="str">
        <v>IDAC</v>
      </c>
      <c r="E87" s="22">
        <v>46288</v>
      </c>
      <c r="F87" s="21">
        <v>205</v>
      </c>
      <c r="G87" s="21" t="str">
        <v>I</v>
      </c>
      <c r="H87" s="21">
        <v>1</v>
      </c>
      <c r="I87" s="21">
        <v>18789365</v>
      </c>
      <c r="J87" s="21" t="str">
        <v>OUSMANE DIALLO</v>
      </c>
      <c r="K87" s="21" t="str">
        <v>CORPORATE BANKING</v>
      </c>
    </row>
    <row r="88">
      <c r="A88" s="23" t="str">
        <v>L01CDGN2614977</v>
      </c>
      <c r="B88" s="23">
        <v>100001945</v>
      </c>
      <c r="C88" s="23" t="str">
        <v>CLIENT 77</v>
      </c>
      <c r="D88" s="23" t="str">
        <v>CRLN</v>
      </c>
      <c r="E88" s="24">
        <v>46281</v>
      </c>
      <c r="F88" s="23">
        <v>49</v>
      </c>
      <c r="G88" s="23" t="str">
        <v>II</v>
      </c>
      <c r="H88" s="23">
        <v>2</v>
      </c>
      <c r="I88" s="23">
        <v>2360954</v>
      </c>
      <c r="J88" s="23" t="str">
        <v>ROKHAYA THIAM SARR</v>
      </c>
      <c r="K88" s="23" t="str">
        <v>COMMERCIAL BANKING</v>
      </c>
    </row>
    <row r="89">
      <c r="A89" s="21" t="str">
        <v>L01CDGN2614978</v>
      </c>
      <c r="B89" s="21">
        <v>100001946</v>
      </c>
      <c r="C89" s="21" t="str">
        <v>CLIENT 78</v>
      </c>
      <c r="D89" s="21" t="str">
        <v>NTRD</v>
      </c>
      <c r="E89" s="22">
        <v>46286</v>
      </c>
      <c r="F89" s="21">
        <v>50</v>
      </c>
      <c r="G89" s="21" t="str">
        <v>I</v>
      </c>
      <c r="H89" s="21">
        <v>1</v>
      </c>
      <c r="I89" s="21">
        <v>264979868</v>
      </c>
      <c r="J89" s="21" t="str">
        <v>CAMARA Adama</v>
      </c>
      <c r="K89" s="21" t="str">
        <v>CORPORATE BANKING</v>
      </c>
    </row>
    <row r="90">
      <c r="A90" s="23" t="str">
        <v>L01CDGN2614979</v>
      </c>
      <c r="B90" s="23">
        <v>100001947</v>
      </c>
      <c r="C90" s="23" t="str">
        <v>CLIENT 79</v>
      </c>
      <c r="D90" s="23" t="str">
        <v>CRAT</v>
      </c>
      <c r="E90" s="24">
        <v>46288</v>
      </c>
      <c r="F90" s="23">
        <v>16</v>
      </c>
      <c r="G90" s="23" t="str">
        <v>IV</v>
      </c>
      <c r="H90" s="23">
        <v>3</v>
      </c>
      <c r="I90" s="23">
        <v>97427953</v>
      </c>
      <c r="J90" s="23" t="str">
        <v>MBAYE SAIDATOU</v>
      </c>
      <c r="K90" s="23" t="str">
        <v>CORPORATE BANKING</v>
      </c>
    </row>
    <row r="91">
      <c r="A91" s="21" t="str">
        <v>L01CDGN2614980</v>
      </c>
      <c r="B91" s="21">
        <v>100001948</v>
      </c>
      <c r="C91" s="21" t="str">
        <v>CLIENT 80</v>
      </c>
      <c r="D91" s="21" t="str">
        <v>CDGN</v>
      </c>
      <c r="E91" s="22">
        <v>46273</v>
      </c>
      <c r="F91" s="21">
        <v>108</v>
      </c>
      <c r="G91" s="21" t="str">
        <v>IA</v>
      </c>
      <c r="H91" s="21">
        <v>2</v>
      </c>
      <c r="I91" s="21">
        <v>62456654</v>
      </c>
      <c r="J91" s="21" t="str">
        <v>GUEYE Oumar</v>
      </c>
      <c r="K91" s="21" t="str">
        <v>COMMERCIAL BANKING</v>
      </c>
    </row>
    <row r="92">
      <c r="A92" s="23" t="str">
        <v>L01CDGN2614981</v>
      </c>
      <c r="B92" s="23">
        <v>100001949</v>
      </c>
      <c r="C92" s="23" t="str">
        <v>CLIENT 81</v>
      </c>
      <c r="D92" s="23" t="str">
        <v>IDAC</v>
      </c>
      <c r="E92" s="24">
        <v>46266</v>
      </c>
      <c r="F92" s="23">
        <v>129</v>
      </c>
      <c r="G92" s="23" t="str">
        <v>III</v>
      </c>
      <c r="H92" s="23">
        <v>2</v>
      </c>
      <c r="I92" s="23">
        <v>4887293</v>
      </c>
      <c r="J92" s="23" t="str">
        <v>OUSMANE DIALLO</v>
      </c>
      <c r="K92" s="23" t="str">
        <v>CORPORATE BANKING</v>
      </c>
    </row>
    <row r="93">
      <c r="A93" s="21" t="str">
        <v>L01CDGN2614982</v>
      </c>
      <c r="B93" s="21">
        <v>100001950</v>
      </c>
      <c r="C93" s="21" t="str">
        <v>CLIENT 82</v>
      </c>
      <c r="D93" s="21" t="str">
        <v>CRLN</v>
      </c>
      <c r="E93" s="22">
        <v>46276</v>
      </c>
      <c r="F93" s="21">
        <v>80</v>
      </c>
      <c r="G93" s="21" t="str">
        <v>IA</v>
      </c>
      <c r="H93" s="21">
        <v>2</v>
      </c>
      <c r="I93" s="21">
        <v>213032288</v>
      </c>
      <c r="J93" s="21" t="str">
        <v>ROKHAYA THIAM SARR</v>
      </c>
      <c r="K93" s="21" t="str">
        <v>CORPORATE BANKING</v>
      </c>
    </row>
    <row r="94">
      <c r="A94" s="23" t="str">
        <v>L01CDGN2614983</v>
      </c>
      <c r="B94" s="23">
        <v>100001951</v>
      </c>
      <c r="C94" s="23" t="str">
        <v>CLIENT 83</v>
      </c>
      <c r="D94" s="23" t="str">
        <v>NTRD</v>
      </c>
      <c r="E94" s="24">
        <v>46273</v>
      </c>
      <c r="F94" s="23">
        <v>149</v>
      </c>
      <c r="G94" s="23" t="str">
        <v>V</v>
      </c>
      <c r="H94" s="23">
        <v>3</v>
      </c>
      <c r="I94" s="23">
        <v>130043508</v>
      </c>
      <c r="J94" s="23" t="str">
        <v>CAMARA Adama</v>
      </c>
      <c r="K94" s="23" t="str">
        <v>COMMERCIAL BANKING</v>
      </c>
    </row>
    <row r="95">
      <c r="A95" s="21" t="str">
        <v>L01CDGN2614984</v>
      </c>
      <c r="B95" s="21">
        <v>100001952</v>
      </c>
      <c r="C95" s="21" t="str">
        <v>CLIENT 84</v>
      </c>
      <c r="D95" s="21" t="str">
        <v>CRAT</v>
      </c>
      <c r="E95" s="22">
        <v>46288</v>
      </c>
      <c r="F95" s="21">
        <v>2</v>
      </c>
      <c r="G95" s="21" t="str">
        <v>II</v>
      </c>
      <c r="H95" s="21">
        <v>2</v>
      </c>
      <c r="I95" s="21">
        <v>1350917479</v>
      </c>
      <c r="J95" s="21" t="str">
        <v>MBAYE SAIDATOU</v>
      </c>
      <c r="K95" s="21" t="str">
        <v>COMMERCIAL BANKING</v>
      </c>
    </row>
    <row r="96">
      <c r="A96" s="23" t="str">
        <v>L01CDGN2614985</v>
      </c>
      <c r="B96" s="23">
        <v>100001953</v>
      </c>
      <c r="C96" s="23" t="str">
        <v>CLIENT 85</v>
      </c>
      <c r="D96" s="23" t="str">
        <v>CDGN</v>
      </c>
      <c r="E96" s="24">
        <v>46271</v>
      </c>
      <c r="F96" s="23">
        <v>120</v>
      </c>
      <c r="G96" s="23" t="str">
        <v>II</v>
      </c>
      <c r="H96" s="23">
        <v>2</v>
      </c>
      <c r="I96" s="23">
        <v>1435228124</v>
      </c>
      <c r="J96" s="23" t="str">
        <v>GUEYE Oumar</v>
      </c>
      <c r="K96" s="23" t="str">
        <v>CORPORATE BANKING</v>
      </c>
    </row>
    <row r="97">
      <c r="A97" s="21" t="str">
        <v>L01CDGN2614986</v>
      </c>
      <c r="B97" s="21">
        <v>100001954</v>
      </c>
      <c r="C97" s="21" t="str">
        <v>CLIENT 86</v>
      </c>
      <c r="D97" s="21" t="str">
        <v>IDAC</v>
      </c>
      <c r="E97" s="22">
        <v>46274</v>
      </c>
      <c r="F97" s="21">
        <v>30</v>
      </c>
      <c r="G97" s="21" t="str">
        <v>II</v>
      </c>
      <c r="H97" s="21">
        <v>2</v>
      </c>
      <c r="I97" s="21">
        <v>976557711</v>
      </c>
      <c r="J97" s="21" t="str">
        <v>OUSMANE DIALLO</v>
      </c>
      <c r="K97" s="21" t="str">
        <v>COMMERCIAL BANKING</v>
      </c>
    </row>
    <row r="98">
      <c r="A98" s="23" t="str">
        <v>L01CDGN2614987</v>
      </c>
      <c r="B98" s="23">
        <v>100001955</v>
      </c>
      <c r="C98" s="23" t="str">
        <v>CLIENT 87</v>
      </c>
      <c r="D98" s="23" t="str">
        <v>CRLN</v>
      </c>
      <c r="E98" s="24">
        <v>46268</v>
      </c>
      <c r="F98" s="23">
        <v>17</v>
      </c>
      <c r="G98" s="23" t="str">
        <v>IA</v>
      </c>
      <c r="H98" s="23">
        <v>2</v>
      </c>
      <c r="I98" s="23">
        <v>968714454</v>
      </c>
      <c r="J98" s="23" t="str">
        <v>ROKHAYA THIAM SARR</v>
      </c>
      <c r="K98" s="23" t="str">
        <v>CORPORATE BANKING</v>
      </c>
    </row>
    <row r="99">
      <c r="A99" s="21" t="str">
        <v>L01CDGN2614988</v>
      </c>
      <c r="B99" s="21">
        <v>100001956</v>
      </c>
      <c r="C99" s="21" t="str">
        <v>CLIENT 88</v>
      </c>
      <c r="D99" s="21" t="str">
        <v>NTRD</v>
      </c>
      <c r="E99" s="22">
        <v>46285</v>
      </c>
      <c r="F99" s="21">
        <v>37</v>
      </c>
      <c r="G99" s="21" t="str">
        <v>III</v>
      </c>
      <c r="H99" s="21">
        <v>2</v>
      </c>
      <c r="I99" s="21">
        <v>397458415</v>
      </c>
      <c r="J99" s="21" t="str">
        <v>CAMARA Adama</v>
      </c>
      <c r="K99" s="21" t="str">
        <v>COMMERCIAL BANKING</v>
      </c>
    </row>
    <row r="100">
      <c r="A100" s="23" t="str">
        <v>L01CDGN2614989</v>
      </c>
      <c r="B100" s="23">
        <v>100001957</v>
      </c>
      <c r="C100" s="23" t="str">
        <v>CLIENT 89</v>
      </c>
      <c r="D100" s="23" t="str">
        <v>CRAT</v>
      </c>
      <c r="E100" s="24">
        <v>46281</v>
      </c>
      <c r="F100" s="23">
        <v>7</v>
      </c>
      <c r="G100" s="23" t="str">
        <v>I</v>
      </c>
      <c r="H100" s="23">
        <v>1</v>
      </c>
      <c r="I100" s="23">
        <v>930120694</v>
      </c>
      <c r="J100" s="23" t="str">
        <v>MBAYE SAIDATOU</v>
      </c>
      <c r="K100" s="23" t="str">
        <v>COMMERCIAL BANKING</v>
      </c>
    </row>
    <row r="101">
      <c r="A101" s="21" t="str">
        <v>L01CDGN2614990</v>
      </c>
      <c r="B101" s="21">
        <v>100001958</v>
      </c>
      <c r="C101" s="21" t="str">
        <v>CLIENT 90</v>
      </c>
      <c r="D101" s="21" t="str">
        <v>CDGN</v>
      </c>
      <c r="E101" s="22">
        <v>46283</v>
      </c>
      <c r="F101" s="21">
        <v>18</v>
      </c>
      <c r="G101" s="21" t="str">
        <v>III</v>
      </c>
      <c r="H101" s="21">
        <v>2</v>
      </c>
      <c r="I101" s="21">
        <v>1780411117</v>
      </c>
      <c r="J101" s="21" t="str">
        <v>GUEYE Oumar</v>
      </c>
      <c r="K101" s="21" t="str">
        <v>COMMERCIAL BANKING</v>
      </c>
    </row>
    <row r="102">
      <c r="A102" s="23" t="str">
        <v>L01CDGN2614991</v>
      </c>
      <c r="B102" s="23">
        <v>100001959</v>
      </c>
      <c r="C102" s="23" t="str">
        <v>CLIENT 91</v>
      </c>
      <c r="D102" s="23" t="str">
        <v>IDAC</v>
      </c>
      <c r="E102" s="24">
        <v>46292</v>
      </c>
      <c r="F102" s="23">
        <v>132</v>
      </c>
      <c r="G102" s="23" t="str">
        <v>III</v>
      </c>
      <c r="H102" s="23">
        <v>2</v>
      </c>
      <c r="I102" s="23">
        <v>1550124638</v>
      </c>
      <c r="J102" s="23" t="str">
        <v>OUSMANE DIALLO</v>
      </c>
      <c r="K102" s="23" t="str">
        <v>COMMERCIAL BANKING</v>
      </c>
    </row>
    <row r="103">
      <c r="A103" s="21" t="str">
        <v>L01CDGN2614992</v>
      </c>
      <c r="B103" s="21">
        <v>100001960</v>
      </c>
      <c r="C103" s="21" t="str">
        <v>CLIENT 92</v>
      </c>
      <c r="D103" s="21" t="str">
        <v>CRLN</v>
      </c>
      <c r="E103" s="22">
        <v>46278</v>
      </c>
      <c r="F103" s="21">
        <v>134</v>
      </c>
      <c r="G103" s="21" t="str">
        <v>I</v>
      </c>
      <c r="H103" s="21">
        <v>1</v>
      </c>
      <c r="I103" s="21">
        <v>217948975</v>
      </c>
      <c r="J103" s="21" t="str">
        <v>ROKHAYA THIAM SARR</v>
      </c>
      <c r="K103" s="21" t="str">
        <v>COMMERCIAL BANKING</v>
      </c>
    </row>
    <row r="104">
      <c r="A104" s="23" t="str">
        <v>L01CDGN2614993</v>
      </c>
      <c r="B104" s="23">
        <v>100001961</v>
      </c>
      <c r="C104" s="23" t="str">
        <v>CLIENT 93</v>
      </c>
      <c r="D104" s="23" t="str">
        <v>NTRD</v>
      </c>
      <c r="E104" s="24">
        <v>46269</v>
      </c>
      <c r="F104" s="23">
        <v>3</v>
      </c>
      <c r="G104" s="23" t="str">
        <v>II</v>
      </c>
      <c r="H104" s="23">
        <v>2</v>
      </c>
      <c r="I104" s="23">
        <v>48583897</v>
      </c>
      <c r="J104" s="23" t="str">
        <v>CAMARA Adama</v>
      </c>
      <c r="K104" s="23" t="str">
        <v>CORPORATE BANKING</v>
      </c>
    </row>
    <row r="105">
      <c r="A105" s="21" t="str">
        <v>L01CDGN2614994</v>
      </c>
      <c r="B105" s="21">
        <v>100001962</v>
      </c>
      <c r="C105" s="21" t="str">
        <v>CLIENT 94</v>
      </c>
      <c r="D105" s="21" t="str">
        <v>CRAT</v>
      </c>
      <c r="E105" s="22">
        <v>46281</v>
      </c>
      <c r="F105" s="21">
        <v>3</v>
      </c>
      <c r="G105" s="21" t="str">
        <v>III</v>
      </c>
      <c r="H105" s="21">
        <v>2</v>
      </c>
      <c r="I105" s="21">
        <v>18928368</v>
      </c>
      <c r="J105" s="21" t="str">
        <v>MBAYE SAIDATOU</v>
      </c>
      <c r="K105" s="21" t="str">
        <v>CORPORATE BANKING</v>
      </c>
    </row>
    <row r="106">
      <c r="A106" s="23" t="str">
        <v>L01CDGN2614995</v>
      </c>
      <c r="B106" s="23">
        <v>100001963</v>
      </c>
      <c r="C106" s="23" t="str">
        <v>CLIENT 95</v>
      </c>
      <c r="D106" s="23" t="str">
        <v>CDGN</v>
      </c>
      <c r="E106" s="24">
        <v>46266</v>
      </c>
      <c r="F106" s="23">
        <v>2</v>
      </c>
      <c r="G106" s="23" t="str">
        <v>III</v>
      </c>
      <c r="H106" s="23">
        <v>2</v>
      </c>
      <c r="I106" s="23">
        <v>150443399</v>
      </c>
      <c r="J106" s="23" t="str">
        <v>GUEYE Oumar</v>
      </c>
      <c r="K106" s="23" t="str">
        <v>CONSUMER BANKING</v>
      </c>
    </row>
    <row r="107">
      <c r="A107" s="21" t="str">
        <v>L01CDGN2614996</v>
      </c>
      <c r="B107" s="21">
        <v>100001964</v>
      </c>
      <c r="C107" s="21" t="str">
        <v>CLIENT 96</v>
      </c>
      <c r="D107" s="21" t="str">
        <v>IDAC</v>
      </c>
      <c r="E107" s="22">
        <v>46287</v>
      </c>
      <c r="F107" s="21">
        <v>11</v>
      </c>
      <c r="G107" s="21" t="str">
        <v>I</v>
      </c>
      <c r="H107" s="21">
        <v>1</v>
      </c>
      <c r="I107" s="21">
        <v>790227</v>
      </c>
      <c r="J107" s="21" t="str">
        <v>OUSMANE DIALLO</v>
      </c>
      <c r="K107" s="21" t="str">
        <v>CORPORATE BANKING</v>
      </c>
    </row>
    <row r="108">
      <c r="A108" s="23" t="str">
        <v>L01CDGN2614997</v>
      </c>
      <c r="B108" s="23">
        <v>100001965</v>
      </c>
      <c r="C108" s="23" t="str">
        <v>CLIENT 97</v>
      </c>
      <c r="D108" s="23" t="str">
        <v>CRLN</v>
      </c>
      <c r="E108" s="24">
        <v>46287</v>
      </c>
      <c r="F108" s="23">
        <v>183</v>
      </c>
      <c r="G108" s="23" t="str">
        <v>IA</v>
      </c>
      <c r="H108" s="23">
        <v>2</v>
      </c>
      <c r="I108" s="23">
        <v>49456279</v>
      </c>
      <c r="J108" s="23" t="str">
        <v>ROKHAYA THIAM SARR</v>
      </c>
      <c r="K108" s="23" t="str">
        <v>COMMERCIAL BANKING</v>
      </c>
    </row>
    <row r="109">
      <c r="A109" s="21" t="str">
        <v>L01CDGN2614998</v>
      </c>
      <c r="B109" s="21">
        <v>100001966</v>
      </c>
      <c r="C109" s="21" t="str">
        <v>CLIENT 98</v>
      </c>
      <c r="D109" s="21" t="str">
        <v>NTRD</v>
      </c>
      <c r="E109" s="22">
        <v>46288</v>
      </c>
      <c r="F109" s="21">
        <v>28</v>
      </c>
      <c r="G109" s="21" t="str">
        <v>IV</v>
      </c>
      <c r="H109" s="21">
        <v>3</v>
      </c>
      <c r="I109" s="21">
        <v>210911550</v>
      </c>
      <c r="J109" s="21" t="str">
        <v>CAMARA Adama</v>
      </c>
      <c r="K109" s="21" t="str">
        <v>COMMERCIAL BANKING</v>
      </c>
    </row>
    <row r="110">
      <c r="A110" s="23" t="str">
        <v>L01CDGN2614999</v>
      </c>
      <c r="B110" s="23">
        <v>100001967</v>
      </c>
      <c r="C110" s="23" t="str">
        <v>CLIENT 99</v>
      </c>
      <c r="D110" s="23" t="str">
        <v>CRAT</v>
      </c>
      <c r="E110" s="24">
        <v>46288</v>
      </c>
      <c r="F110" s="23">
        <v>17</v>
      </c>
      <c r="G110" s="23" t="str">
        <v>IV</v>
      </c>
      <c r="H110" s="23">
        <v>3</v>
      </c>
      <c r="I110" s="23">
        <v>3</v>
      </c>
      <c r="J110" s="23" t="str">
        <v>MBAYE SAIDATOU</v>
      </c>
      <c r="K110" s="23" t="str">
        <v>CORPORATE BANKING</v>
      </c>
    </row>
    <row r="111">
      <c r="A111" s="21" t="str">
        <v>L01CDGN26149100</v>
      </c>
      <c r="B111" s="21">
        <v>100001968</v>
      </c>
      <c r="C111" s="21" t="str">
        <v>CLIENT 100</v>
      </c>
      <c r="D111" s="21" t="str">
        <v>CDGN</v>
      </c>
      <c r="E111" s="22">
        <v>46266</v>
      </c>
      <c r="F111" s="21">
        <v>104</v>
      </c>
      <c r="G111" s="21" t="str">
        <v>IV</v>
      </c>
      <c r="H111" s="21">
        <v>3</v>
      </c>
      <c r="I111" s="21">
        <v>901250294</v>
      </c>
      <c r="J111" s="21" t="str">
        <v>GUEYE Oumar</v>
      </c>
      <c r="K111" s="21" t="str">
        <v>CORPORATE BANKING</v>
      </c>
    </row>
    <row r="112">
      <c r="A112" s="23" t="str">
        <v>L01CDGN26149101</v>
      </c>
      <c r="B112" s="23">
        <v>100001969</v>
      </c>
      <c r="C112" s="23" t="str">
        <v>CLIENT 101</v>
      </c>
      <c r="D112" s="23" t="str">
        <v>IDAC</v>
      </c>
      <c r="E112" s="24">
        <v>46271</v>
      </c>
      <c r="F112" s="23">
        <v>4</v>
      </c>
      <c r="G112" s="23" t="str">
        <v>II</v>
      </c>
      <c r="H112" s="23">
        <v>2</v>
      </c>
      <c r="I112" s="23">
        <v>363009075</v>
      </c>
      <c r="J112" s="23" t="str">
        <v>OUSMANE DIALLO</v>
      </c>
      <c r="K112" s="23" t="str">
        <v>CORPORATE BANKING</v>
      </c>
    </row>
    <row r="113">
      <c r="A113" s="21" t="str">
        <v>L01CDGN26149102</v>
      </c>
      <c r="B113" s="21">
        <v>100001970</v>
      </c>
      <c r="C113" s="21" t="str">
        <v>CLIENT 102</v>
      </c>
      <c r="D113" s="21" t="str">
        <v>CRLN</v>
      </c>
      <c r="E113" s="22">
        <v>46275</v>
      </c>
      <c r="F113" s="21">
        <v>29</v>
      </c>
      <c r="G113" s="21" t="str">
        <v>IV</v>
      </c>
      <c r="H113" s="21">
        <v>3</v>
      </c>
      <c r="I113" s="21">
        <v>991726333</v>
      </c>
      <c r="J113" s="21" t="str">
        <v>ROKHAYA THIAM SARR</v>
      </c>
      <c r="K113" s="21" t="str">
        <v>CONSUMER BANKING</v>
      </c>
    </row>
    <row r="114">
      <c r="A114" s="23" t="str">
        <v>L01CDGN26149103</v>
      </c>
      <c r="B114" s="23">
        <v>100001971</v>
      </c>
      <c r="C114" s="23" t="str">
        <v>CLIENT 103</v>
      </c>
      <c r="D114" s="23" t="str">
        <v>NTRD</v>
      </c>
      <c r="E114" s="24">
        <v>46281</v>
      </c>
      <c r="F114" s="23">
        <v>131</v>
      </c>
      <c r="G114" s="23" t="str">
        <v>IA</v>
      </c>
      <c r="H114" s="23">
        <v>2</v>
      </c>
      <c r="I114" s="23">
        <v>1506508</v>
      </c>
      <c r="J114" s="23" t="str">
        <v>CAMARA Adama</v>
      </c>
      <c r="K114" s="23" t="str">
        <v>CORPORATE BANKING</v>
      </c>
    </row>
    <row r="115">
      <c r="A115" s="21" t="str">
        <v>L01CDGN26149104</v>
      </c>
      <c r="B115" s="21">
        <v>100001972</v>
      </c>
      <c r="C115" s="21" t="str">
        <v>CLIENT 104</v>
      </c>
      <c r="D115" s="21" t="str">
        <v>CRAT</v>
      </c>
      <c r="E115" s="22">
        <v>46269</v>
      </c>
      <c r="F115" s="21">
        <v>150</v>
      </c>
      <c r="G115" s="21" t="str">
        <v>II</v>
      </c>
      <c r="H115" s="21">
        <v>2</v>
      </c>
      <c r="I115" s="21">
        <v>1089133950</v>
      </c>
      <c r="J115" s="21" t="str">
        <v>MBAYE SAIDATOU</v>
      </c>
      <c r="K115" s="21" t="str">
        <v>CORPORATE BANKING</v>
      </c>
    </row>
    <row r="116">
      <c r="A116" s="23" t="str">
        <v>L01CDGN26149105</v>
      </c>
      <c r="B116" s="23">
        <v>100001973</v>
      </c>
      <c r="C116" s="23" t="str">
        <v>CLIENT 105</v>
      </c>
      <c r="D116" s="23" t="str">
        <v>CDGN</v>
      </c>
      <c r="E116" s="24">
        <v>46288</v>
      </c>
      <c r="F116" s="23">
        <v>50</v>
      </c>
      <c r="G116" s="23" t="str">
        <v>III</v>
      </c>
      <c r="H116" s="23">
        <v>2</v>
      </c>
      <c r="I116" s="23">
        <v>995200463</v>
      </c>
      <c r="J116" s="23" t="str">
        <v>GUEYE Oumar</v>
      </c>
      <c r="K116" s="23" t="str">
        <v>COMMERCIAL BANKING</v>
      </c>
    </row>
    <row r="117">
      <c r="A117" s="21" t="str">
        <v>L01CDGN26149106</v>
      </c>
      <c r="B117" s="21">
        <v>100001974</v>
      </c>
      <c r="C117" s="21" t="str">
        <v>CLIENT 106</v>
      </c>
      <c r="D117" s="21" t="str">
        <v>IDAC</v>
      </c>
      <c r="E117" s="22">
        <v>46278</v>
      </c>
      <c r="F117" s="21">
        <v>120</v>
      </c>
      <c r="G117" s="21" t="str">
        <v>I</v>
      </c>
      <c r="H117" s="21">
        <v>1</v>
      </c>
      <c r="I117" s="21">
        <v>160184451</v>
      </c>
      <c r="J117" s="21" t="str">
        <v>OUSMANE DIALLO</v>
      </c>
      <c r="K117" s="21" t="str">
        <v>CONSUMER BANKING</v>
      </c>
    </row>
    <row r="118">
      <c r="A118" s="23" t="str">
        <v>L01CDGN26149107</v>
      </c>
      <c r="B118" s="23">
        <v>100001975</v>
      </c>
      <c r="C118" s="23" t="str">
        <v>CLIENT 107</v>
      </c>
      <c r="D118" s="23" t="str">
        <v>CRLN</v>
      </c>
      <c r="E118" s="24">
        <v>46266</v>
      </c>
      <c r="F118" s="23">
        <v>200</v>
      </c>
      <c r="G118" s="23" t="str">
        <v>V</v>
      </c>
      <c r="H118" s="23">
        <v>3</v>
      </c>
      <c r="I118" s="23">
        <v>382799036</v>
      </c>
      <c r="J118" s="23" t="str">
        <v>ROKHAYA THIAM SARR</v>
      </c>
      <c r="K118" s="23" t="str">
        <v>CONSUMER BANKING</v>
      </c>
    </row>
    <row r="119">
      <c r="A119" s="21" t="str">
        <v>L01CDGN26149108</v>
      </c>
      <c r="B119" s="21">
        <v>100001976</v>
      </c>
      <c r="C119" s="21" t="str">
        <v>CLIENT 108</v>
      </c>
      <c r="D119" s="21" t="str">
        <v>NTRD</v>
      </c>
      <c r="E119" s="22">
        <v>46276</v>
      </c>
      <c r="F119" s="21">
        <v>8</v>
      </c>
      <c r="G119" s="21" t="str">
        <v>II</v>
      </c>
      <c r="H119" s="21">
        <v>2</v>
      </c>
      <c r="I119" s="21">
        <v>59279007</v>
      </c>
      <c r="J119" s="21" t="str">
        <v>CAMARA Adama</v>
      </c>
      <c r="K119" s="21" t="str">
        <v>CORPORATE BANKING</v>
      </c>
    </row>
    <row r="120">
      <c r="A120" s="23" t="str">
        <v>L01CDGN26149109</v>
      </c>
      <c r="B120" s="23">
        <v>100001977</v>
      </c>
      <c r="C120" s="23" t="str">
        <v>CLIENT 109</v>
      </c>
      <c r="D120" s="23" t="str">
        <v>CRAT</v>
      </c>
      <c r="E120" s="24">
        <v>46275</v>
      </c>
      <c r="F120" s="23">
        <v>9</v>
      </c>
      <c r="G120" s="23" t="str">
        <v>IA</v>
      </c>
      <c r="H120" s="23">
        <v>2</v>
      </c>
      <c r="I120" s="23">
        <v>40631790</v>
      </c>
      <c r="J120" s="23" t="str">
        <v>MBAYE SAIDATOU</v>
      </c>
      <c r="K120" s="23" t="str">
        <v>CORPORATE BANKING</v>
      </c>
    </row>
    <row r="121">
      <c r="A121" s="21" t="str">
        <v>L01CDGN26149110</v>
      </c>
      <c r="B121" s="21">
        <v>100001978</v>
      </c>
      <c r="C121" s="21" t="str">
        <v>CLIENT 110</v>
      </c>
      <c r="D121" s="21" t="str">
        <v>CDGN</v>
      </c>
      <c r="E121" s="22">
        <v>46286</v>
      </c>
      <c r="F121" s="21">
        <v>83</v>
      </c>
      <c r="G121" s="21" t="str">
        <v>IA</v>
      </c>
      <c r="H121" s="21">
        <v>2</v>
      </c>
      <c r="I121" s="21">
        <v>81006710</v>
      </c>
      <c r="J121" s="21" t="str">
        <v>GUEYE Oumar</v>
      </c>
      <c r="K121" s="21" t="str">
        <v>CONSUMER BANKING</v>
      </c>
    </row>
    <row r="122">
      <c r="A122" s="23" t="str">
        <v>L01CDGN26149111</v>
      </c>
      <c r="B122" s="23">
        <v>100001979</v>
      </c>
      <c r="C122" s="23" t="str">
        <v>CLIENT 111</v>
      </c>
      <c r="D122" s="23" t="str">
        <v>IDAC</v>
      </c>
      <c r="E122" s="24">
        <v>46268</v>
      </c>
      <c r="F122" s="23">
        <v>60</v>
      </c>
      <c r="G122" s="23" t="str">
        <v>II</v>
      </c>
      <c r="H122" s="23">
        <v>2</v>
      </c>
      <c r="I122" s="23">
        <v>219445925</v>
      </c>
      <c r="J122" s="23" t="str">
        <v>OUSMANE DIALLO</v>
      </c>
      <c r="K122" s="23" t="str">
        <v>CORPORATE BANKING</v>
      </c>
    </row>
    <row r="123">
      <c r="A123" s="21" t="str">
        <v>L01CDGN26149112</v>
      </c>
      <c r="B123" s="21">
        <v>100001980</v>
      </c>
      <c r="C123" s="21" t="str">
        <v>CLIENT 112</v>
      </c>
      <c r="D123" s="21" t="str">
        <v>CRLN</v>
      </c>
      <c r="E123" s="22">
        <v>46269</v>
      </c>
      <c r="F123" s="21">
        <v>53</v>
      </c>
      <c r="G123" s="21" t="str">
        <v>IA</v>
      </c>
      <c r="H123" s="21">
        <v>2</v>
      </c>
      <c r="I123" s="21">
        <v>26537873</v>
      </c>
      <c r="J123" s="21" t="str">
        <v>ROKHAYA THIAM SARR</v>
      </c>
      <c r="K123" s="21" t="str">
        <v>PUBLIC SECTOR</v>
      </c>
    </row>
    <row r="124">
      <c r="A124" s="23" t="str">
        <v>L01CDGN26149113</v>
      </c>
      <c r="B124" s="23">
        <v>100001981</v>
      </c>
      <c r="C124" s="23" t="str">
        <v>CLIENT 113</v>
      </c>
      <c r="D124" s="23" t="str">
        <v>NTRD</v>
      </c>
      <c r="E124" s="24">
        <v>46278</v>
      </c>
      <c r="F124" s="23">
        <v>157</v>
      </c>
      <c r="G124" s="23" t="str">
        <v>IA</v>
      </c>
      <c r="H124" s="23">
        <v>2</v>
      </c>
      <c r="I124" s="23">
        <v>696798468</v>
      </c>
      <c r="J124" s="23" t="str">
        <v>CAMARA Adama</v>
      </c>
      <c r="K124" s="23" t="str">
        <v>CORPORATE BANKING</v>
      </c>
    </row>
    <row r="125">
      <c r="A125" s="21" t="str">
        <v>L01CDGN26149114</v>
      </c>
      <c r="B125" s="21">
        <v>100001982</v>
      </c>
      <c r="C125" s="21" t="str">
        <v>CLIENT 114</v>
      </c>
      <c r="D125" s="21" t="str">
        <v>CRAT</v>
      </c>
      <c r="E125" s="22">
        <v>46268</v>
      </c>
      <c r="F125" s="21">
        <v>69</v>
      </c>
      <c r="G125" s="21" t="str">
        <v>IV</v>
      </c>
      <c r="H125" s="21">
        <v>3</v>
      </c>
      <c r="I125" s="21">
        <v>400126788</v>
      </c>
      <c r="J125" s="21" t="str">
        <v>MBAYE SAIDATOU</v>
      </c>
      <c r="K125" s="21" t="str">
        <v>CONSUMER BANKING</v>
      </c>
    </row>
    <row r="126">
      <c r="A126" s="23" t="str">
        <v>L01CDGN26149115</v>
      </c>
      <c r="B126" s="23">
        <v>100001983</v>
      </c>
      <c r="C126" s="23" t="str">
        <v>CLIENT 115</v>
      </c>
      <c r="D126" s="23" t="str">
        <v>CDGN</v>
      </c>
      <c r="E126" s="24">
        <v>46270</v>
      </c>
      <c r="F126" s="23">
        <v>75</v>
      </c>
      <c r="G126" s="23" t="str">
        <v>IV</v>
      </c>
      <c r="H126" s="23">
        <v>3</v>
      </c>
      <c r="I126" s="23">
        <v>1101181281</v>
      </c>
      <c r="J126" s="23" t="str">
        <v>GUEYE Oumar</v>
      </c>
      <c r="K126" s="23" t="str">
        <v>CORPORATE BANKING</v>
      </c>
    </row>
    <row r="127">
      <c r="A127" s="21" t="str">
        <v>L01CDGN26149116</v>
      </c>
      <c r="B127" s="21">
        <v>100001984</v>
      </c>
      <c r="C127" s="21" t="str">
        <v>CLIENT 116</v>
      </c>
      <c r="D127" s="21" t="str">
        <v>IDAC</v>
      </c>
      <c r="E127" s="22">
        <v>46283</v>
      </c>
      <c r="F127" s="21">
        <v>2</v>
      </c>
      <c r="G127" s="21" t="str">
        <v>IA</v>
      </c>
      <c r="H127" s="21">
        <v>2</v>
      </c>
      <c r="I127" s="21">
        <v>24137124</v>
      </c>
      <c r="J127" s="21" t="str">
        <v>OUSMANE DIALLO</v>
      </c>
      <c r="K127" s="21" t="str">
        <v>CORPORATE BANKING</v>
      </c>
    </row>
    <row r="128">
      <c r="A128" s="23" t="str">
        <v>L01CDGN26149117</v>
      </c>
      <c r="B128" s="23">
        <v>100001985</v>
      </c>
      <c r="C128" s="23" t="str">
        <v>CLIENT 117</v>
      </c>
      <c r="D128" s="23" t="str">
        <v>CRLN</v>
      </c>
      <c r="E128" s="24">
        <v>46269</v>
      </c>
      <c r="F128" s="23">
        <v>14</v>
      </c>
      <c r="G128" s="23" t="str">
        <v>IA</v>
      </c>
      <c r="H128" s="23">
        <v>2</v>
      </c>
      <c r="I128" s="23">
        <v>39173551</v>
      </c>
      <c r="J128" s="23" t="str">
        <v>ROKHAYA THIAM SARR</v>
      </c>
      <c r="K128" s="23" t="str">
        <v>CORPORATE BANKING</v>
      </c>
    </row>
    <row r="129">
      <c r="A129" s="21" t="str">
        <v>L01CDGN26149118</v>
      </c>
      <c r="B129" s="21">
        <v>100001986</v>
      </c>
      <c r="C129" s="21" t="str">
        <v>CLIENT 118</v>
      </c>
      <c r="D129" s="21" t="str">
        <v>NTRD</v>
      </c>
      <c r="E129" s="22">
        <v>46266</v>
      </c>
      <c r="F129" s="21">
        <v>90</v>
      </c>
      <c r="G129" s="21" t="str">
        <v>IA</v>
      </c>
      <c r="H129" s="21">
        <v>2</v>
      </c>
      <c r="I129" s="21">
        <v>511069085</v>
      </c>
      <c r="J129" s="21" t="str">
        <v>CAMARA Adama</v>
      </c>
      <c r="K129" s="21" t="str">
        <v>COMMERCIAL BANKING</v>
      </c>
    </row>
    <row r="130">
      <c r="A130" s="23" t="str">
        <v>L01CDGN26149119</v>
      </c>
      <c r="B130" s="23">
        <v>100001987</v>
      </c>
      <c r="C130" s="23" t="str">
        <v>CLIENT 119</v>
      </c>
      <c r="D130" s="23" t="str">
        <v>CRAT</v>
      </c>
      <c r="E130" s="24">
        <v>46283</v>
      </c>
      <c r="F130" s="23">
        <v>46</v>
      </c>
      <c r="G130" s="23" t="str">
        <v>III</v>
      </c>
      <c r="H130" s="23">
        <v>2</v>
      </c>
      <c r="I130" s="23">
        <v>4647522</v>
      </c>
      <c r="J130" s="23" t="str">
        <v>MBAYE SAIDATOU</v>
      </c>
      <c r="K130" s="23" t="str">
        <v>CORPORATE BANKING</v>
      </c>
    </row>
    <row r="131">
      <c r="A131" s="21" t="str">
        <v>L01CDGN26149120</v>
      </c>
      <c r="B131" s="21">
        <v>100001988</v>
      </c>
      <c r="C131" s="21" t="str">
        <v>CLIENT 0</v>
      </c>
      <c r="D131" s="21" t="str">
        <v>CDGN</v>
      </c>
      <c r="E131" s="22">
        <v>46272</v>
      </c>
      <c r="F131" s="21">
        <v>55</v>
      </c>
      <c r="G131" s="21" t="str">
        <v>IA</v>
      </c>
      <c r="H131" s="21">
        <v>2</v>
      </c>
      <c r="I131" s="21">
        <v>3978305</v>
      </c>
      <c r="J131" s="21" t="str">
        <v>GUEYE Oumar</v>
      </c>
      <c r="K131" s="21" t="str">
        <v>CORPORATE BANKING</v>
      </c>
    </row>
    <row r="132">
      <c r="A132" s="23" t="str">
        <v>L01CDGN26149121</v>
      </c>
      <c r="B132" s="23">
        <v>100001989</v>
      </c>
      <c r="C132" s="23" t="str">
        <v>CLIENT 1</v>
      </c>
      <c r="D132" s="23" t="str">
        <v>IDAC</v>
      </c>
      <c r="E132" s="24">
        <v>46290</v>
      </c>
      <c r="F132" s="23">
        <v>9</v>
      </c>
      <c r="G132" s="23" t="str">
        <v>V</v>
      </c>
      <c r="H132" s="23">
        <v>3</v>
      </c>
      <c r="I132" s="23">
        <v>1326129</v>
      </c>
      <c r="J132" s="23" t="str">
        <v>OUSMANE DIALLO</v>
      </c>
      <c r="K132" s="23" t="str">
        <v>CORPORATE BANKING</v>
      </c>
    </row>
    <row r="133">
      <c r="A133" s="21" t="str">
        <v>L01CDGN26149122</v>
      </c>
      <c r="B133" s="21">
        <v>100001990</v>
      </c>
      <c r="C133" s="21" t="str">
        <v>CLIENT 2</v>
      </c>
      <c r="D133" s="21" t="str">
        <v>CRLN</v>
      </c>
      <c r="E133" s="22">
        <v>46272</v>
      </c>
      <c r="F133" s="21">
        <v>67</v>
      </c>
      <c r="G133" s="21" t="str">
        <v>IA</v>
      </c>
      <c r="H133" s="21">
        <v>2</v>
      </c>
      <c r="I133" s="21">
        <v>87380443</v>
      </c>
      <c r="J133" s="21" t="str">
        <v>ROKHAYA THIAM SARR</v>
      </c>
      <c r="K133" s="21" t="str">
        <v>CORPORATE BANKING</v>
      </c>
    </row>
    <row r="134">
      <c r="A134" s="23" t="str">
        <v>L01CDGN26149123</v>
      </c>
      <c r="B134" s="23">
        <v>100001991</v>
      </c>
      <c r="C134" s="23" t="str">
        <v>CLIENT 3</v>
      </c>
      <c r="D134" s="23" t="str">
        <v>NTRD</v>
      </c>
      <c r="E134" s="24">
        <v>46291</v>
      </c>
      <c r="F134" s="23">
        <v>43</v>
      </c>
      <c r="G134" s="23" t="str">
        <v>IV</v>
      </c>
      <c r="H134" s="23">
        <v>3</v>
      </c>
      <c r="I134" s="23">
        <v>27983234</v>
      </c>
      <c r="J134" s="23" t="str">
        <v>CAMARA Adama</v>
      </c>
      <c r="K134" s="23" t="str">
        <v>CORPORATE BANKING</v>
      </c>
    </row>
    <row r="135">
      <c r="A135" s="21" t="str">
        <v>L01CDGN26149124</v>
      </c>
      <c r="B135" s="21">
        <v>100001992</v>
      </c>
      <c r="C135" s="21" t="str">
        <v>CLIENT 4</v>
      </c>
      <c r="D135" s="21" t="str">
        <v>CRAT</v>
      </c>
      <c r="E135" s="22">
        <v>46290</v>
      </c>
      <c r="F135" s="21">
        <v>89</v>
      </c>
      <c r="G135" s="21" t="str">
        <v>IV</v>
      </c>
      <c r="H135" s="21">
        <v>3</v>
      </c>
      <c r="I135" s="21">
        <v>117224224</v>
      </c>
      <c r="J135" s="21" t="str">
        <v>MBAYE SAIDATOU</v>
      </c>
      <c r="K135" s="21" t="str">
        <v>CORPORATE BANKING</v>
      </c>
    </row>
    <row r="136">
      <c r="A136" s="23" t="str">
        <v>L01CDGN26149125</v>
      </c>
      <c r="B136" s="23">
        <v>100001993</v>
      </c>
      <c r="C136" s="23" t="str">
        <v>CLIENT 5</v>
      </c>
      <c r="D136" s="23" t="str">
        <v>CDGN</v>
      </c>
      <c r="E136" s="24">
        <v>46274</v>
      </c>
      <c r="F136" s="23">
        <v>67</v>
      </c>
      <c r="G136" s="23" t="str">
        <v>IV</v>
      </c>
      <c r="H136" s="23">
        <v>3</v>
      </c>
      <c r="I136" s="23">
        <v>2289417</v>
      </c>
      <c r="J136" s="23" t="str">
        <v>GUEYE Oumar</v>
      </c>
      <c r="K136" s="23" t="str">
        <v>CORPORATE BANKING</v>
      </c>
    </row>
    <row r="137">
      <c r="A137" s="21" t="str">
        <v>L01CDGN26149126</v>
      </c>
      <c r="B137" s="21">
        <v>100001994</v>
      </c>
      <c r="C137" s="21" t="str">
        <v>CLIENT 6</v>
      </c>
      <c r="D137" s="21" t="str">
        <v>IDAC</v>
      </c>
      <c r="E137" s="22">
        <v>46278</v>
      </c>
      <c r="F137" s="21">
        <v>3</v>
      </c>
      <c r="G137" s="21" t="str">
        <v>IA</v>
      </c>
      <c r="H137" s="21">
        <v>2</v>
      </c>
      <c r="I137" s="21">
        <v>1671758</v>
      </c>
      <c r="J137" s="21" t="str">
        <v>OUSMANE DIALLO</v>
      </c>
      <c r="K137" s="21" t="str">
        <v>CORPORATE BANKING</v>
      </c>
    </row>
    <row r="138">
      <c r="A138" s="23" t="str">
        <v>L01CDGN26149127</v>
      </c>
      <c r="B138" s="23">
        <v>100001995</v>
      </c>
      <c r="C138" s="23" t="str">
        <v>CLIENT 7</v>
      </c>
      <c r="D138" s="23" t="str">
        <v>CRLN</v>
      </c>
      <c r="E138" s="24">
        <v>46276</v>
      </c>
      <c r="F138" s="23">
        <v>1</v>
      </c>
      <c r="G138" s="23" t="str">
        <v>II</v>
      </c>
      <c r="H138" s="23">
        <v>2</v>
      </c>
      <c r="I138" s="23">
        <v>169597656</v>
      </c>
      <c r="J138" s="23" t="str">
        <v>ROKHAYA THIAM SARR</v>
      </c>
      <c r="K138" s="23" t="str">
        <v>PUBLIC SECTOR</v>
      </c>
    </row>
    <row r="139">
      <c r="A139" s="21" t="str">
        <v>L01CDGN26149128</v>
      </c>
      <c r="B139" s="21">
        <v>100001996</v>
      </c>
      <c r="C139" s="21" t="str">
        <v>CLIENT 8</v>
      </c>
      <c r="D139" s="21" t="str">
        <v>NTRD</v>
      </c>
      <c r="E139" s="22">
        <v>46277</v>
      </c>
      <c r="F139" s="21">
        <v>2</v>
      </c>
      <c r="G139" s="21" t="str">
        <v>V</v>
      </c>
      <c r="H139" s="21">
        <v>3</v>
      </c>
      <c r="I139" s="21">
        <v>9568426</v>
      </c>
      <c r="J139" s="21" t="str">
        <v>CAMARA Adama</v>
      </c>
      <c r="K139" s="21" t="str">
        <v>CORPORATE BANKING</v>
      </c>
    </row>
    <row r="140">
      <c r="A140" s="23" t="str">
        <v>L01CDGN26149129</v>
      </c>
      <c r="B140" s="23">
        <v>100001997</v>
      </c>
      <c r="C140" s="23" t="str">
        <v>CLIENT 9</v>
      </c>
      <c r="D140" s="23" t="str">
        <v>CRAT</v>
      </c>
      <c r="E140" s="24">
        <v>46290</v>
      </c>
      <c r="F140" s="23">
        <v>0</v>
      </c>
      <c r="G140" s="23" t="str">
        <v>II</v>
      </c>
      <c r="H140" s="23">
        <v>2</v>
      </c>
      <c r="I140" s="23">
        <v>1682981600</v>
      </c>
      <c r="J140" s="23" t="str">
        <v>MBAYE SAIDATOU</v>
      </c>
      <c r="K140" s="23" t="str">
        <v>COMMERCIAL BANKING</v>
      </c>
    </row>
    <row r="141">
      <c r="A141" s="21" t="str">
        <v>L01CDGN26149130</v>
      </c>
      <c r="B141" s="21">
        <v>100001998</v>
      </c>
      <c r="C141" s="21" t="str">
        <v>CLIENT 10</v>
      </c>
      <c r="D141" s="21" t="str">
        <v>CDGN</v>
      </c>
      <c r="E141" s="22">
        <v>46287</v>
      </c>
      <c r="F141" s="21">
        <v>24</v>
      </c>
      <c r="G141" s="21" t="str">
        <v>I</v>
      </c>
      <c r="H141" s="21">
        <v>1</v>
      </c>
      <c r="I141" s="21">
        <v>74296</v>
      </c>
      <c r="J141" s="21" t="str">
        <v>GUEYE Oumar</v>
      </c>
      <c r="K141" s="21" t="str">
        <v>CONSUMER BANKING</v>
      </c>
    </row>
    <row r="142">
      <c r="A142" s="23" t="str">
        <v>L01CDGN26149131</v>
      </c>
      <c r="B142" s="23">
        <v>100001999</v>
      </c>
      <c r="C142" s="23" t="str">
        <v>CLIENT 11</v>
      </c>
      <c r="D142" s="23" t="str">
        <v>IDAC</v>
      </c>
      <c r="E142" s="24">
        <v>46276</v>
      </c>
      <c r="F142" s="23">
        <v>39</v>
      </c>
      <c r="G142" s="23" t="str">
        <v>II</v>
      </c>
      <c r="H142" s="23">
        <v>2</v>
      </c>
      <c r="I142" s="23">
        <v>104742762</v>
      </c>
      <c r="J142" s="23" t="str">
        <v>OUSMANE DIALLO</v>
      </c>
      <c r="K142" s="23" t="str">
        <v>CORPORATE BANKING</v>
      </c>
    </row>
    <row r="143">
      <c r="A143" s="21" t="str">
        <v>L01CDGN26149132</v>
      </c>
      <c r="B143" s="21">
        <v>100002000</v>
      </c>
      <c r="C143" s="21" t="str">
        <v>CLIENT 12</v>
      </c>
      <c r="D143" s="21" t="str">
        <v>CRLN</v>
      </c>
      <c r="E143" s="22">
        <v>46293</v>
      </c>
      <c r="F143" s="21">
        <v>3</v>
      </c>
      <c r="G143" s="21" t="str">
        <v>IA</v>
      </c>
      <c r="H143" s="21">
        <v>2</v>
      </c>
      <c r="I143" s="21">
        <v>636505645</v>
      </c>
      <c r="J143" s="21" t="str">
        <v>ROKHAYA THIAM SARR</v>
      </c>
      <c r="K143" s="21" t="str">
        <v>CORPORATE BANKING</v>
      </c>
    </row>
    <row r="144">
      <c r="A144" s="23" t="str">
        <v>L01CDGN26149133</v>
      </c>
      <c r="B144" s="23">
        <v>100002001</v>
      </c>
      <c r="C144" s="23" t="str">
        <v>CLIENT 13</v>
      </c>
      <c r="D144" s="23" t="str">
        <v>NTRD</v>
      </c>
      <c r="E144" s="24">
        <v>46281</v>
      </c>
      <c r="F144" s="23">
        <v>24</v>
      </c>
      <c r="G144" s="23" t="str">
        <v>V</v>
      </c>
      <c r="H144" s="23">
        <v>3</v>
      </c>
      <c r="I144" s="23">
        <v>673394916</v>
      </c>
      <c r="J144" s="23" t="str">
        <v>CAMARA Adama</v>
      </c>
      <c r="K144" s="23" t="str">
        <v>CORPORATE BANKING</v>
      </c>
    </row>
    <row r="145">
      <c r="A145" s="21" t="str">
        <v>L01CDGN26149134</v>
      </c>
      <c r="B145" s="21">
        <v>100002002</v>
      </c>
      <c r="C145" s="21" t="str">
        <v>CLIENT 14</v>
      </c>
      <c r="D145" s="21" t="str">
        <v>CRAT</v>
      </c>
      <c r="E145" s="22">
        <v>46272</v>
      </c>
      <c r="F145" s="21">
        <v>127</v>
      </c>
      <c r="G145" s="21" t="str">
        <v>IA</v>
      </c>
      <c r="H145" s="21">
        <v>2</v>
      </c>
      <c r="I145" s="21">
        <v>241945725</v>
      </c>
      <c r="J145" s="21" t="str">
        <v>MBAYE SAIDATOU</v>
      </c>
      <c r="K145" s="21" t="str">
        <v>CORPORATE BANKING</v>
      </c>
    </row>
    <row r="146">
      <c r="A146" s="23" t="str">
        <v>L01CDGN26149135</v>
      </c>
      <c r="B146" s="23">
        <v>100002003</v>
      </c>
      <c r="C146" s="23" t="str">
        <v>CLIENT 15</v>
      </c>
      <c r="D146" s="23" t="str">
        <v>CDGN</v>
      </c>
      <c r="E146" s="24">
        <v>46281</v>
      </c>
      <c r="F146" s="23">
        <v>17</v>
      </c>
      <c r="G146" s="23" t="str">
        <v>V</v>
      </c>
      <c r="H146" s="23">
        <v>3</v>
      </c>
      <c r="I146" s="23">
        <v>906881947</v>
      </c>
      <c r="J146" s="23" t="str">
        <v>GUEYE Oumar</v>
      </c>
      <c r="K146" s="23" t="str">
        <v>CORPORATE BANKING</v>
      </c>
    </row>
    <row r="147">
      <c r="A147" s="21" t="str">
        <v>L01CDGN26149136</v>
      </c>
      <c r="B147" s="21">
        <v>100002004</v>
      </c>
      <c r="C147" s="21" t="str">
        <v>CLIENT 16</v>
      </c>
      <c r="D147" s="21" t="str">
        <v>IDAC</v>
      </c>
      <c r="E147" s="22">
        <v>46289</v>
      </c>
      <c r="F147" s="21">
        <v>9</v>
      </c>
      <c r="G147" s="21" t="str">
        <v>V</v>
      </c>
      <c r="H147" s="21">
        <v>3</v>
      </c>
      <c r="I147" s="21">
        <v>74888386</v>
      </c>
      <c r="J147" s="21" t="str">
        <v>OUSMANE DIALLO</v>
      </c>
      <c r="K147" s="21" t="str">
        <v>CORPORATE BANKING</v>
      </c>
    </row>
    <row r="148">
      <c r="A148" s="23" t="str">
        <v>L01CDGN26149137</v>
      </c>
      <c r="B148" s="23">
        <v>100002005</v>
      </c>
      <c r="C148" s="23" t="str">
        <v>CLIENT 17</v>
      </c>
      <c r="D148" s="23" t="str">
        <v>CRLN</v>
      </c>
      <c r="E148" s="24">
        <v>46277</v>
      </c>
      <c r="F148" s="23">
        <v>93</v>
      </c>
      <c r="G148" s="23" t="str">
        <v>III</v>
      </c>
      <c r="H148" s="23">
        <v>2</v>
      </c>
      <c r="I148" s="23">
        <v>250200314</v>
      </c>
      <c r="J148" s="23" t="str">
        <v>ROKHAYA THIAM SARR</v>
      </c>
      <c r="K148" s="23" t="str">
        <v>CONSUMER BANKING</v>
      </c>
    </row>
    <row r="149">
      <c r="A149" s="21" t="str">
        <v>L01CDGN26149138</v>
      </c>
      <c r="B149" s="21">
        <v>100002006</v>
      </c>
      <c r="C149" s="21" t="str">
        <v>CLIENT 18</v>
      </c>
      <c r="D149" s="21" t="str">
        <v>NTRD</v>
      </c>
      <c r="E149" s="22">
        <v>46267</v>
      </c>
      <c r="F149" s="21">
        <v>133</v>
      </c>
      <c r="G149" s="21" t="str">
        <v>V</v>
      </c>
      <c r="H149" s="21">
        <v>3</v>
      </c>
      <c r="I149" s="21">
        <v>1473457915</v>
      </c>
      <c r="J149" s="21" t="str">
        <v>CAMARA Adama</v>
      </c>
      <c r="K149" s="21" t="str">
        <v>COMMERCIAL BANKING</v>
      </c>
    </row>
    <row r="150">
      <c r="A150" s="23" t="str">
        <v>L01CDGN26149139</v>
      </c>
      <c r="B150" s="23">
        <v>100002007</v>
      </c>
      <c r="C150" s="23" t="str">
        <v>CLIENT 19</v>
      </c>
      <c r="D150" s="23" t="str">
        <v>CRAT</v>
      </c>
      <c r="E150" s="24">
        <v>46287</v>
      </c>
      <c r="F150" s="23">
        <v>77</v>
      </c>
      <c r="G150" s="23" t="str">
        <v>IA</v>
      </c>
      <c r="H150" s="23">
        <v>2</v>
      </c>
      <c r="I150" s="23">
        <v>1880441130</v>
      </c>
      <c r="J150" s="23" t="str">
        <v>MBAYE SAIDATOU</v>
      </c>
      <c r="K150" s="23" t="str">
        <v>CORPORATE BANKING</v>
      </c>
    </row>
    <row r="151">
      <c r="A151" s="21" t="str">
        <v>L01CDGN26149140</v>
      </c>
      <c r="B151" s="21">
        <v>100002008</v>
      </c>
      <c r="C151" s="21" t="str">
        <v>CLIENT 20</v>
      </c>
      <c r="D151" s="21" t="str">
        <v>CDGN</v>
      </c>
      <c r="E151" s="22">
        <v>46282</v>
      </c>
      <c r="F151" s="21">
        <v>288</v>
      </c>
      <c r="G151" s="21" t="str">
        <v>I</v>
      </c>
      <c r="H151" s="21">
        <v>1</v>
      </c>
      <c r="I151" s="21">
        <v>448544940</v>
      </c>
      <c r="J151" s="21" t="str">
        <v>GUEYE Oumar</v>
      </c>
      <c r="K151" s="21" t="str">
        <v>CORPORATE BANKING</v>
      </c>
    </row>
    <row r="152">
      <c r="A152" s="23" t="str">
        <v>L01CDGN26149141</v>
      </c>
      <c r="B152" s="23">
        <v>100002009</v>
      </c>
      <c r="C152" s="23" t="str">
        <v>CLIENT 21</v>
      </c>
      <c r="D152" s="23" t="str">
        <v>IDAC</v>
      </c>
      <c r="E152" s="24">
        <v>46289</v>
      </c>
      <c r="F152" s="23">
        <v>26</v>
      </c>
      <c r="G152" s="23" t="str">
        <v>IV</v>
      </c>
      <c r="H152" s="23">
        <v>3</v>
      </c>
      <c r="I152" s="23">
        <v>263941012</v>
      </c>
      <c r="J152" s="23" t="str">
        <v>OUSMANE DIALLO</v>
      </c>
      <c r="K152" s="23" t="str">
        <v>PUBLIC SECTOR</v>
      </c>
    </row>
    <row r="153">
      <c r="A153" s="21" t="str">
        <v>L01CDGN26149142</v>
      </c>
      <c r="B153" s="21">
        <v>100002010</v>
      </c>
      <c r="C153" s="21" t="str">
        <v>CLIENT 22</v>
      </c>
      <c r="D153" s="21" t="str">
        <v>CRLN</v>
      </c>
      <c r="E153" s="22">
        <v>46283</v>
      </c>
      <c r="F153" s="21">
        <v>107</v>
      </c>
      <c r="G153" s="21" t="str">
        <v>III</v>
      </c>
      <c r="H153" s="21">
        <v>2</v>
      </c>
      <c r="I153" s="21">
        <v>1932840693</v>
      </c>
      <c r="J153" s="21" t="str">
        <v>ROKHAYA THIAM SARR</v>
      </c>
      <c r="K153" s="21" t="str">
        <v>CONSUMER BANKING</v>
      </c>
    </row>
    <row r="154">
      <c r="A154" s="23" t="str">
        <v>L01CDGN26149143</v>
      </c>
      <c r="B154" s="23">
        <v>100002011</v>
      </c>
      <c r="C154" s="23" t="str">
        <v>CLIENT 23</v>
      </c>
      <c r="D154" s="23" t="str">
        <v>NTRD</v>
      </c>
      <c r="E154" s="24">
        <v>46276</v>
      </c>
      <c r="F154" s="23">
        <v>146</v>
      </c>
      <c r="G154" s="23" t="str">
        <v>IV</v>
      </c>
      <c r="H154" s="23">
        <v>3</v>
      </c>
      <c r="I154" s="23">
        <v>407703459</v>
      </c>
      <c r="J154" s="23" t="str">
        <v>CAMARA Adama</v>
      </c>
      <c r="K154" s="23" t="str">
        <v>CORPORATE BANKING</v>
      </c>
    </row>
    <row r="155">
      <c r="A155" s="21" t="str">
        <v>L01CDGN26149144</v>
      </c>
      <c r="B155" s="21">
        <v>100002012</v>
      </c>
      <c r="C155" s="21" t="str">
        <v>CLIENT 24</v>
      </c>
      <c r="D155" s="21" t="str">
        <v>CRAT</v>
      </c>
      <c r="E155" s="22">
        <v>46290</v>
      </c>
      <c r="F155" s="21">
        <v>2</v>
      </c>
      <c r="G155" s="21" t="str">
        <v>IV</v>
      </c>
      <c r="H155" s="21">
        <v>3</v>
      </c>
      <c r="I155" s="21">
        <v>10657521</v>
      </c>
      <c r="J155" s="21" t="str">
        <v>MBAYE SAIDATOU</v>
      </c>
      <c r="K155" s="21" t="str">
        <v>CORPORATE BANKING</v>
      </c>
    </row>
    <row r="156">
      <c r="A156" s="23" t="str">
        <v>L01CDGN26149145</v>
      </c>
      <c r="B156" s="23">
        <v>100002013</v>
      </c>
      <c r="C156" s="23" t="str">
        <v>CLIENT 25</v>
      </c>
      <c r="D156" s="23" t="str">
        <v>CDGN</v>
      </c>
      <c r="E156" s="24">
        <v>46266</v>
      </c>
      <c r="F156" s="23">
        <v>7</v>
      </c>
      <c r="G156" s="23" t="str">
        <v>IA</v>
      </c>
      <c r="H156" s="23">
        <v>2</v>
      </c>
      <c r="I156" s="23">
        <v>96172386</v>
      </c>
      <c r="J156" s="23" t="str">
        <v>GUEYE Oumar</v>
      </c>
      <c r="K156" s="23" t="str">
        <v>CORPORATE BANKING</v>
      </c>
    </row>
    <row r="157">
      <c r="A157" s="21" t="str">
        <v>L01CDGN26149146</v>
      </c>
      <c r="B157" s="21">
        <v>100002014</v>
      </c>
      <c r="C157" s="21" t="str">
        <v>CLIENT 26</v>
      </c>
      <c r="D157" s="21" t="str">
        <v>IDAC</v>
      </c>
      <c r="E157" s="22">
        <v>46281</v>
      </c>
      <c r="F157" s="21">
        <v>33</v>
      </c>
      <c r="G157" s="21" t="str">
        <v>I</v>
      </c>
      <c r="H157" s="21">
        <v>1</v>
      </c>
      <c r="I157" s="21">
        <v>775766594</v>
      </c>
      <c r="J157" s="21" t="str">
        <v>OUSMANE DIALLO</v>
      </c>
      <c r="K157" s="21" t="str">
        <v>CORPORATE BANKING</v>
      </c>
    </row>
    <row r="158">
      <c r="A158" s="23" t="str">
        <v>L01CDGN26149147</v>
      </c>
      <c r="B158" s="23">
        <v>100002015</v>
      </c>
      <c r="C158" s="23" t="str">
        <v>CLIENT 27</v>
      </c>
      <c r="D158" s="23" t="str">
        <v>CRLN</v>
      </c>
      <c r="E158" s="24">
        <v>46275</v>
      </c>
      <c r="F158" s="23">
        <v>43</v>
      </c>
      <c r="G158" s="23" t="str">
        <v>IV</v>
      </c>
      <c r="H158" s="23">
        <v>3</v>
      </c>
      <c r="I158" s="23">
        <v>661984472</v>
      </c>
      <c r="J158" s="23" t="str">
        <v>ROKHAYA THIAM SARR</v>
      </c>
      <c r="K158" s="23" t="str">
        <v>PUBLIC SECTOR</v>
      </c>
    </row>
    <row r="159">
      <c r="A159" s="21" t="str">
        <v>L01CDGN26149148</v>
      </c>
      <c r="B159" s="21">
        <v>100002016</v>
      </c>
      <c r="C159" s="21" t="str">
        <v>CLIENT 28</v>
      </c>
      <c r="D159" s="21" t="str">
        <v>NTRD</v>
      </c>
      <c r="E159" s="22">
        <v>46268</v>
      </c>
      <c r="F159" s="21">
        <v>98</v>
      </c>
      <c r="G159" s="21" t="str">
        <v>I</v>
      </c>
      <c r="H159" s="21">
        <v>1</v>
      </c>
      <c r="I159" s="21">
        <v>648973224</v>
      </c>
      <c r="J159" s="21" t="str">
        <v>CAMARA Adama</v>
      </c>
      <c r="K159" s="21" t="str">
        <v>CORPORATE BANKING</v>
      </c>
    </row>
    <row r="160">
      <c r="A160" s="23" t="str">
        <v>L01CDGN26149149</v>
      </c>
      <c r="B160" s="23">
        <v>100002017</v>
      </c>
      <c r="C160" s="23" t="str">
        <v>CLIENT 29</v>
      </c>
      <c r="D160" s="23" t="str">
        <v>CRAT</v>
      </c>
      <c r="E160" s="24">
        <v>46278</v>
      </c>
      <c r="F160" s="23">
        <v>206</v>
      </c>
      <c r="G160" s="23" t="str">
        <v>III</v>
      </c>
      <c r="H160" s="23">
        <v>2</v>
      </c>
      <c r="I160" s="23">
        <v>787345164</v>
      </c>
      <c r="J160" s="23" t="str">
        <v>MBAYE SAIDATOU</v>
      </c>
      <c r="K160" s="23" t="str">
        <v>COMMERCIAL BANKING</v>
      </c>
    </row>
    <row r="161">
      <c r="A161" s="21" t="str">
        <v>L01CDGN26149150</v>
      </c>
      <c r="B161" s="21">
        <v>100002018</v>
      </c>
      <c r="C161" s="21" t="str">
        <v>CLIENT 30</v>
      </c>
      <c r="D161" s="21" t="str">
        <v>CDGN</v>
      </c>
      <c r="E161" s="22">
        <v>46290</v>
      </c>
      <c r="F161" s="21">
        <v>111</v>
      </c>
      <c r="G161" s="21" t="str">
        <v>IA</v>
      </c>
      <c r="H161" s="21">
        <v>2</v>
      </c>
      <c r="I161" s="21">
        <v>18585</v>
      </c>
      <c r="J161" s="21" t="str">
        <v>GUEYE Oumar</v>
      </c>
      <c r="K161" s="21" t="str">
        <v>CORPORATE BANKING</v>
      </c>
    </row>
    <row r="162">
      <c r="A162" s="23" t="str">
        <v>L01CDGN26149151</v>
      </c>
      <c r="B162" s="23">
        <v>100002019</v>
      </c>
      <c r="C162" s="23" t="str">
        <v>CLIENT 31</v>
      </c>
      <c r="D162" s="23" t="str">
        <v>IDAC</v>
      </c>
      <c r="E162" s="24">
        <v>46291</v>
      </c>
      <c r="F162" s="23">
        <v>88</v>
      </c>
      <c r="G162" s="23" t="str">
        <v>V</v>
      </c>
      <c r="H162" s="23">
        <v>3</v>
      </c>
      <c r="I162" s="23">
        <v>116036993</v>
      </c>
      <c r="J162" s="23" t="str">
        <v>OUSMANE DIALLO</v>
      </c>
      <c r="K162" s="23" t="str">
        <v>CORPORATE BANKING</v>
      </c>
    </row>
    <row r="163">
      <c r="A163" s="21" t="str">
        <v>L01CDGN26149152</v>
      </c>
      <c r="B163" s="21">
        <v>100002020</v>
      </c>
      <c r="C163" s="21" t="str">
        <v>CLIENT 32</v>
      </c>
      <c r="D163" s="21" t="str">
        <v>CRLN</v>
      </c>
      <c r="E163" s="22">
        <v>46280</v>
      </c>
      <c r="F163" s="21">
        <v>61</v>
      </c>
      <c r="G163" s="21" t="str">
        <v>V</v>
      </c>
      <c r="H163" s="21">
        <v>3</v>
      </c>
      <c r="I163" s="21">
        <v>713312096</v>
      </c>
      <c r="J163" s="21" t="str">
        <v>ROKHAYA THIAM SARR</v>
      </c>
      <c r="K163" s="21" t="str">
        <v>CORPORATE BANKING</v>
      </c>
    </row>
    <row r="164">
      <c r="A164" s="23" t="str">
        <v>L01CDGN26149153</v>
      </c>
      <c r="B164" s="23">
        <v>100002021</v>
      </c>
      <c r="C164" s="23" t="str">
        <v>CLIENT 33</v>
      </c>
      <c r="D164" s="23" t="str">
        <v>NTRD</v>
      </c>
      <c r="E164" s="24">
        <v>46270</v>
      </c>
      <c r="F164" s="23">
        <v>107</v>
      </c>
      <c r="G164" s="23" t="str">
        <v>IA</v>
      </c>
      <c r="H164" s="23">
        <v>2</v>
      </c>
      <c r="I164" s="23">
        <v>101579684</v>
      </c>
      <c r="J164" s="23" t="str">
        <v>CAMARA Adama</v>
      </c>
      <c r="K164" s="23" t="str">
        <v>CORPORATE BANKING</v>
      </c>
    </row>
    <row r="165">
      <c r="A165" s="21" t="str">
        <v>L01CDGN26149154</v>
      </c>
      <c r="B165" s="21">
        <v>100002022</v>
      </c>
      <c r="C165" s="21" t="str">
        <v>CLIENT 34</v>
      </c>
      <c r="D165" s="21" t="str">
        <v>CRAT</v>
      </c>
      <c r="E165" s="22">
        <v>46281</v>
      </c>
      <c r="F165" s="21">
        <v>6</v>
      </c>
      <c r="G165" s="21" t="str">
        <v>III</v>
      </c>
      <c r="H165" s="21">
        <v>2</v>
      </c>
      <c r="I165" s="21">
        <v>358691351</v>
      </c>
      <c r="J165" s="21" t="str">
        <v>MBAYE SAIDATOU</v>
      </c>
      <c r="K165" s="21" t="str">
        <v>CORPORATE BANKING</v>
      </c>
    </row>
    <row r="166">
      <c r="A166" s="23" t="str">
        <v>L01CDGN26149155</v>
      </c>
      <c r="B166" s="23">
        <v>100002023</v>
      </c>
      <c r="C166" s="23" t="str">
        <v>CLIENT 35</v>
      </c>
      <c r="D166" s="23" t="str">
        <v>CDGN</v>
      </c>
      <c r="E166" s="24">
        <v>46293</v>
      </c>
      <c r="F166" s="23">
        <v>11</v>
      </c>
      <c r="G166" s="23" t="str">
        <v>IA</v>
      </c>
      <c r="H166" s="23">
        <v>2</v>
      </c>
      <c r="I166" s="23">
        <v>209590914</v>
      </c>
      <c r="J166" s="23" t="str">
        <v>GUEYE Oumar</v>
      </c>
      <c r="K166" s="23" t="str">
        <v>COMMERCIAL BANKING</v>
      </c>
    </row>
    <row r="167">
      <c r="A167" s="21" t="str">
        <v>L01CDGN26149156</v>
      </c>
      <c r="B167" s="21">
        <v>100002024</v>
      </c>
      <c r="C167" s="21" t="str">
        <v>CLIENT 36</v>
      </c>
      <c r="D167" s="21" t="str">
        <v>IDAC</v>
      </c>
      <c r="E167" s="22">
        <v>46266</v>
      </c>
      <c r="F167" s="21">
        <v>42</v>
      </c>
      <c r="G167" s="21" t="str">
        <v>III</v>
      </c>
      <c r="H167" s="21">
        <v>2</v>
      </c>
      <c r="I167" s="21">
        <v>804178363</v>
      </c>
      <c r="J167" s="21" t="str">
        <v>OUSMANE DIALLO</v>
      </c>
      <c r="K167" s="21" t="str">
        <v>CORPORATE BANKING</v>
      </c>
    </row>
    <row r="168">
      <c r="A168" s="23" t="str">
        <v>L01CDGN26149157</v>
      </c>
      <c r="B168" s="23">
        <v>100002025</v>
      </c>
      <c r="C168" s="23" t="str">
        <v>CLIENT 37</v>
      </c>
      <c r="D168" s="23" t="str">
        <v>CRLN</v>
      </c>
      <c r="E168" s="24">
        <v>46280</v>
      </c>
      <c r="F168" s="23">
        <v>61</v>
      </c>
      <c r="G168" s="23" t="str">
        <v>I</v>
      </c>
      <c r="H168" s="23">
        <v>1</v>
      </c>
      <c r="I168" s="23">
        <v>1213822639</v>
      </c>
      <c r="J168" s="23" t="str">
        <v>ROKHAYA THIAM SARR</v>
      </c>
      <c r="K168" s="23" t="str">
        <v>COMMERCIAL BANKING</v>
      </c>
    </row>
    <row r="169">
      <c r="A169" s="21" t="str">
        <v>L01CDGN26149158</v>
      </c>
      <c r="B169" s="21">
        <v>100002026</v>
      </c>
      <c r="C169" s="21" t="str">
        <v>CLIENT 38</v>
      </c>
      <c r="D169" s="21" t="str">
        <v>NTRD</v>
      </c>
      <c r="E169" s="22">
        <v>46272</v>
      </c>
      <c r="F169" s="21">
        <v>74</v>
      </c>
      <c r="G169" s="21" t="str">
        <v>III</v>
      </c>
      <c r="H169" s="21">
        <v>2</v>
      </c>
      <c r="I169" s="21">
        <v>98589095</v>
      </c>
      <c r="J169" s="21" t="str">
        <v>CAMARA Adama</v>
      </c>
      <c r="K169" s="21" t="str">
        <v>CORPORATE BANKING</v>
      </c>
    </row>
    <row r="170">
      <c r="A170" s="23" t="str">
        <v>L01CDGN26149159</v>
      </c>
      <c r="B170" s="23">
        <v>100002027</v>
      </c>
      <c r="C170" s="23" t="str">
        <v>CLIENT 39</v>
      </c>
      <c r="D170" s="23" t="str">
        <v>CRAT</v>
      </c>
      <c r="E170" s="24">
        <v>46283</v>
      </c>
      <c r="F170" s="23">
        <v>8</v>
      </c>
      <c r="G170" s="23" t="str">
        <v>IA</v>
      </c>
      <c r="H170" s="23">
        <v>2</v>
      </c>
      <c r="I170" s="23">
        <v>978475218</v>
      </c>
      <c r="J170" s="23" t="str">
        <v>MBAYE SAIDATOU</v>
      </c>
      <c r="K170" s="23" t="str">
        <v>COMMERCIAL BANKING</v>
      </c>
    </row>
    <row r="171">
      <c r="A171" s="21" t="str">
        <v>L01CDGN26149160</v>
      </c>
      <c r="B171" s="21">
        <v>100002028</v>
      </c>
      <c r="C171" s="21" t="str">
        <v>CLIENT 40</v>
      </c>
      <c r="D171" s="21" t="str">
        <v>CDGN</v>
      </c>
      <c r="E171" s="22">
        <v>46276</v>
      </c>
      <c r="F171" s="21">
        <v>148</v>
      </c>
      <c r="G171" s="21" t="str">
        <v>II</v>
      </c>
      <c r="H171" s="21">
        <v>2</v>
      </c>
      <c r="I171" s="21">
        <v>1216985263</v>
      </c>
      <c r="J171" s="21" t="str">
        <v>GUEYE Oumar</v>
      </c>
      <c r="K171" s="21" t="str">
        <v>CORPORATE BANKING</v>
      </c>
    </row>
    <row r="172">
      <c r="A172" s="23" t="str">
        <v>L01CDGN26149161</v>
      </c>
      <c r="B172" s="23">
        <v>100002029</v>
      </c>
      <c r="C172" s="23" t="str">
        <v>CLIENT 41</v>
      </c>
      <c r="D172" s="23" t="str">
        <v>IDAC</v>
      </c>
      <c r="E172" s="24">
        <v>46274</v>
      </c>
      <c r="F172" s="23">
        <v>185</v>
      </c>
      <c r="G172" s="23" t="str">
        <v>IV</v>
      </c>
      <c r="H172" s="23">
        <v>3</v>
      </c>
      <c r="I172" s="23">
        <v>657087</v>
      </c>
      <c r="J172" s="23" t="str">
        <v>OUSMANE DIALLO</v>
      </c>
      <c r="K172" s="23" t="str">
        <v>COMMERCIAL BANKING</v>
      </c>
    </row>
    <row r="173">
      <c r="A173" s="21" t="str">
        <v>L01CDGN26149162</v>
      </c>
      <c r="B173" s="21">
        <v>100002030</v>
      </c>
      <c r="C173" s="21" t="str">
        <v>CLIENT 42</v>
      </c>
      <c r="D173" s="21" t="str">
        <v>CRLN</v>
      </c>
      <c r="E173" s="22">
        <v>46276</v>
      </c>
      <c r="F173" s="21">
        <v>1</v>
      </c>
      <c r="G173" s="21" t="str">
        <v>IA</v>
      </c>
      <c r="H173" s="21">
        <v>2</v>
      </c>
      <c r="I173" s="21">
        <v>29020331</v>
      </c>
      <c r="J173" s="21" t="str">
        <v>ROKHAYA THIAM SARR</v>
      </c>
      <c r="K173" s="21" t="str">
        <v>CORPORATE BANKING</v>
      </c>
    </row>
    <row r="174">
      <c r="A174" s="23" t="str">
        <v>L01CDGN26149163</v>
      </c>
      <c r="B174" s="23">
        <v>100002031</v>
      </c>
      <c r="C174" s="23" t="str">
        <v>CLIENT 43</v>
      </c>
      <c r="D174" s="23" t="str">
        <v>NTRD</v>
      </c>
      <c r="E174" s="24">
        <v>46267</v>
      </c>
      <c r="F174" s="23">
        <v>28</v>
      </c>
      <c r="G174" s="23" t="str">
        <v>V</v>
      </c>
      <c r="H174" s="23">
        <v>3</v>
      </c>
      <c r="I174" s="23">
        <v>1963473305</v>
      </c>
      <c r="J174" s="23" t="str">
        <v>CAMARA Adama</v>
      </c>
      <c r="K174" s="23" t="str">
        <v>CORPORATE BANKING</v>
      </c>
    </row>
    <row r="175">
      <c r="A175" s="21" t="str">
        <v>L01CDGN26149164</v>
      </c>
      <c r="B175" s="21">
        <v>100002032</v>
      </c>
      <c r="C175" s="21" t="str">
        <v>CLIENT 44</v>
      </c>
      <c r="D175" s="21" t="str">
        <v>CRAT</v>
      </c>
      <c r="E175" s="22">
        <v>46271</v>
      </c>
      <c r="F175" s="21">
        <v>28</v>
      </c>
      <c r="G175" s="21" t="str">
        <v>IA</v>
      </c>
      <c r="H175" s="21">
        <v>2</v>
      </c>
      <c r="I175" s="21">
        <v>508210908</v>
      </c>
      <c r="J175" s="21" t="str">
        <v>MBAYE SAIDATOU</v>
      </c>
      <c r="K175" s="21" t="str">
        <v>CORPORATE BANKING</v>
      </c>
    </row>
    <row r="176">
      <c r="A176" s="23" t="str">
        <v>L01CDGN26149165</v>
      </c>
      <c r="B176" s="23">
        <v>100002033</v>
      </c>
      <c r="C176" s="23" t="str">
        <v>CLIENT 45</v>
      </c>
      <c r="D176" s="23" t="str">
        <v>CDGN</v>
      </c>
      <c r="E176" s="24">
        <v>46268</v>
      </c>
      <c r="F176" s="23">
        <v>4</v>
      </c>
      <c r="G176" s="23" t="str">
        <v>IV</v>
      </c>
      <c r="H176" s="23">
        <v>3</v>
      </c>
      <c r="I176" s="23">
        <v>733120410</v>
      </c>
      <c r="J176" s="23" t="str">
        <v>GUEYE Oumar</v>
      </c>
      <c r="K176" s="23" t="str">
        <v>CORPORATE BANKING</v>
      </c>
    </row>
    <row r="177">
      <c r="A177" s="21" t="str">
        <v>L01CDGN26149166</v>
      </c>
      <c r="B177" s="21">
        <v>100002034</v>
      </c>
      <c r="C177" s="21" t="str">
        <v>CLIENT 46</v>
      </c>
      <c r="D177" s="21" t="str">
        <v>IDAC</v>
      </c>
      <c r="E177" s="22">
        <v>46278</v>
      </c>
      <c r="F177" s="21">
        <v>85</v>
      </c>
      <c r="G177" s="21" t="str">
        <v>II</v>
      </c>
      <c r="H177" s="21">
        <v>2</v>
      </c>
      <c r="I177" s="21">
        <v>369283</v>
      </c>
      <c r="J177" s="21" t="str">
        <v>OUSMANE DIALLO</v>
      </c>
      <c r="K177" s="21" t="str">
        <v>CORPORATE BANKING</v>
      </c>
    </row>
    <row r="178">
      <c r="A178" s="23" t="str">
        <v>L01CDGN26149167</v>
      </c>
      <c r="B178" s="23">
        <v>100002035</v>
      </c>
      <c r="C178" s="23" t="str">
        <v>CLIENT 47</v>
      </c>
      <c r="D178" s="23" t="str">
        <v>CRLN</v>
      </c>
      <c r="E178" s="24">
        <v>46290</v>
      </c>
      <c r="F178" s="23">
        <v>33</v>
      </c>
      <c r="G178" s="23" t="str">
        <v>IV</v>
      </c>
      <c r="H178" s="23">
        <v>3</v>
      </c>
      <c r="I178" s="23">
        <v>71387041</v>
      </c>
      <c r="J178" s="23" t="str">
        <v>ROKHAYA THIAM SARR</v>
      </c>
      <c r="K178" s="23" t="str">
        <v>CONSUMER BANKING</v>
      </c>
    </row>
    <row r="179">
      <c r="A179" s="21" t="str">
        <v>L01CDGN26149168</v>
      </c>
      <c r="B179" s="21">
        <v>100002036</v>
      </c>
      <c r="C179" s="21" t="str">
        <v>CLIENT 48</v>
      </c>
      <c r="D179" s="21" t="str">
        <v>NTRD</v>
      </c>
      <c r="E179" s="22">
        <v>46292</v>
      </c>
      <c r="F179" s="21">
        <v>93</v>
      </c>
      <c r="G179" s="21" t="str">
        <v>II</v>
      </c>
      <c r="H179" s="21">
        <v>2</v>
      </c>
      <c r="I179" s="21">
        <v>3541831</v>
      </c>
      <c r="J179" s="21" t="str">
        <v>CAMARA Adama</v>
      </c>
      <c r="K179" s="21" t="str">
        <v>COMMERCIAL BANKING</v>
      </c>
    </row>
    <row r="180">
      <c r="A180" s="23" t="str">
        <v>L01CDGN26149169</v>
      </c>
      <c r="B180" s="23">
        <v>100002037</v>
      </c>
      <c r="C180" s="23" t="str">
        <v>CLIENT 49</v>
      </c>
      <c r="D180" s="23" t="str">
        <v>CRAT</v>
      </c>
      <c r="E180" s="24">
        <v>46283</v>
      </c>
      <c r="F180" s="23">
        <v>16</v>
      </c>
      <c r="G180" s="23" t="str">
        <v>IA</v>
      </c>
      <c r="H180" s="23">
        <v>2</v>
      </c>
      <c r="I180" s="23">
        <v>106944739</v>
      </c>
      <c r="J180" s="23" t="str">
        <v>MBAYE SAIDATOU</v>
      </c>
      <c r="K180" s="23" t="str">
        <v>CONSUMER BANKING</v>
      </c>
    </row>
    <row r="181">
      <c r="A181" s="21" t="str">
        <v>L01CDGN26149170</v>
      </c>
      <c r="B181" s="21">
        <v>100002038</v>
      </c>
      <c r="C181" s="21" t="str">
        <v>CLIENT 50</v>
      </c>
      <c r="D181" s="21" t="str">
        <v>CDGN</v>
      </c>
      <c r="E181" s="22">
        <v>46267</v>
      </c>
      <c r="F181" s="21">
        <v>41</v>
      </c>
      <c r="G181" s="21" t="str">
        <v>III</v>
      </c>
      <c r="H181" s="21">
        <v>2</v>
      </c>
      <c r="I181" s="21">
        <v>191751287</v>
      </c>
      <c r="J181" s="21" t="str">
        <v>GUEYE Oumar</v>
      </c>
      <c r="K181" s="21" t="str">
        <v>CORPORATE BANKING</v>
      </c>
    </row>
    <row r="182">
      <c r="A182" s="23" t="str">
        <v>L01CDGN26149171</v>
      </c>
      <c r="B182" s="23">
        <v>100002039</v>
      </c>
      <c r="C182" s="23" t="str">
        <v>CLIENT 51</v>
      </c>
      <c r="D182" s="23" t="str">
        <v>IDAC</v>
      </c>
      <c r="E182" s="24">
        <v>46269</v>
      </c>
      <c r="F182" s="23">
        <v>26</v>
      </c>
      <c r="G182" s="23" t="str">
        <v>IV</v>
      </c>
      <c r="H182" s="23">
        <v>3</v>
      </c>
      <c r="I182" s="23">
        <v>151952273</v>
      </c>
      <c r="J182" s="23" t="str">
        <v>OUSMANE DIALLO</v>
      </c>
      <c r="K182" s="23" t="str">
        <v>COMMERCIAL BANKING</v>
      </c>
    </row>
    <row r="183">
      <c r="A183" s="21" t="str">
        <v>L01CDGN26149172</v>
      </c>
      <c r="B183" s="21">
        <v>100002040</v>
      </c>
      <c r="C183" s="21" t="str">
        <v>CLIENT 52</v>
      </c>
      <c r="D183" s="21" t="str">
        <v>CRLN</v>
      </c>
      <c r="E183" s="22">
        <v>46288</v>
      </c>
      <c r="F183" s="21">
        <v>46</v>
      </c>
      <c r="G183" s="21" t="str">
        <v>IA</v>
      </c>
      <c r="H183" s="21">
        <v>2</v>
      </c>
      <c r="I183" s="21">
        <v>1764448538</v>
      </c>
      <c r="J183" s="21" t="str">
        <v>ROKHAYA THIAM SARR</v>
      </c>
      <c r="K183" s="21" t="str">
        <v>CORPORATE BANKING</v>
      </c>
    </row>
    <row r="184">
      <c r="A184" s="23" t="str">
        <v>L01CDGN26149173</v>
      </c>
      <c r="B184" s="23">
        <v>100002041</v>
      </c>
      <c r="C184" s="23" t="str">
        <v>CLIENT 53</v>
      </c>
      <c r="D184" s="23" t="str">
        <v>NTRD</v>
      </c>
      <c r="E184" s="24">
        <v>46275</v>
      </c>
      <c r="F184" s="23">
        <v>166</v>
      </c>
      <c r="G184" s="23" t="str">
        <v>I</v>
      </c>
      <c r="H184" s="23">
        <v>1</v>
      </c>
      <c r="I184" s="23">
        <v>4641</v>
      </c>
      <c r="J184" s="23" t="str">
        <v>CAMARA Adama</v>
      </c>
      <c r="K184" s="23" t="str">
        <v>COMMERCIAL BANKING</v>
      </c>
    </row>
    <row r="185">
      <c r="A185" s="21" t="str">
        <v>L01CDGN26149174</v>
      </c>
      <c r="B185" s="21">
        <v>100002042</v>
      </c>
      <c r="C185" s="21" t="str">
        <v>CLIENT 54</v>
      </c>
      <c r="D185" s="21" t="str">
        <v>CRAT</v>
      </c>
      <c r="E185" s="22">
        <v>46287</v>
      </c>
      <c r="F185" s="21">
        <v>136</v>
      </c>
      <c r="G185" s="21" t="str">
        <v>IA</v>
      </c>
      <c r="H185" s="21">
        <v>2</v>
      </c>
      <c r="I185" s="21">
        <v>210</v>
      </c>
      <c r="J185" s="21" t="str">
        <v>MBAYE SAIDATOU</v>
      </c>
      <c r="K185" s="21" t="str">
        <v>CORPORATE BANKING</v>
      </c>
    </row>
    <row r="186">
      <c r="A186" s="23" t="str">
        <v>L01CDGN26149175</v>
      </c>
      <c r="B186" s="23">
        <v>100002043</v>
      </c>
      <c r="C186" s="23" t="str">
        <v>CLIENT 55</v>
      </c>
      <c r="D186" s="23" t="str">
        <v>CDGN</v>
      </c>
      <c r="E186" s="24">
        <v>46267</v>
      </c>
      <c r="F186" s="23">
        <v>20</v>
      </c>
      <c r="G186" s="23" t="str">
        <v>IV</v>
      </c>
      <c r="H186" s="23">
        <v>3</v>
      </c>
      <c r="I186" s="23">
        <v>387267800</v>
      </c>
      <c r="J186" s="23" t="str">
        <v>GUEYE Oumar</v>
      </c>
      <c r="K186" s="23" t="str">
        <v>COMMERCIAL BANKING</v>
      </c>
    </row>
    <row r="187">
      <c r="A187" s="21" t="str">
        <v>L01CDGN26149176</v>
      </c>
      <c r="B187" s="21">
        <v>100002044</v>
      </c>
      <c r="C187" s="21" t="str">
        <v>CLIENT 56</v>
      </c>
      <c r="D187" s="21" t="str">
        <v>IDAC</v>
      </c>
      <c r="E187" s="22">
        <v>46290</v>
      </c>
      <c r="F187" s="21">
        <v>269</v>
      </c>
      <c r="G187" s="21" t="str">
        <v>V</v>
      </c>
      <c r="H187" s="21">
        <v>3</v>
      </c>
      <c r="I187" s="21">
        <v>939497040</v>
      </c>
      <c r="J187" s="21" t="str">
        <v>OUSMANE DIALLO</v>
      </c>
      <c r="K187" s="21" t="str">
        <v>CORPORATE BANKING</v>
      </c>
    </row>
    <row r="188">
      <c r="A188" s="23" t="str">
        <v>L01CDGN26149177</v>
      </c>
      <c r="B188" s="23">
        <v>100002045</v>
      </c>
      <c r="C188" s="23" t="str">
        <v>CLIENT 57</v>
      </c>
      <c r="D188" s="23" t="str">
        <v>CRLN</v>
      </c>
      <c r="E188" s="24">
        <v>46291</v>
      </c>
      <c r="F188" s="23">
        <v>26</v>
      </c>
      <c r="G188" s="23" t="str">
        <v>III</v>
      </c>
      <c r="H188" s="23">
        <v>2</v>
      </c>
      <c r="I188" s="23">
        <v>94932629</v>
      </c>
      <c r="J188" s="23" t="str">
        <v>ROKHAYA THIAM SARR</v>
      </c>
      <c r="K188" s="23" t="str">
        <v>CORPORATE BANKING</v>
      </c>
    </row>
    <row r="189">
      <c r="A189" s="21" t="str">
        <v>L01CDGN26149178</v>
      </c>
      <c r="B189" s="21">
        <v>100002046</v>
      </c>
      <c r="C189" s="21" t="str">
        <v>CLIENT 58</v>
      </c>
      <c r="D189" s="21" t="str">
        <v>NTRD</v>
      </c>
      <c r="E189" s="22">
        <v>46283</v>
      </c>
      <c r="F189" s="21">
        <v>89</v>
      </c>
      <c r="G189" s="21" t="str">
        <v>IV</v>
      </c>
      <c r="H189" s="21">
        <v>3</v>
      </c>
      <c r="I189" s="21">
        <v>29334592</v>
      </c>
      <c r="J189" s="21" t="str">
        <v>CAMARA Adama</v>
      </c>
      <c r="K189" s="21" t="str">
        <v>CORPORATE BANKING</v>
      </c>
    </row>
    <row r="190">
      <c r="A190" s="23" t="str">
        <v>L01CDGN26149179</v>
      </c>
      <c r="B190" s="23">
        <v>100002047</v>
      </c>
      <c r="C190" s="23" t="str">
        <v>CLIENT 59</v>
      </c>
      <c r="D190" s="23" t="str">
        <v>CRAT</v>
      </c>
      <c r="E190" s="24">
        <v>46280</v>
      </c>
      <c r="F190" s="23">
        <v>107</v>
      </c>
      <c r="G190" s="23" t="str">
        <v>V</v>
      </c>
      <c r="H190" s="23">
        <v>3</v>
      </c>
      <c r="I190" s="23">
        <v>1511601440</v>
      </c>
      <c r="J190" s="23" t="str">
        <v>MBAYE SAIDATOU</v>
      </c>
      <c r="K190" s="23" t="str">
        <v>CORPORATE BANKING</v>
      </c>
    </row>
    <row r="191">
      <c r="A191" s="21" t="str">
        <v>L01CDGN26149180</v>
      </c>
      <c r="B191" s="21">
        <v>100002048</v>
      </c>
      <c r="C191" s="21" t="str">
        <v>CLIENT 60</v>
      </c>
      <c r="D191" s="21" t="str">
        <v>CDGN</v>
      </c>
      <c r="E191" s="22">
        <v>46275</v>
      </c>
      <c r="F191" s="21">
        <v>22</v>
      </c>
      <c r="G191" s="21" t="str">
        <v>II</v>
      </c>
      <c r="H191" s="21">
        <v>2</v>
      </c>
      <c r="I191" s="21">
        <v>178962969</v>
      </c>
      <c r="J191" s="21" t="str">
        <v>GUEYE Oumar</v>
      </c>
      <c r="K191" s="21" t="str">
        <v>CORPORATE BANKING</v>
      </c>
    </row>
    <row r="192">
      <c r="A192" s="23" t="str">
        <v>L01CDGN26149181</v>
      </c>
      <c r="B192" s="23">
        <v>100002049</v>
      </c>
      <c r="C192" s="23" t="str">
        <v>CLIENT 61</v>
      </c>
      <c r="D192" s="23" t="str">
        <v>IDAC</v>
      </c>
      <c r="E192" s="24">
        <v>46288</v>
      </c>
      <c r="F192" s="23">
        <v>16</v>
      </c>
      <c r="G192" s="23" t="str">
        <v>IA</v>
      </c>
      <c r="H192" s="23">
        <v>2</v>
      </c>
      <c r="I192" s="23">
        <v>337833225</v>
      </c>
      <c r="J192" s="23" t="str">
        <v>OUSMANE DIALLO</v>
      </c>
      <c r="K192" s="23" t="str">
        <v>COMMERCIAL BANKING</v>
      </c>
    </row>
    <row r="193">
      <c r="A193" s="21" t="str">
        <v>L01CDGN26149182</v>
      </c>
      <c r="B193" s="21">
        <v>100002050</v>
      </c>
      <c r="C193" s="21" t="str">
        <v>CLIENT 62</v>
      </c>
      <c r="D193" s="21" t="str">
        <v>CRLN</v>
      </c>
      <c r="E193" s="22">
        <v>46277</v>
      </c>
      <c r="F193" s="21">
        <v>7</v>
      </c>
      <c r="G193" s="21" t="str">
        <v>V</v>
      </c>
      <c r="H193" s="21">
        <v>3</v>
      </c>
      <c r="I193" s="21">
        <v>1172944801</v>
      </c>
      <c r="J193" s="21" t="str">
        <v>ROKHAYA THIAM SARR</v>
      </c>
      <c r="K193" s="21" t="str">
        <v>CORPORATE BANKING</v>
      </c>
    </row>
    <row r="194">
      <c r="A194" s="23" t="str">
        <v>L01CDGN26149183</v>
      </c>
      <c r="B194" s="23">
        <v>100002051</v>
      </c>
      <c r="C194" s="23" t="str">
        <v>CLIENT 63</v>
      </c>
      <c r="D194" s="23" t="str">
        <v>NTRD</v>
      </c>
      <c r="E194" s="24">
        <v>46291</v>
      </c>
      <c r="F194" s="23">
        <v>76</v>
      </c>
      <c r="G194" s="23" t="str">
        <v>I</v>
      </c>
      <c r="H194" s="23">
        <v>1</v>
      </c>
      <c r="I194" s="23">
        <v>1121423079</v>
      </c>
      <c r="J194" s="23" t="str">
        <v>CAMARA Adama</v>
      </c>
      <c r="K194" s="23" t="str">
        <v>CORPORATE BANKING</v>
      </c>
    </row>
    <row r="195">
      <c r="A195" s="21" t="str">
        <v>L01CDGN26149184</v>
      </c>
      <c r="B195" s="21">
        <v>100002052</v>
      </c>
      <c r="C195" s="21" t="str">
        <v>CLIENT 64</v>
      </c>
      <c r="D195" s="21" t="str">
        <v>CRAT</v>
      </c>
      <c r="E195" s="22">
        <v>46270</v>
      </c>
      <c r="F195" s="21">
        <v>197</v>
      </c>
      <c r="G195" s="21" t="str">
        <v>IA</v>
      </c>
      <c r="H195" s="21">
        <v>2</v>
      </c>
      <c r="I195" s="21">
        <v>123998456</v>
      </c>
      <c r="J195" s="21" t="str">
        <v>MBAYE SAIDATOU</v>
      </c>
      <c r="K195" s="21" t="str">
        <v>CORPORATE BANKING</v>
      </c>
    </row>
    <row r="196">
      <c r="A196" s="23" t="str">
        <v>L01CDGN26149185</v>
      </c>
      <c r="B196" s="23">
        <v>100002053</v>
      </c>
      <c r="C196" s="23" t="str">
        <v>CLIENT 65</v>
      </c>
      <c r="D196" s="23" t="str">
        <v>CDGN</v>
      </c>
      <c r="E196" s="24">
        <v>46277</v>
      </c>
      <c r="F196" s="23">
        <v>84</v>
      </c>
      <c r="G196" s="23" t="str">
        <v>I</v>
      </c>
      <c r="H196" s="23">
        <v>1</v>
      </c>
      <c r="I196" s="23">
        <v>1745515405</v>
      </c>
      <c r="J196" s="23" t="str">
        <v>GUEYE Oumar</v>
      </c>
      <c r="K196" s="23" t="str">
        <v>CORPORATE BANKING</v>
      </c>
    </row>
    <row r="197">
      <c r="A197" s="21" t="str">
        <v>L01CDGN26149186</v>
      </c>
      <c r="B197" s="21">
        <v>100002054</v>
      </c>
      <c r="C197" s="21" t="str">
        <v>CLIENT 66</v>
      </c>
      <c r="D197" s="21" t="str">
        <v>IDAC</v>
      </c>
      <c r="E197" s="22">
        <v>46270</v>
      </c>
      <c r="F197" s="21">
        <v>27</v>
      </c>
      <c r="G197" s="21" t="str">
        <v>IA</v>
      </c>
      <c r="H197" s="21">
        <v>2</v>
      </c>
      <c r="I197" s="21">
        <v>101830159</v>
      </c>
      <c r="J197" s="21" t="str">
        <v>OUSMANE DIALLO</v>
      </c>
      <c r="K197" s="21" t="str">
        <v>COMMERCIAL BANKING</v>
      </c>
    </row>
    <row r="198">
      <c r="A198" s="23" t="str">
        <v>L01CDGN26149187</v>
      </c>
      <c r="B198" s="23">
        <v>100002055</v>
      </c>
      <c r="C198" s="23" t="str">
        <v>CLIENT 67</v>
      </c>
      <c r="D198" s="23" t="str">
        <v>CRLN</v>
      </c>
      <c r="E198" s="24">
        <v>46293</v>
      </c>
      <c r="F198" s="23">
        <v>67</v>
      </c>
      <c r="G198" s="23" t="str">
        <v>V</v>
      </c>
      <c r="H198" s="23">
        <v>3</v>
      </c>
      <c r="I198" s="23">
        <v>240345</v>
      </c>
      <c r="J198" s="23" t="str">
        <v>ROKHAYA THIAM SARR</v>
      </c>
      <c r="K198" s="23" t="str">
        <v>CORPORATE BANKING</v>
      </c>
    </row>
    <row r="199">
      <c r="A199" s="21" t="str">
        <v>L01CDGN26149188</v>
      </c>
      <c r="B199" s="21">
        <v>100002056</v>
      </c>
      <c r="C199" s="21" t="str">
        <v>CLIENT 68</v>
      </c>
      <c r="D199" s="21" t="str">
        <v>NTRD</v>
      </c>
      <c r="E199" s="22">
        <v>46283</v>
      </c>
      <c r="F199" s="21">
        <v>137</v>
      </c>
      <c r="G199" s="21" t="str">
        <v>IV</v>
      </c>
      <c r="H199" s="21">
        <v>3</v>
      </c>
      <c r="I199" s="21">
        <v>768076001</v>
      </c>
      <c r="J199" s="21" t="str">
        <v>CAMARA Adama</v>
      </c>
      <c r="K199" s="21" t="str">
        <v>CORPORATE BANKING</v>
      </c>
    </row>
    <row r="200">
      <c r="A200" s="23" t="str">
        <v>L01CDGN26149189</v>
      </c>
      <c r="B200" s="23">
        <v>100002057</v>
      </c>
      <c r="C200" s="23" t="str">
        <v>CLIENT 69</v>
      </c>
      <c r="D200" s="23" t="str">
        <v>CRAT</v>
      </c>
      <c r="E200" s="24">
        <v>46293</v>
      </c>
      <c r="F200" s="23">
        <v>78</v>
      </c>
      <c r="G200" s="23" t="str">
        <v>IV</v>
      </c>
      <c r="H200" s="23">
        <v>3</v>
      </c>
      <c r="I200" s="23">
        <v>170384659</v>
      </c>
      <c r="J200" s="23" t="str">
        <v>MBAYE SAIDATOU</v>
      </c>
      <c r="K200" s="23" t="str">
        <v>CORPORATE BANKING</v>
      </c>
    </row>
    <row r="201">
      <c r="A201" s="21" t="str">
        <v>L01CDGN26149190</v>
      </c>
      <c r="B201" s="21">
        <v>100002058</v>
      </c>
      <c r="C201" s="21" t="str">
        <v>CLIENT 70</v>
      </c>
      <c r="D201" s="21" t="str">
        <v>CDGN</v>
      </c>
      <c r="E201" s="22">
        <v>46286</v>
      </c>
      <c r="F201" s="21">
        <v>0</v>
      </c>
      <c r="G201" s="21" t="str">
        <v>IV</v>
      </c>
      <c r="H201" s="21">
        <v>3</v>
      </c>
      <c r="I201" s="21">
        <v>18023752</v>
      </c>
      <c r="J201" s="21" t="str">
        <v>GUEYE Oumar</v>
      </c>
      <c r="K201" s="21" t="str">
        <v>COMMERCIAL BANKING</v>
      </c>
    </row>
    <row r="202">
      <c r="A202" s="23" t="str">
        <v>L01CDGN26149191</v>
      </c>
      <c r="B202" s="23">
        <v>100002059</v>
      </c>
      <c r="C202" s="23" t="str">
        <v>CLIENT 71</v>
      </c>
      <c r="D202" s="23" t="str">
        <v>IDAC</v>
      </c>
      <c r="E202" s="24">
        <v>46278</v>
      </c>
      <c r="F202" s="23">
        <v>68</v>
      </c>
      <c r="G202" s="23" t="str">
        <v>V</v>
      </c>
      <c r="H202" s="23">
        <v>3</v>
      </c>
      <c r="I202" s="23">
        <v>18089089</v>
      </c>
      <c r="J202" s="23" t="str">
        <v>OUSMANE DIALLO</v>
      </c>
      <c r="K202" s="23" t="str">
        <v>CONSUMER BANKING</v>
      </c>
    </row>
    <row r="203">
      <c r="A203" s="21" t="str">
        <v>L01CDGN26149192</v>
      </c>
      <c r="B203" s="21">
        <v>100002060</v>
      </c>
      <c r="C203" s="21" t="str">
        <v>CLIENT 72</v>
      </c>
      <c r="D203" s="21" t="str">
        <v>CRLN</v>
      </c>
      <c r="E203" s="22">
        <v>46289</v>
      </c>
      <c r="F203" s="21">
        <v>195</v>
      </c>
      <c r="G203" s="21" t="str">
        <v>II</v>
      </c>
      <c r="H203" s="21">
        <v>2</v>
      </c>
      <c r="I203" s="21">
        <v>910048702</v>
      </c>
      <c r="J203" s="21" t="str">
        <v>ROKHAYA THIAM SARR</v>
      </c>
      <c r="K203" s="21" t="str">
        <v>CORPORATE BANKING</v>
      </c>
    </row>
    <row r="204">
      <c r="A204" s="23" t="str">
        <v>L01CDGN26149193</v>
      </c>
      <c r="B204" s="23">
        <v>100002061</v>
      </c>
      <c r="C204" s="23" t="str">
        <v>CLIENT 73</v>
      </c>
      <c r="D204" s="23" t="str">
        <v>NTRD</v>
      </c>
      <c r="E204" s="24">
        <v>46268</v>
      </c>
      <c r="F204" s="23">
        <v>128</v>
      </c>
      <c r="G204" s="23" t="str">
        <v>I</v>
      </c>
      <c r="H204" s="23">
        <v>1</v>
      </c>
      <c r="I204" s="23">
        <v>40041669</v>
      </c>
      <c r="J204" s="23" t="str">
        <v>CAMARA Adama</v>
      </c>
      <c r="K204" s="23" t="str">
        <v>CORPORATE BANKING</v>
      </c>
    </row>
    <row r="205">
      <c r="A205" s="21" t="str">
        <v>L01CDGN26149194</v>
      </c>
      <c r="B205" s="21">
        <v>100002062</v>
      </c>
      <c r="C205" s="21" t="str">
        <v>CLIENT 74</v>
      </c>
      <c r="D205" s="21" t="str">
        <v>CRAT</v>
      </c>
      <c r="E205" s="22">
        <v>46268</v>
      </c>
      <c r="F205" s="21">
        <v>10</v>
      </c>
      <c r="G205" s="21" t="str">
        <v>I</v>
      </c>
      <c r="H205" s="21">
        <v>1</v>
      </c>
      <c r="I205" s="21">
        <v>841543927</v>
      </c>
      <c r="J205" s="21" t="str">
        <v>MBAYE SAIDATOU</v>
      </c>
      <c r="K205" s="21" t="str">
        <v>CORPORATE BANKING</v>
      </c>
    </row>
    <row r="206">
      <c r="A206" s="23" t="str">
        <v>L01CDGN26149195</v>
      </c>
      <c r="B206" s="23">
        <v>100002063</v>
      </c>
      <c r="C206" s="23" t="str">
        <v>CLIENT 75</v>
      </c>
      <c r="D206" s="23" t="str">
        <v>CDGN</v>
      </c>
      <c r="E206" s="24">
        <v>46267</v>
      </c>
      <c r="F206" s="23">
        <v>127</v>
      </c>
      <c r="G206" s="23" t="str">
        <v>V</v>
      </c>
      <c r="H206" s="23">
        <v>3</v>
      </c>
      <c r="I206" s="23">
        <v>422524295</v>
      </c>
      <c r="J206" s="23" t="str">
        <v>GUEYE Oumar</v>
      </c>
      <c r="K206" s="23" t="str">
        <v>CORPORATE BANKING</v>
      </c>
    </row>
    <row r="207">
      <c r="A207" s="21" t="str">
        <v>L01CDGN26149196</v>
      </c>
      <c r="B207" s="21">
        <v>100002064</v>
      </c>
      <c r="C207" s="21" t="str">
        <v>CLIENT 76</v>
      </c>
      <c r="D207" s="21" t="str">
        <v>IDAC</v>
      </c>
      <c r="E207" s="22">
        <v>46275</v>
      </c>
      <c r="F207" s="21">
        <v>189</v>
      </c>
      <c r="G207" s="21" t="str">
        <v>IA</v>
      </c>
      <c r="H207" s="21">
        <v>2</v>
      </c>
      <c r="I207" s="21">
        <v>1775763</v>
      </c>
      <c r="J207" s="21" t="str">
        <v>OUSMANE DIALLO</v>
      </c>
      <c r="K207" s="21" t="str">
        <v>CORPORATE BANKING</v>
      </c>
    </row>
    <row r="208">
      <c r="A208" s="23" t="str">
        <v>L01CDGN26149197</v>
      </c>
      <c r="B208" s="23">
        <v>100002065</v>
      </c>
      <c r="C208" s="23" t="str">
        <v>CLIENT 77</v>
      </c>
      <c r="D208" s="23" t="str">
        <v>CRLN</v>
      </c>
      <c r="E208" s="24">
        <v>46275</v>
      </c>
      <c r="F208" s="23">
        <v>72</v>
      </c>
      <c r="G208" s="23" t="str">
        <v>IA</v>
      </c>
      <c r="H208" s="23">
        <v>2</v>
      </c>
      <c r="I208" s="23">
        <v>381278062</v>
      </c>
      <c r="J208" s="23" t="str">
        <v>ROKHAYA THIAM SARR</v>
      </c>
      <c r="K208" s="23" t="str">
        <v>CONSUMER BANKING</v>
      </c>
    </row>
    <row r="209">
      <c r="A209" s="21" t="str">
        <v>L01CDGN26149198</v>
      </c>
      <c r="B209" s="21">
        <v>100002066</v>
      </c>
      <c r="C209" s="21" t="str">
        <v>CLIENT 78</v>
      </c>
      <c r="D209" s="21" t="str">
        <v>NTRD</v>
      </c>
      <c r="E209" s="22">
        <v>46281</v>
      </c>
      <c r="F209" s="21">
        <v>170</v>
      </c>
      <c r="G209" s="21" t="str">
        <v>IA</v>
      </c>
      <c r="H209" s="21">
        <v>2</v>
      </c>
      <c r="I209" s="21">
        <v>1818679742</v>
      </c>
      <c r="J209" s="21" t="str">
        <v>CAMARA Adama</v>
      </c>
      <c r="K209" s="21" t="str">
        <v>COMMERCIAL BANKING</v>
      </c>
    </row>
    <row r="210">
      <c r="A210" s="23" t="str">
        <v>L01CDGN26149199</v>
      </c>
      <c r="B210" s="23">
        <v>100002067</v>
      </c>
      <c r="C210" s="23" t="str">
        <v>CLIENT 79</v>
      </c>
      <c r="D210" s="23" t="str">
        <v>CRAT</v>
      </c>
      <c r="E210" s="24">
        <v>46277</v>
      </c>
      <c r="F210" s="23">
        <v>234</v>
      </c>
      <c r="G210" s="23" t="str">
        <v>II</v>
      </c>
      <c r="H210" s="23">
        <v>2</v>
      </c>
      <c r="I210" s="23">
        <v>1000637004</v>
      </c>
      <c r="J210" s="23" t="str">
        <v>MBAYE SAIDATOU</v>
      </c>
      <c r="K210" s="23" t="str">
        <v>CORPORATE BANKING</v>
      </c>
    </row>
    <row r="211">
      <c r="A211" s="21" t="str">
        <v>L01CDGN26149200</v>
      </c>
      <c r="B211" s="21">
        <v>100002068</v>
      </c>
      <c r="C211" s="21" t="str">
        <v>CLIENT 80</v>
      </c>
      <c r="D211" s="21" t="str">
        <v>CDGN</v>
      </c>
      <c r="E211" s="22">
        <v>46289</v>
      </c>
      <c r="F211" s="21">
        <v>101</v>
      </c>
      <c r="G211" s="21" t="str">
        <v>IV</v>
      </c>
      <c r="H211" s="21">
        <v>3</v>
      </c>
      <c r="I211" s="21">
        <v>110396492</v>
      </c>
      <c r="J211" s="21" t="str">
        <v>GUEYE Oumar</v>
      </c>
      <c r="K211" s="21" t="str">
        <v>CORPORATE BANKING</v>
      </c>
    </row>
    <row r="212">
      <c r="A212" s="23" t="str">
        <v>L01CDGN26149201</v>
      </c>
      <c r="B212" s="23">
        <v>100002069</v>
      </c>
      <c r="C212" s="23" t="str">
        <v>CLIENT 81</v>
      </c>
      <c r="D212" s="23" t="str">
        <v>IDAC</v>
      </c>
      <c r="E212" s="24">
        <v>46270</v>
      </c>
      <c r="F212" s="23">
        <v>36</v>
      </c>
      <c r="G212" s="23" t="str">
        <v>III</v>
      </c>
      <c r="H212" s="23">
        <v>2</v>
      </c>
      <c r="I212" s="23">
        <v>12090</v>
      </c>
      <c r="J212" s="23" t="str">
        <v>OUSMANE DIALLO</v>
      </c>
      <c r="K212" s="23" t="str">
        <v>CORPORATE BANKING</v>
      </c>
    </row>
    <row r="213">
      <c r="A213" s="21" t="str">
        <v>L01CDGN26149202</v>
      </c>
      <c r="B213" s="21">
        <v>100002070</v>
      </c>
      <c r="C213" s="21" t="str">
        <v>CLIENT 82</v>
      </c>
      <c r="D213" s="21" t="str">
        <v>CRLN</v>
      </c>
      <c r="E213" s="22">
        <v>46280</v>
      </c>
      <c r="F213" s="21">
        <v>14</v>
      </c>
      <c r="G213" s="21" t="str">
        <v>V</v>
      </c>
      <c r="H213" s="21">
        <v>3</v>
      </c>
      <c r="I213" s="21">
        <v>245962151</v>
      </c>
      <c r="J213" s="21" t="str">
        <v>ROKHAYA THIAM SARR</v>
      </c>
      <c r="K213" s="21" t="str">
        <v>CORPORATE BANKING</v>
      </c>
    </row>
    <row r="214">
      <c r="A214" s="23" t="str">
        <v>L01CDGN26149203</v>
      </c>
      <c r="B214" s="23">
        <v>100002071</v>
      </c>
      <c r="C214" s="23" t="str">
        <v>CLIENT 83</v>
      </c>
      <c r="D214" s="23" t="str">
        <v>NTRD</v>
      </c>
      <c r="E214" s="24">
        <v>46282</v>
      </c>
      <c r="F214" s="23">
        <v>0</v>
      </c>
      <c r="G214" s="23" t="str">
        <v>II</v>
      </c>
      <c r="H214" s="23">
        <v>2</v>
      </c>
      <c r="I214" s="23">
        <v>337210384</v>
      </c>
      <c r="J214" s="23" t="str">
        <v>CAMARA Adama</v>
      </c>
      <c r="K214" s="23" t="str">
        <v>COMMERCIAL BANKING</v>
      </c>
    </row>
    <row r="215">
      <c r="A215" s="21" t="str">
        <v>L01CDGN26149204</v>
      </c>
      <c r="B215" s="21">
        <v>100002072</v>
      </c>
      <c r="C215" s="21" t="str">
        <v>CLIENT 84</v>
      </c>
      <c r="D215" s="21" t="str">
        <v>CRAT</v>
      </c>
      <c r="E215" s="22">
        <v>46273</v>
      </c>
      <c r="F215" s="21">
        <v>61</v>
      </c>
      <c r="G215" s="21" t="str">
        <v>V</v>
      </c>
      <c r="H215" s="21">
        <v>3</v>
      </c>
      <c r="I215" s="21">
        <v>174259080</v>
      </c>
      <c r="J215" s="21" t="str">
        <v>MBAYE SAIDATOU</v>
      </c>
      <c r="K215" s="21" t="str">
        <v>PUBLIC SECTOR</v>
      </c>
    </row>
    <row r="216">
      <c r="A216" s="23" t="str">
        <v>L01CDGN26149205</v>
      </c>
      <c r="B216" s="23">
        <v>100002073</v>
      </c>
      <c r="C216" s="23" t="str">
        <v>CLIENT 85</v>
      </c>
      <c r="D216" s="23" t="str">
        <v>CDGN</v>
      </c>
      <c r="E216" s="24">
        <v>46293</v>
      </c>
      <c r="F216" s="23">
        <v>93</v>
      </c>
      <c r="G216" s="23" t="str">
        <v>III</v>
      </c>
      <c r="H216" s="23">
        <v>2</v>
      </c>
      <c r="I216" s="23">
        <v>224291</v>
      </c>
      <c r="J216" s="23" t="str">
        <v>GUEYE Oumar</v>
      </c>
      <c r="K216" s="23" t="str">
        <v>CORPORATE BANKING</v>
      </c>
    </row>
    <row r="217">
      <c r="A217" s="21" t="str">
        <v>L01CDGN26149206</v>
      </c>
      <c r="B217" s="21">
        <v>100002074</v>
      </c>
      <c r="C217" s="21" t="str">
        <v>CLIENT 86</v>
      </c>
      <c r="D217" s="21" t="str">
        <v>IDAC</v>
      </c>
      <c r="E217" s="22">
        <v>46285</v>
      </c>
      <c r="F217" s="21">
        <v>196</v>
      </c>
      <c r="G217" s="21" t="str">
        <v>I</v>
      </c>
      <c r="H217" s="21">
        <v>1</v>
      </c>
      <c r="I217" s="21">
        <v>733591</v>
      </c>
      <c r="J217" s="21" t="str">
        <v>OUSMANE DIALLO</v>
      </c>
      <c r="K217" s="21" t="str">
        <v>CORPORATE BANKING</v>
      </c>
    </row>
    <row r="218">
      <c r="A218" s="23" t="str">
        <v>L01CDGN26149207</v>
      </c>
      <c r="B218" s="23">
        <v>100002075</v>
      </c>
      <c r="C218" s="23" t="str">
        <v>CLIENT 87</v>
      </c>
      <c r="D218" s="23" t="str">
        <v>CRLN</v>
      </c>
      <c r="E218" s="24">
        <v>46286</v>
      </c>
      <c r="F218" s="23">
        <v>99</v>
      </c>
      <c r="G218" s="23" t="str">
        <v>III</v>
      </c>
      <c r="H218" s="23">
        <v>2</v>
      </c>
      <c r="I218" s="23">
        <v>196127738</v>
      </c>
      <c r="J218" s="23" t="str">
        <v>ROKHAYA THIAM SARR</v>
      </c>
      <c r="K218" s="23" t="str">
        <v>COMMERCIAL BANKING</v>
      </c>
    </row>
    <row r="219">
      <c r="A219" s="21" t="str">
        <v>L01CDGN26149208</v>
      </c>
      <c r="B219" s="21">
        <v>100002076</v>
      </c>
      <c r="C219" s="21" t="str">
        <v>CLIENT 88</v>
      </c>
      <c r="D219" s="21" t="str">
        <v>NTRD</v>
      </c>
      <c r="E219" s="22">
        <v>46284</v>
      </c>
      <c r="F219" s="21">
        <v>32</v>
      </c>
      <c r="G219" s="21" t="str">
        <v>IV</v>
      </c>
      <c r="H219" s="21">
        <v>3</v>
      </c>
      <c r="I219" s="21">
        <v>1981677247</v>
      </c>
      <c r="J219" s="21" t="str">
        <v>CAMARA Adama</v>
      </c>
      <c r="K219" s="21" t="str">
        <v>COMMERCIAL BANKING</v>
      </c>
    </row>
    <row r="220">
      <c r="A220" s="23" t="str">
        <v>L01CDGN26149209</v>
      </c>
      <c r="B220" s="23">
        <v>100002077</v>
      </c>
      <c r="C220" s="23" t="str">
        <v>CLIENT 89</v>
      </c>
      <c r="D220" s="23" t="str">
        <v>CRAT</v>
      </c>
      <c r="E220" s="24">
        <v>46279</v>
      </c>
      <c r="F220" s="23">
        <v>3</v>
      </c>
      <c r="G220" s="23" t="str">
        <v>I</v>
      </c>
      <c r="H220" s="23">
        <v>1</v>
      </c>
      <c r="I220" s="23">
        <v>1478353973</v>
      </c>
      <c r="J220" s="23" t="str">
        <v>MBAYE SAIDATOU</v>
      </c>
      <c r="K220" s="23" t="str">
        <v>CORPORATE BANKING</v>
      </c>
    </row>
    <row r="221">
      <c r="A221" s="21" t="str">
        <v>L01CDGN26149210</v>
      </c>
      <c r="B221" s="21">
        <v>100002078</v>
      </c>
      <c r="C221" s="21" t="str">
        <v>CLIENT 90</v>
      </c>
      <c r="D221" s="21" t="str">
        <v>CDGN</v>
      </c>
      <c r="E221" s="22">
        <v>46287</v>
      </c>
      <c r="F221" s="21">
        <v>31</v>
      </c>
      <c r="G221" s="21" t="str">
        <v>II</v>
      </c>
      <c r="H221" s="21">
        <v>2</v>
      </c>
      <c r="I221" s="21">
        <v>38879671</v>
      </c>
      <c r="J221" s="21" t="str">
        <v>GUEYE Oumar</v>
      </c>
      <c r="K221" s="21" t="str">
        <v>CORPORATE BANKING</v>
      </c>
    </row>
    <row r="222">
      <c r="A222" s="23" t="str">
        <v>L01CDGN26149211</v>
      </c>
      <c r="B222" s="23">
        <v>100002079</v>
      </c>
      <c r="C222" s="23" t="str">
        <v>CLIENT 91</v>
      </c>
      <c r="D222" s="23" t="str">
        <v>IDAC</v>
      </c>
      <c r="E222" s="24">
        <v>46282</v>
      </c>
      <c r="F222" s="23">
        <v>17</v>
      </c>
      <c r="G222" s="23" t="str">
        <v>III</v>
      </c>
      <c r="H222" s="23">
        <v>2</v>
      </c>
      <c r="I222" s="23">
        <v>83124679</v>
      </c>
      <c r="J222" s="23" t="str">
        <v>OUSMANE DIALLO</v>
      </c>
      <c r="K222" s="23" t="str">
        <v>CONSUMER BANKING</v>
      </c>
    </row>
    <row r="223">
      <c r="A223" s="21" t="str">
        <v>L01CDGN26149212</v>
      </c>
      <c r="B223" s="21">
        <v>100002080</v>
      </c>
      <c r="C223" s="21" t="str">
        <v>CLIENT 92</v>
      </c>
      <c r="D223" s="21" t="str">
        <v>CRLN</v>
      </c>
      <c r="E223" s="22">
        <v>46273</v>
      </c>
      <c r="F223" s="21">
        <v>242</v>
      </c>
      <c r="G223" s="21" t="str">
        <v>II</v>
      </c>
      <c r="H223" s="21">
        <v>2</v>
      </c>
      <c r="I223" s="21">
        <v>1893584208</v>
      </c>
      <c r="J223" s="21" t="str">
        <v>ROKHAYA THIAM SARR</v>
      </c>
      <c r="K223" s="21" t="str">
        <v>COMMERCIAL BANKING</v>
      </c>
    </row>
    <row r="224">
      <c r="A224" s="23" t="str">
        <v>L01CDGN26149213</v>
      </c>
      <c r="B224" s="23">
        <v>100002081</v>
      </c>
      <c r="C224" s="23" t="str">
        <v>CLIENT 93</v>
      </c>
      <c r="D224" s="23" t="str">
        <v>NTRD</v>
      </c>
      <c r="E224" s="24">
        <v>46282</v>
      </c>
      <c r="F224" s="23">
        <v>113</v>
      </c>
      <c r="G224" s="23" t="str">
        <v>IA</v>
      </c>
      <c r="H224" s="23">
        <v>2</v>
      </c>
      <c r="I224" s="23">
        <v>23447638</v>
      </c>
      <c r="J224" s="23" t="str">
        <v>CAMARA Adama</v>
      </c>
      <c r="K224" s="23" t="str">
        <v>CORPORATE BANKING</v>
      </c>
    </row>
    <row r="225">
      <c r="A225" s="21" t="str">
        <v>L01CDGN26149214</v>
      </c>
      <c r="B225" s="21">
        <v>100002082</v>
      </c>
      <c r="C225" s="21" t="str">
        <v>CLIENT 94</v>
      </c>
      <c r="D225" s="21" t="str">
        <v>CRAT</v>
      </c>
      <c r="E225" s="22">
        <v>46292</v>
      </c>
      <c r="F225" s="21">
        <v>0</v>
      </c>
      <c r="G225" s="21" t="str">
        <v>III</v>
      </c>
      <c r="H225" s="21">
        <v>2</v>
      </c>
      <c r="I225" s="21">
        <v>1595029339</v>
      </c>
      <c r="J225" s="21" t="str">
        <v>MBAYE SAIDATOU</v>
      </c>
      <c r="K225" s="21" t="str">
        <v>CORPORATE BANKING</v>
      </c>
    </row>
    <row r="226">
      <c r="A226" s="23" t="str">
        <v>L01CDGN26149215</v>
      </c>
      <c r="B226" s="23">
        <v>100002083</v>
      </c>
      <c r="C226" s="23" t="str">
        <v>CLIENT 95</v>
      </c>
      <c r="D226" s="23" t="str">
        <v>CDGN</v>
      </c>
      <c r="E226" s="24">
        <v>46269</v>
      </c>
      <c r="F226" s="23">
        <v>223</v>
      </c>
      <c r="G226" s="23" t="str">
        <v>V</v>
      </c>
      <c r="H226" s="23">
        <v>3</v>
      </c>
      <c r="I226" s="23">
        <v>2889508</v>
      </c>
      <c r="J226" s="23" t="str">
        <v>GUEYE Oumar</v>
      </c>
      <c r="K226" s="23" t="str">
        <v>CORPORATE BANKING</v>
      </c>
    </row>
    <row r="227">
      <c r="A227" s="21" t="str">
        <v>L01CDGN26149216</v>
      </c>
      <c r="B227" s="21">
        <v>100002084</v>
      </c>
      <c r="C227" s="21" t="str">
        <v>CLIENT 96</v>
      </c>
      <c r="D227" s="21" t="str">
        <v>IDAC</v>
      </c>
      <c r="E227" s="22">
        <v>46279</v>
      </c>
      <c r="F227" s="21">
        <v>196</v>
      </c>
      <c r="G227" s="21" t="str">
        <v>III</v>
      </c>
      <c r="H227" s="21">
        <v>2</v>
      </c>
      <c r="I227" s="21">
        <v>64291396</v>
      </c>
      <c r="J227" s="21" t="str">
        <v>OUSMANE DIALLO</v>
      </c>
      <c r="K227" s="21" t="str">
        <v>PUBLIC SECTOR</v>
      </c>
    </row>
    <row r="228">
      <c r="A228" s="23" t="str">
        <v>L01CDGN26149217</v>
      </c>
      <c r="B228" s="23">
        <v>100002085</v>
      </c>
      <c r="C228" s="23" t="str">
        <v>CLIENT 97</v>
      </c>
      <c r="D228" s="23" t="str">
        <v>CRLN</v>
      </c>
      <c r="E228" s="24">
        <v>46291</v>
      </c>
      <c r="F228" s="23">
        <v>86</v>
      </c>
      <c r="G228" s="23" t="str">
        <v>I</v>
      </c>
      <c r="H228" s="23">
        <v>1</v>
      </c>
      <c r="I228" s="23">
        <v>1301384659</v>
      </c>
      <c r="J228" s="23" t="str">
        <v>ROKHAYA THIAM SARR</v>
      </c>
      <c r="K228" s="23" t="str">
        <v>CORPORATE BANKING</v>
      </c>
    </row>
    <row r="229">
      <c r="A229" s="21" t="str">
        <v>L01CDGN26149218</v>
      </c>
      <c r="B229" s="21">
        <v>100002086</v>
      </c>
      <c r="C229" s="21" t="str">
        <v>CLIENT 98</v>
      </c>
      <c r="D229" s="21" t="str">
        <v>NTRD</v>
      </c>
      <c r="E229" s="22">
        <v>46275</v>
      </c>
      <c r="F229" s="21">
        <v>33</v>
      </c>
      <c r="G229" s="21" t="str">
        <v>V</v>
      </c>
      <c r="H229" s="21">
        <v>3</v>
      </c>
      <c r="I229" s="21">
        <v>90117055</v>
      </c>
      <c r="J229" s="21" t="str">
        <v>CAMARA Adama</v>
      </c>
      <c r="K229" s="21" t="str">
        <v>CORPORATE BANKING</v>
      </c>
    </row>
    <row r="230">
      <c r="A230" s="23" t="str">
        <v>L01CDGN26149219</v>
      </c>
      <c r="B230" s="23">
        <v>100002087</v>
      </c>
      <c r="C230" s="23" t="str">
        <v>CLIENT 99</v>
      </c>
      <c r="D230" s="23" t="str">
        <v>CRAT</v>
      </c>
      <c r="E230" s="24">
        <v>46274</v>
      </c>
      <c r="F230" s="23">
        <v>185</v>
      </c>
      <c r="G230" s="23" t="str">
        <v>IV</v>
      </c>
      <c r="H230" s="23">
        <v>3</v>
      </c>
      <c r="I230" s="23">
        <v>543403117</v>
      </c>
      <c r="J230" s="23" t="str">
        <v>MBAYE SAIDATOU</v>
      </c>
      <c r="K230" s="23" t="str">
        <v>COMMERCIAL BANKING</v>
      </c>
    </row>
    <row r="231">
      <c r="A231" s="21" t="str">
        <v>L01CDGN26149220</v>
      </c>
      <c r="B231" s="21">
        <v>100002088</v>
      </c>
      <c r="C231" s="21" t="str">
        <v>CLIENT 100</v>
      </c>
      <c r="D231" s="21" t="str">
        <v>CDGN</v>
      </c>
      <c r="E231" s="22">
        <v>46284</v>
      </c>
      <c r="F231" s="21">
        <v>57</v>
      </c>
      <c r="G231" s="21" t="str">
        <v>I</v>
      </c>
      <c r="H231" s="21">
        <v>1</v>
      </c>
      <c r="I231" s="21">
        <v>351496174</v>
      </c>
      <c r="J231" s="21" t="str">
        <v>GUEYE Oumar</v>
      </c>
      <c r="K231" s="21" t="str">
        <v>CORPORATE BANKING</v>
      </c>
    </row>
    <row r="232">
      <c r="A232" s="23" t="str">
        <v>L01CDGN26149221</v>
      </c>
      <c r="B232" s="23">
        <v>100002089</v>
      </c>
      <c r="C232" s="23" t="str">
        <v>CLIENT 101</v>
      </c>
      <c r="D232" s="23" t="str">
        <v>IDAC</v>
      </c>
      <c r="E232" s="24">
        <v>46287</v>
      </c>
      <c r="F232" s="23">
        <v>33</v>
      </c>
      <c r="G232" s="23" t="str">
        <v>V</v>
      </c>
      <c r="H232" s="23">
        <v>3</v>
      </c>
      <c r="I232" s="23">
        <v>26478324</v>
      </c>
      <c r="J232" s="23" t="str">
        <v>OUSMANE DIALLO</v>
      </c>
      <c r="K232" s="23" t="str">
        <v>COMMERCIAL BANKING</v>
      </c>
    </row>
    <row r="233">
      <c r="A233" s="21" t="str">
        <v>L01CDGN26149222</v>
      </c>
      <c r="B233" s="21">
        <v>100002090</v>
      </c>
      <c r="C233" s="21" t="str">
        <v>CLIENT 102</v>
      </c>
      <c r="D233" s="21" t="str">
        <v>CRLN</v>
      </c>
      <c r="E233" s="22">
        <v>46291</v>
      </c>
      <c r="F233" s="21">
        <v>36</v>
      </c>
      <c r="G233" s="21" t="str">
        <v>IA</v>
      </c>
      <c r="H233" s="21">
        <v>2</v>
      </c>
      <c r="I233" s="21">
        <v>324901143</v>
      </c>
      <c r="J233" s="21" t="str">
        <v>ROKHAYA THIAM SARR</v>
      </c>
      <c r="K233" s="21" t="str">
        <v>COMMERCIAL BANKING</v>
      </c>
    </row>
    <row r="234">
      <c r="A234" s="23" t="str">
        <v>L01CDGN26149223</v>
      </c>
      <c r="B234" s="23">
        <v>100002091</v>
      </c>
      <c r="C234" s="23" t="str">
        <v>CLIENT 103</v>
      </c>
      <c r="D234" s="23" t="str">
        <v>NTRD</v>
      </c>
      <c r="E234" s="24">
        <v>46285</v>
      </c>
      <c r="F234" s="23">
        <v>232</v>
      </c>
      <c r="G234" s="23" t="str">
        <v>IV</v>
      </c>
      <c r="H234" s="23">
        <v>3</v>
      </c>
      <c r="I234" s="23">
        <v>1589071299</v>
      </c>
      <c r="J234" s="23" t="str">
        <v>CAMARA Adama</v>
      </c>
      <c r="K234" s="23" t="str">
        <v>COMMERCIAL BANKING</v>
      </c>
    </row>
    <row r="235">
      <c r="A235" s="21" t="str">
        <v>L01CDGN26149224</v>
      </c>
      <c r="B235" s="21">
        <v>100002092</v>
      </c>
      <c r="C235" s="21" t="str">
        <v>CLIENT 104</v>
      </c>
      <c r="D235" s="21" t="str">
        <v>CRAT</v>
      </c>
      <c r="E235" s="22">
        <v>46281</v>
      </c>
      <c r="F235" s="21">
        <v>82</v>
      </c>
      <c r="G235" s="21" t="str">
        <v>IA</v>
      </c>
      <c r="H235" s="21">
        <v>2</v>
      </c>
      <c r="I235" s="21">
        <v>453142490</v>
      </c>
      <c r="J235" s="21" t="str">
        <v>MBAYE SAIDATOU</v>
      </c>
      <c r="K235" s="21" t="str">
        <v>CORPORATE BANKING</v>
      </c>
    </row>
    <row r="236">
      <c r="A236" s="23" t="str">
        <v>L01CDGN26149225</v>
      </c>
      <c r="B236" s="23">
        <v>100002093</v>
      </c>
      <c r="C236" s="23" t="str">
        <v>CLIENT 105</v>
      </c>
      <c r="D236" s="23" t="str">
        <v>CDGN</v>
      </c>
      <c r="E236" s="24">
        <v>46291</v>
      </c>
      <c r="F236" s="23">
        <v>119</v>
      </c>
      <c r="G236" s="23" t="str">
        <v>I</v>
      </c>
      <c r="H236" s="23">
        <v>1</v>
      </c>
      <c r="I236" s="23">
        <v>989236105</v>
      </c>
      <c r="J236" s="23" t="str">
        <v>GUEYE Oumar</v>
      </c>
      <c r="K236" s="23" t="str">
        <v>COMMERCIAL BANKING</v>
      </c>
    </row>
    <row r="237">
      <c r="A237" s="21" t="str">
        <v>L01CDGN26149226</v>
      </c>
      <c r="B237" s="21">
        <v>100002094</v>
      </c>
      <c r="C237" s="21" t="str">
        <v>CLIENT 106</v>
      </c>
      <c r="D237" s="21" t="str">
        <v>IDAC</v>
      </c>
      <c r="E237" s="22">
        <v>46275</v>
      </c>
      <c r="F237" s="21">
        <v>11</v>
      </c>
      <c r="G237" s="21" t="str">
        <v>IA</v>
      </c>
      <c r="H237" s="21">
        <v>2</v>
      </c>
      <c r="I237" s="21">
        <v>7564707</v>
      </c>
      <c r="J237" s="21" t="str">
        <v>OUSMANE DIALLO</v>
      </c>
      <c r="K237" s="21" t="str">
        <v>CORPORATE BANKING</v>
      </c>
    </row>
    <row r="238">
      <c r="A238" s="23" t="str">
        <v>L01CDGN26149227</v>
      </c>
      <c r="B238" s="23">
        <v>100002095</v>
      </c>
      <c r="C238" s="23" t="str">
        <v>CLIENT 107</v>
      </c>
      <c r="D238" s="23" t="str">
        <v>CRLN</v>
      </c>
      <c r="E238" s="24">
        <v>46288</v>
      </c>
      <c r="F238" s="23">
        <v>9</v>
      </c>
      <c r="G238" s="23" t="str">
        <v>V</v>
      </c>
      <c r="H238" s="23">
        <v>3</v>
      </c>
      <c r="I238" s="23">
        <v>29522078</v>
      </c>
      <c r="J238" s="23" t="str">
        <v>ROKHAYA THIAM SARR</v>
      </c>
      <c r="K238" s="23" t="str">
        <v>CORPORATE BANKING</v>
      </c>
    </row>
    <row r="239">
      <c r="A239" s="21" t="str">
        <v>L01CDGN26149228</v>
      </c>
      <c r="B239" s="21">
        <v>100002096</v>
      </c>
      <c r="C239" s="21" t="str">
        <v>CLIENT 108</v>
      </c>
      <c r="D239" s="21" t="str">
        <v>NTRD</v>
      </c>
      <c r="E239" s="22">
        <v>46280</v>
      </c>
      <c r="F239" s="21">
        <v>113</v>
      </c>
      <c r="G239" s="21" t="str">
        <v>IV</v>
      </c>
      <c r="H239" s="21">
        <v>3</v>
      </c>
      <c r="I239" s="21">
        <v>176993911</v>
      </c>
      <c r="J239" s="21" t="str">
        <v>CAMARA Adama</v>
      </c>
      <c r="K239" s="21" t="str">
        <v>CORPORATE BANKING</v>
      </c>
    </row>
    <row r="240">
      <c r="A240" s="23" t="str">
        <v>L01CDGN26149229</v>
      </c>
      <c r="B240" s="23">
        <v>100002097</v>
      </c>
      <c r="C240" s="23" t="str">
        <v>CLIENT 109</v>
      </c>
      <c r="D240" s="23" t="str">
        <v>CRAT</v>
      </c>
      <c r="E240" s="24">
        <v>46280</v>
      </c>
      <c r="F240" s="23">
        <v>133</v>
      </c>
      <c r="G240" s="23" t="str">
        <v>IA</v>
      </c>
      <c r="H240" s="23">
        <v>2</v>
      </c>
      <c r="I240" s="23">
        <v>536910409</v>
      </c>
      <c r="J240" s="23" t="str">
        <v>MBAYE SAIDATOU</v>
      </c>
      <c r="K240" s="23" t="str">
        <v>CORPORATE BANKING</v>
      </c>
    </row>
    <row r="241">
      <c r="A241" s="21" t="str">
        <v>L01CDGN26149230</v>
      </c>
      <c r="B241" s="21">
        <v>100002098</v>
      </c>
      <c r="C241" s="21" t="str">
        <v>CLIENT 110</v>
      </c>
      <c r="D241" s="21" t="str">
        <v>CDGN</v>
      </c>
      <c r="E241" s="22">
        <v>46285</v>
      </c>
      <c r="F241" s="21">
        <v>1</v>
      </c>
      <c r="G241" s="21" t="str">
        <v>IA</v>
      </c>
      <c r="H241" s="21">
        <v>2</v>
      </c>
      <c r="I241" s="21">
        <v>363397942</v>
      </c>
      <c r="J241" s="21" t="str">
        <v>GUEYE Oumar</v>
      </c>
      <c r="K241" s="21" t="str">
        <v>COMMERCIAL BANKING</v>
      </c>
    </row>
    <row r="242">
      <c r="A242" s="23" t="str">
        <v>L01CDGN26149231</v>
      </c>
      <c r="B242" s="23">
        <v>100002099</v>
      </c>
      <c r="C242" s="23" t="str">
        <v>CLIENT 111</v>
      </c>
      <c r="D242" s="23" t="str">
        <v>IDAC</v>
      </c>
      <c r="E242" s="24">
        <v>46267</v>
      </c>
      <c r="F242" s="23">
        <v>18</v>
      </c>
      <c r="G242" s="23" t="str">
        <v>I</v>
      </c>
      <c r="H242" s="23">
        <v>1</v>
      </c>
      <c r="I242" s="23">
        <v>489193002</v>
      </c>
      <c r="J242" s="23" t="str">
        <v>OUSMANE DIALLO</v>
      </c>
      <c r="K242" s="23" t="str">
        <v>CORPORATE BANKING</v>
      </c>
    </row>
    <row r="243">
      <c r="A243" s="21" t="str">
        <v>L01CDGN26149232</v>
      </c>
      <c r="B243" s="21">
        <v>100002100</v>
      </c>
      <c r="C243" s="21" t="str">
        <v>CLIENT 112</v>
      </c>
      <c r="D243" s="21" t="str">
        <v>CRLN</v>
      </c>
      <c r="E243" s="22">
        <v>46273</v>
      </c>
      <c r="F243" s="21">
        <v>23</v>
      </c>
      <c r="G243" s="21" t="str">
        <v>IA</v>
      </c>
      <c r="H243" s="21">
        <v>2</v>
      </c>
      <c r="I243" s="21">
        <v>786625729</v>
      </c>
      <c r="J243" s="21" t="str">
        <v>ROKHAYA THIAM SARR</v>
      </c>
      <c r="K243" s="21" t="str">
        <v>CORPORATE BANKING</v>
      </c>
    </row>
    <row r="244">
      <c r="A244" s="23" t="str">
        <v>L01CDGN26149233</v>
      </c>
      <c r="B244" s="23">
        <v>100002101</v>
      </c>
      <c r="C244" s="23" t="str">
        <v>CLIENT 113</v>
      </c>
      <c r="D244" s="23" t="str">
        <v>NTRD</v>
      </c>
      <c r="E244" s="24">
        <v>46272</v>
      </c>
      <c r="F244" s="23">
        <v>7</v>
      </c>
      <c r="G244" s="23" t="str">
        <v>V</v>
      </c>
      <c r="H244" s="23">
        <v>3</v>
      </c>
      <c r="I244" s="23">
        <v>1479434521</v>
      </c>
      <c r="J244" s="23" t="str">
        <v>CAMARA Adama</v>
      </c>
      <c r="K244" s="23" t="str">
        <v>CORPORATE BANKING</v>
      </c>
    </row>
    <row r="245">
      <c r="A245" s="21" t="str">
        <v>L01CDGN26149234</v>
      </c>
      <c r="B245" s="21">
        <v>100002102</v>
      </c>
      <c r="C245" s="21" t="str">
        <v>CLIENT 114</v>
      </c>
      <c r="D245" s="21" t="str">
        <v>CRAT</v>
      </c>
      <c r="E245" s="22">
        <v>46285</v>
      </c>
      <c r="F245" s="21">
        <v>17</v>
      </c>
      <c r="G245" s="21" t="str">
        <v>IA</v>
      </c>
      <c r="H245" s="21">
        <v>2</v>
      </c>
      <c r="I245" s="21">
        <v>8386443</v>
      </c>
      <c r="J245" s="21" t="str">
        <v>MBAYE SAIDATOU</v>
      </c>
      <c r="K245" s="21" t="str">
        <v>CORPORATE BANKING</v>
      </c>
    </row>
    <row r="246">
      <c r="A246" s="23" t="str">
        <v>L01CDGN26149235</v>
      </c>
      <c r="B246" s="23">
        <v>100002103</v>
      </c>
      <c r="C246" s="23" t="str">
        <v>CLIENT 115</v>
      </c>
      <c r="D246" s="23" t="str">
        <v>CDGN</v>
      </c>
      <c r="E246" s="24">
        <v>46266</v>
      </c>
      <c r="F246" s="23">
        <v>184</v>
      </c>
      <c r="G246" s="23" t="str">
        <v>IA</v>
      </c>
      <c r="H246" s="23">
        <v>2</v>
      </c>
      <c r="I246" s="23">
        <v>71731225</v>
      </c>
      <c r="J246" s="23" t="str">
        <v>GUEYE Oumar</v>
      </c>
      <c r="K246" s="23" t="str">
        <v>CORPORATE BANKING</v>
      </c>
    </row>
    <row r="247">
      <c r="A247" s="21" t="str">
        <v>L01CDGN26149236</v>
      </c>
      <c r="B247" s="21">
        <v>100002104</v>
      </c>
      <c r="C247" s="21" t="str">
        <v>CLIENT 116</v>
      </c>
      <c r="D247" s="21" t="str">
        <v>IDAC</v>
      </c>
      <c r="E247" s="22">
        <v>46270</v>
      </c>
      <c r="F247" s="21">
        <v>23</v>
      </c>
      <c r="G247" s="21" t="str">
        <v>III</v>
      </c>
      <c r="H247" s="21">
        <v>2</v>
      </c>
      <c r="I247" s="21">
        <v>23091737</v>
      </c>
      <c r="J247" s="21" t="str">
        <v>OUSMANE DIALLO</v>
      </c>
      <c r="K247" s="21" t="str">
        <v>CONSUMER BANKING</v>
      </c>
    </row>
    <row r="248">
      <c r="A248" s="23" t="str">
        <v>L01CDGN26149237</v>
      </c>
      <c r="B248" s="23">
        <v>100002105</v>
      </c>
      <c r="C248" s="23" t="str">
        <v>CLIENT 117</v>
      </c>
      <c r="D248" s="23" t="str">
        <v>CRLN</v>
      </c>
      <c r="E248" s="24">
        <v>46287</v>
      </c>
      <c r="F248" s="23">
        <v>8</v>
      </c>
      <c r="G248" s="23" t="str">
        <v>I</v>
      </c>
      <c r="H248" s="23">
        <v>1</v>
      </c>
      <c r="I248" s="23">
        <v>8526532</v>
      </c>
      <c r="J248" s="23" t="str">
        <v>ROKHAYA THIAM SARR</v>
      </c>
      <c r="K248" s="23" t="str">
        <v>CORPORATE BANKING</v>
      </c>
    </row>
    <row r="249">
      <c r="A249" s="21" t="str">
        <v>L01CDGN26149238</v>
      </c>
      <c r="B249" s="21">
        <v>100002106</v>
      </c>
      <c r="C249" s="21" t="str">
        <v>CLIENT 118</v>
      </c>
      <c r="D249" s="21" t="str">
        <v>NTRD</v>
      </c>
      <c r="E249" s="22">
        <v>46288</v>
      </c>
      <c r="F249" s="21">
        <v>51</v>
      </c>
      <c r="G249" s="21" t="str">
        <v>III</v>
      </c>
      <c r="H249" s="21">
        <v>2</v>
      </c>
      <c r="I249" s="21">
        <v>498090</v>
      </c>
      <c r="J249" s="21" t="str">
        <v>CAMARA Adama</v>
      </c>
      <c r="K249" s="21" t="str">
        <v>COMMERCIAL BANKING</v>
      </c>
    </row>
    <row r="250">
      <c r="A250" s="23" t="str">
        <v>L01CDGN26149239</v>
      </c>
      <c r="B250" s="23">
        <v>100002107</v>
      </c>
      <c r="C250" s="23" t="str">
        <v>CLIENT 119</v>
      </c>
      <c r="D250" s="23" t="str">
        <v>CRAT</v>
      </c>
      <c r="E250" s="24">
        <v>46272</v>
      </c>
      <c r="F250" s="23">
        <v>166</v>
      </c>
      <c r="G250" s="23" t="str">
        <v>III</v>
      </c>
      <c r="H250" s="23">
        <v>2</v>
      </c>
      <c r="I250" s="23">
        <v>20881782</v>
      </c>
      <c r="J250" s="23" t="str">
        <v>MBAYE SAIDATOU</v>
      </c>
      <c r="K250" s="23" t="str">
        <v>CORPORATE BANKING</v>
      </c>
    </row>
    <row r="251">
      <c r="A251" s="21" t="str">
        <v>L01CDGN26149240</v>
      </c>
      <c r="B251" s="21">
        <v>100002108</v>
      </c>
      <c r="C251" s="21" t="str">
        <v>CLIENT 0</v>
      </c>
      <c r="D251" s="21" t="str">
        <v>CDGN</v>
      </c>
      <c r="E251" s="22">
        <v>46279</v>
      </c>
      <c r="F251" s="21">
        <v>77</v>
      </c>
      <c r="G251" s="21" t="str">
        <v>IA</v>
      </c>
      <c r="H251" s="21">
        <v>2</v>
      </c>
      <c r="I251" s="21">
        <v>62435777</v>
      </c>
      <c r="J251" s="21" t="str">
        <v>GUEYE Oumar</v>
      </c>
      <c r="K251" s="21" t="str">
        <v>CORPORATE BANKING</v>
      </c>
    </row>
    <row r="252">
      <c r="A252" s="23" t="str">
        <v>L01CDGN26149241</v>
      </c>
      <c r="B252" s="23">
        <v>100002109</v>
      </c>
      <c r="C252" s="23" t="str">
        <v>CLIENT 1</v>
      </c>
      <c r="D252" s="23" t="str">
        <v>IDAC</v>
      </c>
      <c r="E252" s="24">
        <v>46267</v>
      </c>
      <c r="F252" s="23">
        <v>38</v>
      </c>
      <c r="G252" s="23" t="str">
        <v>III</v>
      </c>
      <c r="H252" s="23">
        <v>2</v>
      </c>
      <c r="I252" s="23">
        <v>1695892235</v>
      </c>
      <c r="J252" s="23" t="str">
        <v>OUSMANE DIALLO</v>
      </c>
      <c r="K252" s="23" t="str">
        <v>CONSUMER BANKING</v>
      </c>
    </row>
    <row r="253">
      <c r="A253" s="21" t="str">
        <v>L01CDGN26149242</v>
      </c>
      <c r="B253" s="21">
        <v>100002110</v>
      </c>
      <c r="C253" s="21" t="str">
        <v>CLIENT 2</v>
      </c>
      <c r="D253" s="21" t="str">
        <v>CRLN</v>
      </c>
      <c r="E253" s="22">
        <v>46278</v>
      </c>
      <c r="F253" s="21">
        <v>77</v>
      </c>
      <c r="G253" s="21" t="str">
        <v>III</v>
      </c>
      <c r="H253" s="21">
        <v>2</v>
      </c>
      <c r="I253" s="21">
        <v>13486283</v>
      </c>
      <c r="J253" s="21" t="str">
        <v>ROKHAYA THIAM SARR</v>
      </c>
      <c r="K253" s="21" t="str">
        <v>CORPORATE BANKING</v>
      </c>
    </row>
    <row r="254">
      <c r="A254" s="23" t="str">
        <v>L01CDGN26149243</v>
      </c>
      <c r="B254" s="23">
        <v>100002111</v>
      </c>
      <c r="C254" s="23" t="str">
        <v>CLIENT 3</v>
      </c>
      <c r="D254" s="23" t="str">
        <v>NTRD</v>
      </c>
      <c r="E254" s="24">
        <v>46270</v>
      </c>
      <c r="F254" s="23">
        <v>29</v>
      </c>
      <c r="G254" s="23" t="str">
        <v>II</v>
      </c>
      <c r="H254" s="23">
        <v>2</v>
      </c>
      <c r="I254" s="23">
        <v>241186987</v>
      </c>
      <c r="J254" s="23" t="str">
        <v>CAMARA Adama</v>
      </c>
      <c r="K254" s="23" t="str">
        <v>COMMERCIAL BANKING</v>
      </c>
    </row>
    <row r="255">
      <c r="A255" s="21" t="str">
        <v>L01CDGN26149244</v>
      </c>
      <c r="B255" s="21">
        <v>100002112</v>
      </c>
      <c r="C255" s="21" t="str">
        <v>CLIENT 4</v>
      </c>
      <c r="D255" s="21" t="str">
        <v>CRAT</v>
      </c>
      <c r="E255" s="22">
        <v>46276</v>
      </c>
      <c r="F255" s="21">
        <v>201</v>
      </c>
      <c r="G255" s="21" t="str">
        <v>III</v>
      </c>
      <c r="H255" s="21">
        <v>2</v>
      </c>
      <c r="I255" s="21">
        <v>1237999433</v>
      </c>
      <c r="J255" s="21" t="str">
        <v>MBAYE SAIDATOU</v>
      </c>
      <c r="K255" s="21" t="str">
        <v>CORPORATE BANKING</v>
      </c>
    </row>
    <row r="256">
      <c r="A256" s="23" t="str">
        <v>L01CDGN26149245</v>
      </c>
      <c r="B256" s="23">
        <v>100002113</v>
      </c>
      <c r="C256" s="23" t="str">
        <v>CLIENT 5</v>
      </c>
      <c r="D256" s="23" t="str">
        <v>CDGN</v>
      </c>
      <c r="E256" s="24">
        <v>46278</v>
      </c>
      <c r="F256" s="23">
        <v>9</v>
      </c>
      <c r="G256" s="23" t="str">
        <v>II</v>
      </c>
      <c r="H256" s="23">
        <v>2</v>
      </c>
      <c r="I256" s="23">
        <v>26500021</v>
      </c>
      <c r="J256" s="23" t="str">
        <v>GUEYE Oumar</v>
      </c>
      <c r="K256" s="23" t="str">
        <v>CORPORATE BANKING</v>
      </c>
    </row>
    <row r="257">
      <c r="A257" s="21" t="str">
        <v>L01CDGN26149246</v>
      </c>
      <c r="B257" s="21">
        <v>100002114</v>
      </c>
      <c r="C257" s="21" t="str">
        <v>CLIENT 6</v>
      </c>
      <c r="D257" s="21" t="str">
        <v>IDAC</v>
      </c>
      <c r="E257" s="22">
        <v>46285</v>
      </c>
      <c r="F257" s="21">
        <v>60</v>
      </c>
      <c r="G257" s="21" t="str">
        <v>V</v>
      </c>
      <c r="H257" s="21">
        <v>3</v>
      </c>
      <c r="I257" s="21">
        <v>888322988</v>
      </c>
      <c r="J257" s="21" t="str">
        <v>OUSMANE DIALLO</v>
      </c>
      <c r="K257" s="21" t="str">
        <v>CORPORATE BANKING</v>
      </c>
    </row>
    <row r="258">
      <c r="A258" s="23" t="str">
        <v>L01CDGN26149247</v>
      </c>
      <c r="B258" s="23">
        <v>100002115</v>
      </c>
      <c r="C258" s="23" t="str">
        <v>CLIENT 7</v>
      </c>
      <c r="D258" s="23" t="str">
        <v>CRLN</v>
      </c>
      <c r="E258" s="24">
        <v>46283</v>
      </c>
      <c r="F258" s="23">
        <v>84</v>
      </c>
      <c r="G258" s="23" t="str">
        <v>I</v>
      </c>
      <c r="H258" s="23">
        <v>1</v>
      </c>
      <c r="I258" s="23">
        <v>1495546049</v>
      </c>
      <c r="J258" s="23" t="str">
        <v>ROKHAYA THIAM SARR</v>
      </c>
      <c r="K258" s="23" t="str">
        <v>CORPORATE BANKING</v>
      </c>
    </row>
    <row r="259">
      <c r="A259" s="21" t="str">
        <v>L01CDGN26149248</v>
      </c>
      <c r="B259" s="21">
        <v>100002116</v>
      </c>
      <c r="C259" s="21" t="str">
        <v>CLIENT 8</v>
      </c>
      <c r="D259" s="21" t="str">
        <v>NTRD</v>
      </c>
      <c r="E259" s="22">
        <v>46279</v>
      </c>
      <c r="F259" s="21">
        <v>242</v>
      </c>
      <c r="G259" s="21" t="str">
        <v>III</v>
      </c>
      <c r="H259" s="21">
        <v>2</v>
      </c>
      <c r="I259" s="21">
        <v>1629317101</v>
      </c>
      <c r="J259" s="21" t="str">
        <v>CAMARA Adama</v>
      </c>
      <c r="K259" s="21" t="str">
        <v>CONSUMER BANKING</v>
      </c>
    </row>
    <row r="260">
      <c r="A260" s="23" t="str">
        <v>L01CDGN26149249</v>
      </c>
      <c r="B260" s="23">
        <v>100002117</v>
      </c>
      <c r="C260" s="23" t="str">
        <v>CLIENT 9</v>
      </c>
      <c r="D260" s="23" t="str">
        <v>CRAT</v>
      </c>
      <c r="E260" s="24">
        <v>46281</v>
      </c>
      <c r="F260" s="23">
        <v>31</v>
      </c>
      <c r="G260" s="23" t="str">
        <v>V</v>
      </c>
      <c r="H260" s="23">
        <v>3</v>
      </c>
      <c r="I260" s="23">
        <v>181867</v>
      </c>
      <c r="J260" s="23" t="str">
        <v>MBAYE SAIDATOU</v>
      </c>
      <c r="K260" s="23" t="str">
        <v>COMMERCIAL BANKING</v>
      </c>
    </row>
    <row r="261">
      <c r="A261" s="21" t="str">
        <v>L01CDGN26149250</v>
      </c>
      <c r="B261" s="21">
        <v>100002118</v>
      </c>
      <c r="C261" s="21" t="str">
        <v>CLIENT 10</v>
      </c>
      <c r="D261" s="21" t="str">
        <v>CDGN</v>
      </c>
      <c r="E261" s="22">
        <v>46279</v>
      </c>
      <c r="F261" s="21">
        <v>149</v>
      </c>
      <c r="G261" s="21" t="str">
        <v>III</v>
      </c>
      <c r="H261" s="21">
        <v>2</v>
      </c>
      <c r="I261" s="21">
        <v>109021597</v>
      </c>
      <c r="J261" s="21" t="str">
        <v>GUEYE Oumar</v>
      </c>
      <c r="K261" s="21" t="str">
        <v>CORPORATE BANKING</v>
      </c>
    </row>
    <row r="262">
      <c r="A262" s="23" t="str">
        <v>L01CDGN26149251</v>
      </c>
      <c r="B262" s="23">
        <v>100002119</v>
      </c>
      <c r="C262" s="23" t="str">
        <v>CLIENT 11</v>
      </c>
      <c r="D262" s="23" t="str">
        <v>IDAC</v>
      </c>
      <c r="E262" s="24">
        <v>46279</v>
      </c>
      <c r="F262" s="23">
        <v>63</v>
      </c>
      <c r="G262" s="23" t="str">
        <v>IA</v>
      </c>
      <c r="H262" s="23">
        <v>2</v>
      </c>
      <c r="I262" s="23">
        <v>334949782</v>
      </c>
      <c r="J262" s="23" t="str">
        <v>OUSMANE DIALLO</v>
      </c>
      <c r="K262" s="23" t="str">
        <v>CORPORATE BANKING</v>
      </c>
    </row>
    <row r="263">
      <c r="A263" s="21" t="str">
        <v>L01CDGN26149252</v>
      </c>
      <c r="B263" s="21">
        <v>100002120</v>
      </c>
      <c r="C263" s="21" t="str">
        <v>CLIENT 12</v>
      </c>
      <c r="D263" s="21" t="str">
        <v>CRLN</v>
      </c>
      <c r="E263" s="22">
        <v>46288</v>
      </c>
      <c r="F263" s="21">
        <v>98</v>
      </c>
      <c r="G263" s="21" t="str">
        <v>V</v>
      </c>
      <c r="H263" s="21">
        <v>3</v>
      </c>
      <c r="I263" s="21">
        <v>1285744475</v>
      </c>
      <c r="J263" s="21" t="str">
        <v>ROKHAYA THIAM SARR</v>
      </c>
      <c r="K263" s="21" t="str">
        <v>CORPORATE BANKING</v>
      </c>
    </row>
    <row r="264">
      <c r="A264" s="23" t="str">
        <v>L01CDGN26149253</v>
      </c>
      <c r="B264" s="23">
        <v>100002121</v>
      </c>
      <c r="C264" s="23" t="str">
        <v>CLIENT 13</v>
      </c>
      <c r="D264" s="23" t="str">
        <v>NTRD</v>
      </c>
      <c r="E264" s="24">
        <v>46280</v>
      </c>
      <c r="F264" s="23">
        <v>80</v>
      </c>
      <c r="G264" s="23" t="str">
        <v>I</v>
      </c>
      <c r="H264" s="23">
        <v>1</v>
      </c>
      <c r="I264" s="23">
        <v>13710601</v>
      </c>
      <c r="J264" s="23" t="str">
        <v>CAMARA Adama</v>
      </c>
      <c r="K264" s="23" t="str">
        <v>CORPORATE BANKING</v>
      </c>
    </row>
    <row r="265">
      <c r="A265" s="21" t="str">
        <v>L01CDGN26149254</v>
      </c>
      <c r="B265" s="21">
        <v>100002122</v>
      </c>
      <c r="C265" s="21" t="str">
        <v>CLIENT 14</v>
      </c>
      <c r="D265" s="21" t="str">
        <v>CRAT</v>
      </c>
      <c r="E265" s="22">
        <v>46278</v>
      </c>
      <c r="F265" s="21">
        <v>9</v>
      </c>
      <c r="G265" s="21" t="str">
        <v>IA</v>
      </c>
      <c r="H265" s="21">
        <v>2</v>
      </c>
      <c r="I265" s="21">
        <v>556268298</v>
      </c>
      <c r="J265" s="21" t="str">
        <v>MBAYE SAIDATOU</v>
      </c>
      <c r="K265" s="21" t="str">
        <v>CONSUMER BANKING</v>
      </c>
    </row>
    <row r="266">
      <c r="A266" s="23" t="str">
        <v>L01CDGN26149255</v>
      </c>
      <c r="B266" s="23">
        <v>100002123</v>
      </c>
      <c r="C266" s="23" t="str">
        <v>CLIENT 15</v>
      </c>
      <c r="D266" s="23" t="str">
        <v>CDGN</v>
      </c>
      <c r="E266" s="24">
        <v>46285</v>
      </c>
      <c r="F266" s="23">
        <v>67</v>
      </c>
      <c r="G266" s="23" t="str">
        <v>IA</v>
      </c>
      <c r="H266" s="23">
        <v>2</v>
      </c>
      <c r="I266" s="23">
        <v>120563449</v>
      </c>
      <c r="J266" s="23" t="str">
        <v>GUEYE Oumar</v>
      </c>
      <c r="K266" s="23" t="str">
        <v>CORPORATE BANKING</v>
      </c>
    </row>
    <row r="267">
      <c r="A267" s="21" t="str">
        <v>L01CDGN26149256</v>
      </c>
      <c r="B267" s="21">
        <v>100002124</v>
      </c>
      <c r="C267" s="21" t="str">
        <v>CLIENT 16</v>
      </c>
      <c r="D267" s="21" t="str">
        <v>IDAC</v>
      </c>
      <c r="E267" s="22">
        <v>46285</v>
      </c>
      <c r="F267" s="21">
        <v>0</v>
      </c>
      <c r="G267" s="21" t="str">
        <v>IA</v>
      </c>
      <c r="H267" s="21">
        <v>2</v>
      </c>
      <c r="I267" s="21">
        <v>26219089</v>
      </c>
      <c r="J267" s="21" t="str">
        <v>OUSMANE DIALLO</v>
      </c>
      <c r="K267" s="21" t="str">
        <v>PUBLIC SECTOR</v>
      </c>
    </row>
    <row r="268">
      <c r="A268" s="23" t="str">
        <v>L01CDGN26149257</v>
      </c>
      <c r="B268" s="23">
        <v>100002125</v>
      </c>
      <c r="C268" s="23" t="str">
        <v>CLIENT 17</v>
      </c>
      <c r="D268" s="23" t="str">
        <v>CRLN</v>
      </c>
      <c r="E268" s="24">
        <v>46275</v>
      </c>
      <c r="F268" s="23">
        <v>1</v>
      </c>
      <c r="G268" s="23" t="str">
        <v>IV</v>
      </c>
      <c r="H268" s="23">
        <v>3</v>
      </c>
      <c r="I268" s="23">
        <v>11202024</v>
      </c>
      <c r="J268" s="23" t="str">
        <v>ROKHAYA THIAM SARR</v>
      </c>
      <c r="K268" s="23" t="str">
        <v>CONSUMER BANKING</v>
      </c>
    </row>
    <row r="269">
      <c r="A269" s="21" t="str">
        <v>L01CDGN26149258</v>
      </c>
      <c r="B269" s="21">
        <v>100002126</v>
      </c>
      <c r="C269" s="21" t="str">
        <v>CLIENT 18</v>
      </c>
      <c r="D269" s="21" t="str">
        <v>NTRD</v>
      </c>
      <c r="E269" s="22">
        <v>46287</v>
      </c>
      <c r="F269" s="21">
        <v>55</v>
      </c>
      <c r="G269" s="21" t="str">
        <v>IA</v>
      </c>
      <c r="H269" s="21">
        <v>2</v>
      </c>
      <c r="I269" s="21">
        <v>1398429286</v>
      </c>
      <c r="J269" s="21" t="str">
        <v>CAMARA Adama</v>
      </c>
      <c r="K269" s="21" t="str">
        <v>COMMERCIAL BANKING</v>
      </c>
    </row>
    <row r="270">
      <c r="A270" s="23" t="str">
        <v>L01CDGN26149259</v>
      </c>
      <c r="B270" s="23">
        <v>100002127</v>
      </c>
      <c r="C270" s="23" t="str">
        <v>CLIENT 19</v>
      </c>
      <c r="D270" s="23" t="str">
        <v>CRAT</v>
      </c>
      <c r="E270" s="24">
        <v>46284</v>
      </c>
      <c r="F270" s="23">
        <v>58</v>
      </c>
      <c r="G270" s="23" t="str">
        <v>IV</v>
      </c>
      <c r="H270" s="23">
        <v>3</v>
      </c>
      <c r="I270" s="23">
        <v>276837</v>
      </c>
      <c r="J270" s="23" t="str">
        <v>MBAYE SAIDATOU</v>
      </c>
      <c r="K270" s="23" t="str">
        <v>CORPORATE BANKING</v>
      </c>
    </row>
    <row r="271">
      <c r="A271" s="21" t="str">
        <v>L01CDGN26149260</v>
      </c>
      <c r="B271" s="21">
        <v>100002128</v>
      </c>
      <c r="C271" s="21" t="str">
        <v>CLIENT 20</v>
      </c>
      <c r="D271" s="21" t="str">
        <v>CDGN</v>
      </c>
      <c r="E271" s="22">
        <v>46280</v>
      </c>
      <c r="F271" s="21">
        <v>105</v>
      </c>
      <c r="G271" s="21" t="str">
        <v>III</v>
      </c>
      <c r="H271" s="21">
        <v>2</v>
      </c>
      <c r="I271" s="21">
        <v>1344987245</v>
      </c>
      <c r="J271" s="21" t="str">
        <v>GUEYE Oumar</v>
      </c>
      <c r="K271" s="21" t="str">
        <v>CONSUMER BANKING</v>
      </c>
    </row>
    <row r="272">
      <c r="A272" s="23" t="str">
        <v>L01CDGN26149261</v>
      </c>
      <c r="B272" s="23">
        <v>100002129</v>
      </c>
      <c r="C272" s="23" t="str">
        <v>CLIENT 21</v>
      </c>
      <c r="D272" s="23" t="str">
        <v>IDAC</v>
      </c>
      <c r="E272" s="24">
        <v>46288</v>
      </c>
      <c r="F272" s="23">
        <v>17</v>
      </c>
      <c r="G272" s="23" t="str">
        <v>II</v>
      </c>
      <c r="H272" s="23">
        <v>2</v>
      </c>
      <c r="I272" s="23">
        <v>60657317</v>
      </c>
      <c r="J272" s="23" t="str">
        <v>OUSMANE DIALLO</v>
      </c>
      <c r="K272" s="23" t="str">
        <v>CORPORATE BANKING</v>
      </c>
    </row>
    <row r="273">
      <c r="A273" s="21" t="str">
        <v>L01CDGN26149262</v>
      </c>
      <c r="B273" s="21">
        <v>100002130</v>
      </c>
      <c r="C273" s="21" t="str">
        <v>CLIENT 22</v>
      </c>
      <c r="D273" s="21" t="str">
        <v>CRLN</v>
      </c>
      <c r="E273" s="22">
        <v>46291</v>
      </c>
      <c r="F273" s="21">
        <v>63</v>
      </c>
      <c r="G273" s="21" t="str">
        <v>IA</v>
      </c>
      <c r="H273" s="21">
        <v>2</v>
      </c>
      <c r="I273" s="21">
        <v>233109370</v>
      </c>
      <c r="J273" s="21" t="str">
        <v>ROKHAYA THIAM SARR</v>
      </c>
      <c r="K273" s="21" t="str">
        <v>COMMERCIAL BANKING</v>
      </c>
    </row>
    <row r="274">
      <c r="A274" s="23" t="str">
        <v>L01CDGN26149263</v>
      </c>
      <c r="B274" s="23">
        <v>100002131</v>
      </c>
      <c r="C274" s="23" t="str">
        <v>CLIENT 23</v>
      </c>
      <c r="D274" s="23" t="str">
        <v>NTRD</v>
      </c>
      <c r="E274" s="24">
        <v>46276</v>
      </c>
      <c r="F274" s="23">
        <v>106</v>
      </c>
      <c r="G274" s="23" t="str">
        <v>II</v>
      </c>
      <c r="H274" s="23">
        <v>2</v>
      </c>
      <c r="I274" s="23">
        <v>24898529</v>
      </c>
      <c r="J274" s="23" t="str">
        <v>CAMARA Adama</v>
      </c>
      <c r="K274" s="23" t="str">
        <v>CORPORATE BANKING</v>
      </c>
    </row>
    <row r="275">
      <c r="A275" s="21" t="str">
        <v>L01CDGN26149264</v>
      </c>
      <c r="B275" s="21">
        <v>100002132</v>
      </c>
      <c r="C275" s="21" t="str">
        <v>CLIENT 24</v>
      </c>
      <c r="D275" s="21" t="str">
        <v>CRAT</v>
      </c>
      <c r="E275" s="22">
        <v>46289</v>
      </c>
      <c r="F275" s="21">
        <v>73</v>
      </c>
      <c r="G275" s="21" t="str">
        <v>V</v>
      </c>
      <c r="H275" s="21">
        <v>3</v>
      </c>
      <c r="I275" s="21">
        <v>123893951</v>
      </c>
      <c r="J275" s="21" t="str">
        <v>MBAYE SAIDATOU</v>
      </c>
      <c r="K275" s="21" t="str">
        <v>CORPORATE BANKING</v>
      </c>
    </row>
    <row r="276">
      <c r="A276" s="23" t="str">
        <v>L01CDGN26149265</v>
      </c>
      <c r="B276" s="23">
        <v>100002133</v>
      </c>
      <c r="C276" s="23" t="str">
        <v>CLIENT 25</v>
      </c>
      <c r="D276" s="23" t="str">
        <v>CDGN</v>
      </c>
      <c r="E276" s="24">
        <v>46269</v>
      </c>
      <c r="F276" s="23">
        <v>58</v>
      </c>
      <c r="G276" s="23" t="str">
        <v>II</v>
      </c>
      <c r="H276" s="23">
        <v>2</v>
      </c>
      <c r="I276" s="23">
        <v>398943294</v>
      </c>
      <c r="J276" s="23" t="str">
        <v>GUEYE Oumar</v>
      </c>
      <c r="K276" s="23" t="str">
        <v>CORPORATE BANKING</v>
      </c>
    </row>
    <row r="277">
      <c r="A277" s="21" t="str">
        <v>L01CDGN26149266</v>
      </c>
      <c r="B277" s="21">
        <v>100002134</v>
      </c>
      <c r="C277" s="21" t="str">
        <v>CLIENT 26</v>
      </c>
      <c r="D277" s="21" t="str">
        <v>IDAC</v>
      </c>
      <c r="E277" s="22">
        <v>46282</v>
      </c>
      <c r="F277" s="21">
        <v>40</v>
      </c>
      <c r="G277" s="21" t="str">
        <v>II</v>
      </c>
      <c r="H277" s="21">
        <v>2</v>
      </c>
      <c r="I277" s="21">
        <v>1969544513</v>
      </c>
      <c r="J277" s="21" t="str">
        <v>OUSMANE DIALLO</v>
      </c>
      <c r="K277" s="21" t="str">
        <v>CORPORATE BANKING</v>
      </c>
    </row>
    <row r="278">
      <c r="A278" s="23" t="str">
        <v>L01CDGN26149267</v>
      </c>
      <c r="B278" s="23">
        <v>100002135</v>
      </c>
      <c r="C278" s="23" t="str">
        <v>CLIENT 27</v>
      </c>
      <c r="D278" s="23" t="str">
        <v>CRLN</v>
      </c>
      <c r="E278" s="24">
        <v>46275</v>
      </c>
      <c r="F278" s="23">
        <v>7</v>
      </c>
      <c r="G278" s="23" t="str">
        <v>IA</v>
      </c>
      <c r="H278" s="23">
        <v>2</v>
      </c>
      <c r="I278" s="23">
        <v>457944270</v>
      </c>
      <c r="J278" s="23" t="str">
        <v>ROKHAYA THIAM SARR</v>
      </c>
      <c r="K278" s="23" t="str">
        <v>CORPORATE BANKING</v>
      </c>
    </row>
    <row r="279">
      <c r="A279" s="21" t="str">
        <v>L01CDGN26149268</v>
      </c>
      <c r="B279" s="21">
        <v>100002136</v>
      </c>
      <c r="C279" s="21" t="str">
        <v>CLIENT 28</v>
      </c>
      <c r="D279" s="21" t="str">
        <v>NTRD</v>
      </c>
      <c r="E279" s="22">
        <v>46291</v>
      </c>
      <c r="F279" s="21">
        <v>33</v>
      </c>
      <c r="G279" s="21" t="str">
        <v>III</v>
      </c>
      <c r="H279" s="21">
        <v>2</v>
      </c>
      <c r="I279" s="21">
        <v>185085742</v>
      </c>
      <c r="J279" s="21" t="str">
        <v>CAMARA Adama</v>
      </c>
      <c r="K279" s="21" t="str">
        <v>CORPORATE BANKING</v>
      </c>
    </row>
    <row r="280">
      <c r="A280" s="23" t="str">
        <v>L01CDGN26149269</v>
      </c>
      <c r="B280" s="23">
        <v>100002137</v>
      </c>
      <c r="C280" s="23" t="str">
        <v>CLIENT 29</v>
      </c>
      <c r="D280" s="23" t="str">
        <v>CRAT</v>
      </c>
      <c r="E280" s="24">
        <v>46287</v>
      </c>
      <c r="F280" s="23">
        <v>0</v>
      </c>
      <c r="G280" s="23" t="str">
        <v>IA</v>
      </c>
      <c r="H280" s="23">
        <v>2</v>
      </c>
      <c r="I280" s="23">
        <v>1782168076</v>
      </c>
      <c r="J280" s="23" t="str">
        <v>MBAYE SAIDATOU</v>
      </c>
      <c r="K280" s="23" t="str">
        <v>CORPORATE BANKING</v>
      </c>
    </row>
    <row r="281">
      <c r="A281" s="21" t="str">
        <v>L01CDGN26149270</v>
      </c>
      <c r="B281" s="21">
        <v>100002138</v>
      </c>
      <c r="C281" s="21" t="str">
        <v>CLIENT 30</v>
      </c>
      <c r="D281" s="21" t="str">
        <v>CDGN</v>
      </c>
      <c r="E281" s="22">
        <v>46276</v>
      </c>
      <c r="F281" s="21">
        <v>6</v>
      </c>
      <c r="G281" s="21" t="str">
        <v>V</v>
      </c>
      <c r="H281" s="21">
        <v>3</v>
      </c>
      <c r="I281" s="21">
        <v>1911279346</v>
      </c>
      <c r="J281" s="21" t="str">
        <v>GUEYE Oumar</v>
      </c>
      <c r="K281" s="21" t="str">
        <v>COMMERCIAL BANKING</v>
      </c>
    </row>
    <row r="282">
      <c r="A282" s="23" t="str">
        <v>L01CDGN26149271</v>
      </c>
      <c r="B282" s="23">
        <v>100002139</v>
      </c>
      <c r="C282" s="23" t="str">
        <v>CLIENT 31</v>
      </c>
      <c r="D282" s="23" t="str">
        <v>IDAC</v>
      </c>
      <c r="E282" s="24">
        <v>46287</v>
      </c>
      <c r="F282" s="23">
        <v>14</v>
      </c>
      <c r="G282" s="23" t="str">
        <v>I</v>
      </c>
      <c r="H282" s="23">
        <v>1</v>
      </c>
      <c r="I282" s="23">
        <v>1010006749</v>
      </c>
      <c r="J282" s="23" t="str">
        <v>OUSMANE DIALLO</v>
      </c>
      <c r="K282" s="23" t="str">
        <v>CORPORATE BANKING</v>
      </c>
    </row>
    <row r="283">
      <c r="A283" s="21" t="str">
        <v>L01CDGN26149272</v>
      </c>
      <c r="B283" s="21">
        <v>100002140</v>
      </c>
      <c r="C283" s="21" t="str">
        <v>CLIENT 32</v>
      </c>
      <c r="D283" s="21" t="str">
        <v>CRLN</v>
      </c>
      <c r="E283" s="22">
        <v>46283</v>
      </c>
      <c r="F283" s="21">
        <v>38</v>
      </c>
      <c r="G283" s="21" t="str">
        <v>III</v>
      </c>
      <c r="H283" s="21">
        <v>2</v>
      </c>
      <c r="I283" s="21">
        <v>90897419</v>
      </c>
      <c r="J283" s="21" t="str">
        <v>ROKHAYA THIAM SARR</v>
      </c>
      <c r="K283" s="21" t="str">
        <v>CORPORATE BANKING</v>
      </c>
    </row>
    <row r="284">
      <c r="A284" s="23" t="str">
        <v>L01CDGN26149273</v>
      </c>
      <c r="B284" s="23">
        <v>100002141</v>
      </c>
      <c r="C284" s="23" t="str">
        <v>CLIENT 33</v>
      </c>
      <c r="D284" s="23" t="str">
        <v>NTRD</v>
      </c>
      <c r="E284" s="24">
        <v>46282</v>
      </c>
      <c r="F284" s="23">
        <v>11</v>
      </c>
      <c r="G284" s="23" t="str">
        <v>IA</v>
      </c>
      <c r="H284" s="23">
        <v>2</v>
      </c>
      <c r="I284" s="23">
        <v>277146962</v>
      </c>
      <c r="J284" s="23" t="str">
        <v>CAMARA Adama</v>
      </c>
      <c r="K284" s="23" t="str">
        <v>CORPORATE BANKING</v>
      </c>
    </row>
    <row r="285">
      <c r="A285" s="21" t="str">
        <v>L01CDGN26149274</v>
      </c>
      <c r="B285" s="21">
        <v>100002142</v>
      </c>
      <c r="C285" s="21" t="str">
        <v>CLIENT 34</v>
      </c>
      <c r="D285" s="21" t="str">
        <v>CRAT</v>
      </c>
      <c r="E285" s="22">
        <v>46288</v>
      </c>
      <c r="F285" s="21">
        <v>4</v>
      </c>
      <c r="G285" s="21" t="str">
        <v>IA</v>
      </c>
      <c r="H285" s="21">
        <v>2</v>
      </c>
      <c r="I285" s="21">
        <v>6951320</v>
      </c>
      <c r="J285" s="21" t="str">
        <v>MBAYE SAIDATOU</v>
      </c>
      <c r="K285" s="21" t="str">
        <v>PUBLIC SECTOR</v>
      </c>
    </row>
    <row r="286">
      <c r="A286" s="23" t="str">
        <v>L01CDGN26149275</v>
      </c>
      <c r="B286" s="23">
        <v>100002143</v>
      </c>
      <c r="C286" s="23" t="str">
        <v>CLIENT 35</v>
      </c>
      <c r="D286" s="23" t="str">
        <v>CDGN</v>
      </c>
      <c r="E286" s="24">
        <v>46275</v>
      </c>
      <c r="F286" s="23">
        <v>2</v>
      </c>
      <c r="G286" s="23" t="str">
        <v>IA</v>
      </c>
      <c r="H286" s="23">
        <v>2</v>
      </c>
      <c r="I286" s="23">
        <v>27135778</v>
      </c>
      <c r="J286" s="23" t="str">
        <v>GUEYE Oumar</v>
      </c>
      <c r="K286" s="23" t="str">
        <v>CORPORATE BANKING</v>
      </c>
    </row>
    <row r="287">
      <c r="A287" s="21" t="str">
        <v>L01CDGN26149276</v>
      </c>
      <c r="B287" s="21">
        <v>100002144</v>
      </c>
      <c r="C287" s="21" t="str">
        <v>CLIENT 36</v>
      </c>
      <c r="D287" s="21" t="str">
        <v>IDAC</v>
      </c>
      <c r="E287" s="22">
        <v>46274</v>
      </c>
      <c r="F287" s="21">
        <v>18</v>
      </c>
      <c r="G287" s="21" t="str">
        <v>V</v>
      </c>
      <c r="H287" s="21">
        <v>3</v>
      </c>
      <c r="I287" s="21">
        <v>1938837022</v>
      </c>
      <c r="J287" s="21" t="str">
        <v>OUSMANE DIALLO</v>
      </c>
      <c r="K287" s="21" t="str">
        <v>CORPORATE BANKING</v>
      </c>
    </row>
    <row r="288">
      <c r="A288" s="23" t="str">
        <v>L01CDGN26149277</v>
      </c>
      <c r="B288" s="23">
        <v>100002145</v>
      </c>
      <c r="C288" s="23" t="str">
        <v>CLIENT 37</v>
      </c>
      <c r="D288" s="23" t="str">
        <v>CRLN</v>
      </c>
      <c r="E288" s="24">
        <v>46274</v>
      </c>
      <c r="F288" s="23">
        <v>20</v>
      </c>
      <c r="G288" s="23" t="str">
        <v>III</v>
      </c>
      <c r="H288" s="23">
        <v>2</v>
      </c>
      <c r="I288" s="23">
        <v>6071308</v>
      </c>
      <c r="J288" s="23" t="str">
        <v>ROKHAYA THIAM SARR</v>
      </c>
      <c r="K288" s="23" t="str">
        <v>CORPORATE BANKING</v>
      </c>
    </row>
    <row r="289">
      <c r="A289" s="21" t="str">
        <v>L01CDGN26149278</v>
      </c>
      <c r="B289" s="21">
        <v>100002146</v>
      </c>
      <c r="C289" s="21" t="str">
        <v>CLIENT 38</v>
      </c>
      <c r="D289" s="21" t="str">
        <v>NTRD</v>
      </c>
      <c r="E289" s="22">
        <v>46266</v>
      </c>
      <c r="F289" s="21">
        <v>17</v>
      </c>
      <c r="G289" s="21" t="str">
        <v>II</v>
      </c>
      <c r="H289" s="21">
        <v>2</v>
      </c>
      <c r="I289" s="21">
        <v>93419180</v>
      </c>
      <c r="J289" s="21" t="str">
        <v>CAMARA Adama</v>
      </c>
      <c r="K289" s="21" t="str">
        <v>COMMERCIAL BANKING</v>
      </c>
    </row>
    <row r="290">
      <c r="A290" s="23" t="str">
        <v>L01CDGN26149279</v>
      </c>
      <c r="B290" s="23">
        <v>100002147</v>
      </c>
      <c r="C290" s="23" t="str">
        <v>CLIENT 39</v>
      </c>
      <c r="D290" s="23" t="str">
        <v>CRAT</v>
      </c>
      <c r="E290" s="24">
        <v>46285</v>
      </c>
      <c r="F290" s="23">
        <v>43</v>
      </c>
      <c r="G290" s="23" t="str">
        <v>I</v>
      </c>
      <c r="H290" s="23">
        <v>1</v>
      </c>
      <c r="I290" s="23">
        <v>325440656</v>
      </c>
      <c r="J290" s="23" t="str">
        <v>MBAYE SAIDATOU</v>
      </c>
      <c r="K290" s="23" t="str">
        <v>COMMERCIAL BANKING</v>
      </c>
    </row>
    <row r="291">
      <c r="A291" s="21" t="str">
        <v>L01CDGN26149280</v>
      </c>
      <c r="B291" s="21">
        <v>100002148</v>
      </c>
      <c r="C291" s="21" t="str">
        <v>CLIENT 40</v>
      </c>
      <c r="D291" s="21" t="str">
        <v>CDGN</v>
      </c>
      <c r="E291" s="22">
        <v>46270</v>
      </c>
      <c r="F291" s="21">
        <v>193</v>
      </c>
      <c r="G291" s="21" t="str">
        <v>I</v>
      </c>
      <c r="H291" s="21">
        <v>1</v>
      </c>
      <c r="I291" s="21">
        <v>150885946</v>
      </c>
      <c r="J291" s="21" t="str">
        <v>GUEYE Oumar</v>
      </c>
      <c r="K291" s="21" t="str">
        <v>COMMERCIAL BANKING</v>
      </c>
    </row>
    <row r="292">
      <c r="A292" s="23" t="str">
        <v>L01CDGN26149281</v>
      </c>
      <c r="B292" s="23">
        <v>100002149</v>
      </c>
      <c r="C292" s="23" t="str">
        <v>CLIENT 41</v>
      </c>
      <c r="D292" s="23" t="str">
        <v>IDAC</v>
      </c>
      <c r="E292" s="24">
        <v>46271</v>
      </c>
      <c r="F292" s="23">
        <v>146</v>
      </c>
      <c r="G292" s="23" t="str">
        <v>II</v>
      </c>
      <c r="H292" s="23">
        <v>2</v>
      </c>
      <c r="I292" s="23">
        <v>3120127</v>
      </c>
      <c r="J292" s="23" t="str">
        <v>OUSMANE DIALLO</v>
      </c>
      <c r="K292" s="23" t="str">
        <v>CORPORATE BANKING</v>
      </c>
    </row>
    <row r="293">
      <c r="A293" s="21" t="str">
        <v>L01CDGN26149282</v>
      </c>
      <c r="B293" s="21">
        <v>100002150</v>
      </c>
      <c r="C293" s="21" t="str">
        <v>CLIENT 42</v>
      </c>
      <c r="D293" s="21" t="str">
        <v>CRLN</v>
      </c>
      <c r="E293" s="22">
        <v>46267</v>
      </c>
      <c r="F293" s="21">
        <v>28</v>
      </c>
      <c r="G293" s="21" t="str">
        <v>V</v>
      </c>
      <c r="H293" s="21">
        <v>3</v>
      </c>
      <c r="I293" s="21">
        <v>516062527</v>
      </c>
      <c r="J293" s="21" t="str">
        <v>ROKHAYA THIAM SARR</v>
      </c>
      <c r="K293" s="21" t="str">
        <v>CORPORATE BANKING</v>
      </c>
    </row>
    <row r="294">
      <c r="A294" s="23" t="str">
        <v>L01CDGN26149283</v>
      </c>
      <c r="B294" s="23">
        <v>100002151</v>
      </c>
      <c r="C294" s="23" t="str">
        <v>CLIENT 43</v>
      </c>
      <c r="D294" s="23" t="str">
        <v>NTRD</v>
      </c>
      <c r="E294" s="24">
        <v>46290</v>
      </c>
      <c r="F294" s="23">
        <v>14</v>
      </c>
      <c r="G294" s="23" t="str">
        <v>II</v>
      </c>
      <c r="H294" s="23">
        <v>2</v>
      </c>
      <c r="I294" s="23">
        <v>931485337</v>
      </c>
      <c r="J294" s="23" t="str">
        <v>CAMARA Adama</v>
      </c>
      <c r="K294" s="23" t="str">
        <v>COMMERCIAL BANKING</v>
      </c>
    </row>
    <row r="295">
      <c r="A295" s="21" t="str">
        <v>L01CDGN26149284</v>
      </c>
      <c r="B295" s="21">
        <v>100002152</v>
      </c>
      <c r="C295" s="21" t="str">
        <v>CLIENT 44</v>
      </c>
      <c r="D295" s="21" t="str">
        <v>CRAT</v>
      </c>
      <c r="E295" s="22">
        <v>46283</v>
      </c>
      <c r="F295" s="21">
        <v>20</v>
      </c>
      <c r="G295" s="21" t="str">
        <v>III</v>
      </c>
      <c r="H295" s="21">
        <v>2</v>
      </c>
      <c r="I295" s="21">
        <v>1582597816</v>
      </c>
      <c r="J295" s="21" t="str">
        <v>MBAYE SAIDATOU</v>
      </c>
      <c r="K295" s="21" t="str">
        <v>CORPORATE BANKING</v>
      </c>
    </row>
    <row r="296">
      <c r="A296" s="23" t="str">
        <v>L01CDGN26149285</v>
      </c>
      <c r="B296" s="23">
        <v>100002153</v>
      </c>
      <c r="C296" s="23" t="str">
        <v>CLIENT 45</v>
      </c>
      <c r="D296" s="23" t="str">
        <v>CDGN</v>
      </c>
      <c r="E296" s="24">
        <v>46286</v>
      </c>
      <c r="F296" s="23">
        <v>20</v>
      </c>
      <c r="G296" s="23" t="str">
        <v>V</v>
      </c>
      <c r="H296" s="23">
        <v>3</v>
      </c>
      <c r="I296" s="23">
        <v>2309492</v>
      </c>
      <c r="J296" s="23" t="str">
        <v>GUEYE Oumar</v>
      </c>
      <c r="K296" s="23" t="str">
        <v>CORPORATE BANKING</v>
      </c>
    </row>
    <row r="297">
      <c r="A297" s="21" t="str">
        <v>L01CDGN26149286</v>
      </c>
      <c r="B297" s="21">
        <v>100002154</v>
      </c>
      <c r="C297" s="21" t="str">
        <v>CLIENT 46</v>
      </c>
      <c r="D297" s="21" t="str">
        <v>IDAC</v>
      </c>
      <c r="E297" s="22">
        <v>46274</v>
      </c>
      <c r="F297" s="21">
        <v>33</v>
      </c>
      <c r="G297" s="21" t="str">
        <v>IV</v>
      </c>
      <c r="H297" s="21">
        <v>3</v>
      </c>
      <c r="I297" s="21">
        <v>507299</v>
      </c>
      <c r="J297" s="21" t="str">
        <v>OUSMANE DIALLO</v>
      </c>
      <c r="K297" s="21" t="str">
        <v>PUBLIC SECTOR</v>
      </c>
    </row>
    <row r="298">
      <c r="A298" s="23" t="str">
        <v>L01CDGN26149287</v>
      </c>
      <c r="B298" s="23">
        <v>100002155</v>
      </c>
      <c r="C298" s="23" t="str">
        <v>CLIENT 47</v>
      </c>
      <c r="D298" s="23" t="str">
        <v>CRLN</v>
      </c>
      <c r="E298" s="24">
        <v>46267</v>
      </c>
      <c r="F298" s="23">
        <v>76</v>
      </c>
      <c r="G298" s="23" t="str">
        <v>I</v>
      </c>
      <c r="H298" s="23">
        <v>1</v>
      </c>
      <c r="I298" s="23">
        <v>675417440</v>
      </c>
      <c r="J298" s="23" t="str">
        <v>ROKHAYA THIAM SARR</v>
      </c>
      <c r="K298" s="23" t="str">
        <v>CORPORATE BANKING</v>
      </c>
    </row>
    <row r="299">
      <c r="A299" s="21" t="str">
        <v>L01CDGN26149288</v>
      </c>
      <c r="B299" s="21">
        <v>100002156</v>
      </c>
      <c r="C299" s="21" t="str">
        <v>CLIENT 48</v>
      </c>
      <c r="D299" s="21" t="str">
        <v>NTRD</v>
      </c>
      <c r="E299" s="22">
        <v>46276</v>
      </c>
      <c r="F299" s="21">
        <v>30</v>
      </c>
      <c r="G299" s="21" t="str">
        <v>IA</v>
      </c>
      <c r="H299" s="21">
        <v>2</v>
      </c>
      <c r="I299" s="21">
        <v>1902746373</v>
      </c>
      <c r="J299" s="21" t="str">
        <v>CAMARA Adama</v>
      </c>
      <c r="K299" s="21" t="str">
        <v>CORPORATE BANKING</v>
      </c>
    </row>
    <row r="300">
      <c r="A300" s="23" t="str">
        <v>L01CDGN26149289</v>
      </c>
      <c r="B300" s="23">
        <v>100002157</v>
      </c>
      <c r="C300" s="23" t="str">
        <v>CLIENT 49</v>
      </c>
      <c r="D300" s="23" t="str">
        <v>CRAT</v>
      </c>
      <c r="E300" s="24">
        <v>46288</v>
      </c>
      <c r="F300" s="23">
        <v>145</v>
      </c>
      <c r="G300" s="23" t="str">
        <v>IA</v>
      </c>
      <c r="H300" s="23">
        <v>2</v>
      </c>
      <c r="I300" s="23">
        <v>768344259</v>
      </c>
      <c r="J300" s="23" t="str">
        <v>MBAYE SAIDATOU</v>
      </c>
      <c r="K300" s="23" t="str">
        <v>CORPORATE BANKING</v>
      </c>
    </row>
    <row r="301">
      <c r="A301" s="21" t="str">
        <v>L01CDGN26149290</v>
      </c>
      <c r="B301" s="21">
        <v>100002158</v>
      </c>
      <c r="C301" s="21" t="str">
        <v>CLIENT 50</v>
      </c>
      <c r="D301" s="21" t="str">
        <v>CDGN</v>
      </c>
      <c r="E301" s="22">
        <v>46280</v>
      </c>
      <c r="F301" s="21">
        <v>42</v>
      </c>
      <c r="G301" s="21" t="str">
        <v>IA</v>
      </c>
      <c r="H301" s="21">
        <v>2</v>
      </c>
      <c r="I301" s="21">
        <v>511996510</v>
      </c>
      <c r="J301" s="21" t="str">
        <v>GUEYE Oumar</v>
      </c>
      <c r="K301" s="21" t="str">
        <v>COMMERCIAL BANKING</v>
      </c>
    </row>
    <row r="302">
      <c r="A302" s="23" t="str">
        <v>L01CDGN26149291</v>
      </c>
      <c r="B302" s="23">
        <v>100002159</v>
      </c>
      <c r="C302" s="23" t="str">
        <v>CLIENT 51</v>
      </c>
      <c r="D302" s="23" t="str">
        <v>IDAC</v>
      </c>
      <c r="E302" s="24">
        <v>46282</v>
      </c>
      <c r="F302" s="23">
        <v>8</v>
      </c>
      <c r="G302" s="23" t="str">
        <v>IA</v>
      </c>
      <c r="H302" s="23">
        <v>2</v>
      </c>
      <c r="I302" s="23">
        <v>1933029</v>
      </c>
      <c r="J302" s="23" t="str">
        <v>OUSMANE DIALLO</v>
      </c>
      <c r="K302" s="23" t="str">
        <v>CORPORATE BANKING</v>
      </c>
    </row>
    <row r="303">
      <c r="A303" s="21" t="str">
        <v>L01CDGN26149292</v>
      </c>
      <c r="B303" s="21">
        <v>100002160</v>
      </c>
      <c r="C303" s="21" t="str">
        <v>CLIENT 52</v>
      </c>
      <c r="D303" s="21" t="str">
        <v>CRLN</v>
      </c>
      <c r="E303" s="22">
        <v>46272</v>
      </c>
      <c r="F303" s="21">
        <v>56</v>
      </c>
      <c r="G303" s="21" t="str">
        <v>II</v>
      </c>
      <c r="H303" s="21">
        <v>2</v>
      </c>
      <c r="I303" s="21">
        <v>1018399</v>
      </c>
      <c r="J303" s="21" t="str">
        <v>ROKHAYA THIAM SARR</v>
      </c>
      <c r="K303" s="21" t="str">
        <v>CORPORATE BANKING</v>
      </c>
    </row>
    <row r="304">
      <c r="A304" s="23" t="str">
        <v>L01CDGN26149293</v>
      </c>
      <c r="B304" s="23">
        <v>100002161</v>
      </c>
      <c r="C304" s="23" t="str">
        <v>CLIENT 53</v>
      </c>
      <c r="D304" s="23" t="str">
        <v>NTRD</v>
      </c>
      <c r="E304" s="24">
        <v>46287</v>
      </c>
      <c r="F304" s="23">
        <v>58</v>
      </c>
      <c r="G304" s="23" t="str">
        <v>II</v>
      </c>
      <c r="H304" s="23">
        <v>2</v>
      </c>
      <c r="I304" s="23">
        <v>195023179</v>
      </c>
      <c r="J304" s="23" t="str">
        <v>CAMARA Adama</v>
      </c>
      <c r="K304" s="23" t="str">
        <v>PUBLIC SECTOR</v>
      </c>
    </row>
    <row r="305">
      <c r="A305" s="21" t="str">
        <v>L01CDGN26149294</v>
      </c>
      <c r="B305" s="21">
        <v>100002162</v>
      </c>
      <c r="C305" s="21" t="str">
        <v>CLIENT 54</v>
      </c>
      <c r="D305" s="21" t="str">
        <v>CRAT</v>
      </c>
      <c r="E305" s="22">
        <v>46280</v>
      </c>
      <c r="F305" s="21">
        <v>26</v>
      </c>
      <c r="G305" s="21" t="str">
        <v>V</v>
      </c>
      <c r="H305" s="21">
        <v>3</v>
      </c>
      <c r="I305" s="21">
        <v>50976310</v>
      </c>
      <c r="J305" s="21" t="str">
        <v>MBAYE SAIDATOU</v>
      </c>
      <c r="K305" s="21" t="str">
        <v>CORPORATE BANKING</v>
      </c>
    </row>
    <row r="306">
      <c r="A306" s="23" t="str">
        <v>L01CDGN26149295</v>
      </c>
      <c r="B306" s="23">
        <v>100002163</v>
      </c>
      <c r="C306" s="23" t="str">
        <v>CLIENT 55</v>
      </c>
      <c r="D306" s="23" t="str">
        <v>CDGN</v>
      </c>
      <c r="E306" s="24">
        <v>46281</v>
      </c>
      <c r="F306" s="23">
        <v>40</v>
      </c>
      <c r="G306" s="23" t="str">
        <v>V</v>
      </c>
      <c r="H306" s="23">
        <v>3</v>
      </c>
      <c r="I306" s="23">
        <v>589541</v>
      </c>
      <c r="J306" s="23" t="str">
        <v>GUEYE Oumar</v>
      </c>
      <c r="K306" s="23" t="str">
        <v>CORPORATE BANKING</v>
      </c>
    </row>
    <row r="307">
      <c r="A307" s="21" t="str">
        <v>L01CDGN26149296</v>
      </c>
      <c r="B307" s="21">
        <v>100002164</v>
      </c>
      <c r="C307" s="21" t="str">
        <v>CLIENT 56</v>
      </c>
      <c r="D307" s="21" t="str">
        <v>IDAC</v>
      </c>
      <c r="E307" s="22">
        <v>46276</v>
      </c>
      <c r="F307" s="21">
        <v>32</v>
      </c>
      <c r="G307" s="21" t="str">
        <v>II</v>
      </c>
      <c r="H307" s="21">
        <v>2</v>
      </c>
      <c r="I307" s="21">
        <v>1334410</v>
      </c>
      <c r="J307" s="21" t="str">
        <v>OUSMANE DIALLO</v>
      </c>
      <c r="K307" s="21" t="str">
        <v>CORPORATE BANKING</v>
      </c>
    </row>
    <row r="308">
      <c r="A308" s="23" t="str">
        <v>L01CDGN26149297</v>
      </c>
      <c r="B308" s="23">
        <v>100002165</v>
      </c>
      <c r="C308" s="23" t="str">
        <v>CLIENT 57</v>
      </c>
      <c r="D308" s="23" t="str">
        <v>CRLN</v>
      </c>
      <c r="E308" s="24">
        <v>46291</v>
      </c>
      <c r="F308" s="23">
        <v>103</v>
      </c>
      <c r="G308" s="23" t="str">
        <v>IA</v>
      </c>
      <c r="H308" s="23">
        <v>2</v>
      </c>
      <c r="I308" s="23">
        <v>3495716</v>
      </c>
      <c r="J308" s="23" t="str">
        <v>ROKHAYA THIAM SARR</v>
      </c>
      <c r="K308" s="23" t="str">
        <v>CORPORATE BANKING</v>
      </c>
    </row>
    <row r="309">
      <c r="A309" s="21" t="str">
        <v>L01CDGN26149298</v>
      </c>
      <c r="B309" s="21">
        <v>100002166</v>
      </c>
      <c r="C309" s="21" t="str">
        <v>CLIENT 58</v>
      </c>
      <c r="D309" s="21" t="str">
        <v>NTRD</v>
      </c>
      <c r="E309" s="22">
        <v>46269</v>
      </c>
      <c r="F309" s="21">
        <v>36</v>
      </c>
      <c r="G309" s="21" t="str">
        <v>V</v>
      </c>
      <c r="H309" s="21">
        <v>3</v>
      </c>
      <c r="I309" s="21">
        <v>1412292867</v>
      </c>
      <c r="J309" s="21" t="str">
        <v>CAMARA Adama</v>
      </c>
      <c r="K309" s="21" t="str">
        <v>COMMERCIAL BANKING</v>
      </c>
    </row>
    <row r="310">
      <c r="A310" s="23" t="str">
        <v>L01CDGN26149299</v>
      </c>
      <c r="B310" s="23">
        <v>100002167</v>
      </c>
      <c r="C310" s="23" t="str">
        <v>CLIENT 59</v>
      </c>
      <c r="D310" s="23" t="str">
        <v>CRAT</v>
      </c>
      <c r="E310" s="24">
        <v>46267</v>
      </c>
      <c r="F310" s="23">
        <v>16</v>
      </c>
      <c r="G310" s="23" t="str">
        <v>V</v>
      </c>
      <c r="H310" s="23">
        <v>3</v>
      </c>
      <c r="I310" s="23">
        <v>208681693</v>
      </c>
      <c r="J310" s="23" t="str">
        <v>MBAYE SAIDATOU</v>
      </c>
      <c r="K310" s="23" t="str">
        <v>CORPORATE BANKING</v>
      </c>
    </row>
    <row r="311">
      <c r="A311" s="21" t="str">
        <v>L01CDGN26149300</v>
      </c>
      <c r="B311" s="21">
        <v>100002168</v>
      </c>
      <c r="C311" s="21" t="str">
        <v>CLIENT 60</v>
      </c>
      <c r="D311" s="21" t="str">
        <v>CDGN</v>
      </c>
      <c r="E311" s="22">
        <v>46285</v>
      </c>
      <c r="F311" s="21">
        <v>12</v>
      </c>
      <c r="G311" s="21" t="str">
        <v>IA</v>
      </c>
      <c r="H311" s="21">
        <v>2</v>
      </c>
      <c r="I311" s="21">
        <v>466123593</v>
      </c>
      <c r="J311" s="21" t="str">
        <v>GUEYE Oumar</v>
      </c>
      <c r="K311" s="21" t="str">
        <v>CORPORATE BANKING</v>
      </c>
    </row>
    <row r="312">
      <c r="A312" s="23" t="str">
        <v>L01CDGN26149301</v>
      </c>
      <c r="B312" s="23">
        <v>100002169</v>
      </c>
      <c r="C312" s="23" t="str">
        <v>CLIENT 61</v>
      </c>
      <c r="D312" s="23" t="str">
        <v>IDAC</v>
      </c>
      <c r="E312" s="24">
        <v>46281</v>
      </c>
      <c r="F312" s="23">
        <v>16</v>
      </c>
      <c r="G312" s="23" t="str">
        <v>I</v>
      </c>
      <c r="H312" s="23">
        <v>1</v>
      </c>
      <c r="I312" s="23">
        <v>198247775</v>
      </c>
      <c r="J312" s="23" t="str">
        <v>OUSMANE DIALLO</v>
      </c>
      <c r="K312" s="23" t="str">
        <v>CORPORATE BANKING</v>
      </c>
    </row>
    <row r="313">
      <c r="A313" s="21" t="str">
        <v>L01CDGN26149302</v>
      </c>
      <c r="B313" s="21">
        <v>100002170</v>
      </c>
      <c r="C313" s="21" t="str">
        <v>CLIENT 62</v>
      </c>
      <c r="D313" s="21" t="str">
        <v>CRLN</v>
      </c>
      <c r="E313" s="22">
        <v>46277</v>
      </c>
      <c r="F313" s="21">
        <v>131</v>
      </c>
      <c r="G313" s="21" t="str">
        <v>II</v>
      </c>
      <c r="H313" s="21">
        <v>2</v>
      </c>
      <c r="I313" s="21">
        <v>195189662</v>
      </c>
      <c r="J313" s="21" t="str">
        <v>ROKHAYA THIAM SARR</v>
      </c>
      <c r="K313" s="21" t="str">
        <v>CORPORATE BANKING</v>
      </c>
    </row>
    <row r="314">
      <c r="A314" s="23" t="str">
        <v>L01CDGN26149303</v>
      </c>
      <c r="B314" s="23">
        <v>100002171</v>
      </c>
      <c r="C314" s="23" t="str">
        <v>CLIENT 63</v>
      </c>
      <c r="D314" s="23" t="str">
        <v>NTRD</v>
      </c>
      <c r="E314" s="24">
        <v>46271</v>
      </c>
      <c r="F314" s="23">
        <v>43</v>
      </c>
      <c r="G314" s="23" t="str">
        <v>IV</v>
      </c>
      <c r="H314" s="23">
        <v>3</v>
      </c>
      <c r="I314" s="23">
        <v>83220782</v>
      </c>
      <c r="J314" s="23" t="str">
        <v>CAMARA Adama</v>
      </c>
      <c r="K314" s="23" t="str">
        <v>CORPORATE BANKING</v>
      </c>
    </row>
    <row r="315">
      <c r="A315" s="21" t="str">
        <v>L01CDGN26149304</v>
      </c>
      <c r="B315" s="21">
        <v>100002172</v>
      </c>
      <c r="C315" s="21" t="str">
        <v>CLIENT 64</v>
      </c>
      <c r="D315" s="21" t="str">
        <v>CRAT</v>
      </c>
      <c r="E315" s="22">
        <v>46267</v>
      </c>
      <c r="F315" s="21">
        <v>169</v>
      </c>
      <c r="G315" s="21" t="str">
        <v>IV</v>
      </c>
      <c r="H315" s="21">
        <v>3</v>
      </c>
      <c r="I315" s="21">
        <v>1324388</v>
      </c>
      <c r="J315" s="21" t="str">
        <v>MBAYE SAIDATOU</v>
      </c>
      <c r="K315" s="21" t="str">
        <v>CONSUMER BANKING</v>
      </c>
    </row>
    <row r="316">
      <c r="A316" s="23" t="str">
        <v>L01CDGN26149305</v>
      </c>
      <c r="B316" s="23">
        <v>100002173</v>
      </c>
      <c r="C316" s="23" t="str">
        <v>CLIENT 65</v>
      </c>
      <c r="D316" s="23" t="str">
        <v>CDGN</v>
      </c>
      <c r="E316" s="24">
        <v>46292</v>
      </c>
      <c r="F316" s="23">
        <v>27</v>
      </c>
      <c r="G316" s="23" t="str">
        <v>V</v>
      </c>
      <c r="H316" s="23">
        <v>3</v>
      </c>
      <c r="I316" s="23">
        <v>18832124</v>
      </c>
      <c r="J316" s="23" t="str">
        <v>GUEYE Oumar</v>
      </c>
      <c r="K316" s="23" t="str">
        <v>CORPORATE BANKING</v>
      </c>
    </row>
    <row r="317">
      <c r="A317" s="21" t="str">
        <v>L01CDGN26149306</v>
      </c>
      <c r="B317" s="21">
        <v>100002174</v>
      </c>
      <c r="C317" s="21" t="str">
        <v>CLIENT 66</v>
      </c>
      <c r="D317" s="21" t="str">
        <v>IDAC</v>
      </c>
      <c r="E317" s="22">
        <v>46292</v>
      </c>
      <c r="F317" s="21">
        <v>0</v>
      </c>
      <c r="G317" s="21" t="str">
        <v>IA</v>
      </c>
      <c r="H317" s="21">
        <v>2</v>
      </c>
      <c r="I317" s="21">
        <v>710379699</v>
      </c>
      <c r="J317" s="21" t="str">
        <v>OUSMANE DIALLO</v>
      </c>
      <c r="K317" s="21" t="str">
        <v>COMMERCIAL BANKING</v>
      </c>
    </row>
    <row r="318">
      <c r="A318" s="23" t="str">
        <v>L01CDGN26149307</v>
      </c>
      <c r="B318" s="23">
        <v>100002175</v>
      </c>
      <c r="C318" s="23" t="str">
        <v>CLIENT 67</v>
      </c>
      <c r="D318" s="23" t="str">
        <v>CRLN</v>
      </c>
      <c r="E318" s="24">
        <v>46286</v>
      </c>
      <c r="F318" s="23">
        <v>50</v>
      </c>
      <c r="G318" s="23" t="str">
        <v>IV</v>
      </c>
      <c r="H318" s="23">
        <v>3</v>
      </c>
      <c r="I318" s="23">
        <v>4484332</v>
      </c>
      <c r="J318" s="23" t="str">
        <v>ROKHAYA THIAM SARR</v>
      </c>
      <c r="K318" s="23" t="str">
        <v>COMMERCIAL BANKING</v>
      </c>
    </row>
    <row r="319">
      <c r="A319" s="21" t="str">
        <v>L01CDGN26149308</v>
      </c>
      <c r="B319" s="21">
        <v>100002176</v>
      </c>
      <c r="C319" s="21" t="str">
        <v>CLIENT 68</v>
      </c>
      <c r="D319" s="21" t="str">
        <v>NTRD</v>
      </c>
      <c r="E319" s="22">
        <v>46292</v>
      </c>
      <c r="F319" s="21">
        <v>22</v>
      </c>
      <c r="G319" s="21" t="str">
        <v>IA</v>
      </c>
      <c r="H319" s="21">
        <v>2</v>
      </c>
      <c r="I319" s="21">
        <v>1676099924</v>
      </c>
      <c r="J319" s="21" t="str">
        <v>CAMARA Adama</v>
      </c>
      <c r="K319" s="21" t="str">
        <v>CONSUMER BANKING</v>
      </c>
    </row>
    <row r="320">
      <c r="A320" s="23" t="str">
        <v>L01CDGN26149309</v>
      </c>
      <c r="B320" s="23">
        <v>100002177</v>
      </c>
      <c r="C320" s="23" t="str">
        <v>CLIENT 69</v>
      </c>
      <c r="D320" s="23" t="str">
        <v>CRAT</v>
      </c>
      <c r="E320" s="24">
        <v>46282</v>
      </c>
      <c r="F320" s="23">
        <v>94</v>
      </c>
      <c r="G320" s="23" t="str">
        <v>V</v>
      </c>
      <c r="H320" s="23">
        <v>3</v>
      </c>
      <c r="I320" s="23">
        <v>216468084</v>
      </c>
      <c r="J320" s="23" t="str">
        <v>MBAYE SAIDATOU</v>
      </c>
      <c r="K320" s="23" t="str">
        <v>CORPORATE BANKING</v>
      </c>
    </row>
    <row r="321">
      <c r="A321" s="21" t="str">
        <v>L01CDGN26149310</v>
      </c>
      <c r="B321" s="21">
        <v>100002178</v>
      </c>
      <c r="C321" s="21" t="str">
        <v>CLIENT 70</v>
      </c>
      <c r="D321" s="21" t="str">
        <v>CDGN</v>
      </c>
      <c r="E321" s="22">
        <v>46272</v>
      </c>
      <c r="F321" s="21">
        <v>61</v>
      </c>
      <c r="G321" s="21" t="str">
        <v>I</v>
      </c>
      <c r="H321" s="21">
        <v>1</v>
      </c>
      <c r="I321" s="21">
        <v>3805818</v>
      </c>
      <c r="J321" s="21" t="str">
        <v>GUEYE Oumar</v>
      </c>
      <c r="K321" s="21" t="str">
        <v>CORPORATE BANKING</v>
      </c>
    </row>
    <row r="322">
      <c r="A322" s="23" t="str">
        <v>L01CDGN26149311</v>
      </c>
      <c r="B322" s="23">
        <v>100002179</v>
      </c>
      <c r="C322" s="23" t="str">
        <v>CLIENT 71</v>
      </c>
      <c r="D322" s="23" t="str">
        <v>IDAC</v>
      </c>
      <c r="E322" s="24">
        <v>46292</v>
      </c>
      <c r="F322" s="23">
        <v>8</v>
      </c>
      <c r="G322" s="23" t="str">
        <v>III</v>
      </c>
      <c r="H322" s="23">
        <v>2</v>
      </c>
      <c r="I322" s="23">
        <v>1720368039</v>
      </c>
      <c r="J322" s="23" t="str">
        <v>OUSMANE DIALLO</v>
      </c>
      <c r="K322" s="23" t="str">
        <v>CORPORATE BANKING</v>
      </c>
    </row>
    <row r="323">
      <c r="A323" s="21" t="str">
        <v>L01CDGN26149312</v>
      </c>
      <c r="B323" s="21">
        <v>100002180</v>
      </c>
      <c r="C323" s="21" t="str">
        <v>CLIENT 72</v>
      </c>
      <c r="D323" s="21" t="str">
        <v>CRLN</v>
      </c>
      <c r="E323" s="22">
        <v>46293</v>
      </c>
      <c r="F323" s="21">
        <v>156</v>
      </c>
      <c r="G323" s="21" t="str">
        <v>III</v>
      </c>
      <c r="H323" s="21">
        <v>2</v>
      </c>
      <c r="I323" s="21">
        <v>12712966</v>
      </c>
      <c r="J323" s="21" t="str">
        <v>ROKHAYA THIAM SARR</v>
      </c>
      <c r="K323" s="21" t="str">
        <v>COMMERCIAL BANKING</v>
      </c>
    </row>
    <row r="324">
      <c r="A324" s="23" t="str">
        <v>L01CDGN26149313</v>
      </c>
      <c r="B324" s="23">
        <v>100002181</v>
      </c>
      <c r="C324" s="23" t="str">
        <v>CLIENT 73</v>
      </c>
      <c r="D324" s="23" t="str">
        <v>NTRD</v>
      </c>
      <c r="E324" s="24">
        <v>46270</v>
      </c>
      <c r="F324" s="23">
        <v>36</v>
      </c>
      <c r="G324" s="23" t="str">
        <v>V</v>
      </c>
      <c r="H324" s="23">
        <v>3</v>
      </c>
      <c r="I324" s="23">
        <v>918625024</v>
      </c>
      <c r="J324" s="23" t="str">
        <v>CAMARA Adama</v>
      </c>
      <c r="K324" s="23" t="str">
        <v>CORPORATE BANKING</v>
      </c>
    </row>
    <row r="325">
      <c r="A325" s="21" t="str">
        <v>L01CDGN26149314</v>
      </c>
      <c r="B325" s="21">
        <v>100002182</v>
      </c>
      <c r="C325" s="21" t="str">
        <v>CLIENT 74</v>
      </c>
      <c r="D325" s="21" t="str">
        <v>CRAT</v>
      </c>
      <c r="E325" s="22">
        <v>46278</v>
      </c>
      <c r="F325" s="21">
        <v>217</v>
      </c>
      <c r="G325" s="21" t="str">
        <v>IV</v>
      </c>
      <c r="H325" s="21">
        <v>3</v>
      </c>
      <c r="I325" s="21">
        <v>882152053</v>
      </c>
      <c r="J325" s="21" t="str">
        <v>MBAYE SAIDATOU</v>
      </c>
      <c r="K325" s="21" t="str">
        <v>CORPORATE BANKING</v>
      </c>
    </row>
    <row r="326">
      <c r="A326" s="23" t="str">
        <v>L01CDGN26149315</v>
      </c>
      <c r="B326" s="23">
        <v>100002183</v>
      </c>
      <c r="C326" s="23" t="str">
        <v>CLIENT 75</v>
      </c>
      <c r="D326" s="23" t="str">
        <v>CDGN</v>
      </c>
      <c r="E326" s="24">
        <v>46266</v>
      </c>
      <c r="F326" s="23">
        <v>161</v>
      </c>
      <c r="G326" s="23" t="str">
        <v>III</v>
      </c>
      <c r="H326" s="23">
        <v>2</v>
      </c>
      <c r="I326" s="23">
        <v>621427245</v>
      </c>
      <c r="J326" s="23" t="str">
        <v>GUEYE Oumar</v>
      </c>
      <c r="K326" s="23" t="str">
        <v>CORPORATE BANKING</v>
      </c>
    </row>
    <row r="327">
      <c r="A327" s="21" t="str">
        <v>L01CDGN26149316</v>
      </c>
      <c r="B327" s="21">
        <v>100002184</v>
      </c>
      <c r="C327" s="21" t="str">
        <v>CLIENT 76</v>
      </c>
      <c r="D327" s="21" t="str">
        <v>IDAC</v>
      </c>
      <c r="E327" s="22">
        <v>46283</v>
      </c>
      <c r="F327" s="21">
        <v>94</v>
      </c>
      <c r="G327" s="21" t="str">
        <v>III</v>
      </c>
      <c r="H327" s="21">
        <v>2</v>
      </c>
      <c r="I327" s="21">
        <v>1629543237</v>
      </c>
      <c r="J327" s="21" t="str">
        <v>OUSMANE DIALLO</v>
      </c>
      <c r="K327" s="21" t="str">
        <v>COMMERCIAL BANKING</v>
      </c>
    </row>
    <row r="328">
      <c r="A328" s="23" t="str">
        <v>L01CDGN26149317</v>
      </c>
      <c r="B328" s="23">
        <v>100002185</v>
      </c>
      <c r="C328" s="23" t="str">
        <v>CLIENT 77</v>
      </c>
      <c r="D328" s="23" t="str">
        <v>CRLN</v>
      </c>
      <c r="E328" s="24">
        <v>46277</v>
      </c>
      <c r="F328" s="23">
        <v>9</v>
      </c>
      <c r="G328" s="23" t="str">
        <v>IV</v>
      </c>
      <c r="H328" s="23">
        <v>3</v>
      </c>
      <c r="I328" s="23">
        <v>1011909</v>
      </c>
      <c r="J328" s="23" t="str">
        <v>ROKHAYA THIAM SARR</v>
      </c>
      <c r="K328" s="23" t="str">
        <v>CORPORATE BANKING</v>
      </c>
    </row>
    <row r="329">
      <c r="A329" s="21" t="str">
        <v>L01CDGN26149318</v>
      </c>
      <c r="B329" s="21">
        <v>100002186</v>
      </c>
      <c r="C329" s="21" t="str">
        <v>CLIENT 78</v>
      </c>
      <c r="D329" s="21" t="str">
        <v>NTRD</v>
      </c>
      <c r="E329" s="22">
        <v>46286</v>
      </c>
      <c r="F329" s="21">
        <v>190</v>
      </c>
      <c r="G329" s="21" t="str">
        <v>I</v>
      </c>
      <c r="H329" s="21">
        <v>1</v>
      </c>
      <c r="I329" s="21">
        <v>7084739</v>
      </c>
      <c r="J329" s="21" t="str">
        <v>CAMARA Adama</v>
      </c>
      <c r="K329" s="21" t="str">
        <v>CORPORATE BANKING</v>
      </c>
    </row>
    <row r="330">
      <c r="A330" s="23" t="str">
        <v>L01CDGN26149319</v>
      </c>
      <c r="B330" s="23">
        <v>100002187</v>
      </c>
      <c r="C330" s="23" t="str">
        <v>CLIENT 79</v>
      </c>
      <c r="D330" s="23" t="str">
        <v>CRAT</v>
      </c>
      <c r="E330" s="24">
        <v>46287</v>
      </c>
      <c r="F330" s="23">
        <v>69</v>
      </c>
      <c r="G330" s="23" t="str">
        <v>V</v>
      </c>
      <c r="H330" s="23">
        <v>3</v>
      </c>
      <c r="I330" s="23">
        <v>1925052622</v>
      </c>
      <c r="J330" s="23" t="str">
        <v>MBAYE SAIDATOU</v>
      </c>
      <c r="K330" s="23" t="str">
        <v>COMMERCIAL BANKING</v>
      </c>
    </row>
    <row r="331">
      <c r="A331" s="21" t="str">
        <v>L01CDGN26149320</v>
      </c>
      <c r="B331" s="21">
        <v>100002188</v>
      </c>
      <c r="C331" s="21" t="str">
        <v>CLIENT 80</v>
      </c>
      <c r="D331" s="21" t="str">
        <v>CDGN</v>
      </c>
      <c r="E331" s="22">
        <v>46276</v>
      </c>
      <c r="F331" s="21">
        <v>118</v>
      </c>
      <c r="G331" s="21" t="str">
        <v>II</v>
      </c>
      <c r="H331" s="21">
        <v>2</v>
      </c>
      <c r="I331" s="21">
        <v>790822786</v>
      </c>
      <c r="J331" s="21" t="str">
        <v>GUEYE Oumar</v>
      </c>
      <c r="K331" s="21" t="str">
        <v>COMMERCIAL BANKING</v>
      </c>
    </row>
    <row r="332">
      <c r="A332" s="23" t="str">
        <v>L01CDGN26149321</v>
      </c>
      <c r="B332" s="23">
        <v>100002189</v>
      </c>
      <c r="C332" s="23" t="str">
        <v>CLIENT 81</v>
      </c>
      <c r="D332" s="23" t="str">
        <v>IDAC</v>
      </c>
      <c r="E332" s="24">
        <v>46267</v>
      </c>
      <c r="F332" s="23">
        <v>52</v>
      </c>
      <c r="G332" s="23" t="str">
        <v>IA</v>
      </c>
      <c r="H332" s="23">
        <v>2</v>
      </c>
      <c r="I332" s="23">
        <v>328461717</v>
      </c>
      <c r="J332" s="23" t="str">
        <v>OUSMANE DIALLO</v>
      </c>
      <c r="K332" s="23" t="str">
        <v>CONSUMER BANKING</v>
      </c>
    </row>
    <row r="333">
      <c r="A333" s="21" t="str">
        <v>L01CDGN26149322</v>
      </c>
      <c r="B333" s="21">
        <v>100002190</v>
      </c>
      <c r="C333" s="21" t="str">
        <v>CLIENT 82</v>
      </c>
      <c r="D333" s="21" t="str">
        <v>CRLN</v>
      </c>
      <c r="E333" s="22">
        <v>46289</v>
      </c>
      <c r="F333" s="21">
        <v>5</v>
      </c>
      <c r="G333" s="21" t="str">
        <v>V</v>
      </c>
      <c r="H333" s="21">
        <v>3</v>
      </c>
      <c r="I333" s="21">
        <v>392373955</v>
      </c>
      <c r="J333" s="21" t="str">
        <v>ROKHAYA THIAM SARR</v>
      </c>
      <c r="K333" s="21" t="str">
        <v>PUBLIC SECTOR</v>
      </c>
    </row>
    <row r="334">
      <c r="A334" s="23" t="str">
        <v>L01CDGN26149323</v>
      </c>
      <c r="B334" s="23">
        <v>100002191</v>
      </c>
      <c r="C334" s="23" t="str">
        <v>CLIENT 83</v>
      </c>
      <c r="D334" s="23" t="str">
        <v>NTRD</v>
      </c>
      <c r="E334" s="24">
        <v>46289</v>
      </c>
      <c r="F334" s="23">
        <v>51</v>
      </c>
      <c r="G334" s="23" t="str">
        <v>III</v>
      </c>
      <c r="H334" s="23">
        <v>2</v>
      </c>
      <c r="I334" s="23">
        <v>972527994</v>
      </c>
      <c r="J334" s="23" t="str">
        <v>CAMARA Adama</v>
      </c>
      <c r="K334" s="23" t="str">
        <v>CORPORATE BANKING</v>
      </c>
    </row>
    <row r="335">
      <c r="A335" s="21" t="str">
        <v>L01CDGN26149324</v>
      </c>
      <c r="B335" s="21">
        <v>100002192</v>
      </c>
      <c r="C335" s="21" t="str">
        <v>CLIENT 84</v>
      </c>
      <c r="D335" s="21" t="str">
        <v>CRAT</v>
      </c>
      <c r="E335" s="22">
        <v>46282</v>
      </c>
      <c r="F335" s="21">
        <v>32</v>
      </c>
      <c r="G335" s="21" t="str">
        <v>III</v>
      </c>
      <c r="H335" s="21">
        <v>2</v>
      </c>
      <c r="I335" s="21">
        <v>445933646</v>
      </c>
      <c r="J335" s="21" t="str">
        <v>MBAYE SAIDATOU</v>
      </c>
      <c r="K335" s="21" t="str">
        <v>COMMERCIAL BANKING</v>
      </c>
    </row>
    <row r="336">
      <c r="A336" s="23" t="str">
        <v>L01CDGN26149325</v>
      </c>
      <c r="B336" s="23">
        <v>100002193</v>
      </c>
      <c r="C336" s="23" t="str">
        <v>CLIENT 85</v>
      </c>
      <c r="D336" s="23" t="str">
        <v>CDGN</v>
      </c>
      <c r="E336" s="24">
        <v>46288</v>
      </c>
      <c r="F336" s="23">
        <v>31</v>
      </c>
      <c r="G336" s="23" t="str">
        <v>III</v>
      </c>
      <c r="H336" s="23">
        <v>2</v>
      </c>
      <c r="I336" s="23">
        <v>70213001</v>
      </c>
      <c r="J336" s="23" t="str">
        <v>GUEYE Oumar</v>
      </c>
      <c r="K336" s="23" t="str">
        <v>CORPORATE BANKING</v>
      </c>
    </row>
    <row r="337">
      <c r="A337" s="21" t="str">
        <v>L01CDGN26149326</v>
      </c>
      <c r="B337" s="21">
        <v>100002194</v>
      </c>
      <c r="C337" s="21" t="str">
        <v>CLIENT 86</v>
      </c>
      <c r="D337" s="21" t="str">
        <v>IDAC</v>
      </c>
      <c r="E337" s="22">
        <v>46293</v>
      </c>
      <c r="F337" s="21">
        <v>79</v>
      </c>
      <c r="G337" s="21" t="str">
        <v>V</v>
      </c>
      <c r="H337" s="21">
        <v>3</v>
      </c>
      <c r="I337" s="21">
        <v>672899570</v>
      </c>
      <c r="J337" s="21" t="str">
        <v>OUSMANE DIALLO</v>
      </c>
      <c r="K337" s="21" t="str">
        <v>CORPORATE BANKING</v>
      </c>
    </row>
    <row r="338">
      <c r="A338" s="23" t="str">
        <v>L01CDGN26149327</v>
      </c>
      <c r="B338" s="23">
        <v>100002195</v>
      </c>
      <c r="C338" s="23" t="str">
        <v>CLIENT 87</v>
      </c>
      <c r="D338" s="23" t="str">
        <v>CRLN</v>
      </c>
      <c r="E338" s="24">
        <v>46272</v>
      </c>
      <c r="F338" s="23">
        <v>94</v>
      </c>
      <c r="G338" s="23" t="str">
        <v>IV</v>
      </c>
      <c r="H338" s="23">
        <v>3</v>
      </c>
      <c r="I338" s="23">
        <v>1347874067</v>
      </c>
      <c r="J338" s="23" t="str">
        <v>ROKHAYA THIAM SARR</v>
      </c>
      <c r="K338" s="23" t="str">
        <v>CORPORATE BANKING</v>
      </c>
    </row>
    <row r="339">
      <c r="A339" s="21" t="str">
        <v>L01CDGN26149328</v>
      </c>
      <c r="B339" s="21">
        <v>100002196</v>
      </c>
      <c r="C339" s="21" t="str">
        <v>CLIENT 88</v>
      </c>
      <c r="D339" s="21" t="str">
        <v>NTRD</v>
      </c>
      <c r="E339" s="22">
        <v>46281</v>
      </c>
      <c r="F339" s="21">
        <v>170</v>
      </c>
      <c r="G339" s="21" t="str">
        <v>I</v>
      </c>
      <c r="H339" s="21">
        <v>1</v>
      </c>
      <c r="I339" s="21">
        <v>16299286</v>
      </c>
      <c r="J339" s="21" t="str">
        <v>CAMARA Adama</v>
      </c>
      <c r="K339" s="21" t="str">
        <v>CORPORATE BANKING</v>
      </c>
    </row>
    <row r="340">
      <c r="A340" s="23" t="str">
        <v>L01CDGN26149329</v>
      </c>
      <c r="B340" s="23">
        <v>100002197</v>
      </c>
      <c r="C340" s="23" t="str">
        <v>CLIENT 89</v>
      </c>
      <c r="D340" s="23" t="str">
        <v>CRAT</v>
      </c>
      <c r="E340" s="24">
        <v>46269</v>
      </c>
      <c r="F340" s="23">
        <v>129</v>
      </c>
      <c r="G340" s="23" t="str">
        <v>I</v>
      </c>
      <c r="H340" s="23">
        <v>1</v>
      </c>
      <c r="I340" s="23">
        <v>53273884</v>
      </c>
      <c r="J340" s="23" t="str">
        <v>MBAYE SAIDATOU</v>
      </c>
      <c r="K340" s="23" t="str">
        <v>CORPORATE BANKING</v>
      </c>
    </row>
    <row r="341">
      <c r="A341" s="21" t="str">
        <v>L01CDGN26149330</v>
      </c>
      <c r="B341" s="21">
        <v>100002198</v>
      </c>
      <c r="C341" s="21" t="str">
        <v>CLIENT 90</v>
      </c>
      <c r="D341" s="21" t="str">
        <v>CDGN</v>
      </c>
      <c r="E341" s="22">
        <v>46276</v>
      </c>
      <c r="F341" s="21">
        <v>14</v>
      </c>
      <c r="G341" s="21" t="str">
        <v>IA</v>
      </c>
      <c r="H341" s="21">
        <v>2</v>
      </c>
      <c r="I341" s="21">
        <v>300418</v>
      </c>
      <c r="J341" s="21" t="str">
        <v>GUEYE Oumar</v>
      </c>
      <c r="K341" s="21" t="str">
        <v>COMMERCIAL BANKING</v>
      </c>
    </row>
    <row r="342">
      <c r="A342" s="23" t="str">
        <v>L01CDGN26149331</v>
      </c>
      <c r="B342" s="23">
        <v>100002199</v>
      </c>
      <c r="C342" s="23" t="str">
        <v>CLIENT 91</v>
      </c>
      <c r="D342" s="23" t="str">
        <v>IDAC</v>
      </c>
      <c r="E342" s="24">
        <v>46268</v>
      </c>
      <c r="F342" s="23">
        <v>12</v>
      </c>
      <c r="G342" s="23" t="str">
        <v>IA</v>
      </c>
      <c r="H342" s="23">
        <v>2</v>
      </c>
      <c r="I342" s="23">
        <v>5469035</v>
      </c>
      <c r="J342" s="23" t="str">
        <v>OUSMANE DIALLO</v>
      </c>
      <c r="K342" s="23" t="str">
        <v>CORPORATE BANKING</v>
      </c>
    </row>
    <row r="343">
      <c r="A343" s="21" t="str">
        <v>L01CDGN26149332</v>
      </c>
      <c r="B343" s="21">
        <v>100002200</v>
      </c>
      <c r="C343" s="21" t="str">
        <v>CLIENT 92</v>
      </c>
      <c r="D343" s="21" t="str">
        <v>CRLN</v>
      </c>
      <c r="E343" s="22">
        <v>46287</v>
      </c>
      <c r="F343" s="21">
        <v>227</v>
      </c>
      <c r="G343" s="21" t="str">
        <v>IV</v>
      </c>
      <c r="H343" s="21">
        <v>3</v>
      </c>
      <c r="I343" s="21">
        <v>775769256</v>
      </c>
      <c r="J343" s="21" t="str">
        <v>ROKHAYA THIAM SARR</v>
      </c>
      <c r="K343" s="21" t="str">
        <v>CORPORATE BANKING</v>
      </c>
    </row>
    <row r="344">
      <c r="A344" s="23" t="str">
        <v>L01CDGN26149333</v>
      </c>
      <c r="B344" s="23">
        <v>100002201</v>
      </c>
      <c r="C344" s="23" t="str">
        <v>CLIENT 93</v>
      </c>
      <c r="D344" s="23" t="str">
        <v>NTRD</v>
      </c>
      <c r="E344" s="24">
        <v>46287</v>
      </c>
      <c r="F344" s="23">
        <v>92</v>
      </c>
      <c r="G344" s="23" t="str">
        <v>I</v>
      </c>
      <c r="H344" s="23">
        <v>1</v>
      </c>
      <c r="I344" s="23">
        <v>1707406253</v>
      </c>
      <c r="J344" s="23" t="str">
        <v>CAMARA Adama</v>
      </c>
      <c r="K344" s="23" t="str">
        <v>COMMERCIAL BANKING</v>
      </c>
    </row>
    <row r="345">
      <c r="A345" s="21" t="str">
        <v>L01CDGN26149334</v>
      </c>
      <c r="B345" s="21">
        <v>100002202</v>
      </c>
      <c r="C345" s="21" t="str">
        <v>CLIENT 94</v>
      </c>
      <c r="D345" s="21" t="str">
        <v>CRAT</v>
      </c>
      <c r="E345" s="22">
        <v>46291</v>
      </c>
      <c r="F345" s="21">
        <v>213</v>
      </c>
      <c r="G345" s="21" t="str">
        <v>I</v>
      </c>
      <c r="H345" s="21">
        <v>1</v>
      </c>
      <c r="I345" s="21">
        <v>444698325</v>
      </c>
      <c r="J345" s="21" t="str">
        <v>MBAYE SAIDATOU</v>
      </c>
      <c r="K345" s="21" t="str">
        <v>CORPORATE BANKING</v>
      </c>
    </row>
    <row r="346">
      <c r="A346" s="23" t="str">
        <v>L01CDGN26149335</v>
      </c>
      <c r="B346" s="23">
        <v>100002203</v>
      </c>
      <c r="C346" s="23" t="str">
        <v>CLIENT 95</v>
      </c>
      <c r="D346" s="23" t="str">
        <v>CDGN</v>
      </c>
      <c r="E346" s="24">
        <v>46272</v>
      </c>
      <c r="F346" s="23">
        <v>85</v>
      </c>
      <c r="G346" s="23" t="str">
        <v>III</v>
      </c>
      <c r="H346" s="23">
        <v>2</v>
      </c>
      <c r="I346" s="23">
        <v>182591407</v>
      </c>
      <c r="J346" s="23" t="str">
        <v>GUEYE Oumar</v>
      </c>
      <c r="K346" s="23" t="str">
        <v>COMMERCIAL BANKING</v>
      </c>
    </row>
    <row r="347">
      <c r="A347" s="21" t="str">
        <v>L01CDGN26149336</v>
      </c>
      <c r="B347" s="21">
        <v>100002204</v>
      </c>
      <c r="C347" s="21" t="str">
        <v>CLIENT 96</v>
      </c>
      <c r="D347" s="21" t="str">
        <v>IDAC</v>
      </c>
      <c r="E347" s="22">
        <v>46276</v>
      </c>
      <c r="F347" s="21">
        <v>32</v>
      </c>
      <c r="G347" s="21" t="str">
        <v>IV</v>
      </c>
      <c r="H347" s="21">
        <v>3</v>
      </c>
      <c r="I347" s="21">
        <v>13693171</v>
      </c>
      <c r="J347" s="21" t="str">
        <v>OUSMANE DIALLO</v>
      </c>
      <c r="K347" s="21" t="str">
        <v>COMMERCIAL BANKING</v>
      </c>
    </row>
    <row r="348">
      <c r="A348" s="23" t="str">
        <v>L01CDGN26149337</v>
      </c>
      <c r="B348" s="23">
        <v>100002205</v>
      </c>
      <c r="C348" s="23" t="str">
        <v>CLIENT 97</v>
      </c>
      <c r="D348" s="23" t="str">
        <v>CRLN</v>
      </c>
      <c r="E348" s="24">
        <v>46266</v>
      </c>
      <c r="F348" s="23">
        <v>97</v>
      </c>
      <c r="G348" s="23" t="str">
        <v>IA</v>
      </c>
      <c r="H348" s="23">
        <v>2</v>
      </c>
      <c r="I348" s="23">
        <v>715169189</v>
      </c>
      <c r="J348" s="23" t="str">
        <v>ROKHAYA THIAM SARR</v>
      </c>
      <c r="K348" s="23" t="str">
        <v>CORPORATE BANKING</v>
      </c>
    </row>
    <row r="349">
      <c r="A349" s="21" t="str">
        <v>L01CDGN26149338</v>
      </c>
      <c r="B349" s="21">
        <v>100002206</v>
      </c>
      <c r="C349" s="21" t="str">
        <v>CLIENT 98</v>
      </c>
      <c r="D349" s="21" t="str">
        <v>NTRD</v>
      </c>
      <c r="E349" s="22">
        <v>46278</v>
      </c>
      <c r="F349" s="21">
        <v>216</v>
      </c>
      <c r="G349" s="21" t="str">
        <v>III</v>
      </c>
      <c r="H349" s="21">
        <v>2</v>
      </c>
      <c r="I349" s="21">
        <v>190552113</v>
      </c>
      <c r="J349" s="21" t="str">
        <v>CAMARA Adama</v>
      </c>
      <c r="K349" s="21" t="str">
        <v>CORPORATE BANKING</v>
      </c>
    </row>
    <row r="350">
      <c r="A350" s="23" t="str">
        <v>L01CDGN26149339</v>
      </c>
      <c r="B350" s="23">
        <v>100002207</v>
      </c>
      <c r="C350" s="23" t="str">
        <v>CLIENT 99</v>
      </c>
      <c r="D350" s="23" t="str">
        <v>CRAT</v>
      </c>
      <c r="E350" s="24">
        <v>46275</v>
      </c>
      <c r="F350" s="23">
        <v>53</v>
      </c>
      <c r="G350" s="23" t="str">
        <v>I</v>
      </c>
      <c r="H350" s="23">
        <v>1</v>
      </c>
      <c r="I350" s="23">
        <v>1000691254</v>
      </c>
      <c r="J350" s="23" t="str">
        <v>MBAYE SAIDATOU</v>
      </c>
      <c r="K350" s="23" t="str">
        <v>CONSUMER BANKING</v>
      </c>
    </row>
    <row r="351">
      <c r="A351" s="21" t="str">
        <v>L01CDGN26149340</v>
      </c>
      <c r="B351" s="21">
        <v>100002208</v>
      </c>
      <c r="C351" s="21" t="str">
        <v>CLIENT 100</v>
      </c>
      <c r="D351" s="21" t="str">
        <v>CDGN</v>
      </c>
      <c r="E351" s="22">
        <v>46277</v>
      </c>
      <c r="F351" s="21">
        <v>97</v>
      </c>
      <c r="G351" s="21" t="str">
        <v>IA</v>
      </c>
      <c r="H351" s="21">
        <v>2</v>
      </c>
      <c r="I351" s="21">
        <v>943030223</v>
      </c>
      <c r="J351" s="21" t="str">
        <v>GUEYE Oumar</v>
      </c>
      <c r="K351" s="21" t="str">
        <v>CORPORATE BANKING</v>
      </c>
    </row>
    <row r="352">
      <c r="A352" s="23" t="str">
        <v>L01CDGN26149341</v>
      </c>
      <c r="B352" s="23">
        <v>100002209</v>
      </c>
      <c r="C352" s="23" t="str">
        <v>CLIENT 101</v>
      </c>
      <c r="D352" s="23" t="str">
        <v>IDAC</v>
      </c>
      <c r="E352" s="24">
        <v>46279</v>
      </c>
      <c r="F352" s="23">
        <v>191</v>
      </c>
      <c r="G352" s="23" t="str">
        <v>II</v>
      </c>
      <c r="H352" s="23">
        <v>2</v>
      </c>
      <c r="I352" s="23">
        <v>6800038</v>
      </c>
      <c r="J352" s="23" t="str">
        <v>OUSMANE DIALLO</v>
      </c>
      <c r="K352" s="23" t="str">
        <v>CORPORATE BANKING</v>
      </c>
    </row>
    <row r="353">
      <c r="A353" s="21" t="str">
        <v>L01CDGN26149342</v>
      </c>
      <c r="B353" s="21">
        <v>100002210</v>
      </c>
      <c r="C353" s="21" t="str">
        <v>CLIENT 102</v>
      </c>
      <c r="D353" s="21" t="str">
        <v>CRLN</v>
      </c>
      <c r="E353" s="22">
        <v>46285</v>
      </c>
      <c r="F353" s="21">
        <v>22</v>
      </c>
      <c r="G353" s="21" t="str">
        <v>IA</v>
      </c>
      <c r="H353" s="21">
        <v>2</v>
      </c>
      <c r="I353" s="21">
        <v>1113585788</v>
      </c>
      <c r="J353" s="21" t="str">
        <v>ROKHAYA THIAM SARR</v>
      </c>
      <c r="K353" s="21" t="str">
        <v>CORPORATE BANKING</v>
      </c>
    </row>
    <row r="354">
      <c r="A354" s="23" t="str">
        <v>L01CDGN26149343</v>
      </c>
      <c r="B354" s="23">
        <v>100002211</v>
      </c>
      <c r="C354" s="23" t="str">
        <v>CLIENT 103</v>
      </c>
      <c r="D354" s="23" t="str">
        <v>NTRD</v>
      </c>
      <c r="E354" s="24">
        <v>46270</v>
      </c>
      <c r="F354" s="23">
        <v>17</v>
      </c>
      <c r="G354" s="23" t="str">
        <v>IA</v>
      </c>
      <c r="H354" s="23">
        <v>2</v>
      </c>
      <c r="I354" s="23">
        <v>5697116</v>
      </c>
      <c r="J354" s="23" t="str">
        <v>CAMARA Adama</v>
      </c>
      <c r="K354" s="23" t="str">
        <v>CORPORATE BANKING</v>
      </c>
    </row>
    <row r="355">
      <c r="A355" s="21" t="str">
        <v>L01CDGN26149344</v>
      </c>
      <c r="B355" s="21">
        <v>100002212</v>
      </c>
      <c r="C355" s="21" t="str">
        <v>CLIENT 104</v>
      </c>
      <c r="D355" s="21" t="str">
        <v>CRAT</v>
      </c>
      <c r="E355" s="22">
        <v>46289</v>
      </c>
      <c r="F355" s="21">
        <v>105</v>
      </c>
      <c r="G355" s="21" t="str">
        <v>I</v>
      </c>
      <c r="H355" s="21">
        <v>1</v>
      </c>
      <c r="I355" s="21">
        <v>118735461</v>
      </c>
      <c r="J355" s="21" t="str">
        <v>MBAYE SAIDATOU</v>
      </c>
      <c r="K355" s="21" t="str">
        <v>COMMERCIAL BANKING</v>
      </c>
    </row>
    <row r="356">
      <c r="A356" s="23" t="str">
        <v>L01CDGN26149345</v>
      </c>
      <c r="B356" s="23">
        <v>100002213</v>
      </c>
      <c r="C356" s="23" t="str">
        <v>CLIENT 105</v>
      </c>
      <c r="D356" s="23" t="str">
        <v>CDGN</v>
      </c>
      <c r="E356" s="24">
        <v>46289</v>
      </c>
      <c r="F356" s="23">
        <v>52</v>
      </c>
      <c r="G356" s="23" t="str">
        <v>V</v>
      </c>
      <c r="H356" s="23">
        <v>3</v>
      </c>
      <c r="I356" s="23">
        <v>170358361</v>
      </c>
      <c r="J356" s="23" t="str">
        <v>GUEYE Oumar</v>
      </c>
      <c r="K356" s="23" t="str">
        <v>COMMERCIAL BANKING</v>
      </c>
    </row>
    <row r="357">
      <c r="A357" s="21" t="str">
        <v>L01CDGN26149346</v>
      </c>
      <c r="B357" s="21">
        <v>100002214</v>
      </c>
      <c r="C357" s="21" t="str">
        <v>CLIENT 106</v>
      </c>
      <c r="D357" s="21" t="str">
        <v>IDAC</v>
      </c>
      <c r="E357" s="22">
        <v>46267</v>
      </c>
      <c r="F357" s="21">
        <v>188</v>
      </c>
      <c r="G357" s="21" t="str">
        <v>IV</v>
      </c>
      <c r="H357" s="21">
        <v>3</v>
      </c>
      <c r="I357" s="21">
        <v>1957989935</v>
      </c>
      <c r="J357" s="21" t="str">
        <v>OUSMANE DIALLO</v>
      </c>
      <c r="K357" s="21" t="str">
        <v>COMMERCIAL BANKING</v>
      </c>
    </row>
    <row r="358">
      <c r="A358" s="23" t="str">
        <v>L01CDGN26149347</v>
      </c>
      <c r="B358" s="23">
        <v>100002215</v>
      </c>
      <c r="C358" s="23" t="str">
        <v>CLIENT 107</v>
      </c>
      <c r="D358" s="23" t="str">
        <v>CRLN</v>
      </c>
      <c r="E358" s="24">
        <v>46275</v>
      </c>
      <c r="F358" s="23">
        <v>8</v>
      </c>
      <c r="G358" s="23" t="str">
        <v>I</v>
      </c>
      <c r="H358" s="23">
        <v>1</v>
      </c>
      <c r="I358" s="23">
        <v>111032465</v>
      </c>
      <c r="J358" s="23" t="str">
        <v>ROKHAYA THIAM SARR</v>
      </c>
      <c r="K358" s="23" t="str">
        <v>COMMERCIAL BANKING</v>
      </c>
    </row>
    <row r="359">
      <c r="A359" s="21" t="str">
        <v>L01CDGN26149348</v>
      </c>
      <c r="B359" s="21">
        <v>100002216</v>
      </c>
      <c r="C359" s="21" t="str">
        <v>CLIENT 108</v>
      </c>
      <c r="D359" s="21" t="str">
        <v>NTRD</v>
      </c>
      <c r="E359" s="22">
        <v>46282</v>
      </c>
      <c r="F359" s="21">
        <v>27</v>
      </c>
      <c r="G359" s="21" t="str">
        <v>II</v>
      </c>
      <c r="H359" s="21">
        <v>2</v>
      </c>
      <c r="I359" s="21">
        <v>165814700</v>
      </c>
      <c r="J359" s="21" t="str">
        <v>CAMARA Adama</v>
      </c>
      <c r="K359" s="21" t="str">
        <v>CONSUMER BANKING</v>
      </c>
    </row>
    <row r="360">
      <c r="A360" s="23" t="str">
        <v>L01CDGN26149349</v>
      </c>
      <c r="B360" s="23">
        <v>100002217</v>
      </c>
      <c r="C360" s="23" t="str">
        <v>CLIENT 109</v>
      </c>
      <c r="D360" s="23" t="str">
        <v>CRAT</v>
      </c>
      <c r="E360" s="24">
        <v>46269</v>
      </c>
      <c r="F360" s="23">
        <v>59</v>
      </c>
      <c r="G360" s="23" t="str">
        <v>I</v>
      </c>
      <c r="H360" s="23">
        <v>1</v>
      </c>
      <c r="I360" s="23">
        <v>122577</v>
      </c>
      <c r="J360" s="23" t="str">
        <v>MBAYE SAIDATOU</v>
      </c>
      <c r="K360" s="23" t="str">
        <v>COMMERCIAL BANKING</v>
      </c>
    </row>
    <row r="361">
      <c r="A361" s="21" t="str">
        <v>L01CDGN26149350</v>
      </c>
      <c r="B361" s="21">
        <v>100002218</v>
      </c>
      <c r="C361" s="21" t="str">
        <v>CLIENT 110</v>
      </c>
      <c r="D361" s="21" t="str">
        <v>CDGN</v>
      </c>
      <c r="E361" s="22">
        <v>46281</v>
      </c>
      <c r="F361" s="21">
        <v>35</v>
      </c>
      <c r="G361" s="21" t="str">
        <v>IA</v>
      </c>
      <c r="H361" s="21">
        <v>2</v>
      </c>
      <c r="I361" s="21">
        <v>1558803504</v>
      </c>
      <c r="J361" s="21" t="str">
        <v>GUEYE Oumar</v>
      </c>
      <c r="K361" s="21" t="str">
        <v>CORPORATE BANKING</v>
      </c>
    </row>
    <row r="362">
      <c r="A362" s="23" t="str">
        <v>L01CDGN26149351</v>
      </c>
      <c r="B362" s="23">
        <v>100002219</v>
      </c>
      <c r="C362" s="23" t="str">
        <v>CLIENT 111</v>
      </c>
      <c r="D362" s="23" t="str">
        <v>IDAC</v>
      </c>
      <c r="E362" s="24">
        <v>46288</v>
      </c>
      <c r="F362" s="23">
        <v>15</v>
      </c>
      <c r="G362" s="23" t="str">
        <v>IV</v>
      </c>
      <c r="H362" s="23">
        <v>3</v>
      </c>
      <c r="I362" s="23">
        <v>1801544591</v>
      </c>
      <c r="J362" s="23" t="str">
        <v>OUSMANE DIALLO</v>
      </c>
      <c r="K362" s="23" t="str">
        <v>COMMERCIAL BANKING</v>
      </c>
    </row>
    <row r="363">
      <c r="A363" s="21" t="str">
        <v>L01CDGN26149352</v>
      </c>
      <c r="B363" s="21">
        <v>100002220</v>
      </c>
      <c r="C363" s="21" t="str">
        <v>CLIENT 112</v>
      </c>
      <c r="D363" s="21" t="str">
        <v>CRLN</v>
      </c>
      <c r="E363" s="22">
        <v>46279</v>
      </c>
      <c r="F363" s="21">
        <v>45</v>
      </c>
      <c r="G363" s="21" t="str">
        <v>V</v>
      </c>
      <c r="H363" s="21">
        <v>3</v>
      </c>
      <c r="I363" s="21">
        <v>225286474</v>
      </c>
      <c r="J363" s="21" t="str">
        <v>ROKHAYA THIAM SARR</v>
      </c>
      <c r="K363" s="21" t="str">
        <v>PUBLIC SECTOR</v>
      </c>
    </row>
    <row r="364">
      <c r="A364" s="23" t="str">
        <v>L01CDGN26149353</v>
      </c>
      <c r="B364" s="23">
        <v>100002221</v>
      </c>
      <c r="C364" s="23" t="str">
        <v>CLIENT 113</v>
      </c>
      <c r="D364" s="23" t="str">
        <v>NTRD</v>
      </c>
      <c r="E364" s="24">
        <v>46272</v>
      </c>
      <c r="F364" s="23">
        <v>57</v>
      </c>
      <c r="G364" s="23" t="str">
        <v>IV</v>
      </c>
      <c r="H364" s="23">
        <v>3</v>
      </c>
      <c r="I364" s="23">
        <v>70874847</v>
      </c>
      <c r="J364" s="23" t="str">
        <v>CAMARA Adama</v>
      </c>
      <c r="K364" s="23" t="str">
        <v>CORPORATE BANKING</v>
      </c>
    </row>
    <row r="365">
      <c r="A365" s="21" t="str">
        <v>L01CDGN26149354</v>
      </c>
      <c r="B365" s="21">
        <v>100002222</v>
      </c>
      <c r="C365" s="21" t="str">
        <v>CLIENT 114</v>
      </c>
      <c r="D365" s="21" t="str">
        <v>CRAT</v>
      </c>
      <c r="E365" s="22">
        <v>46266</v>
      </c>
      <c r="F365" s="21">
        <v>4</v>
      </c>
      <c r="G365" s="21" t="str">
        <v>II</v>
      </c>
      <c r="H365" s="21">
        <v>2</v>
      </c>
      <c r="I365" s="21">
        <v>1391622253</v>
      </c>
      <c r="J365" s="21" t="str">
        <v>MBAYE SAIDATOU</v>
      </c>
      <c r="K365" s="21" t="str">
        <v>CORPORATE BANKING</v>
      </c>
    </row>
    <row r="366">
      <c r="A366" s="23" t="str">
        <v>L01CDGN26149355</v>
      </c>
      <c r="B366" s="23">
        <v>100002223</v>
      </c>
      <c r="C366" s="23" t="str">
        <v>CLIENT 115</v>
      </c>
      <c r="D366" s="23" t="str">
        <v>CDGN</v>
      </c>
      <c r="E366" s="24">
        <v>46266</v>
      </c>
      <c r="F366" s="23">
        <v>92</v>
      </c>
      <c r="G366" s="23" t="str">
        <v>IA</v>
      </c>
      <c r="H366" s="23">
        <v>2</v>
      </c>
      <c r="I366" s="23">
        <v>35694353</v>
      </c>
      <c r="J366" s="23" t="str">
        <v>GUEYE Oumar</v>
      </c>
      <c r="K366" s="23" t="str">
        <v>CORPORATE BANKING</v>
      </c>
    </row>
    <row r="367">
      <c r="A367" s="21" t="str">
        <v>L01CDGN26149356</v>
      </c>
      <c r="B367" s="21">
        <v>100002224</v>
      </c>
      <c r="C367" s="21" t="str">
        <v>CLIENT 116</v>
      </c>
      <c r="D367" s="21" t="str">
        <v>IDAC</v>
      </c>
      <c r="E367" s="22">
        <v>46290</v>
      </c>
      <c r="F367" s="21">
        <v>17</v>
      </c>
      <c r="G367" s="21" t="str">
        <v>III</v>
      </c>
      <c r="H367" s="21">
        <v>2</v>
      </c>
      <c r="I367" s="21">
        <v>1092105088</v>
      </c>
      <c r="J367" s="21" t="str">
        <v>OUSMANE DIALLO</v>
      </c>
      <c r="K367" s="21" t="str">
        <v>CORPORATE BANKING</v>
      </c>
    </row>
    <row r="368">
      <c r="A368" s="23" t="str">
        <v>L01CDGN26149357</v>
      </c>
      <c r="B368" s="23">
        <v>100002225</v>
      </c>
      <c r="C368" s="23" t="str">
        <v>CLIENT 117</v>
      </c>
      <c r="D368" s="23" t="str">
        <v>CRLN</v>
      </c>
      <c r="E368" s="24">
        <v>46275</v>
      </c>
      <c r="F368" s="23">
        <v>78</v>
      </c>
      <c r="G368" s="23" t="str">
        <v>IV</v>
      </c>
      <c r="H368" s="23">
        <v>3</v>
      </c>
      <c r="I368" s="23">
        <v>681257450</v>
      </c>
      <c r="J368" s="23" t="str">
        <v>ROKHAYA THIAM SARR</v>
      </c>
      <c r="K368" s="23" t="str">
        <v>CONSUMER BANKING</v>
      </c>
    </row>
    <row r="369">
      <c r="A369" s="21" t="str">
        <v>L01CDGN26149358</v>
      </c>
      <c r="B369" s="21">
        <v>100002226</v>
      </c>
      <c r="C369" s="21" t="str">
        <v>CLIENT 118</v>
      </c>
      <c r="D369" s="21" t="str">
        <v>NTRD</v>
      </c>
      <c r="E369" s="22">
        <v>46277</v>
      </c>
      <c r="F369" s="21">
        <v>20</v>
      </c>
      <c r="G369" s="21" t="str">
        <v>IA</v>
      </c>
      <c r="H369" s="21">
        <v>2</v>
      </c>
      <c r="I369" s="21">
        <v>47249</v>
      </c>
      <c r="J369" s="21" t="str">
        <v>CAMARA Adama</v>
      </c>
      <c r="K369" s="21" t="str">
        <v>CORPORATE BANKING</v>
      </c>
    </row>
    <row r="370">
      <c r="A370" s="23" t="str">
        <v>L01CDGN26149359</v>
      </c>
      <c r="B370" s="23">
        <v>100002227</v>
      </c>
      <c r="C370" s="23" t="str">
        <v>CLIENT 119</v>
      </c>
      <c r="D370" s="23" t="str">
        <v>CRAT</v>
      </c>
      <c r="E370" s="24">
        <v>46289</v>
      </c>
      <c r="F370" s="23">
        <v>10</v>
      </c>
      <c r="G370" s="23" t="str">
        <v>IA</v>
      </c>
      <c r="H370" s="23">
        <v>2</v>
      </c>
      <c r="I370" s="23">
        <v>1929901659</v>
      </c>
      <c r="J370" s="23" t="str">
        <v>MBAYE SAIDATOU</v>
      </c>
      <c r="K370" s="23" t="str">
        <v>CORPORATE BANKING</v>
      </c>
    </row>
    <row r="371">
      <c r="A371" s="21" t="str">
        <v>L01CDGN26149360</v>
      </c>
      <c r="B371" s="21">
        <v>100002228</v>
      </c>
      <c r="C371" s="21" t="str">
        <v>CLIENT 0</v>
      </c>
      <c r="D371" s="21" t="str">
        <v>CDGN</v>
      </c>
      <c r="E371" s="22">
        <v>46268</v>
      </c>
      <c r="F371" s="21">
        <v>110</v>
      </c>
      <c r="G371" s="21" t="str">
        <v>IA</v>
      </c>
      <c r="H371" s="21">
        <v>2</v>
      </c>
      <c r="I371" s="21">
        <v>1388559615</v>
      </c>
      <c r="J371" s="21" t="str">
        <v>GUEYE Oumar</v>
      </c>
      <c r="K371" s="21" t="str">
        <v>CORPORATE BANKING</v>
      </c>
    </row>
    <row r="372">
      <c r="A372" s="23" t="str">
        <v>L01CDGN26149361</v>
      </c>
      <c r="B372" s="23">
        <v>100002229</v>
      </c>
      <c r="C372" s="23" t="str">
        <v>CLIENT 1</v>
      </c>
      <c r="D372" s="23" t="str">
        <v>IDAC</v>
      </c>
      <c r="E372" s="24">
        <v>46268</v>
      </c>
      <c r="F372" s="23">
        <v>118</v>
      </c>
      <c r="G372" s="23" t="str">
        <v>III</v>
      </c>
      <c r="H372" s="23">
        <v>2</v>
      </c>
      <c r="I372" s="23">
        <v>343985156</v>
      </c>
      <c r="J372" s="23" t="str">
        <v>OUSMANE DIALLO</v>
      </c>
      <c r="K372" s="23" t="str">
        <v>COMMERCIAL BANKING</v>
      </c>
    </row>
    <row r="373">
      <c r="A373" s="21" t="str">
        <v>L01CDGN26149362</v>
      </c>
      <c r="B373" s="21">
        <v>100002230</v>
      </c>
      <c r="C373" s="21" t="str">
        <v>CLIENT 2</v>
      </c>
      <c r="D373" s="21" t="str">
        <v>CRLN</v>
      </c>
      <c r="E373" s="22">
        <v>46277</v>
      </c>
      <c r="F373" s="21">
        <v>17</v>
      </c>
      <c r="G373" s="21" t="str">
        <v>IA</v>
      </c>
      <c r="H373" s="21">
        <v>2</v>
      </c>
      <c r="I373" s="21">
        <v>55291403</v>
      </c>
      <c r="J373" s="21" t="str">
        <v>ROKHAYA THIAM SARR</v>
      </c>
      <c r="K373" s="21" t="str">
        <v>PUBLIC SECTOR</v>
      </c>
    </row>
    <row r="374">
      <c r="A374" s="23" t="str">
        <v>L01CDGN26149363</v>
      </c>
      <c r="B374" s="23">
        <v>100002231</v>
      </c>
      <c r="C374" s="23" t="str">
        <v>CLIENT 3</v>
      </c>
      <c r="D374" s="23" t="str">
        <v>NTRD</v>
      </c>
      <c r="E374" s="24">
        <v>46291</v>
      </c>
      <c r="F374" s="23">
        <v>135</v>
      </c>
      <c r="G374" s="23" t="str">
        <v>IV</v>
      </c>
      <c r="H374" s="23">
        <v>3</v>
      </c>
      <c r="I374" s="23">
        <v>184908858</v>
      </c>
      <c r="J374" s="23" t="str">
        <v>CAMARA Adama</v>
      </c>
      <c r="K374" s="23" t="str">
        <v>CONSUMER BANKING</v>
      </c>
    </row>
    <row r="375">
      <c r="A375" s="21" t="str">
        <v>L01CDGN26149364</v>
      </c>
      <c r="B375" s="21">
        <v>100002232</v>
      </c>
      <c r="C375" s="21" t="str">
        <v>CLIENT 4</v>
      </c>
      <c r="D375" s="21" t="str">
        <v>CRAT</v>
      </c>
      <c r="E375" s="22">
        <v>46280</v>
      </c>
      <c r="F375" s="21">
        <v>99</v>
      </c>
      <c r="G375" s="21" t="str">
        <v>V</v>
      </c>
      <c r="H375" s="21">
        <v>3</v>
      </c>
      <c r="I375" s="21">
        <v>689</v>
      </c>
      <c r="J375" s="21" t="str">
        <v>MBAYE SAIDATOU</v>
      </c>
      <c r="K375" s="21" t="str">
        <v>PUBLIC SECTOR</v>
      </c>
    </row>
    <row r="376">
      <c r="A376" s="23" t="str">
        <v>L01CDGN26149365</v>
      </c>
      <c r="B376" s="23">
        <v>100002233</v>
      </c>
      <c r="C376" s="23" t="str">
        <v>CLIENT 5</v>
      </c>
      <c r="D376" s="23" t="str">
        <v>CDGN</v>
      </c>
      <c r="E376" s="24">
        <v>46268</v>
      </c>
      <c r="F376" s="23">
        <v>7</v>
      </c>
      <c r="G376" s="23" t="str">
        <v>III</v>
      </c>
      <c r="H376" s="23">
        <v>2</v>
      </c>
      <c r="I376" s="23">
        <v>706057671</v>
      </c>
      <c r="J376" s="23" t="str">
        <v>GUEYE Oumar</v>
      </c>
      <c r="K376" s="23" t="str">
        <v>COMMERCIAL BANKING</v>
      </c>
    </row>
    <row r="377">
      <c r="A377" s="21" t="str">
        <v>L01CDGN26149366</v>
      </c>
      <c r="B377" s="21">
        <v>100002234</v>
      </c>
      <c r="C377" s="21" t="str">
        <v>CLIENT 6</v>
      </c>
      <c r="D377" s="21" t="str">
        <v>IDAC</v>
      </c>
      <c r="E377" s="22">
        <v>46291</v>
      </c>
      <c r="F377" s="21">
        <v>26</v>
      </c>
      <c r="G377" s="21" t="str">
        <v>IV</v>
      </c>
      <c r="H377" s="21">
        <v>3</v>
      </c>
      <c r="I377" s="21">
        <v>41700655</v>
      </c>
      <c r="J377" s="21" t="str">
        <v>OUSMANE DIALLO</v>
      </c>
      <c r="K377" s="21" t="str">
        <v>COMMERCIAL BANKING</v>
      </c>
    </row>
    <row r="378">
      <c r="A378" s="23" t="str">
        <v>L01CDGN26149367</v>
      </c>
      <c r="B378" s="23">
        <v>100002235</v>
      </c>
      <c r="C378" s="23" t="str">
        <v>CLIENT 7</v>
      </c>
      <c r="D378" s="23" t="str">
        <v>CRLN</v>
      </c>
      <c r="E378" s="24">
        <v>46275</v>
      </c>
      <c r="F378" s="23">
        <v>190</v>
      </c>
      <c r="G378" s="23" t="str">
        <v>V</v>
      </c>
      <c r="H378" s="23">
        <v>3</v>
      </c>
      <c r="I378" s="23">
        <v>334336059</v>
      </c>
      <c r="J378" s="23" t="str">
        <v>ROKHAYA THIAM SARR</v>
      </c>
      <c r="K378" s="23" t="str">
        <v>CORPORATE BANKING</v>
      </c>
    </row>
    <row r="379">
      <c r="A379" s="21" t="str">
        <v>L01CDGN26149368</v>
      </c>
      <c r="B379" s="21">
        <v>100002236</v>
      </c>
      <c r="C379" s="21" t="str">
        <v>CLIENT 8</v>
      </c>
      <c r="D379" s="21" t="str">
        <v>NTRD</v>
      </c>
      <c r="E379" s="22">
        <v>46283</v>
      </c>
      <c r="F379" s="21">
        <v>10</v>
      </c>
      <c r="G379" s="21" t="str">
        <v>I</v>
      </c>
      <c r="H379" s="21">
        <v>1</v>
      </c>
      <c r="I379" s="21">
        <v>139192505</v>
      </c>
      <c r="J379" s="21" t="str">
        <v>CAMARA Adama</v>
      </c>
      <c r="K379" s="21" t="str">
        <v>COMMERCIAL BANKING</v>
      </c>
    </row>
    <row r="380">
      <c r="A380" s="23" t="str">
        <v>L01CDGN26149369</v>
      </c>
      <c r="B380" s="23">
        <v>100002237</v>
      </c>
      <c r="C380" s="23" t="str">
        <v>CLIENT 9</v>
      </c>
      <c r="D380" s="23" t="str">
        <v>CRAT</v>
      </c>
      <c r="E380" s="24">
        <v>46267</v>
      </c>
      <c r="F380" s="23">
        <v>90</v>
      </c>
      <c r="G380" s="23" t="str">
        <v>IV</v>
      </c>
      <c r="H380" s="23">
        <v>3</v>
      </c>
      <c r="I380" s="23">
        <v>180594599</v>
      </c>
      <c r="J380" s="23" t="str">
        <v>MBAYE SAIDATOU</v>
      </c>
      <c r="K380" s="23" t="str">
        <v>CORPORATE BANKING</v>
      </c>
    </row>
    <row r="381">
      <c r="A381" s="21" t="str">
        <v>L01CDGN26149370</v>
      </c>
      <c r="B381" s="21">
        <v>100002238</v>
      </c>
      <c r="C381" s="21" t="str">
        <v>CLIENT 10</v>
      </c>
      <c r="D381" s="21" t="str">
        <v>CDGN</v>
      </c>
      <c r="E381" s="22">
        <v>46280</v>
      </c>
      <c r="F381" s="21">
        <v>8</v>
      </c>
      <c r="G381" s="21" t="str">
        <v>II</v>
      </c>
      <c r="H381" s="21">
        <v>2</v>
      </c>
      <c r="I381" s="21">
        <v>1763651726</v>
      </c>
      <c r="J381" s="21" t="str">
        <v>GUEYE Oumar</v>
      </c>
      <c r="K381" s="21" t="str">
        <v>CORPORATE BANKING</v>
      </c>
    </row>
    <row r="382">
      <c r="A382" s="23" t="str">
        <v>L01CDGN26149371</v>
      </c>
      <c r="B382" s="23">
        <v>100002239</v>
      </c>
      <c r="C382" s="23" t="str">
        <v>CLIENT 11</v>
      </c>
      <c r="D382" s="23" t="str">
        <v>IDAC</v>
      </c>
      <c r="E382" s="24">
        <v>46288</v>
      </c>
      <c r="F382" s="23">
        <v>153</v>
      </c>
      <c r="G382" s="23" t="str">
        <v>IA</v>
      </c>
      <c r="H382" s="23">
        <v>2</v>
      </c>
      <c r="I382" s="23">
        <v>12341529</v>
      </c>
      <c r="J382" s="23" t="str">
        <v>OUSMANE DIALLO</v>
      </c>
      <c r="K382" s="23" t="str">
        <v>CORPORATE BANKING</v>
      </c>
    </row>
    <row r="383">
      <c r="A383" s="21" t="str">
        <v>L01CDGN26149372</v>
      </c>
      <c r="B383" s="21">
        <v>100002240</v>
      </c>
      <c r="C383" s="21" t="str">
        <v>CLIENT 12</v>
      </c>
      <c r="D383" s="21" t="str">
        <v>CRLN</v>
      </c>
      <c r="E383" s="22">
        <v>46280</v>
      </c>
      <c r="F383" s="21">
        <v>105</v>
      </c>
      <c r="G383" s="21" t="str">
        <v>V</v>
      </c>
      <c r="H383" s="21">
        <v>3</v>
      </c>
      <c r="I383" s="21">
        <v>721365061</v>
      </c>
      <c r="J383" s="21" t="str">
        <v>ROKHAYA THIAM SARR</v>
      </c>
      <c r="K383" s="21" t="str">
        <v>CORPORATE BANKING</v>
      </c>
    </row>
    <row r="384">
      <c r="A384" s="23" t="str">
        <v>L01CDGN26149373</v>
      </c>
      <c r="B384" s="23">
        <v>100002241</v>
      </c>
      <c r="C384" s="23" t="str">
        <v>CLIENT 13</v>
      </c>
      <c r="D384" s="23" t="str">
        <v>NTRD</v>
      </c>
      <c r="E384" s="24">
        <v>46293</v>
      </c>
      <c r="F384" s="23">
        <v>10</v>
      </c>
      <c r="G384" s="23" t="str">
        <v>II</v>
      </c>
      <c r="H384" s="23">
        <v>2</v>
      </c>
      <c r="I384" s="23">
        <v>170532897</v>
      </c>
      <c r="J384" s="23" t="str">
        <v>CAMARA Adama</v>
      </c>
      <c r="K384" s="23" t="str">
        <v>CORPORATE BANKING</v>
      </c>
    </row>
    <row r="385">
      <c r="A385" s="21" t="str">
        <v>L01CDGN26149374</v>
      </c>
      <c r="B385" s="21">
        <v>100002242</v>
      </c>
      <c r="C385" s="21" t="str">
        <v>CLIENT 14</v>
      </c>
      <c r="D385" s="21" t="str">
        <v>CRAT</v>
      </c>
      <c r="E385" s="22">
        <v>46271</v>
      </c>
      <c r="F385" s="21">
        <v>0</v>
      </c>
      <c r="G385" s="21" t="str">
        <v>III</v>
      </c>
      <c r="H385" s="21">
        <v>2</v>
      </c>
      <c r="I385" s="21">
        <v>63069981</v>
      </c>
      <c r="J385" s="21" t="str">
        <v>MBAYE SAIDATOU</v>
      </c>
      <c r="K385" s="21" t="str">
        <v>COMMERCIAL BANKING</v>
      </c>
    </row>
    <row r="386">
      <c r="A386" s="23" t="str">
        <v>L01CDGN26149375</v>
      </c>
      <c r="B386" s="23">
        <v>100002243</v>
      </c>
      <c r="C386" s="23" t="str">
        <v>CLIENT 15</v>
      </c>
      <c r="D386" s="23" t="str">
        <v>CDGN</v>
      </c>
      <c r="E386" s="24">
        <v>46286</v>
      </c>
      <c r="F386" s="23">
        <v>27</v>
      </c>
      <c r="G386" s="23" t="str">
        <v>IV</v>
      </c>
      <c r="H386" s="23">
        <v>3</v>
      </c>
      <c r="I386" s="23">
        <v>138742151</v>
      </c>
      <c r="J386" s="23" t="str">
        <v>GUEYE Oumar</v>
      </c>
      <c r="K386" s="23" t="str">
        <v>CONSUMER BANKING</v>
      </c>
    </row>
    <row r="387">
      <c r="A387" s="21" t="str">
        <v>L01CDGN26149376</v>
      </c>
      <c r="B387" s="21">
        <v>100002244</v>
      </c>
      <c r="C387" s="21" t="str">
        <v>CLIENT 16</v>
      </c>
      <c r="D387" s="21" t="str">
        <v>IDAC</v>
      </c>
      <c r="E387" s="22">
        <v>46288</v>
      </c>
      <c r="F387" s="21">
        <v>74</v>
      </c>
      <c r="G387" s="21" t="str">
        <v>IA</v>
      </c>
      <c r="H387" s="21">
        <v>2</v>
      </c>
      <c r="I387" s="21">
        <v>5404167</v>
      </c>
      <c r="J387" s="21" t="str">
        <v>OUSMANE DIALLO</v>
      </c>
      <c r="K387" s="21" t="str">
        <v>PUBLIC SECTOR</v>
      </c>
    </row>
    <row r="388">
      <c r="A388" s="23" t="str">
        <v>L01CDGN26149377</v>
      </c>
      <c r="B388" s="23">
        <v>100002245</v>
      </c>
      <c r="C388" s="23" t="str">
        <v>CLIENT 17</v>
      </c>
      <c r="D388" s="23" t="str">
        <v>CRLN</v>
      </c>
      <c r="E388" s="24">
        <v>46286</v>
      </c>
      <c r="F388" s="23">
        <v>6</v>
      </c>
      <c r="G388" s="23" t="str">
        <v>IV</v>
      </c>
      <c r="H388" s="23">
        <v>3</v>
      </c>
      <c r="I388" s="23">
        <v>526386065</v>
      </c>
      <c r="J388" s="23" t="str">
        <v>ROKHAYA THIAM SARR</v>
      </c>
      <c r="K388" s="23" t="str">
        <v>CONSUMER BANKING</v>
      </c>
    </row>
    <row r="389">
      <c r="A389" s="21" t="str">
        <v>L01CDGN26149378</v>
      </c>
      <c r="B389" s="21">
        <v>100002246</v>
      </c>
      <c r="C389" s="21" t="str">
        <v>CLIENT 18</v>
      </c>
      <c r="D389" s="21" t="str">
        <v>NTRD</v>
      </c>
      <c r="E389" s="22">
        <v>46267</v>
      </c>
      <c r="F389" s="21">
        <v>52</v>
      </c>
      <c r="G389" s="21" t="str">
        <v>I</v>
      </c>
      <c r="H389" s="21">
        <v>1</v>
      </c>
      <c r="I389" s="21">
        <v>477518</v>
      </c>
      <c r="J389" s="21" t="str">
        <v>CAMARA Adama</v>
      </c>
      <c r="K389" s="21" t="str">
        <v>CONSUMER BANKING</v>
      </c>
    </row>
    <row r="390">
      <c r="A390" s="23" t="str">
        <v>L01CDGN26149379</v>
      </c>
      <c r="B390" s="23">
        <v>100002247</v>
      </c>
      <c r="C390" s="23" t="str">
        <v>CLIENT 19</v>
      </c>
      <c r="D390" s="23" t="str">
        <v>CRAT</v>
      </c>
      <c r="E390" s="24">
        <v>46285</v>
      </c>
      <c r="F390" s="23">
        <v>2</v>
      </c>
      <c r="G390" s="23" t="str">
        <v>IA</v>
      </c>
      <c r="H390" s="23">
        <v>2</v>
      </c>
      <c r="I390" s="23">
        <v>8075881</v>
      </c>
      <c r="J390" s="23" t="str">
        <v>MBAYE SAIDATOU</v>
      </c>
      <c r="K390" s="23" t="str">
        <v>COMMERCIAL BANKING</v>
      </c>
    </row>
    <row r="391">
      <c r="A391" s="21" t="str">
        <v>L01CDGN26149380</v>
      </c>
      <c r="B391" s="21">
        <v>100002248</v>
      </c>
      <c r="C391" s="21" t="str">
        <v>CLIENT 20</v>
      </c>
      <c r="D391" s="21" t="str">
        <v>CDGN</v>
      </c>
      <c r="E391" s="22">
        <v>46293</v>
      </c>
      <c r="F391" s="21">
        <v>82</v>
      </c>
      <c r="G391" s="21" t="str">
        <v>IA</v>
      </c>
      <c r="H391" s="21">
        <v>2</v>
      </c>
      <c r="I391" s="21">
        <v>89521998</v>
      </c>
      <c r="J391" s="21" t="str">
        <v>GUEYE Oumar</v>
      </c>
      <c r="K391" s="21" t="str">
        <v>CORPORATE BANKING</v>
      </c>
    </row>
    <row r="392">
      <c r="A392" s="23" t="str">
        <v>L01CDGN26149381</v>
      </c>
      <c r="B392" s="23">
        <v>100002249</v>
      </c>
      <c r="C392" s="23" t="str">
        <v>CLIENT 21</v>
      </c>
      <c r="D392" s="23" t="str">
        <v>IDAC</v>
      </c>
      <c r="E392" s="24">
        <v>46289</v>
      </c>
      <c r="F392" s="23">
        <v>194</v>
      </c>
      <c r="G392" s="23" t="str">
        <v>IA</v>
      </c>
      <c r="H392" s="23">
        <v>2</v>
      </c>
      <c r="I392" s="23">
        <v>344192</v>
      </c>
      <c r="J392" s="23" t="str">
        <v>OUSMANE DIALLO</v>
      </c>
      <c r="K392" s="23" t="str">
        <v>CORPORATE BANKING</v>
      </c>
    </row>
    <row r="393">
      <c r="A393" s="21" t="str">
        <v>L01CDGN26149382</v>
      </c>
      <c r="B393" s="21">
        <v>100002250</v>
      </c>
      <c r="C393" s="21" t="str">
        <v>CLIENT 22</v>
      </c>
      <c r="D393" s="21" t="str">
        <v>CRLN</v>
      </c>
      <c r="E393" s="22">
        <v>46278</v>
      </c>
      <c r="F393" s="21">
        <v>136</v>
      </c>
      <c r="G393" s="21" t="str">
        <v>II</v>
      </c>
      <c r="H393" s="21">
        <v>2</v>
      </c>
      <c r="I393" s="21">
        <v>789980767</v>
      </c>
      <c r="J393" s="21" t="str">
        <v>ROKHAYA THIAM SARR</v>
      </c>
      <c r="K393" s="21" t="str">
        <v>CONSUMER BANKING</v>
      </c>
    </row>
    <row r="394">
      <c r="A394" s="23" t="str">
        <v>L01CDGN26149383</v>
      </c>
      <c r="B394" s="23">
        <v>100002251</v>
      </c>
      <c r="C394" s="23" t="str">
        <v>CLIENT 23</v>
      </c>
      <c r="D394" s="23" t="str">
        <v>NTRD</v>
      </c>
      <c r="E394" s="24">
        <v>46267</v>
      </c>
      <c r="F394" s="23">
        <v>117</v>
      </c>
      <c r="G394" s="23" t="str">
        <v>V</v>
      </c>
      <c r="H394" s="23">
        <v>3</v>
      </c>
      <c r="I394" s="23">
        <v>752011306</v>
      </c>
      <c r="J394" s="23" t="str">
        <v>CAMARA Adama</v>
      </c>
      <c r="K394" s="23" t="str">
        <v>CONSUMER BANKING</v>
      </c>
    </row>
    <row r="395">
      <c r="A395" s="21" t="str">
        <v>L01CDGN26149384</v>
      </c>
      <c r="B395" s="21">
        <v>100002252</v>
      </c>
      <c r="C395" s="21" t="str">
        <v>CLIENT 24</v>
      </c>
      <c r="D395" s="21" t="str">
        <v>CRAT</v>
      </c>
      <c r="E395" s="22">
        <v>46285</v>
      </c>
      <c r="F395" s="21">
        <v>10</v>
      </c>
      <c r="G395" s="21" t="str">
        <v>IV</v>
      </c>
      <c r="H395" s="21">
        <v>3</v>
      </c>
      <c r="I395" s="21">
        <v>321982830</v>
      </c>
      <c r="J395" s="21" t="str">
        <v>MBAYE SAIDATOU</v>
      </c>
      <c r="K395" s="21" t="str">
        <v>CORPORATE BANKING</v>
      </c>
    </row>
    <row r="396">
      <c r="A396" s="23" t="str">
        <v>L01CDGN26149385</v>
      </c>
      <c r="B396" s="23">
        <v>100002253</v>
      </c>
      <c r="C396" s="23" t="str">
        <v>CLIENT 25</v>
      </c>
      <c r="D396" s="23" t="str">
        <v>CDGN</v>
      </c>
      <c r="E396" s="24">
        <v>46289</v>
      </c>
      <c r="F396" s="23">
        <v>107</v>
      </c>
      <c r="G396" s="23" t="str">
        <v>V</v>
      </c>
      <c r="H396" s="23">
        <v>3</v>
      </c>
      <c r="I396" s="23">
        <v>987031387</v>
      </c>
      <c r="J396" s="23" t="str">
        <v>GUEYE Oumar</v>
      </c>
      <c r="K396" s="23" t="str">
        <v>COMMERCIAL BANKING</v>
      </c>
    </row>
    <row r="397">
      <c r="A397" s="21" t="str">
        <v>L01CDGN26149386</v>
      </c>
      <c r="B397" s="21">
        <v>100002254</v>
      </c>
      <c r="C397" s="21" t="str">
        <v>CLIENT 26</v>
      </c>
      <c r="D397" s="21" t="str">
        <v>IDAC</v>
      </c>
      <c r="E397" s="22">
        <v>46286</v>
      </c>
      <c r="F397" s="21">
        <v>92</v>
      </c>
      <c r="G397" s="21" t="str">
        <v>IA</v>
      </c>
      <c r="H397" s="21">
        <v>2</v>
      </c>
      <c r="I397" s="21">
        <v>128206236</v>
      </c>
      <c r="J397" s="21" t="str">
        <v>OUSMANE DIALLO</v>
      </c>
      <c r="K397" s="21" t="str">
        <v>COMMERCIAL BANKING</v>
      </c>
    </row>
    <row r="398">
      <c r="A398" s="23" t="str">
        <v>L01CDGN26149387</v>
      </c>
      <c r="B398" s="23">
        <v>100002255</v>
      </c>
      <c r="C398" s="23" t="str">
        <v>CLIENT 27</v>
      </c>
      <c r="D398" s="23" t="str">
        <v>CRLN</v>
      </c>
      <c r="E398" s="24">
        <v>46269</v>
      </c>
      <c r="F398" s="23">
        <v>161</v>
      </c>
      <c r="G398" s="23" t="str">
        <v>II</v>
      </c>
      <c r="H398" s="23">
        <v>2</v>
      </c>
      <c r="I398" s="23">
        <v>431304261</v>
      </c>
      <c r="J398" s="23" t="str">
        <v>ROKHAYA THIAM SARR</v>
      </c>
      <c r="K398" s="23" t="str">
        <v>CONSUMER BANKING</v>
      </c>
    </row>
    <row r="399">
      <c r="A399" s="21" t="str">
        <v>L01CDGN26149388</v>
      </c>
      <c r="B399" s="21">
        <v>100002256</v>
      </c>
      <c r="C399" s="21" t="str">
        <v>CLIENT 28</v>
      </c>
      <c r="D399" s="21" t="str">
        <v>NTRD</v>
      </c>
      <c r="E399" s="22">
        <v>46282</v>
      </c>
      <c r="F399" s="21">
        <v>26</v>
      </c>
      <c r="G399" s="21" t="str">
        <v>I</v>
      </c>
      <c r="H399" s="21">
        <v>1</v>
      </c>
      <c r="I399" s="21">
        <v>1022641132</v>
      </c>
      <c r="J399" s="21" t="str">
        <v>CAMARA Adama</v>
      </c>
      <c r="K399" s="21" t="str">
        <v>CONSUMER BANKING</v>
      </c>
    </row>
    <row r="400">
      <c r="A400" s="23" t="str">
        <v>L01CDGN26149389</v>
      </c>
      <c r="B400" s="23">
        <v>100002257</v>
      </c>
      <c r="C400" s="23" t="str">
        <v>CLIENT 29</v>
      </c>
      <c r="D400" s="23" t="str">
        <v>CRAT</v>
      </c>
      <c r="E400" s="24">
        <v>46271</v>
      </c>
      <c r="F400" s="23">
        <v>80</v>
      </c>
      <c r="G400" s="23" t="str">
        <v>V</v>
      </c>
      <c r="H400" s="23">
        <v>3</v>
      </c>
      <c r="I400" s="23">
        <v>353880098</v>
      </c>
      <c r="J400" s="23" t="str">
        <v>MBAYE SAIDATOU</v>
      </c>
      <c r="K400" s="23" t="str">
        <v>CORPORATE BANKING</v>
      </c>
    </row>
    <row r="401">
      <c r="A401" s="21" t="str">
        <v>L01CDGN26149390</v>
      </c>
      <c r="B401" s="21">
        <v>100002258</v>
      </c>
      <c r="C401" s="21" t="str">
        <v>CLIENT 30</v>
      </c>
      <c r="D401" s="21" t="str">
        <v>CDGN</v>
      </c>
      <c r="E401" s="22">
        <v>46284</v>
      </c>
      <c r="F401" s="21">
        <v>0</v>
      </c>
      <c r="G401" s="21" t="str">
        <v>III</v>
      </c>
      <c r="H401" s="21">
        <v>2</v>
      </c>
      <c r="I401" s="21">
        <v>171282674</v>
      </c>
      <c r="J401" s="21" t="str">
        <v>GUEYE Oumar</v>
      </c>
      <c r="K401" s="21" t="str">
        <v>COMMERCIAL BANKING</v>
      </c>
    </row>
    <row r="402">
      <c r="A402" s="23" t="str">
        <v>L01CDGN26149391</v>
      </c>
      <c r="B402" s="23">
        <v>100002259</v>
      </c>
      <c r="C402" s="23" t="str">
        <v>CLIENT 31</v>
      </c>
      <c r="D402" s="23" t="str">
        <v>IDAC</v>
      </c>
      <c r="E402" s="24">
        <v>46279</v>
      </c>
      <c r="F402" s="23">
        <v>43</v>
      </c>
      <c r="G402" s="23" t="str">
        <v>II</v>
      </c>
      <c r="H402" s="23">
        <v>2</v>
      </c>
      <c r="I402" s="23">
        <v>1349393</v>
      </c>
      <c r="J402" s="23" t="str">
        <v>OUSMANE DIALLO</v>
      </c>
      <c r="K402" s="23" t="str">
        <v>CORPORATE BANKING</v>
      </c>
    </row>
    <row r="403">
      <c r="A403" s="21" t="str">
        <v>L01CDGN26149392</v>
      </c>
      <c r="B403" s="21">
        <v>100002260</v>
      </c>
      <c r="C403" s="21" t="str">
        <v>CLIENT 32</v>
      </c>
      <c r="D403" s="21" t="str">
        <v>CRLN</v>
      </c>
      <c r="E403" s="22">
        <v>46271</v>
      </c>
      <c r="F403" s="21">
        <v>281</v>
      </c>
      <c r="G403" s="21" t="str">
        <v>I</v>
      </c>
      <c r="H403" s="21">
        <v>1</v>
      </c>
      <c r="I403" s="21">
        <v>111326</v>
      </c>
      <c r="J403" s="21" t="str">
        <v>ROKHAYA THIAM SARR</v>
      </c>
      <c r="K403" s="21" t="str">
        <v>COMMERCIAL BANKING</v>
      </c>
    </row>
    <row r="404">
      <c r="A404" s="23" t="str">
        <v>L01CDGN26149393</v>
      </c>
      <c r="B404" s="23">
        <v>100002261</v>
      </c>
      <c r="C404" s="23" t="str">
        <v>CLIENT 33</v>
      </c>
      <c r="D404" s="23" t="str">
        <v>NTRD</v>
      </c>
      <c r="E404" s="24">
        <v>46267</v>
      </c>
      <c r="F404" s="23">
        <v>66</v>
      </c>
      <c r="G404" s="23" t="str">
        <v>II</v>
      </c>
      <c r="H404" s="23">
        <v>2</v>
      </c>
      <c r="I404" s="23">
        <v>398265746</v>
      </c>
      <c r="J404" s="23" t="str">
        <v>CAMARA Adama</v>
      </c>
      <c r="K404" s="23" t="str">
        <v>COMMERCIAL BANKING</v>
      </c>
    </row>
    <row r="405">
      <c r="A405" s="21" t="str">
        <v>L01CDGN26149394</v>
      </c>
      <c r="B405" s="21">
        <v>100002262</v>
      </c>
      <c r="C405" s="21" t="str">
        <v>CLIENT 34</v>
      </c>
      <c r="D405" s="21" t="str">
        <v>CRAT</v>
      </c>
      <c r="E405" s="22">
        <v>46283</v>
      </c>
      <c r="F405" s="21">
        <v>32</v>
      </c>
      <c r="G405" s="21" t="str">
        <v>II</v>
      </c>
      <c r="H405" s="21">
        <v>2</v>
      </c>
      <c r="I405" s="21">
        <v>256612178</v>
      </c>
      <c r="J405" s="21" t="str">
        <v>MBAYE SAIDATOU</v>
      </c>
      <c r="K405" s="21" t="str">
        <v>COMMERCIAL BANKING</v>
      </c>
    </row>
    <row r="406">
      <c r="A406" s="23" t="str">
        <v>L01CDGN26149395</v>
      </c>
      <c r="B406" s="23">
        <v>100002263</v>
      </c>
      <c r="C406" s="23" t="str">
        <v>CLIENT 35</v>
      </c>
      <c r="D406" s="23" t="str">
        <v>CDGN</v>
      </c>
      <c r="E406" s="24">
        <v>46267</v>
      </c>
      <c r="F406" s="23">
        <v>27</v>
      </c>
      <c r="G406" s="23" t="str">
        <v>III</v>
      </c>
      <c r="H406" s="23">
        <v>2</v>
      </c>
      <c r="I406" s="23">
        <v>1143335161</v>
      </c>
      <c r="J406" s="23" t="str">
        <v>GUEYE Oumar</v>
      </c>
      <c r="K406" s="23" t="str">
        <v>COMMERCIAL BANKING</v>
      </c>
    </row>
    <row r="407">
      <c r="A407" s="21" t="str">
        <v>L01CDGN26149396</v>
      </c>
      <c r="B407" s="21">
        <v>100002264</v>
      </c>
      <c r="C407" s="21" t="str">
        <v>CLIENT 36</v>
      </c>
      <c r="D407" s="21" t="str">
        <v>IDAC</v>
      </c>
      <c r="E407" s="22">
        <v>46279</v>
      </c>
      <c r="F407" s="21">
        <v>146</v>
      </c>
      <c r="G407" s="21" t="str">
        <v>V</v>
      </c>
      <c r="H407" s="21">
        <v>3</v>
      </c>
      <c r="I407" s="21">
        <v>208755742</v>
      </c>
      <c r="J407" s="21" t="str">
        <v>OUSMANE DIALLO</v>
      </c>
      <c r="K407" s="21" t="str">
        <v>CORPORATE BANKING</v>
      </c>
    </row>
    <row r="408">
      <c r="A408" s="23" t="str">
        <v>L01CDGN26149397</v>
      </c>
      <c r="B408" s="23">
        <v>100002265</v>
      </c>
      <c r="C408" s="23" t="str">
        <v>CLIENT 37</v>
      </c>
      <c r="D408" s="23" t="str">
        <v>CRLN</v>
      </c>
      <c r="E408" s="24">
        <v>46269</v>
      </c>
      <c r="F408" s="23">
        <v>118</v>
      </c>
      <c r="G408" s="23" t="str">
        <v>IV</v>
      </c>
      <c r="H408" s="23">
        <v>3</v>
      </c>
      <c r="I408" s="23">
        <v>429900140</v>
      </c>
      <c r="J408" s="23" t="str">
        <v>ROKHAYA THIAM SARR</v>
      </c>
      <c r="K408" s="23" t="str">
        <v>CONSUMER BANKING</v>
      </c>
    </row>
    <row r="409">
      <c r="A409" s="21" t="str">
        <v>L01CDGN26149398</v>
      </c>
      <c r="B409" s="21">
        <v>100002266</v>
      </c>
      <c r="C409" s="21" t="str">
        <v>CLIENT 38</v>
      </c>
      <c r="D409" s="21" t="str">
        <v>NTRD</v>
      </c>
      <c r="E409" s="22">
        <v>46287</v>
      </c>
      <c r="F409" s="21">
        <v>26</v>
      </c>
      <c r="G409" s="21" t="str">
        <v>II</v>
      </c>
      <c r="H409" s="21">
        <v>2</v>
      </c>
      <c r="I409" s="21">
        <v>6267707</v>
      </c>
      <c r="J409" s="21" t="str">
        <v>CAMARA Adama</v>
      </c>
      <c r="K409" s="21" t="str">
        <v>COMMERCIAL BANKING</v>
      </c>
    </row>
    <row r="410">
      <c r="A410" s="23" t="str">
        <v>L01CDGN26149399</v>
      </c>
      <c r="B410" s="23">
        <v>100002267</v>
      </c>
      <c r="C410" s="23" t="str">
        <v>CLIENT 39</v>
      </c>
      <c r="D410" s="23" t="str">
        <v>CRAT</v>
      </c>
      <c r="E410" s="24">
        <v>46290</v>
      </c>
      <c r="F410" s="23">
        <v>131</v>
      </c>
      <c r="G410" s="23" t="str">
        <v>IV</v>
      </c>
      <c r="H410" s="23">
        <v>3</v>
      </c>
      <c r="I410" s="23">
        <v>414</v>
      </c>
      <c r="J410" s="23" t="str">
        <v>MBAYE SAIDATOU</v>
      </c>
      <c r="K410" s="23" t="str">
        <v>CORPORATE BANKING</v>
      </c>
    </row>
  </sheetData>
  <mergeCells count="8">
    <mergeCell ref="A1:K1"/>
    <mergeCell ref="A2:K2"/>
    <mergeCell ref="E3:F3"/>
    <mergeCell ref="E4:F4"/>
    <mergeCell ref="B5:C5"/>
    <mergeCell ref="D5:F5"/>
    <mergeCell ref="G5:I5"/>
    <mergeCell ref="J5:K5"/>
  </mergeCells>
  <conditionalFormatting sqref="D11:D410">
    <cfRule type="cellIs" dxfId="2" priority="300" operator="equal">
      <formula>"CDGN"</formula>
    </cfRule>
  </conditionalFormatting>
  <conditionalFormatting sqref="D11:D410">
    <cfRule type="cellIs" dxfId="3" priority="301" operator="equal">
      <formula>"CRAT"</formula>
    </cfRule>
  </conditionalFormatting>
  <conditionalFormatting sqref="D11:D410">
    <cfRule type="cellIs" dxfId="4" priority="302" operator="equal">
      <formula>"CRLN"</formula>
    </cfRule>
  </conditionalFormatting>
  <conditionalFormatting sqref="D11:D410">
    <cfRule type="cellIs" dxfId="5" priority="303" operator="equal">
      <formula>"IDAC"</formula>
    </cfRule>
  </conditionalFormatting>
  <conditionalFormatting sqref="D11:D410">
    <cfRule type="cellIs" dxfId="6" priority="304" operator="equal">
      <formula>"NTRD"</formula>
    </cfRule>
  </conditionalFormatting>
  <conditionalFormatting sqref="G11:G410">
    <cfRule type="cellIs" dxfId="7" priority="305" operator="equal">
      <formula>"I"</formula>
    </cfRule>
  </conditionalFormatting>
  <conditionalFormatting sqref="G11:G410">
    <cfRule type="cellIs" dxfId="8" priority="306" operator="equal">
      <formula>"IA"</formula>
    </cfRule>
  </conditionalFormatting>
  <conditionalFormatting sqref="G11:G410">
    <cfRule type="cellIs" dxfId="9" priority="307" operator="equal">
      <formula>"II"</formula>
    </cfRule>
  </conditionalFormatting>
  <conditionalFormatting sqref="G11:G410">
    <cfRule type="cellIs" dxfId="10" priority="308" operator="equal">
      <formula>"III"</formula>
    </cfRule>
  </conditionalFormatting>
  <conditionalFormatting sqref="G11:G410">
    <cfRule type="cellIs" dxfId="11" priority="309" operator="equal">
      <formula>"IV"</formula>
    </cfRule>
  </conditionalFormatting>
  <conditionalFormatting sqref="G11:G410">
    <cfRule type="cellIs" dxfId="12" priority="310" operator="equal">
      <formula>"V"</formula>
    </cfRule>
  </conditionalFormatting>
  <conditionalFormatting sqref="J11:J410">
    <cfRule type="cellIs" dxfId="13" priority="311" operator="equal">
      <formula>"CAMARA Adama"</formula>
    </cfRule>
  </conditionalFormatting>
  <conditionalFormatting sqref="J11:J410">
    <cfRule type="cellIs" dxfId="14" priority="312" operator="equal">
      <formula>"GUEYE Oumar"</formula>
    </cfRule>
  </conditionalFormatting>
  <conditionalFormatting sqref="J11:J410">
    <cfRule type="cellIs" dxfId="15" priority="313" operator="equal">
      <formula>"MBAYE SAIDATOU"</formula>
    </cfRule>
  </conditionalFormatting>
  <conditionalFormatting sqref="J11:J410">
    <cfRule type="cellIs" dxfId="16" priority="314" operator="equal">
      <formula>"OUSMANE DIALLO"</formula>
    </cfRule>
  </conditionalFormatting>
  <conditionalFormatting sqref="J11:J410">
    <cfRule type="cellIs" dxfId="17" priority="315" operator="equal">
      <formula>"ROKHAYA THIAM SARR"</formula>
    </cfRule>
  </conditionalFormatting>
  <conditionalFormatting sqref="K11:K410">
    <cfRule type="cellIs" dxfId="18" priority="316" operator="equal">
      <formula>"COMMERCIAL BANKING"</formula>
    </cfRule>
  </conditionalFormatting>
  <conditionalFormatting sqref="K11:K410">
    <cfRule type="cellIs" dxfId="19" priority="317" operator="equal">
      <formula>"CONSUMER BANKING"</formula>
    </cfRule>
  </conditionalFormatting>
  <conditionalFormatting sqref="K11:K410">
    <cfRule type="cellIs" dxfId="20" priority="318" operator="equal">
      <formula>"CORPORATE BANKING"</formula>
    </cfRule>
  </conditionalFormatting>
  <conditionalFormatting sqref="K11:K410">
    <cfRule type="cellIs" dxfId="21" priority="319" operator="equal">
      <formula>"PUBLIC SECTOR"</formula>
    </cfRule>
  </conditionalFormatting>
  <conditionalFormatting sqref="H11:H410">
    <cfRule type="cellIs" dxfId="22" priority="320" operator="equal">
      <formula>1</formula>
    </cfRule>
  </conditionalFormatting>
  <conditionalFormatting sqref="H11:H410">
    <cfRule type="cellIs" dxfId="23" priority="321" operator="equal">
      <formula>2</formula>
    </cfRule>
  </conditionalFormatting>
  <conditionalFormatting sqref="H11:H410">
    <cfRule type="cellIs" dxfId="24" priority="322" operator="equal">
      <formula>3</formula>
    </cfRule>
  </conditionalFormatting>
  <conditionalFormatting sqref="I11:I410">
    <cfRule type="dataBar" priority="323">
      <dataBar>
        <cfvo type="min"/>
        <cfvo type="max"/>
        <color rgb="FF2EA3D6"/>
      </dataBar>
    </cfRule>
  </conditionalFormatting>
  <conditionalFormatting sqref="F11:F410">
    <cfRule type="colorScale" priority="324">
      <colorScale>
        <cfvo type="num" val="0"/>
        <cfvo type="num" val="60"/>
        <cfvo type="num" val="120"/>
        <color rgb="FFD9F0C0"/>
        <color rgb="FFFFE8A3"/>
        <color rgb="FFF4A99B"/>
      </colorScale>
    </cfRule>
  </conditionalFormatting>
  <conditionalFormatting sqref="A11:K410">
    <cfRule type="expression" dxfId="1" priority="99">
      <formula>AND($D$5&lt;&gt;"",ISNUMBER(SEARCH($D$5,$A11&amp;" "&amp;$B11&amp;" "&amp;$C11&amp;" "&amp;$D11&amp;" "&amp;$E11&amp;" "&amp;$G11)))</formula>
    </cfRule>
  </conditionalFormatting>
  <pageMargins left="0.4" right="0.4" top="0.6" bottom="0.6" header="0.3" footer="0.3"/>
  <pageSetup orientation="landscape" fitToWidth="1" fitToHeight="0"/>
  <headerFooter>
    <oddHeader>&amp;L&amp;8&amp;K005C83ECOBANK SÉNÉGAL · Credit Risk OS&amp;R&amp;8&amp;K3E5C6B&amp;A</oddHeader>
    <oddFooter>&amp;L&amp;8Confidentiel — usage interne&amp;R&amp;8Page &amp;P / &amp;N</oddFooter>
  </headerFooter>
  <ignoredErrors>
    <ignoredError numberStoredAsText="1" sqref="A1:W410"/>
  </ignoredErrors>
  <drawing r:id="rIdApexD1"/>
  <tableParts count="1">
    <tablePart r:id="rIdApexT1"/>
  </tableParts>
  <extLst>
    <ext xmlns:x14="http://schemas.microsoft.com/office/spreadsheetml/2009/9/main" uri="{3A4CF648-6AED-40f4-86FF-DC5316D8AED3}">
      <x14:slicerList>
        <x14:slicer r:id="rIdApexS1"/>
      </x14:slicerList>
    </ext>
  </extLst>
</worksheet>
</file>

<file path=xl/worksheets/sheetApex1.xml><?xml version="1.0" encoding="utf-8"?>
<worksheet xmlns="http://schemas.openxmlformats.org/spreadsheetml/2006/main" xmlns:r="http://schemas.openxmlformats.org/officeDocument/2006/relationships">
  <sheetPr>
    <tabColor rgb="FF8CC63F"/>
    <pageSetUpPr fitToPage="1"/>
  </sheetPr>
  <sheetViews>
    <sheetView tabSelected="1" showGridLines="0" workbookViewId="0" zoomScale="100"/>
  </sheetViews>
  <sheetFormatPr defaultRowHeight="18"/>
  <cols>
    <col min="1" max="1" width="2.5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</cols>
  <sheetData>
    <row r="1" ht="34" customHeight="1">
      <c r="B1" s="25" t="inlineStr">
        <is>
          <t xml:space="preserve">ECOBANK SÉNÉGAL · CREDIT RISK OS</t>
        </is>
      </c>
      <c r="C1" s="25"/>
      <c r="D1" s="25"/>
      <c r="E1" s="25"/>
      <c r="F1" s="25"/>
      <c r="G1" s="25"/>
      <c r="H1" s="25"/>
    </row>
    <row r="2" ht="22" customHeight="1">
      <c r="B2" s="26" t="inlineStr">
        <is>
          <t xml:space="preserve">Impayes 30-90j plan actions</t>
        </is>
      </c>
      <c r="C2" s="26"/>
      <c r="D2" s="26"/>
      <c r="E2" s="26"/>
      <c r="F2" s="26"/>
      <c r="G2" s="26"/>
      <c r="H2" s="26"/>
    </row>
    <row r="3" ht="18" customHeight="1">
      <c r="B3" s="27" t="inlineStr">
        <is>
          <t xml:space="preserve">Généré par APEX le 29/09/2026 · 1 feuille(s) · document confidentiel</t>
        </is>
      </c>
      <c r="C3" s="27"/>
      <c r="D3" s="27"/>
      <c r="E3" s="27"/>
      <c r="F3" s="27"/>
      <c r="G3" s="27"/>
      <c r="H3" s="27"/>
    </row>
    <row r="5">
      <c r="B5" s="29" t="inlineStr">
        <is>
          <t xml:space="preserve">NAVIGATION — cliquez sur une feuille pour l’ouvrir</t>
        </is>
      </c>
    </row>
    <row r="6">
      <c r="B6" s="28" t="inlineStr">
        <is>
          <t xml:space="preserve">#</t>
        </is>
      </c>
      <c r="C6" s="28" t="inlineStr">
        <is>
          <t xml:space="preserve">Feuille</t>
        </is>
      </c>
      <c r="D6" s="28"/>
      <c r="E6" s="28"/>
      <c r="F6" s="28" t="inlineStr">
        <is>
          <t xml:space="preserve">Lignes</t>
        </is>
      </c>
      <c r="G6" s="28" t="inlineStr">
        <is>
          <t xml:space="preserve">Plage</t>
        </is>
      </c>
      <c r="H6" s="28" t="inlineStr">
        <is>
          <t xml:space="preserve">Accès</t>
        </is>
      </c>
    </row>
    <row r="7">
      <c r="B7" s="33">
        <v>1</v>
      </c>
      <c r="C7" s="32" t="str">
        <f>HYPERLINK("#'Impayés'!A1","Impayés")</f>
      </c>
      <c r="D7" s="32"/>
      <c r="E7" s="32"/>
      <c r="F7" s="33">
        <v>410</v>
      </c>
      <c r="G7" s="30" t="inlineStr">
        <is>
          <t xml:space="preserve">A1:W410</t>
        </is>
      </c>
      <c r="H7" s="32" t="str">
        <f>HYPERLINK("#'Impayés'!A1","→ ouvrir")</f>
      </c>
    </row>
    <row r="9" ht="40" customHeight="1">
      <c r="B9" s="31" t="inlineStr">
        <is>
          <t xml:space="preserve">Ce classeur est produit par APEX Credit Risk OS. Le tableau de bord est calculé sur l’arrêté affiché et les arrêtés en mémoire. Cliquez sur une feuille pour l’ouvrir ; « ◀ Sommaire » en haut de chaque feuille ramène ici.</t>
        </is>
      </c>
    </row>
  </sheetData>
  <mergeCells count="6">
    <mergeCell ref="B1:H1"/>
    <mergeCell ref="B2:H2"/>
    <mergeCell ref="B3:H3"/>
    <mergeCell ref="C6:E6"/>
    <mergeCell ref="C7:E7"/>
    <mergeCell ref="B9:H9"/>
  </mergeCells>
  <pageMargins left="0.4" right="0.4" top="0.5" bottom="0.5" header="0.3" footer="0.3"/>
  <pageSetup orientation="landscape" fitToWidth="1" fitToHeight="0"/>
  <headerFooter>
    <oddFooter>&amp;L&amp;8Ecobank Sénégal · Credit Risk OS · Confidentiel&amp;R&amp;8Page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Impayés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