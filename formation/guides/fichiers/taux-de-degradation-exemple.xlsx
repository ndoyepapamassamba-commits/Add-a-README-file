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Credits" state="visible" r:id="rId5"/>
    <sheet sheetId="3" name="Calcul" state="visible" r:id="rId6"/>
  </sheets>
  <calcPr calcId="171027" fullCalcOnLoad="1"/>
</workbook>
</file>

<file path=xl/sharedStrings.xml><?xml version="1.0" encoding="utf-8"?>
<sst xmlns="http://schemas.openxmlformats.org/spreadsheetml/2006/main" count="113" uniqueCount="85">
  <si>
    <t>Taux de dégradation du portefeuille — classeur d'exemple</t>
  </si>
  <si>
    <t>Guide gratuit Teranga Pro : https://ndoyepapamassamba-commits.github.io/Add-a-README-file/formation/guides/taux-de-degradation-du-portefeuille.html</t>
  </si>
  <si>
    <t/>
  </si>
  <si>
    <t>Contenu</t>
  </si>
  <si>
    <t>• Feuille « Credits » : le tableau T_Credits, une ligne par crédit (12 crédits), arrêté du 30/09/2026.</t>
  </si>
  <si>
    <t>• Feuille « Calcul » : les agrégats, les taux brut et net de dégradation, les taux de provisionnement et trois contrôles, avec SOMME.SI.ENS.</t>
  </si>
  <si>
    <t>À savoir</t>
  </si>
  <si>
    <t>• Données 100 % fictives : la Banque Fictive de l'Ouest (BFO), ses agences, ses clients et ses crédits sont imaginaires.</t>
  </si>
  <si>
    <t>• Montants en millions de FCFA. Les dépréciations sont inventées pour l'exemple : elles n'appliquent pas les règles de l'article 16 de l'Instruction BCEAO n° 026-11-2016.</t>
  </si>
  <si>
    <t>• Formules des taux : libellés du Tableau n° 15 du Rapport annuel 2024 de la Commission Bancaire de l'UMOA (voir le guide pour les sources).</t>
  </si>
  <si>
    <t>• Support pédagogique : il ne remplace ni les textes en vigueur ni les règles de votre établissement.</t>
  </si>
  <si>
    <t>Arrêté</t>
  </si>
  <si>
    <t>Contrat</t>
  </si>
  <si>
    <t>Client</t>
  </si>
  <si>
    <t>Agence</t>
  </si>
  <si>
    <t>Produit</t>
  </si>
  <si>
    <t>Jours de retard</t>
  </si>
  <si>
    <t>Catégorie</t>
  </si>
  <si>
    <t>Encours brut</t>
  </si>
  <si>
    <t>Dépréciation</t>
  </si>
  <si>
    <t>TD-01</t>
  </si>
  <si>
    <t>C-201</t>
  </si>
  <si>
    <t>Agence Filao</t>
  </si>
  <si>
    <t>Crédit de trésorerie</t>
  </si>
  <si>
    <t>Saine</t>
  </si>
  <si>
    <t>TD-02</t>
  </si>
  <si>
    <t>C-202</t>
  </si>
  <si>
    <t>Crédit d'équipement</t>
  </si>
  <si>
    <t>TD-03</t>
  </si>
  <si>
    <t>C-203</t>
  </si>
  <si>
    <t>Prêt immobilier</t>
  </si>
  <si>
    <t>TD-04</t>
  </si>
  <si>
    <t>C-204</t>
  </si>
  <si>
    <t>Douteuse ou litigieuse</t>
  </si>
  <si>
    <t>TD-05</t>
  </si>
  <si>
    <t>TD-06</t>
  </si>
  <si>
    <t>C-205</t>
  </si>
  <si>
    <t>Agence Kapokier</t>
  </si>
  <si>
    <t>Restructurée</t>
  </si>
  <si>
    <t>TD-07</t>
  </si>
  <si>
    <t>C-206</t>
  </si>
  <si>
    <t>TD-08</t>
  </si>
  <si>
    <t>C-207</t>
  </si>
  <si>
    <t>Prêt personnel</t>
  </si>
  <si>
    <t>TD-09</t>
  </si>
  <si>
    <t>C-208</t>
  </si>
  <si>
    <t>TD-10</t>
  </si>
  <si>
    <t>C-209</t>
  </si>
  <si>
    <t>Agence Karité</t>
  </si>
  <si>
    <t>TD-11</t>
  </si>
  <si>
    <t>C-210</t>
  </si>
  <si>
    <t>TD-12</t>
  </si>
  <si>
    <t>C-211</t>
  </si>
  <si>
    <t>Taux de dégradation du portefeuille — arrêté du 30/09/2026 (millions de FCFA)</t>
  </si>
  <si>
    <t>Agrégat</t>
  </si>
  <si>
    <t>Ce que fait la formule</t>
  </si>
  <si>
    <t>Total crédits bruts</t>
  </si>
  <si>
    <t>Tous les crédits, sains et en souffrance</t>
  </si>
  <si>
    <t>Créances en souffrance brutes</t>
  </si>
  <si>
    <t>Restructurées + douteuses ou litigieuses (Instruction 026-11-2016, art. 5)</t>
  </si>
  <si>
    <t>dont créances douteuses ou litigieuses brutes</t>
  </si>
  <si>
    <t>Provisions constituées (sur créances en souffrance)</t>
  </si>
  <si>
    <t>dont provisions sur douteuses ou litigieuses</t>
  </si>
  <si>
    <t>Créances en souffrance nettes</t>
  </si>
  <si>
    <t>Brutes − provisions</t>
  </si>
  <si>
    <t>Total crédits nets</t>
  </si>
  <si>
    <t>Bruts − provisions</t>
  </si>
  <si>
    <t>Ratio</t>
  </si>
  <si>
    <t>Libellé du Tableau n° 15 (Commission Bancaire, Rapport annuel 2024)</t>
  </si>
  <si>
    <t>Taux brut de dégradation du portefeuille</t>
  </si>
  <si>
    <t>Créances en souffrance brutes / Total Crédits bruts</t>
  </si>
  <si>
    <t>Taux net de dégradation du portefeuille</t>
  </si>
  <si>
    <t>Créances en souffrance nettes / Total Crédits nets</t>
  </si>
  <si>
    <t>Taux de provisionnement des créances en souffrance</t>
  </si>
  <si>
    <t>Provisions constituées / Créances en souffrance brutes</t>
  </si>
  <si>
    <t>Taux de provisionnement des douteux et litigieux</t>
  </si>
  <si>
    <t>Provisions constituées / Créances douteuses et litigieuses brutes</t>
  </si>
  <si>
    <t>Contrôle (résultat attendu : 0)</t>
  </si>
  <si>
    <t>Si le résultat n'est pas 0</t>
  </si>
  <si>
    <t>Crédits classés « Saine » avec plus de 90 jours de retard</t>
  </si>
  <si>
    <t>Vérifier le classement (délai de 180 jours pour certaines expositions : art. 8)</t>
  </si>
  <si>
    <t>Dépréciations portées sur des crédits sains</t>
  </si>
  <si>
    <t>Vérifier l'extraction : le taux net serait faussé</t>
  </si>
  <si>
    <t>Lignes dont la catégorie n'est pas reconnue</t>
  </si>
  <si>
    <t>Corriger le libellé : ces lignes seraient ignorées par les formules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</si>
</sst>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color rgb="FF0B2545"/>
      <sz val="15"/>
    </font>
    <font>
      <i/>
      <color rgb="FF555555"/>
    </font>
    <font>
      <b/>
      <color rgb="FF0B2545"/>
    </font>
    <font>
      <b/>
      <color rgb="FF0B2545"/>
      <sz val="13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164" fontId="0" fillId="0" borderId="0" xfId="0" applyNumberFormat="1"/>
    <xf numFmtId="3" fontId="0" fillId="0" borderId="0" xfId="0" applyNumberFormat="1"/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5" fillId="2" borderId="0" xfId="0" applyFont="1" applyFill="1"/>
    <xf numFmtId="10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Credits" displayName="T_Credits" ref="A1:I13" totalsRowShown="0" headerRowCount="1">
  <autoFilter ref="A1:I13"/>
  <tableColumns count="9">
    <tableColumn id="1" name="Arrêté"/>
    <tableColumn id="2" name="Contrat"/>
    <tableColumn id="3" name="Client"/>
    <tableColumn id="4" name="Agence"/>
    <tableColumn id="5" name="Produit"/>
    <tableColumn id="6" name="Jours de retard"/>
    <tableColumn id="7" name="Catégorie"/>
    <tableColumn id="8" name="Encours brut"/>
    <tableColumn id="9" name="Dépréci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3A89E"/>
  </sheetPr>
  <dimension ref="B1:B12"/>
  <sheetFormatPr defaultRowHeight="15" outlineLevelRow="0" outlineLevelCol="0" x14ac:dyDescent="55"/>
  <cols>
    <col min="1" max="1" width="4" customWidth="1"/>
    <col min="2" max="2" width="110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3" t="s">
        <v>2</v>
      </c>
    </row>
    <row r="4" spans="2:2" x14ac:dyDescent="0.25">
      <c r="B4" s="4" t="s">
        <v>3</v>
      </c>
    </row>
    <row r="5" spans="2:2" x14ac:dyDescent="0.25">
      <c r="B5" s="3" t="s">
        <v>4</v>
      </c>
    </row>
    <row r="6" spans="2:2" x14ac:dyDescent="0.25">
      <c r="B6" s="3" t="s">
        <v>5</v>
      </c>
    </row>
    <row r="7" spans="2:2" x14ac:dyDescent="0.25">
      <c r="B7" s="3" t="s">
        <v>2</v>
      </c>
    </row>
    <row r="8" spans="2:2" x14ac:dyDescent="0.25">
      <c r="B8" s="4" t="s">
        <v>6</v>
      </c>
    </row>
    <row r="9" spans="2:2" x14ac:dyDescent="0.25">
      <c r="B9" s="3" t="s">
        <v>7</v>
      </c>
    </row>
    <row r="10" spans="2:2" x14ac:dyDescent="0.25">
      <c r="B10" s="3" t="s">
        <v>8</v>
      </c>
    </row>
    <row r="11" spans="2:2" x14ac:dyDescent="0.25">
      <c r="B11" s="3" t="s">
        <v>9</v>
      </c>
    </row>
    <row r="12" spans="2:2" x14ac:dyDescent="0.25">
      <c r="B1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4" max="4" width="18" customWidth="1"/>
    <col min="5" max="5" width="22" customWidth="1"/>
    <col min="6" max="6" width="16" customWidth="1"/>
    <col min="7" max="7" width="24" customWidth="1"/>
    <col min="8" max="9" width="14" customWidth="1"/>
  </cols>
  <sheetData>
    <row r="1" spans="1:9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25">
      <c r="A2" s="5">
        <v>46295</v>
      </c>
      <c r="B2" t="s">
        <v>20</v>
      </c>
      <c r="C2" t="s">
        <v>21</v>
      </c>
      <c r="D2" t="s">
        <v>22</v>
      </c>
      <c r="E2" t="s">
        <v>23</v>
      </c>
      <c r="F2">
        <v>0</v>
      </c>
      <c r="G2" t="s">
        <v>24</v>
      </c>
      <c r="H2" s="6">
        <v>380</v>
      </c>
      <c r="I2" s="6">
        <v>0</v>
      </c>
    </row>
    <row r="3" spans="1:9" x14ac:dyDescent="0.25">
      <c r="A3" s="5">
        <v>46295</v>
      </c>
      <c r="B3" t="s">
        <v>25</v>
      </c>
      <c r="C3" t="s">
        <v>26</v>
      </c>
      <c r="D3" t="s">
        <v>22</v>
      </c>
      <c r="E3" t="s">
        <v>27</v>
      </c>
      <c r="F3">
        <v>45</v>
      </c>
      <c r="G3" t="s">
        <v>24</v>
      </c>
      <c r="H3" s="6">
        <v>95</v>
      </c>
      <c r="I3" s="6">
        <v>0</v>
      </c>
    </row>
    <row r="4" spans="1:9" x14ac:dyDescent="0.25">
      <c r="A4" s="5">
        <v>46295</v>
      </c>
      <c r="B4" t="s">
        <v>28</v>
      </c>
      <c r="C4" t="s">
        <v>29</v>
      </c>
      <c r="D4" t="s">
        <v>22</v>
      </c>
      <c r="E4" t="s">
        <v>30</v>
      </c>
      <c r="F4">
        <v>0</v>
      </c>
      <c r="G4" t="s">
        <v>24</v>
      </c>
      <c r="H4" s="6">
        <v>240</v>
      </c>
      <c r="I4" s="6">
        <v>0</v>
      </c>
    </row>
    <row r="5" spans="1:9" x14ac:dyDescent="0.25">
      <c r="A5" s="5">
        <v>46295</v>
      </c>
      <c r="B5" t="s">
        <v>31</v>
      </c>
      <c r="C5" t="s">
        <v>32</v>
      </c>
      <c r="D5" t="s">
        <v>22</v>
      </c>
      <c r="E5" t="s">
        <v>23</v>
      </c>
      <c r="F5">
        <v>130</v>
      </c>
      <c r="G5" t="s">
        <v>33</v>
      </c>
      <c r="H5" s="6">
        <v>70</v>
      </c>
      <c r="I5" s="6">
        <v>49</v>
      </c>
    </row>
    <row r="6" spans="1:9" x14ac:dyDescent="0.25">
      <c r="A6" s="5">
        <v>46295</v>
      </c>
      <c r="B6" t="s">
        <v>34</v>
      </c>
      <c r="C6" t="s">
        <v>32</v>
      </c>
      <c r="D6" t="s">
        <v>22</v>
      </c>
      <c r="E6" t="s">
        <v>27</v>
      </c>
      <c r="F6">
        <v>0</v>
      </c>
      <c r="G6" t="s">
        <v>33</v>
      </c>
      <c r="H6" s="6">
        <v>40</v>
      </c>
      <c r="I6" s="6">
        <v>16</v>
      </c>
    </row>
    <row r="7" spans="1:9" x14ac:dyDescent="0.25">
      <c r="A7" s="5">
        <v>46295</v>
      </c>
      <c r="B7" t="s">
        <v>35</v>
      </c>
      <c r="C7" t="s">
        <v>36</v>
      </c>
      <c r="D7" t="s">
        <v>37</v>
      </c>
      <c r="E7" t="s">
        <v>27</v>
      </c>
      <c r="F7">
        <v>0</v>
      </c>
      <c r="G7" t="s">
        <v>38</v>
      </c>
      <c r="H7" s="6">
        <v>60</v>
      </c>
      <c r="I7" s="6">
        <v>0</v>
      </c>
    </row>
    <row r="8" spans="1:9" x14ac:dyDescent="0.25">
      <c r="A8" s="5">
        <v>46295</v>
      </c>
      <c r="B8" t="s">
        <v>39</v>
      </c>
      <c r="C8" t="s">
        <v>40</v>
      </c>
      <c r="D8" t="s">
        <v>37</v>
      </c>
      <c r="E8" t="s">
        <v>23</v>
      </c>
      <c r="F8">
        <v>0</v>
      </c>
      <c r="G8" t="s">
        <v>24</v>
      </c>
      <c r="H8" s="6">
        <v>410</v>
      </c>
      <c r="I8" s="6">
        <v>0</v>
      </c>
    </row>
    <row r="9" spans="1:9" x14ac:dyDescent="0.25">
      <c r="A9" s="5">
        <v>46295</v>
      </c>
      <c r="B9" t="s">
        <v>41</v>
      </c>
      <c r="C9" t="s">
        <v>42</v>
      </c>
      <c r="D9" t="s">
        <v>37</v>
      </c>
      <c r="E9" t="s">
        <v>43</v>
      </c>
      <c r="F9">
        <v>210</v>
      </c>
      <c r="G9" t="s">
        <v>33</v>
      </c>
      <c r="H9" s="6">
        <v>12</v>
      </c>
      <c r="I9" s="6">
        <v>12</v>
      </c>
    </row>
    <row r="10" spans="1:9" x14ac:dyDescent="0.25">
      <c r="A10" s="5">
        <v>46295</v>
      </c>
      <c r="B10" t="s">
        <v>44</v>
      </c>
      <c r="C10" t="s">
        <v>45</v>
      </c>
      <c r="D10" t="s">
        <v>37</v>
      </c>
      <c r="E10" t="s">
        <v>30</v>
      </c>
      <c r="F10">
        <v>0</v>
      </c>
      <c r="G10" t="s">
        <v>24</v>
      </c>
      <c r="H10" s="6">
        <v>225</v>
      </c>
      <c r="I10" s="6">
        <v>0</v>
      </c>
    </row>
    <row r="11" spans="1:9" x14ac:dyDescent="0.25">
      <c r="A11" s="5">
        <v>46295</v>
      </c>
      <c r="B11" t="s">
        <v>46</v>
      </c>
      <c r="C11" t="s">
        <v>47</v>
      </c>
      <c r="D11" t="s">
        <v>48</v>
      </c>
      <c r="E11" t="s">
        <v>27</v>
      </c>
      <c r="F11">
        <v>300</v>
      </c>
      <c r="G11" t="s">
        <v>33</v>
      </c>
      <c r="H11" s="6">
        <v>28</v>
      </c>
      <c r="I11" s="6">
        <v>28</v>
      </c>
    </row>
    <row r="12" spans="1:9" x14ac:dyDescent="0.25">
      <c r="A12" s="5">
        <v>46295</v>
      </c>
      <c r="B12" t="s">
        <v>49</v>
      </c>
      <c r="C12" t="s">
        <v>50</v>
      </c>
      <c r="D12" t="s">
        <v>48</v>
      </c>
      <c r="E12" t="s">
        <v>23</v>
      </c>
      <c r="F12">
        <v>0</v>
      </c>
      <c r="G12" t="s">
        <v>24</v>
      </c>
      <c r="H12" s="6">
        <v>340</v>
      </c>
      <c r="I12" s="6">
        <v>0</v>
      </c>
    </row>
    <row r="13" spans="1:9" x14ac:dyDescent="0.25">
      <c r="A13" s="5">
        <v>46295</v>
      </c>
      <c r="B13" t="s">
        <v>51</v>
      </c>
      <c r="C13" t="s">
        <v>52</v>
      </c>
      <c r="D13" t="s">
        <v>48</v>
      </c>
      <c r="E13" t="s">
        <v>43</v>
      </c>
      <c r="F13">
        <v>0</v>
      </c>
      <c r="G13" t="s">
        <v>24</v>
      </c>
      <c r="H13" s="6">
        <v>200</v>
      </c>
      <c r="I13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</sheetPr>
  <dimension ref="A1:C19"/>
  <sheetFormatPr defaultRowHeight="15" outlineLevelRow="0" outlineLevelCol="0" x14ac:dyDescent="55"/>
  <cols>
    <col min="1" max="1" width="58" customWidth="1"/>
    <col min="2" max="2" width="16" customWidth="1"/>
    <col min="3" max="3" width="70" customWidth="1"/>
  </cols>
  <sheetData>
    <row r="1" spans="1:3" x14ac:dyDescent="0.25">
      <c r="A1" s="7" t="s">
        <v>53</v>
      </c>
      <c r="B1" s="7"/>
      <c r="C1" s="7"/>
    </row>
    <row r="2" spans="1:3" x14ac:dyDescent="0.25">
      <c r="A2" s="8" t="s">
        <v>54</v>
      </c>
      <c r="B2" s="9"/>
      <c r="C2" s="8" t="s">
        <v>55</v>
      </c>
    </row>
    <row r="3" spans="1:3" x14ac:dyDescent="0.25">
      <c r="A3" s="3" t="s">
        <v>56</v>
      </c>
      <c r="B3" s="6">
        <f>SUM(T_Credits[Encours brut])</f>
        <v>2100</v>
      </c>
      <c r="C3" s="3" t="s">
        <v>57</v>
      </c>
    </row>
    <row r="4" spans="1:3" x14ac:dyDescent="0.25">
      <c r="A4" s="3" t="s">
        <v>58</v>
      </c>
      <c r="B4" s="6">
        <f>SUMIFS(T_Credits[Encours brut],T_Credits[Catégorie],"Restructurée")+SUMIFS(T_Credits[Encours brut],T_Credits[Catégorie],"Douteuse ou litigieuse")</f>
        <v>210</v>
      </c>
      <c r="C4" s="3" t="s">
        <v>59</v>
      </c>
    </row>
    <row r="5" spans="1:3" x14ac:dyDescent="0.25">
      <c r="A5" s="3" t="s">
        <v>60</v>
      </c>
      <c r="B5" s="6">
        <f>SUMIFS(T_Credits[Encours brut],T_Credits[Catégorie],"Douteuse ou litigieuse")</f>
        <v>150</v>
      </c>
      <c r="C5" s="3"/>
    </row>
    <row r="6" spans="1:3" x14ac:dyDescent="0.25">
      <c r="A6" s="3" t="s">
        <v>61</v>
      </c>
      <c r="B6" s="6">
        <f>SUMIFS(T_Credits[Dépréciation],T_Credits[Catégorie],"Restructurée")+SUMIFS(T_Credits[Dépréciation],T_Credits[Catégorie],"Douteuse ou litigieuse")</f>
        <v>105</v>
      </c>
      <c r="C6" s="3"/>
    </row>
    <row r="7" spans="1:3" x14ac:dyDescent="0.25">
      <c r="A7" s="3" t="s">
        <v>62</v>
      </c>
      <c r="B7" s="6">
        <f>SUMIFS(T_Credits[Dépréciation],T_Credits[Catégorie],"Douteuse ou litigieuse")</f>
        <v>105</v>
      </c>
      <c r="C7" s="3"/>
    </row>
    <row r="8" spans="1:3" x14ac:dyDescent="0.25">
      <c r="A8" s="3" t="s">
        <v>63</v>
      </c>
      <c r="B8" s="6">
        <f>B4-B6</f>
        <v>105</v>
      </c>
      <c r="C8" s="3" t="s">
        <v>64</v>
      </c>
    </row>
    <row r="9" spans="1:3" x14ac:dyDescent="0.25">
      <c r="A9" s="3" t="s">
        <v>65</v>
      </c>
      <c r="B9" s="6">
        <f>B3-B6</f>
        <v>1995</v>
      </c>
      <c r="C9" s="3" t="s">
        <v>66</v>
      </c>
    </row>
    <row r="10" spans="1:3" x14ac:dyDescent="0.25">
      <c r="A10" s="8" t="s">
        <v>67</v>
      </c>
      <c r="B10" s="9"/>
      <c r="C10" s="8" t="s">
        <v>68</v>
      </c>
    </row>
    <row r="11" spans="1:3" x14ac:dyDescent="0.25">
      <c r="A11" s="3" t="s">
        <v>69</v>
      </c>
      <c r="B11" s="10">
        <f>B4/B3</f>
        <v>0.1</v>
      </c>
      <c r="C11" s="3" t="s">
        <v>70</v>
      </c>
    </row>
    <row r="12" spans="1:3" x14ac:dyDescent="0.25">
      <c r="A12" s="3" t="s">
        <v>71</v>
      </c>
      <c r="B12" s="10">
        <f>B8/B9</f>
        <v>0.05263157894736842</v>
      </c>
      <c r="C12" s="3" t="s">
        <v>72</v>
      </c>
    </row>
    <row r="13" spans="1:3" x14ac:dyDescent="0.25">
      <c r="A13" s="3" t="s">
        <v>73</v>
      </c>
      <c r="B13" s="10">
        <f>B6/B4</f>
        <v>0.5</v>
      </c>
      <c r="C13" s="3" t="s">
        <v>74</v>
      </c>
    </row>
    <row r="14" spans="1:3" x14ac:dyDescent="0.25">
      <c r="A14" s="3" t="s">
        <v>75</v>
      </c>
      <c r="B14" s="10">
        <f>B7/B5</f>
        <v>0.7</v>
      </c>
      <c r="C14" s="3" t="s">
        <v>76</v>
      </c>
    </row>
    <row r="16" spans="1:3" x14ac:dyDescent="0.25">
      <c r="A16" s="8" t="s">
        <v>77</v>
      </c>
      <c r="B16" s="9"/>
      <c r="C16" s="8" t="s">
        <v>78</v>
      </c>
    </row>
    <row r="17" spans="1:3" x14ac:dyDescent="0.25">
      <c r="A17" s="3" t="s">
        <v>79</v>
      </c>
      <c r="B17" s="6">
        <f>COUNTIFS(T_Credits[Catégorie],"Saine",T_Credits[Jours de retard],"&gt;90")</f>
        <v>0</v>
      </c>
      <c r="C17" s="3" t="s">
        <v>80</v>
      </c>
    </row>
    <row r="18" spans="1:3" x14ac:dyDescent="0.25">
      <c r="A18" s="3" t="s">
        <v>81</v>
      </c>
      <c r="B18" s="6">
        <f>SUMIFS(T_Credits[Dépréciation],T_Credits[Catégorie],"Saine")</f>
        <v>0</v>
      </c>
      <c r="C18" s="3" t="s">
        <v>82</v>
      </c>
    </row>
    <row r="19" spans="1:3" x14ac:dyDescent="0.25">
      <c r="A19" s="3" t="s">
        <v>83</v>
      </c>
      <c r="B19" s="6">
        <f>ROWS(T_Credits[Catégorie])-COUNTIF(T_Credits[Catégorie],"Saine")-COUNTIF(T_Credits[Catégorie],"Restructurée")-COUNTIF(T_Credits[Catégorie],"Douteuse ou litigieuse")</f>
        <v>0</v>
      </c>
      <c r="C19" s="3" t="s">
        <v>84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Lisez-moi</vt:lpstr>
      <vt:lpstr>Credits</vt:lpstr>
      <vt:lpstr>Calcul</vt:lpstr>
    </vt:vector>
  </TitlesOfParts>
  <Company>Teranga 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Teranga Pro</dc:creator>
  <dc:title>Taux de dégradation du portefeuille — exemple fictif</dc:title>
  <dc:subject/>
  <dc:description/>
  <cp:keywords/>
  <cp:category/>
  <cp:lastModifiedBy>Teranga Pro</cp:lastModifiedBy>
  <dcterms:created xsi:type="dcterms:W3CDTF">2026-10-22T08:00:00Z</dcterms:created>
  <dcterms:modified xsi:type="dcterms:W3CDTF">2026-10-22T08:00:00Z</dcterms:modified>
</cp:coreProperties>
</file>